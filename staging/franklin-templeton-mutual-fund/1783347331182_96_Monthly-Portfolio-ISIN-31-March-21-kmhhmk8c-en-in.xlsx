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filterPrivacy="1" defaultThemeVersion="124226"/>
  <xr:revisionPtr revIDLastSave="0" documentId="13_ncr:1_{94164C0D-23BE-4CDB-BC92-E42A8091065E}" xr6:coauthVersionLast="46" xr6:coauthVersionMax="46" xr10:uidLastSave="{00000000-0000-0000-0000-000000000000}"/>
  <bookViews>
    <workbookView xWindow="-108" yWindow="-108" windowWidth="23256" windowHeight="12576" xr2:uid="{00000000-000D-0000-FFFF-FFFF00000000}"/>
  </bookViews>
  <sheets>
    <sheet name="FILF" sheetId="64" r:id="rId1"/>
    <sheet name="FIONF" sheetId="65" r:id="rId2"/>
    <sheet name="FISF" sheetId="66" r:id="rId3"/>
    <sheet name="FIFRF" sheetId="67" r:id="rId4"/>
    <sheet name="FICDF" sheetId="68" r:id="rId5"/>
    <sheet name="FBPF" sheetId="69" r:id="rId6"/>
    <sheet name="FIGSF" sheetId="70" r:id="rId7"/>
    <sheet name="FMPS6C" sheetId="77" r:id="rId8"/>
    <sheet name="FMPS5F" sheetId="78" r:id="rId9"/>
    <sheet name="FMPS5E" sheetId="79" r:id="rId10"/>
    <sheet name="FMPS5D" sheetId="80" r:id="rId11"/>
    <sheet name="FMPS5C" sheetId="81" r:id="rId12"/>
    <sheet name="FMPS5B" sheetId="82" r:id="rId13"/>
    <sheet name="FMPS5A" sheetId="83" r:id="rId14"/>
    <sheet name="FMPS4F" sheetId="84" r:id="rId15"/>
    <sheet name="FMPS4E" sheetId="85" r:id="rId16"/>
    <sheet name="FMPS4D" sheetId="86" r:id="rId17"/>
    <sheet name="FMPS4C" sheetId="87" r:id="rId18"/>
    <sheet name="FMPS4B" sheetId="88" r:id="rId19"/>
    <sheet name="FMPS4A" sheetId="89" r:id="rId20"/>
    <sheet name="FMPS3F" sheetId="90" r:id="rId21"/>
    <sheet name="FMPS3E" sheetId="91" r:id="rId22"/>
    <sheet name="FMPS3D" sheetId="92" r:id="rId23"/>
    <sheet name="FMPS3C" sheetId="93" r:id="rId24"/>
    <sheet name="FMPS3B" sheetId="94" r:id="rId25"/>
    <sheet name="FMPS3A" sheetId="95" r:id="rId26"/>
    <sheet name="FMPS2C" sheetId="96" r:id="rId27"/>
    <sheet name="FMPS2B" sheetId="97" r:id="rId28"/>
    <sheet name="FMPS2A" sheetId="98" r:id="rId29"/>
    <sheet name="FIPP" sheetId="99" r:id="rId30"/>
    <sheet name="FIDHY" sheetId="100" r:id="rId31"/>
    <sheet name="FIESF" sheetId="39" r:id="rId32"/>
    <sheet name="FIEHF" sheetId="40" r:id="rId33"/>
    <sheet name="TIVF" sheetId="41" r:id="rId34"/>
    <sheet name="TIEIF" sheetId="42" r:id="rId35"/>
    <sheet name="FITF" sheetId="43" r:id="rId36"/>
    <sheet name="FISCF" sheetId="44" r:id="rId37"/>
    <sheet name="FIPF" sheetId="45" r:id="rId38"/>
    <sheet name="FIOF" sheetId="46" r:id="rId39"/>
    <sheet name="FIFEF" sheetId="47" r:id="rId40"/>
    <sheet name="FIEF" sheetId="48" r:id="rId41"/>
    <sheet name="FIEAF" sheetId="49" r:id="rId42"/>
    <sheet name="FIBF" sheetId="50" r:id="rId43"/>
    <sheet name="FBIF" sheetId="51" r:id="rId44"/>
    <sheet name="FAEF" sheetId="52" r:id="rId45"/>
    <sheet name="FIIF-NSE" sheetId="53" r:id="rId46"/>
    <sheet name="FITX" sheetId="54" r:id="rId47"/>
    <sheet name="FIUS" sheetId="55" r:id="rId48"/>
    <sheet name="FEGF" sheetId="56" r:id="rId49"/>
    <sheet name="FIMAS" sheetId="57" r:id="rId50"/>
    <sheet name="FIFOF-50's+" sheetId="58" r:id="rId51"/>
    <sheet name="FIFOF-50's" sheetId="59" r:id="rId52"/>
    <sheet name="FIFOF-40's" sheetId="60" r:id="rId53"/>
    <sheet name="FIFOF-30's" sheetId="61" r:id="rId54"/>
    <sheet name="FIFOF-20's" sheetId="62" r:id="rId55"/>
    <sheet name="FF" sheetId="63" r:id="rId56"/>
    <sheet name="FIDA" sheetId="71" r:id="rId57"/>
    <sheet name="FILDF" sheetId="72" r:id="rId58"/>
    <sheet name="FIUBF" sheetId="73" r:id="rId59"/>
    <sheet name="FISTIP" sheetId="74" r:id="rId60"/>
    <sheet name="FIIOF" sheetId="75" r:id="rId61"/>
    <sheet name="FICRF" sheetId="76" r:id="rId62"/>
  </sheets>
  <definedNames>
    <definedName name="_xlnm.Print_Area" localSheetId="44">FAEF!$A$1:$F$99</definedName>
    <definedName name="_xlnm.Print_Area" localSheetId="43">FBIF!$A$1:$F$62</definedName>
    <definedName name="_xlnm.Print_Area" localSheetId="5">FBPF!$A$1:$G$85</definedName>
    <definedName name="_xlnm.Print_Area" localSheetId="48">FEGF!$A$1:$E$34</definedName>
    <definedName name="_xlnm.Print_Area" localSheetId="55">FF!$A$1:$E$46</definedName>
    <definedName name="_xlnm.Print_Area" localSheetId="42">FIBF!$A$1:$F$62</definedName>
    <definedName name="_xlnm.Print_Area" localSheetId="4">FICDF!$A$1:$G$118</definedName>
    <definedName name="_xlnm.Print_Area" localSheetId="61">FICRF!$A$1:$G$193</definedName>
    <definedName name="_xlnm.Print_Area" localSheetId="56">FIDA!$A$1:$G$176</definedName>
    <definedName name="_xlnm.Print_Area" localSheetId="30">FIDHY!$A$1:$G$102</definedName>
    <definedName name="_xlnm.Print_Area" localSheetId="41">FIEAF!$A$1:$F$88</definedName>
    <definedName name="_xlnm.Print_Area" localSheetId="40">FIEF!$A$1:$F$101</definedName>
    <definedName name="_xlnm.Print_Area" localSheetId="32">FIEHF!$A$1:$G$125</definedName>
    <definedName name="_xlnm.Print_Area" localSheetId="31">FIESF!$A$1:$H$88</definedName>
    <definedName name="_xlnm.Print_Area" localSheetId="39">FIFEF!$A$1:$F$61</definedName>
    <definedName name="_xlnm.Print_Area" localSheetId="54">'FIFOF-20''s'!$A$1:$E$50</definedName>
    <definedName name="_xlnm.Print_Area" localSheetId="53">'FIFOF-30''s'!$A$1:$E$50</definedName>
    <definedName name="_xlnm.Print_Area" localSheetId="52">'FIFOF-40''s'!$A$1:$E$50</definedName>
    <definedName name="_xlnm.Print_Area" localSheetId="51">'FIFOF-50''s'!$A$1:$F$49</definedName>
    <definedName name="_xlnm.Print_Area" localSheetId="50">'FIFOF-50''s+'!$A$1:$E$39</definedName>
    <definedName name="_xlnm.Print_Area" localSheetId="3">FIFRF!$A$1:$G$66</definedName>
    <definedName name="_xlnm.Print_Area" localSheetId="6">FIGSF!$A$1:$G$49</definedName>
    <definedName name="_xlnm.Print_Area" localSheetId="45">'FIIF-NSE'!$A$1:$F$84</definedName>
    <definedName name="_xlnm.Print_Area" localSheetId="60">FIIOF!$A$1:$G$131</definedName>
    <definedName name="_xlnm.Print_Area" localSheetId="57">FILDF!$A$1:$G$129</definedName>
    <definedName name="_xlnm.Print_Area" localSheetId="0">FILF!$A$1:$G$87</definedName>
    <definedName name="_xlnm.Print_Area" localSheetId="49">FIMAS!$A$1:$E$42</definedName>
    <definedName name="_xlnm.Print_Area" localSheetId="38">FIOF!$A$1:$F$83</definedName>
    <definedName name="_xlnm.Print_Area" localSheetId="1">FIONF!$A$1:$G$35</definedName>
    <definedName name="_xlnm.Print_Area" localSheetId="37">FIPF!$A$1:$F$95</definedName>
    <definedName name="_xlnm.Print_Area" localSheetId="29">FIPP!$A$1:$G$104</definedName>
    <definedName name="_xlnm.Print_Area" localSheetId="36">FISCF!$A$1:$F$94</definedName>
    <definedName name="_xlnm.Print_Area" localSheetId="2">FISF!$A$1:$G$80</definedName>
    <definedName name="_xlnm.Print_Area" localSheetId="59">FISTIP!$A$1:$G$235</definedName>
    <definedName name="_xlnm.Print_Area" localSheetId="35">FITF!$A$1:$F$81</definedName>
    <definedName name="_xlnm.Print_Area" localSheetId="46">FITX!$A$1:$F$102</definedName>
    <definedName name="_xlnm.Print_Area" localSheetId="58">FIUBF!$A$1:$G$86</definedName>
    <definedName name="_xlnm.Print_Area" localSheetId="47">FIUS!$A$1:$F$32</definedName>
    <definedName name="_xlnm.Print_Area" localSheetId="28">FMPS2A!$A$1:$G$54</definedName>
    <definedName name="_xlnm.Print_Area" localSheetId="27">FMPS2B!$A$1:$G$70</definedName>
    <definedName name="_xlnm.Print_Area" localSheetId="26">FMPS2C!$A$1:$G$74</definedName>
    <definedName name="_xlnm.Print_Area" localSheetId="25">FMPS3A!$A$1:$G$66</definedName>
    <definedName name="_xlnm.Print_Area" localSheetId="24">FMPS3B!$A$1:$G$61</definedName>
    <definedName name="_xlnm.Print_Area" localSheetId="23">FMPS3C!$A$1:$G$66</definedName>
    <definedName name="_xlnm.Print_Area" localSheetId="22">FMPS3D!$A$1:$G$66</definedName>
    <definedName name="_xlnm.Print_Area" localSheetId="21">FMPS3E!$A$1:$G$58</definedName>
    <definedName name="_xlnm.Print_Area" localSheetId="20">FMPS3F!$A$1:$G$58</definedName>
    <definedName name="_xlnm.Print_Area" localSheetId="19">FMPS4A!$A$1:$G$60</definedName>
    <definedName name="_xlnm.Print_Area" localSheetId="18">FMPS4B!$A$1:$G$58</definedName>
    <definedName name="_xlnm.Print_Area" localSheetId="17">FMPS4C!$A$1:$G$52</definedName>
    <definedName name="_xlnm.Print_Area" localSheetId="16">FMPS4D!$A$1:$G$51</definedName>
    <definedName name="_xlnm.Print_Area" localSheetId="15">FMPS4E!$A$1:$G$55</definedName>
    <definedName name="_xlnm.Print_Area" localSheetId="14">FMPS4F!$A$1:$G$62</definedName>
    <definedName name="_xlnm.Print_Area" localSheetId="13">FMPS5A!$A$1:$G$54</definedName>
    <definedName name="_xlnm.Print_Area" localSheetId="12">FMPS5B!$A$1:$G$55</definedName>
    <definedName name="_xlnm.Print_Area" localSheetId="11">FMPS5C!$A$1:$G$59</definedName>
    <definedName name="_xlnm.Print_Area" localSheetId="10">FMPS5D!$A$1:$G$54</definedName>
    <definedName name="_xlnm.Print_Area" localSheetId="9">FMPS5E!$A$1:$G$55</definedName>
    <definedName name="_xlnm.Print_Area" localSheetId="8">FMPS5F!$A$1:$G$56</definedName>
    <definedName name="_xlnm.Print_Area" localSheetId="7">FMPS6C!$A$1:$G$53</definedName>
    <definedName name="_xlnm.Print_Area" localSheetId="34">TIEIF!$A$1:$F$91</definedName>
    <definedName name="_xlnm.Print_Area" localSheetId="33">TIVF!$A$1:$F$70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07" i="68" l="1"/>
  <c r="C107" i="68"/>
  <c r="F63" i="100" l="1"/>
  <c r="E63" i="100"/>
  <c r="F54" i="100"/>
  <c r="E54" i="100"/>
  <c r="F50" i="100"/>
  <c r="E50" i="100"/>
  <c r="F46" i="100"/>
  <c r="E46" i="100"/>
  <c r="F41" i="100"/>
  <c r="E41" i="100"/>
  <c r="F32" i="100"/>
  <c r="F67" i="100" s="1"/>
  <c r="E32" i="100"/>
  <c r="E67" i="100" s="1"/>
  <c r="F70" i="99"/>
  <c r="E70" i="99"/>
  <c r="F60" i="99"/>
  <c r="E60" i="99"/>
  <c r="F56" i="99"/>
  <c r="E56" i="99"/>
  <c r="F51" i="99"/>
  <c r="E51" i="99"/>
  <c r="F40" i="99"/>
  <c r="E40" i="99"/>
  <c r="F18" i="98"/>
  <c r="E18" i="98"/>
  <c r="F14" i="98"/>
  <c r="E14" i="98"/>
  <c r="F9" i="98"/>
  <c r="E9" i="98"/>
  <c r="F38" i="97"/>
  <c r="E38" i="97"/>
  <c r="F34" i="97"/>
  <c r="E34" i="97"/>
  <c r="F30" i="97"/>
  <c r="E30" i="97"/>
  <c r="F22" i="97"/>
  <c r="E22" i="97"/>
  <c r="F17" i="97"/>
  <c r="E17" i="97"/>
  <c r="F13" i="97"/>
  <c r="E13" i="97"/>
  <c r="F40" i="96"/>
  <c r="E40" i="96"/>
  <c r="F36" i="96"/>
  <c r="E36" i="96"/>
  <c r="F32" i="96"/>
  <c r="E32" i="96"/>
  <c r="F24" i="96"/>
  <c r="E24" i="96"/>
  <c r="F19" i="96"/>
  <c r="E19" i="96"/>
  <c r="F15" i="96"/>
  <c r="E15" i="96"/>
  <c r="F36" i="95"/>
  <c r="E36" i="95"/>
  <c r="F32" i="95"/>
  <c r="E32" i="95"/>
  <c r="F24" i="95"/>
  <c r="E24" i="95"/>
  <c r="F19" i="95"/>
  <c r="E19" i="95"/>
  <c r="F15" i="95"/>
  <c r="E15" i="95"/>
  <c r="F29" i="94"/>
  <c r="E29" i="94"/>
  <c r="F25" i="94"/>
  <c r="E25" i="94"/>
  <c r="F16" i="94"/>
  <c r="E16" i="94"/>
  <c r="F30" i="93"/>
  <c r="E30" i="93"/>
  <c r="F26" i="93"/>
  <c r="E26" i="93"/>
  <c r="F17" i="93"/>
  <c r="E17" i="93"/>
  <c r="F32" i="92"/>
  <c r="E32" i="92"/>
  <c r="F24" i="92"/>
  <c r="E24" i="92"/>
  <c r="F19" i="92"/>
  <c r="E19" i="92"/>
  <c r="F15" i="92"/>
  <c r="E15" i="92"/>
  <c r="F25" i="91"/>
  <c r="E25" i="91"/>
  <c r="F21" i="91"/>
  <c r="E21" i="91"/>
  <c r="F17" i="91"/>
  <c r="E17" i="91"/>
  <c r="F31" i="90"/>
  <c r="E31" i="90"/>
  <c r="F26" i="90"/>
  <c r="E26" i="90"/>
  <c r="F22" i="90"/>
  <c r="E22" i="90"/>
  <c r="F27" i="89"/>
  <c r="E27" i="89"/>
  <c r="F23" i="89"/>
  <c r="E23" i="89"/>
  <c r="F27" i="88"/>
  <c r="E27" i="88"/>
  <c r="F23" i="88"/>
  <c r="E23" i="88"/>
  <c r="F20" i="87"/>
  <c r="F24" i="87" s="1"/>
  <c r="E20" i="87"/>
  <c r="E24" i="87" s="1"/>
  <c r="F21" i="86"/>
  <c r="E21" i="86"/>
  <c r="F16" i="86"/>
  <c r="F25" i="86" s="1"/>
  <c r="E16" i="86"/>
  <c r="F23" i="85"/>
  <c r="E23" i="85"/>
  <c r="F19" i="85"/>
  <c r="F27" i="85" s="1"/>
  <c r="E19" i="85"/>
  <c r="E27" i="85" s="1"/>
  <c r="F27" i="84"/>
  <c r="E27" i="84"/>
  <c r="F23" i="84"/>
  <c r="E23" i="84"/>
  <c r="F19" i="83"/>
  <c r="F23" i="83" s="1"/>
  <c r="E19" i="83"/>
  <c r="E21" i="83" s="1"/>
  <c r="F24" i="82"/>
  <c r="F26" i="82" s="1"/>
  <c r="E24" i="82"/>
  <c r="E26" i="82" s="1"/>
  <c r="F24" i="81"/>
  <c r="F28" i="81" s="1"/>
  <c r="E24" i="81"/>
  <c r="E28" i="81" s="1"/>
  <c r="F21" i="80"/>
  <c r="F25" i="80" s="1"/>
  <c r="E21" i="80"/>
  <c r="E25" i="80" s="1"/>
  <c r="F20" i="79"/>
  <c r="F24" i="79" s="1"/>
  <c r="E20" i="79"/>
  <c r="E22" i="79" s="1"/>
  <c r="F21" i="78"/>
  <c r="F23" i="78" s="1"/>
  <c r="E21" i="78"/>
  <c r="E25" i="78" s="1"/>
  <c r="F22" i="77"/>
  <c r="F26" i="77" s="1"/>
  <c r="E22" i="77"/>
  <c r="E26" i="77" s="1"/>
  <c r="F166" i="76"/>
  <c r="F168" i="76" s="1"/>
  <c r="E166" i="76"/>
  <c r="E170" i="76" s="1"/>
  <c r="F129" i="76"/>
  <c r="F131" i="76" s="1"/>
  <c r="E129" i="76"/>
  <c r="E133" i="76" s="1"/>
  <c r="F60" i="76"/>
  <c r="E60" i="76"/>
  <c r="F56" i="76"/>
  <c r="E56" i="76"/>
  <c r="F44" i="76"/>
  <c r="F64" i="76" s="1"/>
  <c r="E44" i="76"/>
  <c r="F45" i="75"/>
  <c r="E45" i="75"/>
  <c r="F41" i="75"/>
  <c r="E41" i="75"/>
  <c r="F28" i="75"/>
  <c r="E28" i="75"/>
  <c r="F201" i="74"/>
  <c r="F203" i="74" s="1"/>
  <c r="E201" i="74"/>
  <c r="E205" i="74" s="1"/>
  <c r="F157" i="74"/>
  <c r="F159" i="74" s="1"/>
  <c r="E157" i="74"/>
  <c r="E161" i="74" s="1"/>
  <c r="F75" i="74"/>
  <c r="E75" i="74"/>
  <c r="F71" i="74"/>
  <c r="E71" i="74"/>
  <c r="F50" i="74"/>
  <c r="E50" i="74"/>
  <c r="F44" i="73"/>
  <c r="E44" i="73"/>
  <c r="F40" i="73"/>
  <c r="E40" i="73"/>
  <c r="F35" i="73"/>
  <c r="E35" i="73"/>
  <c r="F99" i="72"/>
  <c r="F101" i="72" s="1"/>
  <c r="E99" i="72"/>
  <c r="E101" i="72" s="1"/>
  <c r="F38" i="72"/>
  <c r="E38" i="72"/>
  <c r="F34" i="72"/>
  <c r="E34" i="72"/>
  <c r="F28" i="72"/>
  <c r="E28" i="72"/>
  <c r="F149" i="71"/>
  <c r="F151" i="71" s="1"/>
  <c r="E149" i="71"/>
  <c r="E153" i="71" s="1"/>
  <c r="F114" i="71"/>
  <c r="F116" i="71" s="1"/>
  <c r="E114" i="71"/>
  <c r="E118" i="71" s="1"/>
  <c r="F50" i="71"/>
  <c r="E50" i="71"/>
  <c r="F46" i="71"/>
  <c r="E46" i="71"/>
  <c r="F32" i="71"/>
  <c r="E32" i="71"/>
  <c r="F17" i="70"/>
  <c r="E17" i="70"/>
  <c r="F8" i="70"/>
  <c r="F21" i="70" s="1"/>
  <c r="E8" i="70"/>
  <c r="F54" i="69"/>
  <c r="E54" i="69"/>
  <c r="F48" i="69"/>
  <c r="E48" i="69"/>
  <c r="F43" i="69"/>
  <c r="E43" i="69"/>
  <c r="F61" i="68"/>
  <c r="E61" i="68"/>
  <c r="F55" i="68"/>
  <c r="E55" i="68"/>
  <c r="F51" i="68"/>
  <c r="F65" i="68" s="1"/>
  <c r="E51" i="68"/>
  <c r="F31" i="67"/>
  <c r="E31" i="67"/>
  <c r="F23" i="67"/>
  <c r="E23" i="67"/>
  <c r="F18" i="67"/>
  <c r="E18" i="67"/>
  <c r="F12" i="67"/>
  <c r="F33" i="67" s="1"/>
  <c r="E12" i="67"/>
  <c r="F36" i="66"/>
  <c r="E36" i="66"/>
  <c r="F31" i="66"/>
  <c r="E31" i="66"/>
  <c r="F26" i="66"/>
  <c r="E26" i="66"/>
  <c r="F13" i="66"/>
  <c r="E13" i="66"/>
  <c r="F34" i="64"/>
  <c r="E34" i="64"/>
  <c r="F23" i="64"/>
  <c r="F36" i="64" s="1"/>
  <c r="E23" i="64"/>
  <c r="E36" i="64" s="1"/>
  <c r="F31" i="94" l="1"/>
  <c r="E35" i="67"/>
  <c r="E31" i="88"/>
  <c r="F31" i="88"/>
  <c r="F31" i="89"/>
  <c r="E40" i="66"/>
  <c r="E74" i="99"/>
  <c r="E21" i="70"/>
  <c r="E65" i="68"/>
  <c r="E33" i="67"/>
  <c r="F40" i="66"/>
  <c r="F38" i="66"/>
  <c r="F38" i="64"/>
  <c r="E58" i="69"/>
  <c r="F58" i="69"/>
  <c r="E42" i="72"/>
  <c r="E48" i="73"/>
  <c r="E46" i="73"/>
  <c r="F48" i="73"/>
  <c r="F46" i="73"/>
  <c r="E47" i="75"/>
  <c r="F47" i="75"/>
  <c r="F24" i="77"/>
  <c r="E24" i="77"/>
  <c r="E23" i="78"/>
  <c r="F25" i="78"/>
  <c r="E24" i="79"/>
  <c r="E26" i="81"/>
  <c r="F26" i="81"/>
  <c r="E28" i="82"/>
  <c r="F28" i="82"/>
  <c r="E23" i="83"/>
  <c r="E31" i="84"/>
  <c r="F31" i="84"/>
  <c r="E25" i="86"/>
  <c r="E31" i="89"/>
  <c r="E35" i="90"/>
  <c r="F35" i="90"/>
  <c r="E27" i="91"/>
  <c r="F27" i="91"/>
  <c r="E36" i="92"/>
  <c r="F36" i="92"/>
  <c r="E34" i="93"/>
  <c r="F34" i="93"/>
  <c r="E31" i="94"/>
  <c r="E40" i="95"/>
  <c r="E38" i="95"/>
  <c r="F40" i="95"/>
  <c r="E44" i="96"/>
  <c r="F44" i="96"/>
  <c r="E20" i="98"/>
  <c r="F20" i="98"/>
  <c r="E42" i="97"/>
  <c r="F42" i="97"/>
  <c r="E72" i="99"/>
  <c r="F74" i="99"/>
  <c r="E62" i="76"/>
  <c r="E131" i="76"/>
  <c r="F62" i="76"/>
  <c r="E64" i="76"/>
  <c r="E159" i="74"/>
  <c r="E79" i="74"/>
  <c r="F79" i="74"/>
  <c r="E77" i="74"/>
  <c r="F42" i="72"/>
  <c r="E103" i="72"/>
  <c r="F40" i="72"/>
  <c r="E40" i="72"/>
  <c r="F54" i="71"/>
  <c r="E54" i="71"/>
  <c r="F52" i="71"/>
  <c r="E151" i="71"/>
  <c r="F63" i="68"/>
  <c r="E49" i="75"/>
  <c r="E29" i="91"/>
  <c r="E33" i="94"/>
  <c r="E22" i="98"/>
  <c r="E38" i="64"/>
  <c r="E63" i="68"/>
  <c r="F49" i="75"/>
  <c r="F29" i="91"/>
  <c r="F33" i="94"/>
  <c r="F22" i="98"/>
  <c r="E23" i="80"/>
  <c r="E22" i="87"/>
  <c r="E29" i="88"/>
  <c r="E29" i="89"/>
  <c r="E34" i="92"/>
  <c r="E38" i="66"/>
  <c r="E56" i="69"/>
  <c r="E19" i="70"/>
  <c r="E116" i="71"/>
  <c r="F77" i="74"/>
  <c r="E168" i="76"/>
  <c r="F23" i="80"/>
  <c r="F22" i="87"/>
  <c r="F29" i="88"/>
  <c r="F29" i="89"/>
  <c r="F34" i="92"/>
  <c r="F35" i="67"/>
  <c r="F56" i="69"/>
  <c r="F19" i="70"/>
  <c r="E29" i="84"/>
  <c r="E25" i="85"/>
  <c r="E23" i="86"/>
  <c r="E33" i="90"/>
  <c r="E32" i="93"/>
  <c r="E42" i="96"/>
  <c r="E40" i="97"/>
  <c r="E65" i="100"/>
  <c r="E52" i="71"/>
  <c r="E203" i="74"/>
  <c r="F22" i="79"/>
  <c r="F21" i="83"/>
  <c r="F29" i="84"/>
  <c r="F25" i="85"/>
  <c r="F23" i="86"/>
  <c r="F33" i="90"/>
  <c r="F32" i="93"/>
  <c r="F38" i="95"/>
  <c r="F42" i="96"/>
  <c r="F40" i="97"/>
  <c r="F72" i="99"/>
  <c r="F65" i="100"/>
  <c r="E10" i="63" l="1"/>
  <c r="E14" i="63" s="1"/>
  <c r="D10" i="63"/>
  <c r="D14" i="63" s="1"/>
  <c r="E13" i="62"/>
  <c r="E17" i="62" s="1"/>
  <c r="D13" i="62"/>
  <c r="D15" i="62" s="1"/>
  <c r="E13" i="61"/>
  <c r="E17" i="61" s="1"/>
  <c r="D13" i="61"/>
  <c r="D15" i="61" s="1"/>
  <c r="E13" i="60"/>
  <c r="E17" i="60" s="1"/>
  <c r="D13" i="60"/>
  <c r="D17" i="60" s="1"/>
  <c r="E12" i="59"/>
  <c r="E16" i="59" s="1"/>
  <c r="D12" i="59"/>
  <c r="D14" i="59" s="1"/>
  <c r="E9" i="58"/>
  <c r="E13" i="58" s="1"/>
  <c r="D9" i="58"/>
  <c r="D11" i="58" s="1"/>
  <c r="E11" i="57"/>
  <c r="E13" i="57" s="1"/>
  <c r="D11" i="57"/>
  <c r="D13" i="57" s="1"/>
  <c r="E7" i="56"/>
  <c r="E9" i="56" s="1"/>
  <c r="D7" i="56"/>
  <c r="D11" i="56" s="1"/>
  <c r="E11" i="58" l="1"/>
  <c r="D13" i="58"/>
  <c r="D15" i="57"/>
  <c r="E15" i="57"/>
  <c r="D17" i="62"/>
  <c r="D12" i="63"/>
  <c r="E12" i="63"/>
  <c r="E15" i="62"/>
  <c r="E15" i="61"/>
  <c r="D17" i="61"/>
  <c r="D15" i="60"/>
  <c r="E15" i="60"/>
  <c r="E14" i="59"/>
  <c r="D16" i="59"/>
  <c r="D9" i="56"/>
  <c r="E11" i="56"/>
  <c r="G38" i="39"/>
  <c r="D78" i="39" s="1"/>
  <c r="F12" i="59" l="1"/>
  <c r="F16" i="59" s="1"/>
  <c r="F14" i="59"/>
  <c r="F7" i="55"/>
  <c r="F11" i="55" s="1"/>
  <c r="E7" i="55"/>
  <c r="E9" i="55" s="1"/>
  <c r="F66" i="54"/>
  <c r="E66" i="54"/>
  <c r="F60" i="54"/>
  <c r="F68" i="54" s="1"/>
  <c r="E60" i="54"/>
  <c r="F58" i="53"/>
  <c r="F60" i="53" s="1"/>
  <c r="E58" i="53"/>
  <c r="E62" i="53" s="1"/>
  <c r="F71" i="52"/>
  <c r="E71" i="52"/>
  <c r="F22" i="52"/>
  <c r="E22" i="52"/>
  <c r="E73" i="52" s="1"/>
  <c r="F34" i="51"/>
  <c r="F36" i="51" s="1"/>
  <c r="E34" i="51"/>
  <c r="E36" i="51" s="1"/>
  <c r="F34" i="50"/>
  <c r="F38" i="50" s="1"/>
  <c r="E34" i="50"/>
  <c r="E38" i="50" s="1"/>
  <c r="F58" i="49"/>
  <c r="F60" i="49" s="1"/>
  <c r="E58" i="49"/>
  <c r="E62" i="49" s="1"/>
  <c r="F62" i="48"/>
  <c r="E62" i="48"/>
  <c r="F56" i="48"/>
  <c r="E56" i="48"/>
  <c r="F38" i="47"/>
  <c r="E38" i="47"/>
  <c r="F34" i="47"/>
  <c r="F36" i="47" s="1"/>
  <c r="E34" i="47"/>
  <c r="E36" i="47"/>
  <c r="F47" i="46"/>
  <c r="E47" i="46"/>
  <c r="F40" i="46"/>
  <c r="F51" i="46" s="1"/>
  <c r="E40" i="46"/>
  <c r="E51" i="46" s="1"/>
  <c r="F62" i="45"/>
  <c r="F64" i="45" s="1"/>
  <c r="E62" i="45"/>
  <c r="F58" i="45"/>
  <c r="F66" i="45" s="1"/>
  <c r="E58" i="45"/>
  <c r="E64" i="45" s="1"/>
  <c r="F66" i="44"/>
  <c r="F70" i="44" s="1"/>
  <c r="E66" i="44"/>
  <c r="E70" i="44" s="1"/>
  <c r="F45" i="43"/>
  <c r="E45" i="43"/>
  <c r="F41" i="43"/>
  <c r="E41" i="43"/>
  <c r="F23" i="43"/>
  <c r="E23" i="43"/>
  <c r="F19" i="43"/>
  <c r="E19" i="43"/>
  <c r="E47" i="43" s="1"/>
  <c r="F64" i="42"/>
  <c r="E64" i="42"/>
  <c r="F52" i="42"/>
  <c r="E52" i="42"/>
  <c r="F47" i="42"/>
  <c r="E47" i="42"/>
  <c r="E66" i="42" s="1"/>
  <c r="F40" i="41"/>
  <c r="F44" i="41" s="1"/>
  <c r="E40" i="41"/>
  <c r="E42" i="41" s="1"/>
  <c r="F85" i="40"/>
  <c r="E85" i="40"/>
  <c r="F76" i="40"/>
  <c r="E76" i="40"/>
  <c r="F72" i="40"/>
  <c r="E72" i="40"/>
  <c r="F67" i="40"/>
  <c r="E67" i="40"/>
  <c r="F62" i="40"/>
  <c r="E62" i="40"/>
  <c r="F53" i="40"/>
  <c r="E53" i="40"/>
  <c r="F48" i="40"/>
  <c r="E48" i="40"/>
  <c r="F43" i="40"/>
  <c r="F87" i="40" s="1"/>
  <c r="E43" i="40"/>
  <c r="F46" i="39"/>
  <c r="E46" i="39"/>
  <c r="F42" i="39"/>
  <c r="E42" i="39"/>
  <c r="F38" i="39"/>
  <c r="E38" i="39"/>
  <c r="E50" i="39" s="1"/>
  <c r="F62" i="53"/>
  <c r="F49" i="46"/>
  <c r="F47" i="43" l="1"/>
  <c r="F50" i="39"/>
  <c r="F68" i="42"/>
  <c r="E49" i="43"/>
  <c r="E64" i="48"/>
  <c r="F73" i="52"/>
  <c r="E66" i="45"/>
  <c r="E49" i="46"/>
  <c r="F62" i="49"/>
  <c r="E87" i="40"/>
  <c r="F66" i="48"/>
  <c r="E68" i="54"/>
  <c r="E70" i="54"/>
  <c r="F70" i="54"/>
  <c r="E75" i="52"/>
  <c r="F75" i="52"/>
  <c r="E38" i="51"/>
  <c r="F38" i="51"/>
  <c r="F36" i="50"/>
  <c r="E36" i="50"/>
  <c r="E60" i="49"/>
  <c r="F64" i="48"/>
  <c r="E66" i="48"/>
  <c r="F49" i="43"/>
  <c r="F48" i="39"/>
  <c r="E48" i="39"/>
  <c r="E68" i="42"/>
  <c r="F66" i="42"/>
  <c r="E60" i="53"/>
  <c r="F9" i="55"/>
  <c r="E11" i="55"/>
  <c r="F89" i="40"/>
  <c r="E89" i="40"/>
  <c r="E68" i="44"/>
  <c r="F68" i="44"/>
  <c r="E44" i="41"/>
  <c r="F42" i="41"/>
</calcChain>
</file>

<file path=xl/sharedStrings.xml><?xml version="1.0" encoding="utf-8"?>
<sst xmlns="http://schemas.openxmlformats.org/spreadsheetml/2006/main" count="7607" uniqueCount="1566">
  <si>
    <t>Name of the Instrument</t>
  </si>
  <si>
    <t>Quantity</t>
  </si>
  <si>
    <t>ISIN Number</t>
  </si>
  <si>
    <t xml:space="preserve">Market Value(Rs. in Lakhs) </t>
  </si>
  <si>
    <t>% to Net Assets</t>
  </si>
  <si>
    <t>Industry Classification / Rating</t>
  </si>
  <si>
    <t>YTM</t>
  </si>
  <si>
    <t>Portfolio Statement as on March 31, 2021</t>
  </si>
  <si>
    <t>Franklin India Equity Savings Fund</t>
  </si>
  <si>
    <t>Templeton India Equity Income Fund</t>
  </si>
  <si>
    <t>Franklin India Technology Fund</t>
  </si>
  <si>
    <t>Franklin India Smaller Companies Fund</t>
  </si>
  <si>
    <t>Franklin India Prima Fund</t>
  </si>
  <si>
    <t>Franklin India Opportunities Fund</t>
  </si>
  <si>
    <t>Franklin India Bluechip Fund</t>
  </si>
  <si>
    <t>Franklin Build India Fund</t>
  </si>
  <si>
    <t>Franklin Asian Equity Fund</t>
  </si>
  <si>
    <t>Franklin India Index Fund NSE Nifty Plan</t>
  </si>
  <si>
    <t>Franklin India TAXSHIELD</t>
  </si>
  <si>
    <t>Franklin India Feeder - Franklin U.S. Opportunities Fund</t>
  </si>
  <si>
    <t>Franklin India Multi-Asset Solution Fund</t>
  </si>
  <si>
    <t>Franklin India Life Stage Fund Of Funds - 50's Plus Floating Rate Plan</t>
  </si>
  <si>
    <t>Franklin India Life Stage Fund Of Funds - 50's Plus Plan</t>
  </si>
  <si>
    <t>Franklin India Life Stage Fund Of Funds - 40's Plan</t>
  </si>
  <si>
    <t>Franklin India Life Stage Fund Of Funds - 30's Plan</t>
  </si>
  <si>
    <t>Franklin India Life Stage Fund Of Funds - 20's Plan</t>
  </si>
  <si>
    <t>Debt Instruments</t>
  </si>
  <si>
    <t>(a) Listed / awaiting listing on Stock Exchanges</t>
  </si>
  <si>
    <t>Indostar Capital Finance Ltd (1Y SBI MCLR + 200 Bps) (02-May-2023) **</t>
  </si>
  <si>
    <t>INE896L07561</t>
  </si>
  <si>
    <t>CARE AA-</t>
  </si>
  <si>
    <t>Indostar Capital Finance Ltd (1Y SBI MCLR + 325 Bps) (02-Nov-2021) **</t>
  </si>
  <si>
    <t>INE896L07660</t>
  </si>
  <si>
    <t>CRISIL AAA</t>
  </si>
  <si>
    <t>Sub Total</t>
  </si>
  <si>
    <t>Mutual Fund Units</t>
  </si>
  <si>
    <t>Total</t>
  </si>
  <si>
    <t>Net Assets</t>
  </si>
  <si>
    <t>Call, Cash &amp; Other Assets</t>
  </si>
  <si>
    <t>** Non- Traded Scrips</t>
  </si>
  <si>
    <t>Notes</t>
  </si>
  <si>
    <t>a) NAV at the beginning and at the end of the Half-year ended 31-Mar-2021</t>
  </si>
  <si>
    <t xml:space="preserve">      Plan/Option</t>
  </si>
  <si>
    <t>As on 31-Mar-2021</t>
  </si>
  <si>
    <t>As on 30-Sep-2020</t>
  </si>
  <si>
    <t>Nil</t>
  </si>
  <si>
    <t>(In Years)</t>
  </si>
  <si>
    <t>https://www.franklintempletonindia.com/downloadsServlet/pdf/product-labels-jg9o5k7l</t>
  </si>
  <si>
    <t>Money Market Instruments</t>
  </si>
  <si>
    <t>Certificate of Deposit</t>
  </si>
  <si>
    <t>CRISIL A1+</t>
  </si>
  <si>
    <t>IND A1+</t>
  </si>
  <si>
    <t>Commercial Paper</t>
  </si>
  <si>
    <t>Housing Development Finance Corporation Ltd (28-Feb-2022) **@</t>
  </si>
  <si>
    <t>INE001A14XM0</t>
  </si>
  <si>
    <t>ICRA A1+</t>
  </si>
  <si>
    <t>SBI Cards and Payment Services Ltd (08-Oct-2021) **@</t>
  </si>
  <si>
    <t>INE018E14OX2</t>
  </si>
  <si>
    <t>Treasury Bill</t>
  </si>
  <si>
    <t>Government Securities</t>
  </si>
  <si>
    <t>8.20% GOI 2022 (15-Feb-2022)</t>
  </si>
  <si>
    <t>IN0020060037</t>
  </si>
  <si>
    <t>SOVEREIGN</t>
  </si>
  <si>
    <t>@ Listed</t>
  </si>
  <si>
    <t>Plan Name</t>
  </si>
  <si>
    <t xml:space="preserve">      Growth Plan</t>
  </si>
  <si>
    <t xml:space="preserve">      Direct Growth Plan</t>
  </si>
  <si>
    <t>364 DTB (27-May-2021)</t>
  </si>
  <si>
    <t>IN002020Z089</t>
  </si>
  <si>
    <t>5.15% GOI 2025 (09-Nov-2025)</t>
  </si>
  <si>
    <t>IN0020200278</t>
  </si>
  <si>
    <t>IN0020190016</t>
  </si>
  <si>
    <t>7.32% GOI 2024 (28-Jan-2024)</t>
  </si>
  <si>
    <t>IN0020180488</t>
  </si>
  <si>
    <t>5.22% GOI 2025 (15-Jun-2025)</t>
  </si>
  <si>
    <t>IN0020200112</t>
  </si>
  <si>
    <t xml:space="preserve">      Growth Option</t>
  </si>
  <si>
    <t xml:space="preserve">      Direct Growth Option</t>
  </si>
  <si>
    <t>8.85% REC Ltd (16-Apr-2029) **</t>
  </si>
  <si>
    <t>INE020B08BQ7</t>
  </si>
  <si>
    <t>8.85% Power Finance Corporation Ltd (25-May-2029) **</t>
  </si>
  <si>
    <t>INE134E08KC1</t>
  </si>
  <si>
    <t>6.18% GOI 2024 (04-Nov-2024)</t>
  </si>
  <si>
    <t>IN0020190396</t>
  </si>
  <si>
    <t>Equity &amp; Equity related</t>
  </si>
  <si>
    <t>HDFC Bank Ltd</t>
  </si>
  <si>
    <t>INE040A01034</t>
  </si>
  <si>
    <t>Banks</t>
  </si>
  <si>
    <t>Infosys Ltd</t>
  </si>
  <si>
    <t>INE009A01021</t>
  </si>
  <si>
    <t>Software</t>
  </si>
  <si>
    <t>Axis Bank Ltd</t>
  </si>
  <si>
    <t>INE238A01034</t>
  </si>
  <si>
    <t>ICICI Bank Ltd</t>
  </si>
  <si>
    <t>INE090A01021</t>
  </si>
  <si>
    <t>Bharti Airtel Ltd</t>
  </si>
  <si>
    <t>INE397D01024</t>
  </si>
  <si>
    <t>Telecom - Services</t>
  </si>
  <si>
    <t>Balkrishna Industries Ltd</t>
  </si>
  <si>
    <t>INE787D01026</t>
  </si>
  <si>
    <t>Auto Ancillaries</t>
  </si>
  <si>
    <t>Tata Steel Ltd</t>
  </si>
  <si>
    <t>INE081A01012</t>
  </si>
  <si>
    <t>Ferrous Metals</t>
  </si>
  <si>
    <t>Voltas Ltd</t>
  </si>
  <si>
    <t>INE226A01021</t>
  </si>
  <si>
    <t>Consumer Durables</t>
  </si>
  <si>
    <t>Kotak Mahindra Bank Ltd</t>
  </si>
  <si>
    <t>INE237A01028</t>
  </si>
  <si>
    <t>Petronet LNG Ltd</t>
  </si>
  <si>
    <t>INE347G01014</t>
  </si>
  <si>
    <t>Gas</t>
  </si>
  <si>
    <t>Hindalco Industries Ltd</t>
  </si>
  <si>
    <t>INE038A01020</t>
  </si>
  <si>
    <t>Non - Ferrous Metals</t>
  </si>
  <si>
    <t>Colgate Palmolive (India) Ltd</t>
  </si>
  <si>
    <t>INE259A01022</t>
  </si>
  <si>
    <t>Consumer Non Durables</t>
  </si>
  <si>
    <t>Gujarat State Petronet Ltd</t>
  </si>
  <si>
    <t>INE246F01010</t>
  </si>
  <si>
    <t>Hindustan Petroleum Corporation Ltd</t>
  </si>
  <si>
    <t>INE094A01015</t>
  </si>
  <si>
    <t>Petroleum Products</t>
  </si>
  <si>
    <t>State Bank of India</t>
  </si>
  <si>
    <t>INE062A01020</t>
  </si>
  <si>
    <t>Cadila Healthcare Ltd</t>
  </si>
  <si>
    <t>INE010B01027</t>
  </si>
  <si>
    <t>Pharmaceuticals</t>
  </si>
  <si>
    <t>Power Grid Corporation of India Ltd</t>
  </si>
  <si>
    <t>INE752E01010</t>
  </si>
  <si>
    <t>Power</t>
  </si>
  <si>
    <t>NTPC Ltd</t>
  </si>
  <si>
    <t>INE733E01010</t>
  </si>
  <si>
    <t>Mahindra &amp; Mahindra Ltd</t>
  </si>
  <si>
    <t>INE101A01026</t>
  </si>
  <si>
    <t>Auto</t>
  </si>
  <si>
    <t>United Breweries Ltd</t>
  </si>
  <si>
    <t>INE686F01025</t>
  </si>
  <si>
    <t>Bharat Petroleum Corporation Ltd</t>
  </si>
  <si>
    <t>INE029A01011</t>
  </si>
  <si>
    <t>Bajaj Auto Ltd</t>
  </si>
  <si>
    <t>INE917I01010</t>
  </si>
  <si>
    <t>Karur Vysya Bank Ltd</t>
  </si>
  <si>
    <t>INE036D01028</t>
  </si>
  <si>
    <t>Kansai Nerolac Paints Ltd</t>
  </si>
  <si>
    <t>INE531A01024</t>
  </si>
  <si>
    <t>Hindustan Unilever Ltd</t>
  </si>
  <si>
    <t>INE030A01027</t>
  </si>
  <si>
    <t>City Union Bank Ltd</t>
  </si>
  <si>
    <t>INE491A01021</t>
  </si>
  <si>
    <t>TVS Motor Co Ltd</t>
  </si>
  <si>
    <t>INE494B01023</t>
  </si>
  <si>
    <t>Aditya Birla Fashion and Retail Ltd</t>
  </si>
  <si>
    <t>INE647O01011</t>
  </si>
  <si>
    <t>Retailing</t>
  </si>
  <si>
    <t>Tata Motors Ltd</t>
  </si>
  <si>
    <t>INE155A01022</t>
  </si>
  <si>
    <t>Jagran Prakashan Ltd</t>
  </si>
  <si>
    <t>INE199G01027</t>
  </si>
  <si>
    <t>Media</t>
  </si>
  <si>
    <t>Aditya Birla Fashion and Retail Ltd – Partly Paid</t>
  </si>
  <si>
    <t>IN9647O01027</t>
  </si>
  <si>
    <t>Coal India Ltd</t>
  </si>
  <si>
    <t>INE522F01014</t>
  </si>
  <si>
    <t>Minerals/Mining</t>
  </si>
  <si>
    <t>6.95% Housing Development Finance Corporation Ltd (27-Apr-2023) **</t>
  </si>
  <si>
    <t>INE001A07SK8</t>
  </si>
  <si>
    <t>Dr. Reddy's Laboratories Ltd</t>
  </si>
  <si>
    <t>INE089A01023</t>
  </si>
  <si>
    <t>Grasim Industries Ltd</t>
  </si>
  <si>
    <t>INE047A01021</t>
  </si>
  <si>
    <t>Cement &amp; Cement Products</t>
  </si>
  <si>
    <t>National Bank For Agriculture &amp; Rural Development (18-Feb-2022) **</t>
  </si>
  <si>
    <t>INE261F16595</t>
  </si>
  <si>
    <t>Housing Development Finance Corporation Ltd</t>
  </si>
  <si>
    <t>INE001A01036</t>
  </si>
  <si>
    <t>Finance</t>
  </si>
  <si>
    <t>Sun TV Network Ltd</t>
  </si>
  <si>
    <t>INE424H01027</t>
  </si>
  <si>
    <t>Entertainment</t>
  </si>
  <si>
    <t>Maruti Suzuki India Ltd</t>
  </si>
  <si>
    <t>INE585B01010</t>
  </si>
  <si>
    <t>Larsen &amp; Toubro Ltd</t>
  </si>
  <si>
    <t>INE018A01030</t>
  </si>
  <si>
    <t>Construction Project</t>
  </si>
  <si>
    <t>Dabur India Ltd</t>
  </si>
  <si>
    <t>INE016A01026</t>
  </si>
  <si>
    <t>Tata Power Co Ltd</t>
  </si>
  <si>
    <t>INE245A01021</t>
  </si>
  <si>
    <t>Tech Mahindra Ltd</t>
  </si>
  <si>
    <t>INE669C01036</t>
  </si>
  <si>
    <t>Cholamandalam Financial Holdings Ltd</t>
  </si>
  <si>
    <t>INE149A01033</t>
  </si>
  <si>
    <t>Indian Hotels Co Ltd</t>
  </si>
  <si>
    <t>INE053A01029</t>
  </si>
  <si>
    <t>Leisure Services</t>
  </si>
  <si>
    <t>Indian Oil Corporation Ltd</t>
  </si>
  <si>
    <t>INE242A01010</t>
  </si>
  <si>
    <t>Himatsingka Seide Ltd</t>
  </si>
  <si>
    <t>INE049A01027</t>
  </si>
  <si>
    <t>Textile Products</t>
  </si>
  <si>
    <t>Mahindra CIE Automotive Ltd</t>
  </si>
  <si>
    <t>INE536H01010</t>
  </si>
  <si>
    <t>Industrial Products</t>
  </si>
  <si>
    <t>PNB Housing Finance Ltd</t>
  </si>
  <si>
    <t>INE572E01012</t>
  </si>
  <si>
    <t>Nestle India Ltd</t>
  </si>
  <si>
    <t>INE239A01016</t>
  </si>
  <si>
    <t>GAIL (India) Ltd</t>
  </si>
  <si>
    <t>INE129A01019</t>
  </si>
  <si>
    <t>Federal Bank Ltd</t>
  </si>
  <si>
    <t>INE171A01029</t>
  </si>
  <si>
    <t>(b) Units of Real Estate Investment Trusts (REITs)</t>
  </si>
  <si>
    <t>Embassy Office Parks REIT</t>
  </si>
  <si>
    <t>INE041025011</t>
  </si>
  <si>
    <t>c) Portfolio Turnover Ratio during the Half - year 31-Mar-2021</t>
  </si>
  <si>
    <t>d) Average Maturity as on 31-Mar-2021</t>
  </si>
  <si>
    <t xml:space="preserve">e) During the month additional instances of fair valuation/deviation from valuation price provided by the valuation agencies </t>
  </si>
  <si>
    <t>Tata Consultancy Services Ltd</t>
  </si>
  <si>
    <t>INE467B01029</t>
  </si>
  <si>
    <t>NHPC Ltd</t>
  </si>
  <si>
    <t>INE848E01016</t>
  </si>
  <si>
    <t>Titan Co Ltd</t>
  </si>
  <si>
    <t>INE280A01028</t>
  </si>
  <si>
    <t>INE671B01018</t>
  </si>
  <si>
    <t>Commercial Services</t>
  </si>
  <si>
    <t>(c) Units of Real Estate Investment Trusts (REITs)</t>
  </si>
  <si>
    <t>Brookfield India Real Estate Trust</t>
  </si>
  <si>
    <t>INE0FDU25010</t>
  </si>
  <si>
    <t>Tata Motors Ltd DVR</t>
  </si>
  <si>
    <t>IN9155A01020</t>
  </si>
  <si>
    <t>Bharat Electronics Ltd</t>
  </si>
  <si>
    <t>INE263A01024</t>
  </si>
  <si>
    <t>Aerospace &amp; Defense</t>
  </si>
  <si>
    <t>ITC Ltd</t>
  </si>
  <si>
    <t>INE154A01025</t>
  </si>
  <si>
    <t>Finolex Cables Ltd</t>
  </si>
  <si>
    <t>INE235A01022</t>
  </si>
  <si>
    <t>Oil &amp; Natural Gas Corporation Ltd</t>
  </si>
  <si>
    <t>INE213A01029</t>
  </si>
  <si>
    <t>Oil</t>
  </si>
  <si>
    <t>Bosch Ltd</t>
  </si>
  <si>
    <t>INE323A01026</t>
  </si>
  <si>
    <t>HCL Technologies Ltd</t>
  </si>
  <si>
    <t>INE860A01027</t>
  </si>
  <si>
    <t>Tata Chemicals Ltd</t>
  </si>
  <si>
    <t>INE092A01019</t>
  </si>
  <si>
    <t>Chemicals</t>
  </si>
  <si>
    <t>Sundaram Clayton Ltd</t>
  </si>
  <si>
    <t>INE105A01035</t>
  </si>
  <si>
    <t>Equitas Holdings Ltd</t>
  </si>
  <si>
    <t>INE988K01017</t>
  </si>
  <si>
    <t>Century Textile &amp; Industries Ltd</t>
  </si>
  <si>
    <t>INE055A01016</t>
  </si>
  <si>
    <t>Paper</t>
  </si>
  <si>
    <t>ACC Ltd</t>
  </si>
  <si>
    <t>INE012A01025</t>
  </si>
  <si>
    <t>Gulf Oil Lubricants India Ltd</t>
  </si>
  <si>
    <t>INE635Q01029</t>
  </si>
  <si>
    <t>Industry Classification</t>
  </si>
  <si>
    <t>Finolex Industries Ltd</t>
  </si>
  <si>
    <t>INE183A01016</t>
  </si>
  <si>
    <t>Tata Consumer Products Ltd</t>
  </si>
  <si>
    <t>INE192A01025</t>
  </si>
  <si>
    <t>Redington (India) Ltd</t>
  </si>
  <si>
    <t>INE891D01026</t>
  </si>
  <si>
    <t>Trading</t>
  </si>
  <si>
    <t>Tata Investment Corporation Ltd</t>
  </si>
  <si>
    <t>INE672A01018</t>
  </si>
  <si>
    <t>K.P.R. Mill Ltd</t>
  </si>
  <si>
    <t>INE930H01023</t>
  </si>
  <si>
    <t>Vardhman Textiles Ltd</t>
  </si>
  <si>
    <t>INE825A01012</t>
  </si>
  <si>
    <t>Textiles - Cotton</t>
  </si>
  <si>
    <t>National Aluminium Co Ltd</t>
  </si>
  <si>
    <t>INE139A01034</t>
  </si>
  <si>
    <t>J.K. Cement Ltd</t>
  </si>
  <si>
    <t>INE823G01014</t>
  </si>
  <si>
    <t>Ashok Leyland Ltd</t>
  </si>
  <si>
    <t>INE208A01029</t>
  </si>
  <si>
    <t>NMDC Ltd</t>
  </si>
  <si>
    <t>INE584A01023</t>
  </si>
  <si>
    <t>Cyient Ltd</t>
  </si>
  <si>
    <t>INE136B01020</t>
  </si>
  <si>
    <t>Dalmia Bharat Ltd</t>
  </si>
  <si>
    <t>INE00R701025</t>
  </si>
  <si>
    <t>CESC Ltd</t>
  </si>
  <si>
    <t>INE486A01013</t>
  </si>
  <si>
    <t>Foreign Equity Securities</t>
  </si>
  <si>
    <t>Unilever PLC, (ADR)</t>
  </si>
  <si>
    <t>US9047677045</t>
  </si>
  <si>
    <t>Novatek Microelectronics Corp. Ltd</t>
  </si>
  <si>
    <t>TW0003034005</t>
  </si>
  <si>
    <t>Aramex PJSC</t>
  </si>
  <si>
    <t>AEA002301017</t>
  </si>
  <si>
    <t>Transportation</t>
  </si>
  <si>
    <t>Xinyi Solar Holdings Ltd</t>
  </si>
  <si>
    <t>KYG9829N1025</t>
  </si>
  <si>
    <t>Industrial Capital Goods</t>
  </si>
  <si>
    <t>Xtep International Holdings Ltd</t>
  </si>
  <si>
    <t>KYG982771092</t>
  </si>
  <si>
    <t>Travelsky Technology Ltd, H</t>
  </si>
  <si>
    <t>CNE1000004J3</t>
  </si>
  <si>
    <t>Primax Electronics Ltd</t>
  </si>
  <si>
    <t>TW0004915004</t>
  </si>
  <si>
    <t>Hardware</t>
  </si>
  <si>
    <t>Mahle-Metal Leve S A</t>
  </si>
  <si>
    <t>BRLEVEACNOR2</t>
  </si>
  <si>
    <t>Fanhua Inc, (ADR)</t>
  </si>
  <si>
    <t>US30712A1034</t>
  </si>
  <si>
    <t>Info Edge (India) Ltd</t>
  </si>
  <si>
    <t>INE663F01024</t>
  </si>
  <si>
    <t>Larsen &amp; Toubro Infotech Ltd</t>
  </si>
  <si>
    <t>INE214T01019</t>
  </si>
  <si>
    <t>Happiest Minds Technologies Ltd</t>
  </si>
  <si>
    <t>INE419U01012</t>
  </si>
  <si>
    <t>JustDial Ltd</t>
  </si>
  <si>
    <t>INE599M01018</t>
  </si>
  <si>
    <t>Indiamart Intermesh Ltd</t>
  </si>
  <si>
    <t>INE933S01016</t>
  </si>
  <si>
    <t>Xelpmoc Design and Tech Ltd</t>
  </si>
  <si>
    <t>INE01P501012</t>
  </si>
  <si>
    <t>Makemytrip Ltd</t>
  </si>
  <si>
    <t>MU0295S00016</t>
  </si>
  <si>
    <t>Taiwan Semiconductor Manufacturing Co. Ltd</t>
  </si>
  <si>
    <t>TW0002330008</t>
  </si>
  <si>
    <t>Nvidia Corp</t>
  </si>
  <si>
    <t>US67066G1040</t>
  </si>
  <si>
    <t>Samsung Electronics Co. Ltd</t>
  </si>
  <si>
    <t>KR7005930003</t>
  </si>
  <si>
    <t>Salesforce.Com Inc</t>
  </si>
  <si>
    <t>US79466L3024</t>
  </si>
  <si>
    <t xml:space="preserve">Software                                </t>
  </si>
  <si>
    <t>Qualcomm Inc.</t>
  </si>
  <si>
    <t>US7475251036</t>
  </si>
  <si>
    <t>Telecom -  Equipment &amp; Accessories</t>
  </si>
  <si>
    <t>Intel Corp</t>
  </si>
  <si>
    <t>US4581401001</t>
  </si>
  <si>
    <t>Uber Technologies Inc</t>
  </si>
  <si>
    <t>US90353T1007</t>
  </si>
  <si>
    <t>Mediatek Inc</t>
  </si>
  <si>
    <t>TW0002454006</t>
  </si>
  <si>
    <t>Alibaba Group Holding Ltd</t>
  </si>
  <si>
    <t>KYG017191142</t>
  </si>
  <si>
    <t>Sunny Optical Technology Group Co. Ltd</t>
  </si>
  <si>
    <t>KYG8586D1097</t>
  </si>
  <si>
    <t>Alphabet Inc</t>
  </si>
  <si>
    <t>US02079K3059</t>
  </si>
  <si>
    <t>Wix.Com Ltd</t>
  </si>
  <si>
    <t>IL0011301780</t>
  </si>
  <si>
    <t>Amazon.com INC</t>
  </si>
  <si>
    <t>US0231351067</t>
  </si>
  <si>
    <t>Microsoft Corp</t>
  </si>
  <si>
    <t>US5949181045</t>
  </si>
  <si>
    <t>Foreign Mutual Fund Units</t>
  </si>
  <si>
    <t>Franklin Technology Fund, Class I (Acc)</t>
  </si>
  <si>
    <t>LU0626261944</t>
  </si>
  <si>
    <t>Foreign Mutual Fund</t>
  </si>
  <si>
    <t>Deepak Nitrite Ltd</t>
  </si>
  <si>
    <t>INE288B01029</t>
  </si>
  <si>
    <t>Brigade Enterprises Ltd</t>
  </si>
  <si>
    <t>INE791I01019</t>
  </si>
  <si>
    <t>Construction</t>
  </si>
  <si>
    <t>J.B. Chemicals &amp; Pharmaceuticals Ltd</t>
  </si>
  <si>
    <t>INE572A01028</t>
  </si>
  <si>
    <t>Quess Corp Ltd</t>
  </si>
  <si>
    <t>INE615P01015</t>
  </si>
  <si>
    <t>Other Services</t>
  </si>
  <si>
    <t>Blue Star Ltd</t>
  </si>
  <si>
    <t>INE472A01039</t>
  </si>
  <si>
    <t>Teamlease Services Ltd</t>
  </si>
  <si>
    <t>INE985S01024</t>
  </si>
  <si>
    <t>Jyothy Labs Ltd</t>
  </si>
  <si>
    <t>INE668F01031</t>
  </si>
  <si>
    <t>Nesco Ltd</t>
  </si>
  <si>
    <t>INE317F01035</t>
  </si>
  <si>
    <t>CCL Products (India) Ltd</t>
  </si>
  <si>
    <t>INE421D01022</t>
  </si>
  <si>
    <t>Sobha Ltd</t>
  </si>
  <si>
    <t>INE671H01015</t>
  </si>
  <si>
    <t>Carborundum Universal Ltd</t>
  </si>
  <si>
    <t>INE120A01034</t>
  </si>
  <si>
    <t>TTK Prestige Ltd</t>
  </si>
  <si>
    <t>INE690A01010</t>
  </si>
  <si>
    <t>Tube Investments of India Ltd</t>
  </si>
  <si>
    <t>INE974X01010</t>
  </si>
  <si>
    <t>Eris Lifesciences Ltd</t>
  </si>
  <si>
    <t>INE406M01024</t>
  </si>
  <si>
    <t>KNR Constructions Ltd</t>
  </si>
  <si>
    <t>INE634I01029</t>
  </si>
  <si>
    <t>Atul Ltd</t>
  </si>
  <si>
    <t>INE100A01010</t>
  </si>
  <si>
    <t>DCB Bank Ltd</t>
  </si>
  <si>
    <t>INE503A01015</t>
  </si>
  <si>
    <t>KPIT Technologies Ltd</t>
  </si>
  <si>
    <t>INE04I401011</t>
  </si>
  <si>
    <t>Ahluwalia Contracts (India) Ltd</t>
  </si>
  <si>
    <t>INE758C01029</t>
  </si>
  <si>
    <t>Cholamandalam Investment and Finance Co Ltd</t>
  </si>
  <si>
    <t>INE121A01024</t>
  </si>
  <si>
    <t>Metropolis Healthcare Ltd</t>
  </si>
  <si>
    <t>INE112L01020</t>
  </si>
  <si>
    <t>Healthcare Services</t>
  </si>
  <si>
    <t>GHCL Ltd</t>
  </si>
  <si>
    <t>INE539A01019</t>
  </si>
  <si>
    <t>Equitas Small Finance Bank Ltd</t>
  </si>
  <si>
    <t>INE063P01018</t>
  </si>
  <si>
    <t>Lemon Tree Hotels Ltd</t>
  </si>
  <si>
    <t>INE970X01018</t>
  </si>
  <si>
    <t>Navneet Education Ltd</t>
  </si>
  <si>
    <t>INE060A01024</t>
  </si>
  <si>
    <t>Printing &amp; Publication</t>
  </si>
  <si>
    <t>TV Today Network Ltd</t>
  </si>
  <si>
    <t>INE038F01029</t>
  </si>
  <si>
    <t>Multi Commodity Exchange Of India Ltd</t>
  </si>
  <si>
    <t>INE745G01035</t>
  </si>
  <si>
    <t>Capital Markets</t>
  </si>
  <si>
    <t>V.I.P. Industries Ltd</t>
  </si>
  <si>
    <t>INE054A01027</t>
  </si>
  <si>
    <t>JK Lakshmi Cement Ltd</t>
  </si>
  <si>
    <t>INE786A01032</t>
  </si>
  <si>
    <t>Ashoka Buildcon Ltd</t>
  </si>
  <si>
    <t>INE442H01029</t>
  </si>
  <si>
    <t>Ramkrishna Forgings Ltd</t>
  </si>
  <si>
    <t>INE399G01015</t>
  </si>
  <si>
    <t>Techno Electric &amp; Engineering Co Ltd</t>
  </si>
  <si>
    <t>INE285K01026</t>
  </si>
  <si>
    <t>M M Forgings Ltd</t>
  </si>
  <si>
    <t>INE227C01017</t>
  </si>
  <si>
    <t>Music Broadcast Ltd</t>
  </si>
  <si>
    <t>INE919I01024</t>
  </si>
  <si>
    <t>Mrs Bectors Food Specialities Ltd</t>
  </si>
  <si>
    <t>INE495P01012</t>
  </si>
  <si>
    <t>Borosil Renewables Ltd</t>
  </si>
  <si>
    <t>INE666D01022</t>
  </si>
  <si>
    <t>CARE Ratings Ltd</t>
  </si>
  <si>
    <t>INE752H01013</t>
  </si>
  <si>
    <t>Shankara Building Products Ltd</t>
  </si>
  <si>
    <t>INE274V01019</t>
  </si>
  <si>
    <t>HT Media Ltd</t>
  </si>
  <si>
    <t>INE501G01024</t>
  </si>
  <si>
    <t>Indoco Remedies Ltd</t>
  </si>
  <si>
    <t>INE873D01024</t>
  </si>
  <si>
    <t>Pennar Industries Ltd</t>
  </si>
  <si>
    <t>INE932A01024</t>
  </si>
  <si>
    <t>MTAR Technologies Ltd</t>
  </si>
  <si>
    <t>INE864I01014</t>
  </si>
  <si>
    <t>The Ramco Cements Ltd</t>
  </si>
  <si>
    <t>INE331A01037</t>
  </si>
  <si>
    <t>Crompton Greaves Consumer Electricals Ltd</t>
  </si>
  <si>
    <t>INE299U01018</t>
  </si>
  <si>
    <t>Sundaram Finance Ltd</t>
  </si>
  <si>
    <t>INE660A01013</t>
  </si>
  <si>
    <t>Mphasis Ltd</t>
  </si>
  <si>
    <t>INE356A01018</t>
  </si>
  <si>
    <t>Apollo Hospitals Enterprise Ltd</t>
  </si>
  <si>
    <t>INE437A01024</t>
  </si>
  <si>
    <t>Emami Ltd</t>
  </si>
  <si>
    <t>INE548C01032</t>
  </si>
  <si>
    <t>Oberoi Realty Ltd</t>
  </si>
  <si>
    <t>INE093I01010</t>
  </si>
  <si>
    <t>Aarti Industries Ltd</t>
  </si>
  <si>
    <t>INE769A01020</t>
  </si>
  <si>
    <t>Sundram Fasteners Ltd</t>
  </si>
  <si>
    <t>INE387A01021</t>
  </si>
  <si>
    <t>Trent Ltd</t>
  </si>
  <si>
    <t>INE849A01020</t>
  </si>
  <si>
    <t>Apollo Tyres Ltd</t>
  </si>
  <si>
    <t>INE438A01022</t>
  </si>
  <si>
    <t>Coromandel International Ltd</t>
  </si>
  <si>
    <t>INE169A01031</t>
  </si>
  <si>
    <t>Fertilisers</t>
  </si>
  <si>
    <t>IPCA Laboratories Ltd</t>
  </si>
  <si>
    <t>INE571A01020</t>
  </si>
  <si>
    <t>Container Corporation Of India Ltd</t>
  </si>
  <si>
    <t>INE111A01025</t>
  </si>
  <si>
    <t>RBL Bank Ltd</t>
  </si>
  <si>
    <t>INE976G01028</t>
  </si>
  <si>
    <t>PI Industries Ltd</t>
  </si>
  <si>
    <t>INE603J01030</t>
  </si>
  <si>
    <t>Pesticides</t>
  </si>
  <si>
    <t>Schaeffler India Ltd</t>
  </si>
  <si>
    <t>INE513A01014</t>
  </si>
  <si>
    <t>Kajaria Ceramics Ltd</t>
  </si>
  <si>
    <t>INE217B01036</t>
  </si>
  <si>
    <t>AIA Engineering Ltd</t>
  </si>
  <si>
    <t>INE212H01026</t>
  </si>
  <si>
    <t>Phoenix Mills Ltd</t>
  </si>
  <si>
    <t>INE211B01039</t>
  </si>
  <si>
    <t>EPL Ltd</t>
  </si>
  <si>
    <t>INE255A01020</t>
  </si>
  <si>
    <t>Bharat Forge Ltd</t>
  </si>
  <si>
    <t>INE465A01025</t>
  </si>
  <si>
    <t>Bata India Ltd</t>
  </si>
  <si>
    <t>INE176A01028</t>
  </si>
  <si>
    <t>SKF India Ltd</t>
  </si>
  <si>
    <t>INE640A01023</t>
  </si>
  <si>
    <t>* Less than 0.01%</t>
  </si>
  <si>
    <t>Asian Paints Ltd</t>
  </si>
  <si>
    <t>INE021A01026</t>
  </si>
  <si>
    <t>GTPL Hathway Ltd</t>
  </si>
  <si>
    <t>INE869I01013</t>
  </si>
  <si>
    <t>Caplin Point Laboratories Ltd</t>
  </si>
  <si>
    <t>INE475E01026</t>
  </si>
  <si>
    <t>Kalyani Invest Co Ltd</t>
  </si>
  <si>
    <t>INE029L01018</t>
  </si>
  <si>
    <t>Majesco Ltd</t>
  </si>
  <si>
    <t>INE898S01029</t>
  </si>
  <si>
    <t>INE696201123</t>
  </si>
  <si>
    <t>Lupin Ltd</t>
  </si>
  <si>
    <t>INE326A01037</t>
  </si>
  <si>
    <t>Interglobe Aviation Ltd</t>
  </si>
  <si>
    <t>INE646L01027</t>
  </si>
  <si>
    <t>KEI Industries Ltd</t>
  </si>
  <si>
    <t>INE878B01027</t>
  </si>
  <si>
    <t>Cipla Ltd</t>
  </si>
  <si>
    <t>INE059A01026</t>
  </si>
  <si>
    <t>Orient Cement Ltd</t>
  </si>
  <si>
    <t>INE876N01018</t>
  </si>
  <si>
    <t>Ultratech Cement Ltd</t>
  </si>
  <si>
    <t>INE481G01011</t>
  </si>
  <si>
    <t>Somany Ceramics Ltd</t>
  </si>
  <si>
    <t>INE355A01028</t>
  </si>
  <si>
    <t>ITD Cementation India Ltd</t>
  </si>
  <si>
    <t>INE686A01026</t>
  </si>
  <si>
    <t>United Spirits Ltd</t>
  </si>
  <si>
    <t>INE854D01024</t>
  </si>
  <si>
    <t>Hindustan Aeronautics Ltd</t>
  </si>
  <si>
    <t>INE066F01012</t>
  </si>
  <si>
    <t>Spicejet Ltd</t>
  </si>
  <si>
    <t>INE285B01017</t>
  </si>
  <si>
    <t>Marico Ltd</t>
  </si>
  <si>
    <t>INE196A01026</t>
  </si>
  <si>
    <t>Sun Pharmaceutical Industries Ltd</t>
  </si>
  <si>
    <t>INE044A01036</t>
  </si>
  <si>
    <t>Aditya Birla Capital Ltd</t>
  </si>
  <si>
    <t>INE674K01013</t>
  </si>
  <si>
    <t>ICICI Prudential Life Insurance Co Ltd</t>
  </si>
  <si>
    <t>INE726G01019</t>
  </si>
  <si>
    <t>Insurance</t>
  </si>
  <si>
    <t>SBI Cards and Payment Services Ltd</t>
  </si>
  <si>
    <t>INE018E01016</t>
  </si>
  <si>
    <t>Gujarat Pipavav Port Ltd</t>
  </si>
  <si>
    <t>INE517F01014</t>
  </si>
  <si>
    <t>Arvind Fashions Ltd</t>
  </si>
  <si>
    <t>INE955V01021</t>
  </si>
  <si>
    <t>IN8955V01020</t>
  </si>
  <si>
    <t>IndusInd Bank Ltd</t>
  </si>
  <si>
    <t>INE095A01012</t>
  </si>
  <si>
    <t>Ambuja Cements Ltd</t>
  </si>
  <si>
    <t>INE079A01024</t>
  </si>
  <si>
    <t>SBI Life Insurance Co Ltd</t>
  </si>
  <si>
    <t>INE123W01016</t>
  </si>
  <si>
    <t>Gateway Distriparks Ltd</t>
  </si>
  <si>
    <t>INE852F01015</t>
  </si>
  <si>
    <t>Puravankara Ltd</t>
  </si>
  <si>
    <t>INE323I01011</t>
  </si>
  <si>
    <t>NRB Bearings Ltd</t>
  </si>
  <si>
    <t>INE349A01021</t>
  </si>
  <si>
    <t>The New India Assurance Co Ltd</t>
  </si>
  <si>
    <t>INE470Y01017</t>
  </si>
  <si>
    <t>Godrej Properties Ltd</t>
  </si>
  <si>
    <t>INE484J01027</t>
  </si>
  <si>
    <t>Motilal Oswal Financial Services Ltd</t>
  </si>
  <si>
    <t>INE338I01027</t>
  </si>
  <si>
    <t>Narayana Hrudayalaya Ltd</t>
  </si>
  <si>
    <t>INE410P01011</t>
  </si>
  <si>
    <t>Tencent Holdings Ltd</t>
  </si>
  <si>
    <t>KYG875721634</t>
  </si>
  <si>
    <t>AIA Group Ltd</t>
  </si>
  <si>
    <t>HK0000069689</t>
  </si>
  <si>
    <t>Naver Corp</t>
  </si>
  <si>
    <t>KR7035420009</t>
  </si>
  <si>
    <t>Ping An Insurance (Group) Co. Of China Ltd, H</t>
  </si>
  <si>
    <t>CNE1000003X6</t>
  </si>
  <si>
    <t>Meituan Dianping</t>
  </si>
  <si>
    <t>KYG596691041</t>
  </si>
  <si>
    <t>JD.Com Inc</t>
  </si>
  <si>
    <t>KYG8208B1014</t>
  </si>
  <si>
    <t>China Merchants Bank Co Ltd</t>
  </si>
  <si>
    <t>CNE1000002M1</t>
  </si>
  <si>
    <t>LG Chem Ltd</t>
  </si>
  <si>
    <t>KR7051910008</t>
  </si>
  <si>
    <t>Techtronic Industries Co. Ltd</t>
  </si>
  <si>
    <t>HK0669013440</t>
  </si>
  <si>
    <t>China Mengniu Dairy Co. Ltd</t>
  </si>
  <si>
    <t>KYG210961051</t>
  </si>
  <si>
    <t>China Resources Land Ltd</t>
  </si>
  <si>
    <t>KYG2108Y1052</t>
  </si>
  <si>
    <t>Country Garden Services Holdings Co Ltd</t>
  </si>
  <si>
    <t>KYG2453A1085</t>
  </si>
  <si>
    <t>Kweichow Moutai Co. Ltd, A</t>
  </si>
  <si>
    <t>CNE0000018R8</t>
  </si>
  <si>
    <t>Midea Group Co Ltd</t>
  </si>
  <si>
    <t>CNE100001QQ5</t>
  </si>
  <si>
    <t>New Oriental Education &amp; Technology Group Inc</t>
  </si>
  <si>
    <t>KYG6470A1168</t>
  </si>
  <si>
    <t>Semen Indonesia (Persero) Tbk PT</t>
  </si>
  <si>
    <t>ID1000106800</t>
  </si>
  <si>
    <t>Bank Central Asia Tbk Pt</t>
  </si>
  <si>
    <t>ID1000109507</t>
  </si>
  <si>
    <t>Budweiser Brewing Co APAC Ltd</t>
  </si>
  <si>
    <t>KYG1674K1013</t>
  </si>
  <si>
    <t>China Resources Cement Holdings Ltd</t>
  </si>
  <si>
    <t>KYG2113L1068</t>
  </si>
  <si>
    <t>Sea Ltd (ADR)</t>
  </si>
  <si>
    <t>US81141R1005</t>
  </si>
  <si>
    <t>Yum China Holdings INC</t>
  </si>
  <si>
    <t>US98850P1093</t>
  </si>
  <si>
    <t>SM Investments Corp</t>
  </si>
  <si>
    <t>PHY806761029</t>
  </si>
  <si>
    <t>Indocement Tunggal Prakarsa Tbk Pt</t>
  </si>
  <si>
    <t>ID1000061302</t>
  </si>
  <si>
    <t>The Siam Cement PCL, Fgn.</t>
  </si>
  <si>
    <t>TH0003010Z12</t>
  </si>
  <si>
    <t>Trip.Com Group Ltd, (ADR)</t>
  </si>
  <si>
    <t>US89677Q1076</t>
  </si>
  <si>
    <t>ACE Hardware Indonesia Tbk Pt</t>
  </si>
  <si>
    <t>ID1000125503</t>
  </si>
  <si>
    <t>Alibaba Health Information Technology Ltd</t>
  </si>
  <si>
    <t>BMG0171K1018</t>
  </si>
  <si>
    <t>SK Hynix Inc</t>
  </si>
  <si>
    <t>KR7000660001</t>
  </si>
  <si>
    <t>Minor International Pcl, Fgn.</t>
  </si>
  <si>
    <t>TH0128B10Z17</t>
  </si>
  <si>
    <t>Hotels/ Resorts And Other Recreational Activities</t>
  </si>
  <si>
    <t>Samsonite International S.A.</t>
  </si>
  <si>
    <t>LU0633102719</t>
  </si>
  <si>
    <t>Kuaishou Technology</t>
  </si>
  <si>
    <t>KYG532631028</t>
  </si>
  <si>
    <t>Singapore Technologies Engineering Ltd</t>
  </si>
  <si>
    <t>SG1F60858221</t>
  </si>
  <si>
    <t>Beijing Oriental Yuhong Waterproof Technology Co Ltd</t>
  </si>
  <si>
    <t>CNE100000CS3</t>
  </si>
  <si>
    <t>Engineering Services</t>
  </si>
  <si>
    <t>Tal Education Group, (ADR)</t>
  </si>
  <si>
    <t>US8740801043</t>
  </si>
  <si>
    <t>Laobaixing Pharmacy Chain Jsc</t>
  </si>
  <si>
    <t>CNE1000023Q8</t>
  </si>
  <si>
    <t>Bangkok Dusit Medical Services Pcl</t>
  </si>
  <si>
    <t>TH0264A10Z12</t>
  </si>
  <si>
    <t>Longi Green Energy Technology Co Ltd</t>
  </si>
  <si>
    <t>CNE100001FR6</t>
  </si>
  <si>
    <t>China Resources Mixc Lifestyle Services Ltd</t>
  </si>
  <si>
    <t>KYG2122G1064</t>
  </si>
  <si>
    <t>Minor International PCL- Warrants (31-July-2023)</t>
  </si>
  <si>
    <t>TH0128053707</t>
  </si>
  <si>
    <t>Minor International PCL- Warrants (30-Sep-2021)</t>
  </si>
  <si>
    <t>TH0128051909</t>
  </si>
  <si>
    <t>Reliance Industries Ltd</t>
  </si>
  <si>
    <t>INE002A01018</t>
  </si>
  <si>
    <t>Bajaj Finance Ltd</t>
  </si>
  <si>
    <t>INE296A01024</t>
  </si>
  <si>
    <t>Bajaj Finserv Ltd</t>
  </si>
  <si>
    <t>INE918I01018</t>
  </si>
  <si>
    <t>Wipro Ltd</t>
  </si>
  <si>
    <t>INE075A01022</t>
  </si>
  <si>
    <t>HDFC Life Insurance Co Ltd</t>
  </si>
  <si>
    <t>INE795G01014</t>
  </si>
  <si>
    <t>Adani Ports and Special Economic Zone Ltd</t>
  </si>
  <si>
    <t>INE742F01042</t>
  </si>
  <si>
    <t>Divi's Laboratories Ltd</t>
  </si>
  <si>
    <t>INE361B01024</t>
  </si>
  <si>
    <t>JSW Steel Ltd</t>
  </si>
  <si>
    <t>INE019A01038</t>
  </si>
  <si>
    <t>Britannia Industries Ltd</t>
  </si>
  <si>
    <t>INE216A01030</t>
  </si>
  <si>
    <t>Shree Cement Ltd</t>
  </si>
  <si>
    <t>INE070A01015</t>
  </si>
  <si>
    <t>Hero MotoCorp Ltd</t>
  </si>
  <si>
    <t>INE158A01026</t>
  </si>
  <si>
    <t>Eicher Motors Ltd</t>
  </si>
  <si>
    <t>INE066A01021</t>
  </si>
  <si>
    <t>UPL Ltd</t>
  </si>
  <si>
    <t>INE628A01036</t>
  </si>
  <si>
    <t>INE528G01035</t>
  </si>
  <si>
    <t>Prestige Estates Projects Ltd</t>
  </si>
  <si>
    <t>INE811K01011</t>
  </si>
  <si>
    <t>Franklin U.S. Opportunities Fund, Class I (Acc)</t>
  </si>
  <si>
    <t>LU0195948665</t>
  </si>
  <si>
    <t>Templeton European Opportunities Fund, Class I (Acc)</t>
  </si>
  <si>
    <t>LU0195949390</t>
  </si>
  <si>
    <t>Franklin India Bluechip Fund Direct-Growth Plan</t>
  </si>
  <si>
    <t>INF090I01FN7</t>
  </si>
  <si>
    <t>Nippon India ETF Gold Bees</t>
  </si>
  <si>
    <t>INF204KB17I5</t>
  </si>
  <si>
    <t>INF090I01GK1</t>
  </si>
  <si>
    <t>Franklin India Short Term Income Plan-Segregated Portfolio 3- 9.50% Yes Bank Ltd CO 23Dec21-Direct-Growth Plan</t>
  </si>
  <si>
    <t>INF090I01VS3</t>
  </si>
  <si>
    <t>Franklin India Short Term Income Plan- Segregated Portfolio 2- 10.90% Vodafone Idea Ltd 02Sep2023 (P/C 03Sep2021)-Direct-Growth Plan</t>
  </si>
  <si>
    <t>INF090I01UY3</t>
  </si>
  <si>
    <t>INF090I01GV8</t>
  </si>
  <si>
    <t>INF090I01GY2</t>
  </si>
  <si>
    <t>INF090I01FW8</t>
  </si>
  <si>
    <t>INF090I01HB8</t>
  </si>
  <si>
    <t>Franklin India Dynamic Accrual Fund- Segregated Portfolio 3- 9.50% Yes Bank Ltd CO 23Dec21-Direct-Growth Plan</t>
  </si>
  <si>
    <t>INF090I01WD3</t>
  </si>
  <si>
    <t>Franklin India Dynamic Accrual Fund- Segregated Portfolio 2- 10.90% Vodafone Idea Ltd 02Sep2023 (P/C 03Sep2021)-Direct-Growth Plan</t>
  </si>
  <si>
    <t>INF090I01TX7</t>
  </si>
  <si>
    <t>Franklin India Prima Fund Direct-Growth Plan</t>
  </si>
  <si>
    <t>INF090I01FH9</t>
  </si>
  <si>
    <t>Franklin India Flexi Cap Fund-Direct Growth Plan (Formerly known as Franklin India Equity Fund)</t>
  </si>
  <si>
    <t>INF090I01FK3</t>
  </si>
  <si>
    <t>% to Net Assets(Hedged &amp; Unhedged)</t>
  </si>
  <si>
    <t>% to Net Assets Derivative</t>
  </si>
  <si>
    <t>d) Outstanding derivative exposure as % to net assets</t>
  </si>
  <si>
    <t xml:space="preserve">c) Total outstanding position (as at March 31, 2021) in Derivative Instruments (Gross Notional) </t>
  </si>
  <si>
    <t>Rs. 4,134.46 Lacs</t>
  </si>
  <si>
    <t>e) Portfolio Turnover Ratio during the Half - year 31-Mar-2021</t>
  </si>
  <si>
    <t>f) Average Maturity as on 31-Mar-2021</t>
  </si>
  <si>
    <t xml:space="preserve">g) During the month additional instances of fair valuation/deviation from valuation price provided by the valuation agencies </t>
  </si>
  <si>
    <t>h) For product labeling and risk-o-meter refer the link below</t>
  </si>
  <si>
    <t>Refer below link for rationale of devation under Valuation policy</t>
  </si>
  <si>
    <t>https://www.franklintempletonindia.com/investor/reports?firstFilter-4</t>
  </si>
  <si>
    <t>f) For product labeling and risk-o-meter refer the link below</t>
  </si>
  <si>
    <t>d) For product labeling and risk-o-meter refer the link below</t>
  </si>
  <si>
    <t>^^ Securities are fair valued</t>
  </si>
  <si>
    <t xml:space="preserve">d) During the month additional instances of fair valuation/deviation from valuation price provided by the valuation agencies </t>
  </si>
  <si>
    <t>e) For product labeling and risk-o-meter refer the link below</t>
  </si>
  <si>
    <t>Franklin India Flexi Cap Fund ^</t>
  </si>
  <si>
    <t>Numero Uno International Ltd ** ^^</t>
  </si>
  <si>
    <t>Quantum Information Systems ** ^^</t>
  </si>
  <si>
    <t>Quantum Information Services ** ^^</t>
  </si>
  <si>
    <t>## Awaiting Listing</t>
  </si>
  <si>
    <t>^ Franklin India Equity Fund is renamed as Franklin India Flexi Cap Fund effective Jan 29, 2021.</t>
  </si>
  <si>
    <t>Globsyn Technologies Ltd ** ^^</t>
  </si>
  <si>
    <t>^^ Securities are fair Valued</t>
  </si>
  <si>
    <t>Rating</t>
  </si>
  <si>
    <t>INE094A14GN8</t>
  </si>
  <si>
    <t>Hindustan Petroleum Corporation Ltd (22-Apr-2021) **@</t>
  </si>
  <si>
    <t>INE752E14492</t>
  </si>
  <si>
    <t>Power Grid Corporation of India Ltd (19-May-2021) **@</t>
  </si>
  <si>
    <t>CARE A1+</t>
  </si>
  <si>
    <t>INE700G14447</t>
  </si>
  <si>
    <t>HDFC Securities Ltd (25-May-2021) **@</t>
  </si>
  <si>
    <t>INE029A14BD6</t>
  </si>
  <si>
    <t>Bharat Petroleum Corporation Ltd (26-Apr-2021) **@</t>
  </si>
  <si>
    <t>INE002A14HR0</t>
  </si>
  <si>
    <t>INE242A14TD7</t>
  </si>
  <si>
    <t>Indian Oil Corporation Ltd (22-Apr-2021) **@</t>
  </si>
  <si>
    <t>INE242A14TC9</t>
  </si>
  <si>
    <t>Indian Oil Corporation Ltd (26-Apr-2021) **@</t>
  </si>
  <si>
    <t>INE929O14164</t>
  </si>
  <si>
    <t>Reliance Retail Ventures Ltd (05-May-2021) **@</t>
  </si>
  <si>
    <t>INE929O14180</t>
  </si>
  <si>
    <t>Reliance Retail Ventures Ltd (12-May-2021) **@</t>
  </si>
  <si>
    <t>INE891K14KH0</t>
  </si>
  <si>
    <t>Axis Finance Ltd (20-May-2021) **@</t>
  </si>
  <si>
    <t>INE028E14HY3</t>
  </si>
  <si>
    <t>Kotak Securities Ltd (31-May-2021) **@</t>
  </si>
  <si>
    <t>INE860H14R32</t>
  </si>
  <si>
    <t>Aditya Birla Finance Ltd (30-Apr-2021) **@</t>
  </si>
  <si>
    <t>INE975F14UH0</t>
  </si>
  <si>
    <t>Kotak Mahindra Investments Ltd (16-Apr-2021) **@</t>
  </si>
  <si>
    <t>INE002A14HN9</t>
  </si>
  <si>
    <t>Reliance Industries Ltd (01-Jun-2021) **@</t>
  </si>
  <si>
    <t>INE891K14KI8</t>
  </si>
  <si>
    <t>Axis Finance Ltd (03-Jun-2021) **@</t>
  </si>
  <si>
    <t>INE029A14BF1</t>
  </si>
  <si>
    <t>Bharat Petroleum Corporation Ltd (16-Apr-2021) **@</t>
  </si>
  <si>
    <t>IN002020Z097</t>
  </si>
  <si>
    <t>364 DTB (03-Jun-2021)</t>
  </si>
  <si>
    <t>IN002020Z113</t>
  </si>
  <si>
    <t>364 DTB (17-Jun-2021)</t>
  </si>
  <si>
    <t>IN002020X530</t>
  </si>
  <si>
    <t>91 DTB (24-Jun-2021)</t>
  </si>
  <si>
    <t>IN002020X464</t>
  </si>
  <si>
    <t>91 DTB (06-May-2021)</t>
  </si>
  <si>
    <t>IN002020Z055</t>
  </si>
  <si>
    <t>364 DTB (07-May-2021)</t>
  </si>
  <si>
    <t>IN002020X480</t>
  </si>
  <si>
    <t>91 DTB (20-May-2021)</t>
  </si>
  <si>
    <t>IN002020Z121</t>
  </si>
  <si>
    <t>364 DTB (24-Jun-2021)</t>
  </si>
  <si>
    <t xml:space="preserve">      Super Institutional Plan Growth Option</t>
  </si>
  <si>
    <t xml:space="preserve">      Super Institutional Plan Daily IDCW Reinvestment Option</t>
  </si>
  <si>
    <t xml:space="preserve">      Super Institutional Plan Weekly IDCW Option</t>
  </si>
  <si>
    <t xml:space="preserve">      Direct Super Institutional Growth Option</t>
  </si>
  <si>
    <t xml:space="preserve">      Direct Super Institutional Daily IDCW Reinvestment Option</t>
  </si>
  <si>
    <t xml:space="preserve">      Direct Super Institutional Weekly IDCW Option</t>
  </si>
  <si>
    <t xml:space="preserve">      Unclaimed Redemption Plan - Growth</t>
  </si>
  <si>
    <t xml:space="preserve">      Unclaimed Redemption Investor Education Plan - Growth</t>
  </si>
  <si>
    <t>IDCW - Income Distribution cum capital withdrawal</t>
  </si>
  <si>
    <t>c) Average Maturity as on 31-Mar-2021</t>
  </si>
  <si>
    <t xml:space="preserve">e) For product labeling and risk-o-meter refer the link below </t>
  </si>
  <si>
    <t>Franklin India Overnight Fund</t>
  </si>
  <si>
    <t xml:space="preserve">      Daily IDCW Plan</t>
  </si>
  <si>
    <t xml:space="preserve">      Weekly IDCW Plan</t>
  </si>
  <si>
    <t xml:space="preserve">      Direct Daily IDCW Plan</t>
  </si>
  <si>
    <t xml:space="preserve">      Direct Weekly IDCW Plan</t>
  </si>
  <si>
    <t>INE238A164V6</t>
  </si>
  <si>
    <t>Axis Bank Ltd (MIBOR+30 Bps ) (23-Dec-2021) **</t>
  </si>
  <si>
    <t>INE514E16BV6</t>
  </si>
  <si>
    <t>Export-Import Bank Of India (14-Dec-2021) **</t>
  </si>
  <si>
    <t>INE237A164M6</t>
  </si>
  <si>
    <t>Kotak Mahindra Bank Ltd (25-Feb-2022) **</t>
  </si>
  <si>
    <t>INE556F16853</t>
  </si>
  <si>
    <t>Small Industries Development Bank of India (18-Mar-2022) **</t>
  </si>
  <si>
    <t>INE261F16587</t>
  </si>
  <si>
    <t>National Bank For Agriculture &amp; Rural Development (08-Feb-2022) **</t>
  </si>
  <si>
    <t>INE261F16603</t>
  </si>
  <si>
    <t>National Bank For Agriculture &amp; Rural Development (24-Feb-2022) **</t>
  </si>
  <si>
    <t>INE115A14CY7</t>
  </si>
  <si>
    <t>LIC Housing Finance Ltd (20-Jul-2021) **@</t>
  </si>
  <si>
    <t>INE002A14HJ7</t>
  </si>
  <si>
    <t>Reliance Industries Ltd (12-Aug-2021) **@</t>
  </si>
  <si>
    <t>INE763G14JQ2</t>
  </si>
  <si>
    <t>ICICI Securities Ltd (11-Aug-2021) **@</t>
  </si>
  <si>
    <t>INE377Y14801</t>
  </si>
  <si>
    <t>Bajaj Housing Finance Ltd (24-Feb-2022) **@</t>
  </si>
  <si>
    <t>INE134E14AR8</t>
  </si>
  <si>
    <t>Power Finance Corporation Ltd (30-Jul-2021) **@</t>
  </si>
  <si>
    <t>INE296A14RI6</t>
  </si>
  <si>
    <t>Bajaj Finance Ltd (16-Feb-2022) **@</t>
  </si>
  <si>
    <t>IN002020Z519</t>
  </si>
  <si>
    <t>364 DTB (24-Mar-2022)</t>
  </si>
  <si>
    <t>IN002020Z527</t>
  </si>
  <si>
    <t>364 DTB (30-Mar-2022)</t>
  </si>
  <si>
    <t>IN0020110030</t>
  </si>
  <si>
    <t>8.79% GOI 2021 (08-Nov-2021)</t>
  </si>
  <si>
    <t xml:space="preserve">      Retail Plan Growth Option</t>
  </si>
  <si>
    <t xml:space="preserve">      Retail Plan Daily IDCW Option</t>
  </si>
  <si>
    <t xml:space="preserve">      Retail Plan Monthly IDCW Option</t>
  </si>
  <si>
    <t xml:space="preserve">      Retail Plan Quarterly IDCW Option</t>
  </si>
  <si>
    <t xml:space="preserve">      Direct Retail Plan Growth Option</t>
  </si>
  <si>
    <t xml:space="preserve">      Direct Retail Plan Daily IDCW Option</t>
  </si>
  <si>
    <t xml:space="preserve">      Direct Retail Plan Monthly IDCW Option</t>
  </si>
  <si>
    <t xml:space="preserve">      Direct Retail Plan Quarterly IDCW Option</t>
  </si>
  <si>
    <t>INE831R07268</t>
  </si>
  <si>
    <t>Aditya Birla Housing Finance Ltd (364DTB +250 Bps) (17-Feb-2023) **</t>
  </si>
  <si>
    <t>ICRA AAA</t>
  </si>
  <si>
    <t>INE756I07CA5</t>
  </si>
  <si>
    <t>HDB Financial Services Ltd (91DTB + 205 Bps) (12-Jul-2021) **</t>
  </si>
  <si>
    <t>INE861G08035</t>
  </si>
  <si>
    <t>9.95% Food Corporation Of India (07-Mar-2022)</t>
  </si>
  <si>
    <t>CRISIL AAA(CE)</t>
  </si>
  <si>
    <t>INE651J07739</t>
  </si>
  <si>
    <t>JM Financial Credit Solutions Ltd (1Y SBI MCLR + 460 Bps) (23-Jul-2024) **</t>
  </si>
  <si>
    <t>ICRA AA</t>
  </si>
  <si>
    <t>IN002020Y454</t>
  </si>
  <si>
    <t>182 DTB (12-Aug-2021)</t>
  </si>
  <si>
    <t>IN002020Z493</t>
  </si>
  <si>
    <t>364 DTB (11-Mar-2022)</t>
  </si>
  <si>
    <t>IN0020160084</t>
  </si>
  <si>
    <t>GOI FRB 2024 (07-Nov-2024)</t>
  </si>
  <si>
    <t>IN0020180041</t>
  </si>
  <si>
    <t>GOI FRB 2031 (07-Dec-2031)</t>
  </si>
  <si>
    <t>IN0020020072</t>
  </si>
  <si>
    <t>8.35% GOI 2022 (14-May-2022)</t>
  </si>
  <si>
    <t>IN0020160050</t>
  </si>
  <si>
    <t>6.84% GOI 2022 (19-Dec-2022)</t>
  </si>
  <si>
    <t>IN0020190099</t>
  </si>
  <si>
    <t>6.17% GOI 2021 (15-Jul-2021)</t>
  </si>
  <si>
    <t>INE861G08019</t>
  </si>
  <si>
    <t>8.62% Food Corporation Of India (22-Mar-2023) **</t>
  </si>
  <si>
    <t>ICRA AAA(CE)</t>
  </si>
  <si>
    <t>INE941D07133</t>
  </si>
  <si>
    <t>8.45% Sikka Ports &amp; Terminals Ltd (12-Jun-2023) **</t>
  </si>
  <si>
    <t>INE001A07SL6</t>
  </si>
  <si>
    <t>7.06% Housing Development Finance Corporation Ltd (13-Dec-2021) **</t>
  </si>
  <si>
    <t>INE163N08065</t>
  </si>
  <si>
    <t>8.60% ONGC Petro Additions Ltd (11-Mar-2022) **</t>
  </si>
  <si>
    <t>CARE AAA(CE)</t>
  </si>
  <si>
    <t>INE163N08073</t>
  </si>
  <si>
    <t>8.85% ONGC Petro Additions Ltd (19-Apr-2022) **</t>
  </si>
  <si>
    <t>INE134E08JC3</t>
  </si>
  <si>
    <t>7.44% Power Finance Corporation Ltd (11-Jun-2027) **</t>
  </si>
  <si>
    <t>INE261F08BI5</t>
  </si>
  <si>
    <t>7.90% National Bank For Agriculture &amp; Rural Development (18-Apr-2022) **</t>
  </si>
  <si>
    <t>INE020B08CM4</t>
  </si>
  <si>
    <t>6.99% REC Ltd (30-Sep-2024) **</t>
  </si>
  <si>
    <t>INE906B07FG1</t>
  </si>
  <si>
    <t>7.60% National Highways Authority Of India (18-Mar-2022)</t>
  </si>
  <si>
    <t>INE020B08AM8</t>
  </si>
  <si>
    <t>7.09% REC Ltd (17-Oct-2022) **</t>
  </si>
  <si>
    <t>INE053F07CC9</t>
  </si>
  <si>
    <t>6.19% Indian Railway Finance Corporation Ltd (28-Apr-2023) **</t>
  </si>
  <si>
    <t>INE557F08FJ5</t>
  </si>
  <si>
    <t>5.80% National Housing Bank (15-May-2023) **</t>
  </si>
  <si>
    <t>INE242A08460</t>
  </si>
  <si>
    <t>5.05% Indian Oil Corporation Ltd (25-Nov-2022)</t>
  </si>
  <si>
    <t>INE115A07NM3</t>
  </si>
  <si>
    <t>0.00% LIC Housing Finance Ltd (25-Feb-2022) **</t>
  </si>
  <si>
    <t>INE848E07989</t>
  </si>
  <si>
    <t>7.52% NHPC Ltd (06-Jun-2023) **</t>
  </si>
  <si>
    <t>CARE AAA</t>
  </si>
  <si>
    <t>INE094A08036</t>
  </si>
  <si>
    <t>7.00% Hindustan Petroleum Corporation Ltd (14-Aug-2024) **</t>
  </si>
  <si>
    <t>INE941D08065</t>
  </si>
  <si>
    <t>10.25% Sikka Ports &amp; Terminals Ltd (22-Aug-2021) **</t>
  </si>
  <si>
    <t>INE906B07FE6</t>
  </si>
  <si>
    <t>7.17% National Highways Authority Of India (23-Dec-2021) **</t>
  </si>
  <si>
    <t>INE295J08022</t>
  </si>
  <si>
    <t>9.90% Coastal Gujarat Power Ltd (25-Aug-2028) **</t>
  </si>
  <si>
    <t>CARE AA(CE)</t>
  </si>
  <si>
    <t>INE514E08EQ7</t>
  </si>
  <si>
    <t>8.02% Export-Import Bank of India (29-Oct-2025) **</t>
  </si>
  <si>
    <t>INE053F07BB3</t>
  </si>
  <si>
    <t>8.25% Indian Railway Finance Corporation Ltd (28-Feb-2024)</t>
  </si>
  <si>
    <t>INE115A07PA3</t>
  </si>
  <si>
    <t>5.23% LIC Housing Finance Ltd (26-Jul-2023)</t>
  </si>
  <si>
    <t>INE261F08AL1</t>
  </si>
  <si>
    <t>8.39% National Bank For Agriculture &amp; Rural Development (19-Jul-2021) **</t>
  </si>
  <si>
    <t>INE020B08930</t>
  </si>
  <si>
    <t>8.30% REC Ltd (10-Apr-2025)</t>
  </si>
  <si>
    <t>INE134E08KH0</t>
  </si>
  <si>
    <t>7.42% Power Finance Corporation Ltd (19-Nov-2024) **</t>
  </si>
  <si>
    <t>INE134E08KN8</t>
  </si>
  <si>
    <t>6.98% Power Finance Corporation Ltd (20-Apr-2023)</t>
  </si>
  <si>
    <t>INE721A08DC8</t>
  </si>
  <si>
    <t>10.25% Shriram Transport Finance Co Ltd (26-Apr-2024) **</t>
  </si>
  <si>
    <t>CRISIL AA+</t>
  </si>
  <si>
    <t>INE261F08AI7</t>
  </si>
  <si>
    <t>8.60% National Bank For Agriculture &amp; Rural Development (31-Jan-2022) **</t>
  </si>
  <si>
    <t>INE134E08JW1</t>
  </si>
  <si>
    <t>8.18% Power Finance Corporation Ltd (19-Mar-2022)</t>
  </si>
  <si>
    <t>INE535H07AG6</t>
  </si>
  <si>
    <t>0.00% Fullerton India Credit Co Ltd (08-Apr-2021) **</t>
  </si>
  <si>
    <t>INE941D07125</t>
  </si>
  <si>
    <t>10.40% Sikka Ports &amp; Terminals Ltd (18-Jul-2021) **</t>
  </si>
  <si>
    <t>INE134E08JY7</t>
  </si>
  <si>
    <t>9.25% Power Finance Corporation Ltd (25-Sep-2024) **</t>
  </si>
  <si>
    <t>INE115A07NW2</t>
  </si>
  <si>
    <t>0.00% LIC Housing Finance Ltd (04-May-2022) **</t>
  </si>
  <si>
    <t>INE556F08JI1</t>
  </si>
  <si>
    <t>8.81% Small Industries Development Bank Of India (25-Jan-2022) **</t>
  </si>
  <si>
    <t>INE134E08IH4</t>
  </si>
  <si>
    <t>7.50% Power Finance Corporation Ltd (16-Aug-2021) **</t>
  </si>
  <si>
    <t>INE752E07MZ9</t>
  </si>
  <si>
    <t>8.40% Power Grid Corporation of India Ltd (14-Sep-2021) **</t>
  </si>
  <si>
    <t>INE756I07CD9</t>
  </si>
  <si>
    <t>0.00% HDB Financial Services Ltd (29-Oct-2021) **</t>
  </si>
  <si>
    <t>INE848E07815</t>
  </si>
  <si>
    <t>8.50% NHPC Ltd (14-Jul-2021) **</t>
  </si>
  <si>
    <t>INE860H07GE0</t>
  </si>
  <si>
    <t>0.00% Aditya Birla Finance Ltd (08-Apr-2022) **</t>
  </si>
  <si>
    <t>INE029A07075</t>
  </si>
  <si>
    <t>7.35% Bharat Petroleum Corporation Ltd (10-Mar-2022) **</t>
  </si>
  <si>
    <t>INE053F07942</t>
  </si>
  <si>
    <t>6.70% Indian Railway Finance Corporation Ltd (24-Nov-2021) **</t>
  </si>
  <si>
    <t>INE053F09HR2</t>
  </si>
  <si>
    <t>9.57% Indian Railway Finance Corporation Ltd (31-May-2021) **</t>
  </si>
  <si>
    <t>(b) Privately Placed / Unlisted</t>
  </si>
  <si>
    <t>INE801J08019</t>
  </si>
  <si>
    <t>7.48% Bennett Coleman and Co Ltd (26-Apr-2021) **</t>
  </si>
  <si>
    <t>IN0020180025</t>
  </si>
  <si>
    <t>7.37% GOI 2023 (16-Apr-2023)</t>
  </si>
  <si>
    <t xml:space="preserve">      Monthly IDCW Plan</t>
  </si>
  <si>
    <t xml:space="preserve">      Quarterly IDCW Plan</t>
  </si>
  <si>
    <t xml:space="preserve">      Half Yearly IDCW Plan</t>
  </si>
  <si>
    <t xml:space="preserve">      Annual IDCW Plan</t>
  </si>
  <si>
    <t xml:space="preserve">      Direct Monthly IDCW Plan</t>
  </si>
  <si>
    <t xml:space="preserve">      Direct Quarterly IDCW Plan</t>
  </si>
  <si>
    <t xml:space="preserve">      Direct Half Yearly IDCW Plan</t>
  </si>
  <si>
    <t xml:space="preserve">      Direct Annual IDCW Plan</t>
  </si>
  <si>
    <t>https://www.franklintempletonindia.com/downloadsServlet/pdf/franklin-templeton-update-on-reliance-broadcast-july-23-2020-kcg9m1gq</t>
  </si>
  <si>
    <t xml:space="preserve">f) For product labeling and risk-o-meter refer the link below </t>
  </si>
  <si>
    <t>Franklin India Banking &amp; PSU Debt Fund</t>
  </si>
  <si>
    <t>INE557F08FG1</t>
  </si>
  <si>
    <t>7.05% National Housing Bank (18-Dec-2024) **</t>
  </si>
  <si>
    <t>INE031A08756</t>
  </si>
  <si>
    <t>6.99% Housing &amp; Urban Development Corporation Ltd (11-Nov-2022) **</t>
  </si>
  <si>
    <t>IND AAA</t>
  </si>
  <si>
    <t>INE020B08997</t>
  </si>
  <si>
    <t>7.24% REC Ltd (21-Oct-2021) **</t>
  </si>
  <si>
    <t>INE514E08FG5</t>
  </si>
  <si>
    <t>7.62% Export-Import Bank of India (01-Sep-2026) **</t>
  </si>
  <si>
    <t>INE556F08JM3</t>
  </si>
  <si>
    <t>7.29% Small Industries Development Bank Of India (01-Aug-2022) **</t>
  </si>
  <si>
    <t>INE861G08076</t>
  </si>
  <si>
    <t>6.65% Food Corporation Of India (23-Oct-2030)</t>
  </si>
  <si>
    <t>ICRA AAA (CE)</t>
  </si>
  <si>
    <t>INE733E07JO9</t>
  </si>
  <si>
    <t>9.17% NTPC Ltd (21-Sep-2024) **</t>
  </si>
  <si>
    <t>INE906B07FT4</t>
  </si>
  <si>
    <t>7.27% National Highways Authority Of India (06-Jun-2022) **</t>
  </si>
  <si>
    <t>INE261F08BQ8</t>
  </si>
  <si>
    <t>6.70% National Bank For Agriculture &amp; Rural Development (11-Nov-2022) **</t>
  </si>
  <si>
    <t>INE094A08077</t>
  </si>
  <si>
    <t>5.36% Hindustan Petroleum Corporation Ltd (11-Apr-2025) **</t>
  </si>
  <si>
    <t>INE206D08261</t>
  </si>
  <si>
    <t>8.14% Nuclear Power Corporation of India Ltd (25-Mar-2026) **</t>
  </si>
  <si>
    <t>INE020B08906</t>
  </si>
  <si>
    <t>8.27% REC Ltd (06-Feb-2025) **</t>
  </si>
  <si>
    <t>INE848E07AZ0</t>
  </si>
  <si>
    <t>7.13% NHPC Ltd (11-Feb-2027) **</t>
  </si>
  <si>
    <t>INE848E07BK0</t>
  </si>
  <si>
    <t>6.80% NHPC Ltd (23-Apr-2027) **</t>
  </si>
  <si>
    <t>INE976G08064</t>
  </si>
  <si>
    <t>10.20% RBL Bank Ltd (15-Apr-2023) **</t>
  </si>
  <si>
    <t>ICRA AA-</t>
  </si>
  <si>
    <t>INE514E08EP9</t>
  </si>
  <si>
    <t>8.25% Export-Import Bank of India (28-Sep-2025) **</t>
  </si>
  <si>
    <t>INE733E07JX0</t>
  </si>
  <si>
    <t>8.19% NTPC Ltd (15-Dec-2025) **</t>
  </si>
  <si>
    <t>INE752E07MQ8</t>
  </si>
  <si>
    <t>8.40% Power Grid Corporation of India Ltd (27-May-2024) **</t>
  </si>
  <si>
    <t>INE020B08BM6</t>
  </si>
  <si>
    <t>8.35% REC Ltd (11-Mar-2022) **</t>
  </si>
  <si>
    <t>INE752E07NN3</t>
  </si>
  <si>
    <t>8.13% Power Grid Corporation of India Ltd (23-Apr-2021) **</t>
  </si>
  <si>
    <t>INE261F16538</t>
  </si>
  <si>
    <t>National Bank For Agriculture &amp; Rural Development (10-Jun-2021)</t>
  </si>
  <si>
    <t xml:space="preserve">      IDCW Plan</t>
  </si>
  <si>
    <t xml:space="preserve">      Direct IDCW Plan</t>
  </si>
  <si>
    <t>IN0020170026</t>
  </si>
  <si>
    <t>6.79% GOI 2027 (15-May-2027)</t>
  </si>
  <si>
    <t>IN0020170174</t>
  </si>
  <si>
    <t>7.17% GOI 2028 (08-Jan-2028)</t>
  </si>
  <si>
    <t xml:space="preserve">      Quarterly IDCW Option</t>
  </si>
  <si>
    <t xml:space="preserve">      Direct Quarterly IDCW Option</t>
  </si>
  <si>
    <t>Main Portfolio</t>
  </si>
  <si>
    <t>INE540P07301</t>
  </si>
  <si>
    <t>10.15% Uttar Pradesh Power Corporation Ltd (20-Jan-2023) **</t>
  </si>
  <si>
    <t>CRISIL A+(CE)</t>
  </si>
  <si>
    <t>INE01E708040</t>
  </si>
  <si>
    <t>10.32% Andhra Pradesh Capital Region Development Authority (16-Aug-2027) **</t>
  </si>
  <si>
    <t>INE657N07605</t>
  </si>
  <si>
    <t>Edelweiss Rural &amp; Corporate Services Ltd (1Y SBI MCLR + 250 Bps) (29-Nov-2021) - Series II **</t>
  </si>
  <si>
    <t>CRISIL AA-</t>
  </si>
  <si>
    <t>INE641O08035</t>
  </si>
  <si>
    <t>9.55% Piramal Capital &amp; Housing Finance Ltd (08-Mar-2027) **</t>
  </si>
  <si>
    <t>CARE AA</t>
  </si>
  <si>
    <t>INE205A07162</t>
  </si>
  <si>
    <t>8.90% Vedanta Ltd (09-Dec-2021) **</t>
  </si>
  <si>
    <t>INE516Y07105</t>
  </si>
  <si>
    <t>9.50% Piramal Capital &amp; Housing Finance Ltd (15-Apr-2022) **</t>
  </si>
  <si>
    <t>INE155A08365</t>
  </si>
  <si>
    <t>7.40% Tata Motors Ltd (29-Jun-2021) **</t>
  </si>
  <si>
    <t>INE764L07181</t>
  </si>
  <si>
    <t>0.00% Sadbhav Infrastructure Project Ltd (06-Jun-2023) **</t>
  </si>
  <si>
    <t>CARE BBB(CE)</t>
  </si>
  <si>
    <t>INE146O08100</t>
  </si>
  <si>
    <t>9.40% Hinduja Leyland Finance Ltd (28-Aug-2024) **</t>
  </si>
  <si>
    <t>INE657N07381</t>
  </si>
  <si>
    <t>8.70% Edelweiss Rural &amp; Corporate Services Ltd (30-Jun-2027) **</t>
  </si>
  <si>
    <t>ICRA A+</t>
  </si>
  <si>
    <t>INE516Y07089</t>
  </si>
  <si>
    <t>9.50% Piramal Capital &amp; Housing Finance Ltd (21-Apr-2022) **</t>
  </si>
  <si>
    <t>INE245A08042</t>
  </si>
  <si>
    <t>10.75% The Tata Power Co Ltd (21-Aug-2022) **</t>
  </si>
  <si>
    <t>CRISIL AA</t>
  </si>
  <si>
    <t>INE540P07210</t>
  </si>
  <si>
    <t>9.75% Uttar Pradesh Power Corporation Ltd (20-Oct-2022) **</t>
  </si>
  <si>
    <t>INE540P07228</t>
  </si>
  <si>
    <t>9.75% Uttar Pradesh Power Corporation Ltd (20-Oct-2023) **</t>
  </si>
  <si>
    <t>INE205A07139</t>
  </si>
  <si>
    <t>8.50% Vedanta Ltd (05-Apr-2021) **</t>
  </si>
  <si>
    <t>INE616U07036</t>
  </si>
  <si>
    <t>INE146O08159</t>
  </si>
  <si>
    <t>11.60% Hinduja Leyland Finance Ltd (29-Sep-2024) **</t>
  </si>
  <si>
    <t>INE764L07173</t>
  </si>
  <si>
    <t>0.00% Sadbhav Infrastructure Project Ltd (23-Apr-2023) **</t>
  </si>
  <si>
    <t>INE540P07293</t>
  </si>
  <si>
    <t>10.15% Uttar Pradesh Power Corporation Ltd (20-Jan-2022) **</t>
  </si>
  <si>
    <t>INE146O08068</t>
  </si>
  <si>
    <t>11.50% Hinduja Leyland Finance Ltd (31-May-2021) **</t>
  </si>
  <si>
    <t>INE146O08092</t>
  </si>
  <si>
    <t>11.10% Hinduja Leyland Finance Ltd (08-Apr-2022) **</t>
  </si>
  <si>
    <t>INE245A08034</t>
  </si>
  <si>
    <t>11.40% Tata Power Co Ltd (02-Jun-2021) **</t>
  </si>
  <si>
    <t>INE575P08024</t>
  </si>
  <si>
    <t>10.20% Star Health &amp; Allied Insurance Co Ltd (31-Oct-2024) **</t>
  </si>
  <si>
    <t>IND A+</t>
  </si>
  <si>
    <t>INE659X07014</t>
  </si>
  <si>
    <t>9.95% Molagavalli Renewable Pvt Ltd (31-Mar-2023) **</t>
  </si>
  <si>
    <t>CARE A+(CE)</t>
  </si>
  <si>
    <t>INE003S07189</t>
  </si>
  <si>
    <t>9.45% Renew Power Pvt Ltd (31-Jul-2025) **</t>
  </si>
  <si>
    <t>CARE A+</t>
  </si>
  <si>
    <t>INE964Q07012</t>
  </si>
  <si>
    <t>9.60% Renew Wind Energy (Rajasthan One) Pvt Ltd (31-Mar-2023) **</t>
  </si>
  <si>
    <t>INE458O07036</t>
  </si>
  <si>
    <t>9.41% Renew Wind Energy Delhi Pvt Ltd (30-Sep-2030) **</t>
  </si>
  <si>
    <t>CARE A+(SO)</t>
  </si>
  <si>
    <t>INE575P08016</t>
  </si>
  <si>
    <t>10.25% Star Health &amp; Allied Insurance Co Ltd (06-Sep-2024) **</t>
  </si>
  <si>
    <t>INE01EA07016</t>
  </si>
  <si>
    <t>11.90% Vishal Mega Mart Pvt Ltd (20-Oct-2023) **</t>
  </si>
  <si>
    <t>INE209W07028</t>
  </si>
  <si>
    <t>9.95% Narmada Wind Energy Pvt Ltd (31-Mar-2023) **</t>
  </si>
  <si>
    <t>INE971Z07133</t>
  </si>
  <si>
    <t>12.25% Rivaaz Trade Ventures Pvt Ltd (30-Jun-2023) $$ @@@ **</t>
  </si>
  <si>
    <t>BWR D(CE)</t>
  </si>
  <si>
    <t>INE946S07189</t>
  </si>
  <si>
    <t>13.55% Nufuture Digital (India) Ltd (31-Dec-2023) $$ @@@ **</t>
  </si>
  <si>
    <t>INE971Z07190</t>
  </si>
  <si>
    <t>13.00% Rivaaz Trade Ventures Pvt Ltd (31-Dec-2023) $$ @@@ **</t>
  </si>
  <si>
    <t>INF200K01TK5</t>
  </si>
  <si>
    <t>SBI Overnight Fund - Direct Plan -Growth</t>
  </si>
  <si>
    <t>Mutual Fund</t>
  </si>
  <si>
    <t xml:space="preserve"> $$ Indicates securties below investment grade or default</t>
  </si>
  <si>
    <t>g) Maturity proceeds from Reliance Big Private Ltd (ISIN: INE333T07063) was due on January 14, 2021. However, the issuer was unable to meet their payment obligations. The security of the issuer was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</si>
  <si>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https://www.franklintempletonindia.com/downloadsServlet/pdf/fair-valuation-reliance-big-reliance-infra-november-4-2020-kgox4tfq</t>
  </si>
  <si>
    <t>h)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</si>
  <si>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 xml:space="preserve">i) For product labeling and risk-o-meter refer the link below </t>
  </si>
  <si>
    <t>Franklin India Dynamic Accrual Fund - Segregated Portfolio 2 - 10.90% Vodafone Idea Ltd (02-Sep-2023) P/C 03 Sep 2021</t>
  </si>
  <si>
    <t>INE669E08318</t>
  </si>
  <si>
    <t>10.90% Vodafone Idea Ltd (02-Sep-2023) $$ ^^ **</t>
  </si>
  <si>
    <t>CARE B+</t>
  </si>
  <si>
    <t>^^ Securities are fair valued. This amount only reflects the realizable value as on the date of disclosure and does not indicate any reduction or write-off of the amount repayable by the issuers.</t>
  </si>
  <si>
    <t xml:space="preserve">c) For product labeling and risk-o-meter refer the link below </t>
  </si>
  <si>
    <t>Franklin India Dynamic Accrual Fund - Segregated Portfolio 3 - 9.50% Yes Bank Ltd CO 23 Dec 2021</t>
  </si>
  <si>
    <t>INE528G08352</t>
  </si>
  <si>
    <t>9.50% Yes Bank Ltd (23-Dec-2021)  $$ **</t>
  </si>
  <si>
    <t>CARE (withdrawn)/ ICRA D (hyb)</t>
  </si>
  <si>
    <t>INE265J07316</t>
  </si>
  <si>
    <t>11.50% JM Financial Asset Reconstruction Co Ltd (29-May-2022) **</t>
  </si>
  <si>
    <t>INE694L07123</t>
  </si>
  <si>
    <t>9.23% Talwandi Sabo Power Ltd (30-Jul-2021) **</t>
  </si>
  <si>
    <t>CRISIL AA-(CE)</t>
  </si>
  <si>
    <t>INE657N07597</t>
  </si>
  <si>
    <t>Edelweiss Rural &amp; Corporate Services Ltd (1Y SBI MCLR + 250 Bps) (29-Nov-2021) **</t>
  </si>
  <si>
    <t>INE157D08027</t>
  </si>
  <si>
    <t>11.25% Clix Capital Services Pvt Ltd (27-Jun-2023) **</t>
  </si>
  <si>
    <t>INE721A08DE4</t>
  </si>
  <si>
    <t>10.25% Shriram Transport Finance Co Ltd (27-Dec-2024) **</t>
  </si>
  <si>
    <t>INE721A07NQ9</t>
  </si>
  <si>
    <t>0.00% Shriram Transport Finance Co Ltd (31-May-2021) **</t>
  </si>
  <si>
    <t>INE945W07035</t>
  </si>
  <si>
    <t>10.25% Incred Financial Services Pvt Ltd (26-Apr-2021) **</t>
  </si>
  <si>
    <t>CARE A</t>
  </si>
  <si>
    <t>INE721A08DF1</t>
  </si>
  <si>
    <t>9.90% Shriram Transport Finance Co Ltd (21-Jun-2024) **</t>
  </si>
  <si>
    <t>INE146O08084</t>
  </si>
  <si>
    <t>11.30% Hinduja Leyland Finance Ltd (21-Jul-2021) **</t>
  </si>
  <si>
    <t>INE540P07202</t>
  </si>
  <si>
    <t>9.75% Uttar Pradesh Power Corporation Ltd (20-Oct-2021) **</t>
  </si>
  <si>
    <t>INE128S07333</t>
  </si>
  <si>
    <t>10.21% Five-Star Business Finance Ltd Series C (28-Mar-2023) **</t>
  </si>
  <si>
    <t>INE540P07319</t>
  </si>
  <si>
    <t>10.15% Uttar Pradesh Power Corporation Ltd (19-Jan-2024) **</t>
  </si>
  <si>
    <t>INE540P07327</t>
  </si>
  <si>
    <t>10.15% Uttar Pradesh Power Corporation Ltd (20-Jan-2025) **</t>
  </si>
  <si>
    <t>INE209W07010</t>
  </si>
  <si>
    <t>9.60% Narmada Wind Energy Pvt Ltd (31-Mar-2023) **</t>
  </si>
  <si>
    <t>Franklin India Low Duration Fund-Segregated Portfolio 2 - 10.90% Vodafone Idea Ltd (02-Sep-2023) P/C 03 Sep 2021</t>
  </si>
  <si>
    <t>INE371K08128</t>
  </si>
  <si>
    <t>0.00% Tata Realty &amp; Infrastructure Ltd (04-Jun-2021) **</t>
  </si>
  <si>
    <t>INE157D08019</t>
  </si>
  <si>
    <t>11.25% Clix Capital Services Pvt Ltd (25-May-2023) **</t>
  </si>
  <si>
    <t>INE572E09361</t>
  </si>
  <si>
    <t>8.47% PNB Housing Finance Ltd (01-Jul-2021) **</t>
  </si>
  <si>
    <t>INE157D08068</t>
  </si>
  <si>
    <t>13.65% Clix Capital Services Pvt Ltd (06-Jul-2021) **</t>
  </si>
  <si>
    <t>INE157D08035</t>
  </si>
  <si>
    <t>13.65% Clix Capital Services Pvt Ltd (06-Sep-2021) **</t>
  </si>
  <si>
    <t>INE157D08050</t>
  </si>
  <si>
    <t>13.65% Clix Capital Services Pvt Ltd (06-May-2021) **</t>
  </si>
  <si>
    <t>INE572E09429</t>
  </si>
  <si>
    <t>7.80% PNB Housing Finance Ltd (07-May-2021) **</t>
  </si>
  <si>
    <t>INE157D08043</t>
  </si>
  <si>
    <t>13.65% Clix Capital Services Pvt Ltd (12-Nov-2021) **</t>
  </si>
  <si>
    <t>INE949L08152</t>
  </si>
  <si>
    <t>11.75% AU Small Finance Bank Ltd (04-May-2021) **</t>
  </si>
  <si>
    <t>IND AA-</t>
  </si>
  <si>
    <t>INE721A07NI6</t>
  </si>
  <si>
    <t>8.55% Shriram Transport Finance Co Ltd (21-May-2021) **</t>
  </si>
  <si>
    <t>INE721A07NV9</t>
  </si>
  <si>
    <t>9.10% Shriram Transport Finance Co Ltd (12-Jul-2021) **</t>
  </si>
  <si>
    <t>INE252T07057</t>
  </si>
  <si>
    <t>9.70% Xander Finance Pvt Ltd (30-Apr-2021) **</t>
  </si>
  <si>
    <t>INE155A08316</t>
  </si>
  <si>
    <t>7.50% Tata Motors Ltd (20-Oct-2021) **</t>
  </si>
  <si>
    <t>INE587B08037</t>
  </si>
  <si>
    <t>13.65% Clix Finance India Pvt Ltd (06-Jan-2022) **</t>
  </si>
  <si>
    <t>INE003S07155</t>
  </si>
  <si>
    <t>11.96% Renew Power Pvt Ltd (28-Sep-2022) **</t>
  </si>
  <si>
    <t xml:space="preserve">      Retail Plan Weekly IDCW Option</t>
  </si>
  <si>
    <t xml:space="preserve">      Super Institutional Plan Daily IDCW Option</t>
  </si>
  <si>
    <t xml:space="preserve">      Direct Super Institutional Plan Growth Option</t>
  </si>
  <si>
    <t xml:space="preserve">      Direct Super Institutional Plan Daily IDCW Option</t>
  </si>
  <si>
    <t xml:space="preserve">      Direct Super Institutional Plan Weekly IDCW Option</t>
  </si>
  <si>
    <t>e)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</si>
  <si>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INE01E708024</t>
  </si>
  <si>
    <t>10.32% Andhra Pradesh Capital Region Development Authority (16-Aug-2025) **</t>
  </si>
  <si>
    <t>INE01E708016</t>
  </si>
  <si>
    <t>10.32% Andhra Pradesh Capital Region Development Authority (16-Aug-2024) **</t>
  </si>
  <si>
    <t>INE572E09403</t>
  </si>
  <si>
    <t>7.91% PNB Housing Finance Ltd (29-Mar-2022) **</t>
  </si>
  <si>
    <t>INE852O07097</t>
  </si>
  <si>
    <t>10.00% Aptus Value Housing Finance India Ltd (20-Aug-2025) **</t>
  </si>
  <si>
    <t>INE540P07335</t>
  </si>
  <si>
    <t>10.15% Uttar Pradesh Power Corporation Ltd (20-Jan-2026) **</t>
  </si>
  <si>
    <t>INE016P07146</t>
  </si>
  <si>
    <t>10.50% Vistaar Financial Services Pvt Ltd (24-Aug-2025) **</t>
  </si>
  <si>
    <t>ICRA A-</t>
  </si>
  <si>
    <t>INE01E708032</t>
  </si>
  <si>
    <t>10.32% Andhra Pradesh Capital Region Development Authority (16-Aug-2026) **</t>
  </si>
  <si>
    <t>INE608A08025</t>
  </si>
  <si>
    <t>10.90% Punjab &amp; Sind Bank (07-May-2022) **</t>
  </si>
  <si>
    <t>INE205A07154</t>
  </si>
  <si>
    <t>9.18% Vedanta Ltd (02-Jul-2021) **</t>
  </si>
  <si>
    <t>INE503A08028</t>
  </si>
  <si>
    <t>9.85% DCB Bank Ltd (18-Nov-2026) **</t>
  </si>
  <si>
    <t>INE540P07343</t>
  </si>
  <si>
    <t>10.15% Uttar Pradesh Power Corporation Ltd (20-Jan-2027) **</t>
  </si>
  <si>
    <t>INE540P07350</t>
  </si>
  <si>
    <t>10.15% Uttar Pradesh Power Corporation Ltd (20-Jan-2028) **</t>
  </si>
  <si>
    <t>INE028A08083</t>
  </si>
  <si>
    <t>8.50% Bank of Baroda (02-Dec-2021) **</t>
  </si>
  <si>
    <t>INE128S07317</t>
  </si>
  <si>
    <t>10.21% Five-Star Business Finance Ltd Series A (28-Mar-2023) **</t>
  </si>
  <si>
    <t>INE774D07RY7</t>
  </si>
  <si>
    <t>0.00% Mahindra &amp; Mahindra Financial Services Ltd (07-Apr-2021) **</t>
  </si>
  <si>
    <t>INE110L07070</t>
  </si>
  <si>
    <t>8.32% Reliance Industries Ltd (08-Jul-2021) **</t>
  </si>
  <si>
    <t>INE00MX08011</t>
  </si>
  <si>
    <t>11.70% Svatantra Microfin Pvt Ltd (30-Nov-2023) **</t>
  </si>
  <si>
    <t>INE895D08634</t>
  </si>
  <si>
    <t>8.01% Tata Sons Pvt Ltd (02-Sep-2021) **</t>
  </si>
  <si>
    <t>INE971Z07125</t>
  </si>
  <si>
    <t>12.25% Rivaaz Trade Ventures Pvt Ltd (30-Jun-2022) $$ @@@ **</t>
  </si>
  <si>
    <t>INE971Z07117</t>
  </si>
  <si>
    <t>12.25% Rivaaz Trade Ventures Pvt Ltd (30-Jun-2021) $$ @@@ **</t>
  </si>
  <si>
    <t>INE946S07163</t>
  </si>
  <si>
    <t>13.55% Nufuture Digital (India) Ltd (31-Dec-2021) $$ @@@ **</t>
  </si>
  <si>
    <t>INE971Z07174</t>
  </si>
  <si>
    <t>13.00% Rivaaz Trade Ventures Pvt Ltd (30-Dec-2021) $$ @@@ **</t>
  </si>
  <si>
    <t>INE971Z07182</t>
  </si>
  <si>
    <t>13.00% Rivaaz Trade Ventures Pvt Ltd (30-Dec-2022) $$ @@@ **</t>
  </si>
  <si>
    <t>INE080T07110</t>
  </si>
  <si>
    <t>14.15% Future Ideas Co Ltd (31-Jan-2023) $$ @@@ **</t>
  </si>
  <si>
    <t>INE080T07102</t>
  </si>
  <si>
    <t>14.15% Future Ideas Co Ltd (31-Jan-2022) $$ @@@ **</t>
  </si>
  <si>
    <t xml:space="preserve">      Direct Retail Plan Weekly IDCW Option</t>
  </si>
  <si>
    <t>f) For ISIN INE445K07106 - 9.50% Reliance Broadcast Network Ltd (20-Jul-2020), the amount due at maturity was not received. For further details refer below link</t>
  </si>
  <si>
    <t>i)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</si>
  <si>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 xml:space="preserve">j) For product labeling and risk-o-meter refer the link below </t>
  </si>
  <si>
    <t>Franklin India Short Term Income Plan - Segregated Portfolio 2 - 10.90% Vodafone Idea Ltd (02-Sep-2023) P/C 03 Sep 2021</t>
  </si>
  <si>
    <t>Franklin India Short Term Income Plan - Segregated Portfolio 3 - 9.50% Yes Bank Ltd CO 23 Dec 2021</t>
  </si>
  <si>
    <t>INE01E708057</t>
  </si>
  <si>
    <t>10.32% Andhra Pradesh Capital Region Development Authority (16-Aug-2028) **</t>
  </si>
  <si>
    <t>INE503A08044</t>
  </si>
  <si>
    <t>9.85% DCB Bank Ltd (12-Jan-2028) **</t>
  </si>
  <si>
    <t>INE146O08134</t>
  </si>
  <si>
    <t>10.15% Hinduja Leyland Finance Ltd (27-Mar-2025) **</t>
  </si>
  <si>
    <t>INE922K07039</t>
  </si>
  <si>
    <t>0.00% India Shelter Finance Corporation Ltd (02-May-2025) **</t>
  </si>
  <si>
    <t>ICRA A</t>
  </si>
  <si>
    <t>INE146O08118</t>
  </si>
  <si>
    <t>9.20% Hinduja Leyland Finance Ltd (13-Sep-2024) **</t>
  </si>
  <si>
    <t>INE080T07128</t>
  </si>
  <si>
    <t>14.15% Future Ideas Co Ltd (31-Dec-2023) $$ @@@ **</t>
  </si>
  <si>
    <t>Franklin India Income Opportunities Fund-Segregated Portfolio 2 - 10.90% Vodafone Idea Ltd (02-Sep-2023) P/C 03 Sep 2021</t>
  </si>
  <si>
    <t>INE128S07341</t>
  </si>
  <si>
    <t>10.21% Five-Star Business Finance Ltd Series D (28-Mar-2023) **</t>
  </si>
  <si>
    <t>INE128S07325</t>
  </si>
  <si>
    <t>10.21% Five-Star Business Finance Ltd Series B (28-Mar-2023) **</t>
  </si>
  <si>
    <t>INE852O07071</t>
  </si>
  <si>
    <t>10.00% Aptus Value Housing Finance India Ltd (20-Jun-2025) **</t>
  </si>
  <si>
    <t>INE027E07709</t>
  </si>
  <si>
    <t>8.9492% L&amp;T Finance Ltd (16-Aug-2021) **</t>
  </si>
  <si>
    <t>INE946S07171</t>
  </si>
  <si>
    <t>13.55% Nufuture Digital (India) Ltd (31-Dec-2022) $$ @@@ **</t>
  </si>
  <si>
    <t>SBI Overnight Fund - Direct Plan - Growth</t>
  </si>
  <si>
    <t>Franklin India Credit Risk Fund-Segregated Portfolio 2 - 10.90% Vodafone Idea Ltd (02-Sep-2023) P/C 03 Sep 2021</t>
  </si>
  <si>
    <t>Franklin India Credit Risk Fund - Segregated Portfolio 3 - 9.50% Yes Bank Ltd CO 23 Dec 2021</t>
  </si>
  <si>
    <t>Franklin India Fixed Maturity Plans-Series 6 – Plan C  (1169 days)</t>
  </si>
  <si>
    <t>INE891K07416</t>
  </si>
  <si>
    <t>0.00% Axis Finance Ltd (19-Apr-2022) **</t>
  </si>
  <si>
    <t>INE377Y07052</t>
  </si>
  <si>
    <t>0.00% Bajaj Housing Finance Ltd (05-Apr-2022) **</t>
  </si>
  <si>
    <t>INE774D07SQ1</t>
  </si>
  <si>
    <t>0.00% Mahindra &amp; Mahindra Financial Services Ltd (29-Mar-2022) **</t>
  </si>
  <si>
    <t>INE296A07QQ5</t>
  </si>
  <si>
    <t>0.00% Bajaj Finance Ltd (05-Apr-2022) **</t>
  </si>
  <si>
    <t>INE031A08657</t>
  </si>
  <si>
    <t>8.23% Housing &amp; Urban Development Corporation Ltd (15-Apr-2022) **</t>
  </si>
  <si>
    <t>INE535H07AT9</t>
  </si>
  <si>
    <t>0.00% Fullerton India Credit Co Ltd (13-Apr-2022) **</t>
  </si>
  <si>
    <t xml:space="preserve">      IDCW Plan </t>
  </si>
  <si>
    <t>Franklin India Fixed Maturity Plans-Series 5 – Plan F (1203 days)</t>
  </si>
  <si>
    <t>INE020B08BF0</t>
  </si>
  <si>
    <t>8.45% REC Ltd (22-Mar-2022) **</t>
  </si>
  <si>
    <t>INE134E08GT3</t>
  </si>
  <si>
    <t>8.55% Power Finance Corporation Ltd (09-Dec-2021) **</t>
  </si>
  <si>
    <t>INE831R07235</t>
  </si>
  <si>
    <t>0.00% Aditya Birla Housing Finance Ltd (13-Apr-2022) **</t>
  </si>
  <si>
    <t>Franklin India Fixed Maturity Plans-Series 5 – Plan E (1224 days)</t>
  </si>
  <si>
    <t>INE377Y07086</t>
  </si>
  <si>
    <t>0.00% Bajaj Housing Finance Ltd (05-May-2022) **</t>
  </si>
  <si>
    <t>INE756I07CI8</t>
  </si>
  <si>
    <t>0.00% HDB Financial Services Ltd (05-Apr-2022) **</t>
  </si>
  <si>
    <t>INE306N07KG9</t>
  </si>
  <si>
    <t>9.4756% Tata Capital Financial Services Ltd (08-Apr-2022) **</t>
  </si>
  <si>
    <t>Franklin India Fixed Maturity Plans – Series 5 – Plan D (1238 days)</t>
  </si>
  <si>
    <t>INE774D07SS7</t>
  </si>
  <si>
    <t>9.05% Mahindra &amp; Mahindra Financial Services Ltd (18-Apr-2022) **</t>
  </si>
  <si>
    <t>Franklin India Fixed Maturity Plans - Series 5 -Plan C (1259 Days)</t>
  </si>
  <si>
    <t>INE535H07AQ5</t>
  </si>
  <si>
    <t>0.00% Fullerton India Credit Co Ltd (19-Apr-2022) **</t>
  </si>
  <si>
    <t>INE476M07BR8</t>
  </si>
  <si>
    <t>9.3772% L&amp;T Housing Finance Ltd (11-Mar-2022) **</t>
  </si>
  <si>
    <t>Franklin India Fixed Maturity Plans – Series 5 - Plan B (1244 days)</t>
  </si>
  <si>
    <t>INE033L07GA4</t>
  </si>
  <si>
    <t>9.1791% Tata Capital Housing Finance Ltd (13-Apr-2022) **</t>
  </si>
  <si>
    <t>Franklin India Fixed Maturity Plans - Series 5 - Plan A (1273 days)</t>
  </si>
  <si>
    <t>Franklin India Fixed Maturity Plans - Series 4 - Plan F (1286 Days)</t>
  </si>
  <si>
    <t>INE115A07LM7</t>
  </si>
  <si>
    <t>7.95% LIC Housing Finance Ltd (24-Mar-2022) **</t>
  </si>
  <si>
    <t>INE134E08IN2</t>
  </si>
  <si>
    <t>7.27% Power Finance Corporation Ltd (22-Dec-2021) **</t>
  </si>
  <si>
    <t>INE895D08790</t>
  </si>
  <si>
    <t>8.25% Tata Sons Pvt Ltd (23-Mar-2022) **</t>
  </si>
  <si>
    <t>Franklin India Fixed Maturity Plans - Series 4 - Plan E (1098 days)</t>
  </si>
  <si>
    <t>INE481G08057</t>
  </si>
  <si>
    <t>8.36% Ultratech Cement Ltd (07-Jun-2021) **</t>
  </si>
  <si>
    <t>INE660A07PT8</t>
  </si>
  <si>
    <t>0.00% Sundaram Finance Ltd (31-Aug-2021) **</t>
  </si>
  <si>
    <t>INE556F08JH3</t>
  </si>
  <si>
    <t>8.40% Small Industries Development Bank Of India (10-Aug-2021)</t>
  </si>
  <si>
    <t>INE261F08AM9</t>
  </si>
  <si>
    <t>8.37% National Bank For Agriculture &amp; Rural Development (03-Aug-2021) **</t>
  </si>
  <si>
    <t>INE020B08AO4</t>
  </si>
  <si>
    <t>7.18% REC Ltd (21-May-2021) **</t>
  </si>
  <si>
    <t>INE860H07FW4</t>
  </si>
  <si>
    <t>0.00% Aditya Birla Finance Ltd (26-Jul-2021) **</t>
  </si>
  <si>
    <t>Franklin India Fixed Maturity Plans - Series 4 - Plan D (1098 Days)</t>
  </si>
  <si>
    <t>INE377Y07045</t>
  </si>
  <si>
    <t>8.1352% Bajaj Housing Finance Ltd (04-Jun-2021) **</t>
  </si>
  <si>
    <t>Franklin India Fixed Maturity Plans - Series 4 - Plan C (1098 Days)</t>
  </si>
  <si>
    <t>INE891K07440</t>
  </si>
  <si>
    <t>0.00% Axis Finance Ltd (31-Aug-2021) **</t>
  </si>
  <si>
    <t>INE831R07201</t>
  </si>
  <si>
    <t>0.00% Aditya Birla Housing Finance Ltd (26-Jul-2021) **</t>
  </si>
  <si>
    <t>Franklin India Fixed Maturity Plans - Series 4 - Plan B (1098 days)</t>
  </si>
  <si>
    <t>INE020B07IW2</t>
  </si>
  <si>
    <t>9.40% REC Ltd (17-Jul-2021) **</t>
  </si>
  <si>
    <t>INE535H07AK8</t>
  </si>
  <si>
    <t>0.00% Fullerton India Credit Co Ltd (15-Jul-2021) **</t>
  </si>
  <si>
    <t>INE134E08DN3</t>
  </si>
  <si>
    <t>9.70% Power Finance Corporation Ltd (09-Jun-2021) **</t>
  </si>
  <si>
    <t>INE027E07642</t>
  </si>
  <si>
    <t>8.25% L&amp;T Finance Ltd (21-Jun-2021) **</t>
  </si>
  <si>
    <t>INE134E08ID3</t>
  </si>
  <si>
    <t>8.05% Power Finance Corporation Ltd (27-Apr-2021) **</t>
  </si>
  <si>
    <t>INE752E07MN5</t>
  </si>
  <si>
    <t>8.40% Power Grid Corporation of India Ltd (27-May-2021) **</t>
  </si>
  <si>
    <t>INE660A07PN1</t>
  </si>
  <si>
    <t>0.00% Sundaram Finance Ltd (15-Jun-2021) **</t>
  </si>
  <si>
    <t>INE071G07314</t>
  </si>
  <si>
    <t>8.22% ICICI Home Finance Co Ltd (27-May-2021) **</t>
  </si>
  <si>
    <t>INE377Y07029</t>
  </si>
  <si>
    <t>0.00% Bajaj Housing Finance Ltd (06-Apr-2021) **</t>
  </si>
  <si>
    <t>Franklin India Fixed Maturity Plans-Series 4 - Plan A (1098 Days)</t>
  </si>
  <si>
    <t>INE891K07390</t>
  </si>
  <si>
    <t>0.00% Axis Finance Ltd (14-Jun-2021) **</t>
  </si>
  <si>
    <t>INE110L07112</t>
  </si>
  <si>
    <t>8.70% Reliance Industries Ltd (15-Jun-2021) **</t>
  </si>
  <si>
    <t>INE556F08JF7</t>
  </si>
  <si>
    <t>8.50% Small Industries Development Bank of India (21-Jun-2021) **</t>
  </si>
  <si>
    <t>INE476M07BM9</t>
  </si>
  <si>
    <t>8.80% L&amp;T Housing Finance Ltd (23-Jun-2021) **</t>
  </si>
  <si>
    <t>INE020B08AW7</t>
  </si>
  <si>
    <t>7.73% REC Ltd (15-Jun-2021) **</t>
  </si>
  <si>
    <t>Franklin India Fixed Maturity Plans - Series 3 - Plan F (1098 days)</t>
  </si>
  <si>
    <t>INE031A08566</t>
  </si>
  <si>
    <t>7.73% Housing &amp; Urban Development Corporation Ltd (15-Apr-2021) **</t>
  </si>
  <si>
    <t>INE774D07SB3</t>
  </si>
  <si>
    <t>8.10% Mahindra &amp; Mahindra Financial Services Ltd (19-Apr-2021) **</t>
  </si>
  <si>
    <t>INE556F08JD2</t>
  </si>
  <si>
    <t>7.65% Small Industries Development Bank Of India (15-Apr-2021) **</t>
  </si>
  <si>
    <t>INE883A07174</t>
  </si>
  <si>
    <t>10.09% MRF Ltd (27-May-2021) **</t>
  </si>
  <si>
    <t>INE756I07BW1</t>
  </si>
  <si>
    <t>0.00% HDB Financial Services Ltd (06-Apr-2021) **</t>
  </si>
  <si>
    <t>INE134E08DM5</t>
  </si>
  <si>
    <t>9.18% Power Finance Corporation Ltd (15-Apr-2021) **</t>
  </si>
  <si>
    <t>IN002020X506</t>
  </si>
  <si>
    <t>91 DTB (03-Jun-2021)</t>
  </si>
  <si>
    <t>Franklin India Fixed Maturity Plans - Series 3 - Plan E (1104 Days)</t>
  </si>
  <si>
    <t>INE134E08JM2</t>
  </si>
  <si>
    <t>7.75% Power Finance Corporation Ltd (15-Apr-2021) **</t>
  </si>
  <si>
    <t>INE031A08590</t>
  </si>
  <si>
    <t>7.68% Housing &amp; Urban Development Corporation Ltd (05-Apr-2021) **</t>
  </si>
  <si>
    <t>INE916DA7PO3</t>
  </si>
  <si>
    <t>0.00% Kotak Mahindra Prime Ltd (27-May-2021) **</t>
  </si>
  <si>
    <t>IN0020060318</t>
  </si>
  <si>
    <t>7.94% GOI 2021 (24-May-2021)</t>
  </si>
  <si>
    <t>Franklin India Fixed Maturity Plans - Series 3 - Plan D (1132 Days)</t>
  </si>
  <si>
    <t>INE916DA7PI5</t>
  </si>
  <si>
    <t>0.00% Kotak Mahindra Prime Ltd (26-Apr-2021) **</t>
  </si>
  <si>
    <t>INE514E16BR4</t>
  </si>
  <si>
    <t>Export-Import Bank Of India (22-Apr-2021) **</t>
  </si>
  <si>
    <t>INE053F14203</t>
  </si>
  <si>
    <t>Indian Railway Finance Corporation Ltd (12-Apr-2021) **@</t>
  </si>
  <si>
    <t>INE242A14TE5</t>
  </si>
  <si>
    <t>Indian Oil Corporation Ltd (05-Apr-2021) **@</t>
  </si>
  <si>
    <t>INE242A14SY5</t>
  </si>
  <si>
    <t>Indian Oil Corporation Ltd (15-Apr-2021) **@</t>
  </si>
  <si>
    <t>INE261F14HI0</t>
  </si>
  <si>
    <t>National Bank For Agriculture &amp; Rural Development (12-Apr-2021) **@</t>
  </si>
  <si>
    <t>Franklin India Fixed Maturity Plans - Series 3 - Plan C (1132 Days)</t>
  </si>
  <si>
    <t>INE134E08JK6</t>
  </si>
  <si>
    <t>7.73% Power Finance Corporation Ltd (05-Apr-2021) **</t>
  </si>
  <si>
    <t>INE020B08AR7</t>
  </si>
  <si>
    <t>7.60% REC Ltd (17-Apr-2021) **</t>
  </si>
  <si>
    <t>IN0020110022</t>
  </si>
  <si>
    <t>7.80% GOI 2021 (11-Apr-2021)</t>
  </si>
  <si>
    <t>Franklin India Fixed Maturity Plans - Series 3 - Plan B (1139 Days)</t>
  </si>
  <si>
    <t>Franklin India Fixed Maturity Plans-Series 3-Plan A (1157 Days)</t>
  </si>
  <si>
    <t>Franklin India Fixed Maturity Plans- Series 2 - Plan C (1205 Days)</t>
  </si>
  <si>
    <t>INE756I07BU5</t>
  </si>
  <si>
    <t>7.9407% HDB Financial Services Ltd (15-Apr-2021) **</t>
  </si>
  <si>
    <t>IN002020Z022</t>
  </si>
  <si>
    <t>364 DTB (15-Apr-2021)</t>
  </si>
  <si>
    <t>Franklin India Fixed Maturity Plans - Series 2 - Plan B (1224 Days)</t>
  </si>
  <si>
    <t>Franklin India Fixed Maturity Plans - Series 2- Plan A (1224 Days)</t>
  </si>
  <si>
    <t>IN002020X415</t>
  </si>
  <si>
    <t>91 DTB (01-Apr-2021)</t>
  </si>
  <si>
    <t>Franklin India Pension Plan</t>
  </si>
  <si>
    <t>INE685A01028</t>
  </si>
  <si>
    <t>Torrent Pharmaceuticals Ltd</t>
  </si>
  <si>
    <t>INE110L08037</t>
  </si>
  <si>
    <t>9.25% Reliance Industries Ltd (17-Jun-2024) **</t>
  </si>
  <si>
    <t>INE020B08BS3</t>
  </si>
  <si>
    <t>8.80% REC Ltd (14-May-2029) **</t>
  </si>
  <si>
    <t>INE115A14CU5</t>
  </si>
  <si>
    <t>LIC Housing Finance Ltd (14-Dec-2021) **@</t>
  </si>
  <si>
    <t>e) Post the creation of the segregated portfolio (10.25% Yes Bank Ltd CO 05Mar 20) on March 6, 2020, the full principal due, along with the interest from March 6, 2020 to December 29, 2020 was received by the segregated portfolio on December 30, 2020. With these receipts, the segregated portfolio completed full recovery on December 30, 2020.</t>
  </si>
  <si>
    <t xml:space="preserve">b) During the month additional instances of fair valuation/deviation from valuation price provided by the valuation agencies </t>
  </si>
  <si>
    <t>Franklin India Liquid Fund ^</t>
  </si>
  <si>
    <t>^ Effective June 4, 2018, Franklin India Treasury Management Account  was renamed as Franklin India Liquid Fund.</t>
  </si>
  <si>
    <t xml:space="preserve">      Regular Plan Growth Option  !</t>
  </si>
  <si>
    <t xml:space="preserve">      Regular Plan Daily IDCW Reinvestment Option  !</t>
  </si>
  <si>
    <t xml:space="preserve">      Regular Plan Weekly IDCW Option  !</t>
  </si>
  <si>
    <t xml:space="preserve">      Institutional Plan Daily IDCW Reinvestment Option  !</t>
  </si>
  <si>
    <t xml:space="preserve">      Institutional Plan Weekly IDCW Option  !</t>
  </si>
  <si>
    <t xml:space="preserve"> ! The sale of units has been suspended effective October 1, 2012.</t>
  </si>
  <si>
    <t>Franklin India Savings Fund ^</t>
  </si>
  <si>
    <t>MIBOR - ( Mumbai Interbank Offered Rate )</t>
  </si>
  <si>
    <t>^ Effective June 4, 2018, Franklin India Savings Plus Fund  was renamed as Franklin India Savings Fund.</t>
  </si>
  <si>
    <t>Franklin India Floating Rate Fund ^</t>
  </si>
  <si>
    <t>SBI MCLR - Base Rate of State Bank of India Marginal Cost of Funds Based Lending Rate</t>
  </si>
  <si>
    <t>MIBOR - Mumbai Interbank Offered Rate</t>
  </si>
  <si>
    <t>^ Effective June 4, 2018, Franklin India Cash Management Account was renamed as Franklin India Floating Rate Fund.</t>
  </si>
  <si>
    <t>Franklin India Corporate Debt Fund ^</t>
  </si>
  <si>
    <t>e) Disclosure with reference to SEBI circular number SEBI/HO/IMD/DF4/CIR/P/2019/102, dated September 24, 2019, is as given below:</t>
  </si>
  <si>
    <t>INE445K07106</t>
  </si>
  <si>
    <t>9.50% Reliance Broadcast Network Ltd (20-Jul-2020)</t>
  </si>
  <si>
    <t>~~~ This amount only reflects the realizable value as on the date of disclosure/ date of maturity and does not indicate any reduction or write-off of the amount repayable by the issuers</t>
  </si>
  <si>
    <t>Below given securities were in default beyond its maturity date and its values as on March 31, 2021:</t>
  </si>
  <si>
    <t>Value of the security considered under net receivables as on March 31, 2021 (Rs In Lakhs) ~~~</t>
  </si>
  <si>
    <t>% to AUM on March 31, 2021</t>
  </si>
  <si>
    <t>Total Amount outstanding (Incl. Principal &amp; Interest) as on March 31, 2021 (Rs In Lakhs)</t>
  </si>
  <si>
    <t>Name of Securities in default beyond its maturity as onMarch 31, 2021</t>
  </si>
  <si>
    <t>^ Effective June 4, 2018, Franklin India Income Builder Account was renamed as Franklin India Corporate Debt Fund.</t>
  </si>
  <si>
    <t>Franklin India Government Securities Fund ^</t>
  </si>
  <si>
    <t>^ Effective June 4, 2018, Franklin India Government Securities Fund – Long Term Plan was renamed as Franklin India Government Securities Fund.</t>
  </si>
  <si>
    <t>INE498F07071</t>
  </si>
  <si>
    <t>0.00% Essel Infraprojects Ltd Series II (22-May-2020) (refer note f)</t>
  </si>
  <si>
    <t>INE946S07098</t>
  </si>
  <si>
    <t>INE080T07086</t>
  </si>
  <si>
    <t>INE971Z07141</t>
  </si>
  <si>
    <t>12.65% Rivaaz Trade Ventures Pvt Ltd (07-Nov-2020) !!! (refer note g)</t>
  </si>
  <si>
    <t>!!! Default for part redemption and interest</t>
  </si>
  <si>
    <t>Name of Securities in default beyond its maturity as on March 31, 2021</t>
  </si>
  <si>
    <t>Total Amount outstanding (Incl. Principal &amp; Interest) as on March31, 2021 (Rs In Lakhs)</t>
  </si>
  <si>
    <t>INE498F07063</t>
  </si>
  <si>
    <t>0.00% Essel Infraprojects Ltd Series I (22-May-2020) (refer note f)</t>
  </si>
  <si>
    <t xml:space="preserve">      Retail Plan Growth Option !</t>
  </si>
  <si>
    <t xml:space="preserve">      Retail Plan Daily IDCW Option !</t>
  </si>
  <si>
    <t xml:space="preserve">      Retail Plan Weekly IDCW Option !</t>
  </si>
  <si>
    <t xml:space="preserve">      Institutional Plan Growth Option !</t>
  </si>
  <si>
    <t xml:space="preserve">      Institutional Plan Daily IDCW Option !</t>
  </si>
  <si>
    <t>9.50% Reliance Broadcast Network Ltd (20-Jul-2020) (refer note g)</t>
  </si>
  <si>
    <t>INE080T07094</t>
  </si>
  <si>
    <t>14.15% Future Ideas Co Ltd (31-Jan-2021) !!! (refer note h)</t>
  </si>
  <si>
    <t>INE946S07155</t>
  </si>
  <si>
    <t>13.55% Nufuture Digital (India) Ltd (31-Dec-2020) !!! (refer note h)</t>
  </si>
  <si>
    <t>12.65% Rivaaz Trade Ventures Pvt Ltd (07-Nov-2020) !!! (refer note h)</t>
  </si>
  <si>
    <t xml:space="preserve">      Institutional Plan Growth Option  !</t>
  </si>
  <si>
    <t xml:space="preserve"> ! The sale of units in the main portfolio has been suspended effective October 1, 2012.</t>
  </si>
  <si>
    <t>^ Effective June 4, 2018, Franklin India Monthly Income Plan was renamed as Franklin India Debt Hybrid Fund.</t>
  </si>
  <si>
    <t xml:space="preserve">Franklin India Equity Hybrid Fund ^ </t>
  </si>
  <si>
    <t>^ Effective June 4, 2018 Franklin India Balanced Fund was renamed as Franklin India Equity Hybrid Fund.</t>
  </si>
  <si>
    <t>Templeton India Value Fund ^</t>
  </si>
  <si>
    <t>Brillio Technologies Pvt Ltd ** ^^</t>
  </si>
  <si>
    <t>(b) Unlisted ***</t>
  </si>
  <si>
    <t>f) *** Total value and percentage of illiquid securities is Rs.0.00 Lakh and 0.0000001% of net assets.</t>
  </si>
  <si>
    <t>Chennai Interactive Business Services Pvt Ltd **  ^^</t>
  </si>
  <si>
    <t>f) *** Total value and percentage of illiquid securities is Rs.0.07 Lakh and 0.0001% of net assets.</t>
  </si>
  <si>
    <t>Franklin India Focused Equity Fund ^</t>
  </si>
  <si>
    <t>^ Effective June 4, 2018, Franklin India High Growth Companies Fund was renamed as Franklin India Focused Equity Fund.</t>
  </si>
  <si>
    <t>Franklin India Equity Advantage Fund ^</t>
  </si>
  <si>
    <t>^ Effective June 4, 2018, Franklin India Flexi Cap Fund was renamed as Franklin India Equity Advantage Fund.</t>
  </si>
  <si>
    <t>Yes Bank Ltd ^^</t>
  </si>
  <si>
    <t>f) ^^ Total value and percentage of illiquid securities is Rs.0.00 Lakh and less than 0.00% of net assets.</t>
  </si>
  <si>
    <t>d) *** Total value and percentage of illiquid securities is Rs.0.00 Lakh and less than 0.000001% of net assets.</t>
  </si>
  <si>
    <t>Franklin India Feeder - Templeton European Opportunities Fund ^</t>
  </si>
  <si>
    <t>^ Franklin India Feeder - Franklin European Growth Fund is renamed as Franklin India Feeder - Templeton European Opportunities Fund effective Aug 18, 2020.</t>
  </si>
  <si>
    <t>Franklin India Savings Fund Direct-Growth Plan ^</t>
  </si>
  <si>
    <t>Templeton India Value Fund Direct-Growth Plan ^</t>
  </si>
  <si>
    <t>^ Effective June 4, 2018, Franklin India Savings Plus Fund was renamed as Franklin India Savings Fund.</t>
  </si>
  <si>
    <t>^ Effective June 4, 2018, Templeton India Growth Fund was renamed as Templeton India Value Fund.</t>
  </si>
  <si>
    <t>^ Effective June 4, 2018,  Franklin India Income Builder Account was renamed as Franklin India Corporate Debt Fund.</t>
  </si>
  <si>
    <t>Franklin India Corporate Debt Fund Direct-Growth Plan ^</t>
  </si>
  <si>
    <t>Franklin India Dynamic Asset Allocation Fund Of Funds ^</t>
  </si>
  <si>
    <t>^ Effective October 21, 2019, scheme name of Franklin India Dynamic PE Ratio Fund of Funds was changed to Franklin India Dynamic Asset Allocation Fund of Funds.</t>
  </si>
  <si>
    <t>g) *** Total value and percentage of illiquid securities is Rs.0.03 Lakh and 0.00002% of net assets.</t>
  </si>
  <si>
    <t>f) *** Total value and percentage of illiquid securities is Rs.0.02 Lakh and 0.000002% of net assets.</t>
  </si>
  <si>
    <t xml:space="preserve">      IDCW Option</t>
  </si>
  <si>
    <t xml:space="preserve">      Direct IDCW Option</t>
  </si>
  <si>
    <t>Mutual Fund Units / ETF</t>
  </si>
  <si>
    <t>f) *** Total value and percentage of illiquid securities is Rs.0.10 Lakh and 0.0002% of net assets.</t>
  </si>
  <si>
    <t>Franklin India Debt Hybrid Fund ^ (No. of segregated Portfolio in the scheme - 1)</t>
  </si>
  <si>
    <t>f)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Credit Risk Fund is 2,703.12 Lakhs.</t>
  </si>
  <si>
    <t>g) @@@ Coupons/ part payments/ maturity payments were due to be paid by Nufuture Digital (India) Ltd. &amp; Future Ideas Co Ltd. on July 31, 2020, by Nufuture Digital (India) Ltd on September 02, 2020 and by Future Ideas Co Ltd on September 30, 2020.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t>
  </si>
  <si>
    <t>h) Maturity proceeds from Reliance Big Private Ltd (ISIN: INE333T07063 and INE333T07055) &amp; Reliance Infrastructure Consulting &amp; Engineers Private Ltd (ISIN: INE428K07011) were due on January 14, 2021 and January 15, 2021 respectively. However, the issuers were unable to meet their payment obligations. The securities of the issuer were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</si>
  <si>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f) @@@ On July 31, 2020, coupons/ part payments were due to be paid by Nufuture Digital (India) Ltd. and Future Ideas Co Ltd. and on August 31, 2020 by Rivaaz Trade Ventures Pvt. Ltd. However, these issuers were unable to meet their payment obligations. Due to default in payment, the securities of these issuers are valued at zero basis the AMFI standard haircut matrix. This amount only reflects the realizable value as on the date of disclosure and does not indicate any reduction or write-off of the amount repayable by the issuers.</t>
  </si>
  <si>
    <t>f)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Short Term Income Plan is 5,092.71 Lakhs.</t>
  </si>
  <si>
    <t>g) For ISIN INE445K07106 - 9.50% Reliance Broadcast Network Ltd (20-Jul-2020), the amount due at maturity was not received. For further details refer below link</t>
  </si>
  <si>
    <t>h)  @@@ Coupons/ part payments/ maturity payments were due to be paid by Nufuture Digital (India) Ltd. &amp; Future Ideas Co Ltd. on July 31, 2020, by Rivaaz Trade Ventures Pvt. Ltd &amp; Nufuture Digital (India) Ltd on August 31, 2020, by Nufuture Digital (India) Ltd on September 02, 2020, by Rivaaz Trade Ventures Pvt. Ltd &amp; Nufuture Digital (India) Ltd on September 30, 2020, by Nufuture Digital (India) Ltd., Future Ideas Co Ltd. &amp; Rivaaz Trade Ventures Pvt. Ltd on October 31, 2020, by Rivaaz Trade Ventures Pvt. Ltd on November 7, 2020, by Nufuture Digital (India) Ltd. on November 30, 2020 , by Rivaaz Trade Ventures Pvt. Ltd. on December 30, 2020, by Nufuture Digital (India) Ltd. on December 31, 2020 , by Nufuture Digital (India) Ltd. on January 31, 2021 , by Future Ideas Co Ltd. on January 31, 2021 and by Nufuture Digital (India) Ltd. on March 31, 2021.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t>
  </si>
  <si>
    <t>i) Maturity proceeds from Reliance Big Private Ltd (ISIN: INE333T07048 and INE333T07055) &amp; Reliance Infrastructure Consulting &amp; Engineers Private Ltd (ISIN: INE428K07011) were due on January 14, 2021 and January 15, 2021 respectively. However, the issuers were unable to meet their payment obligations. The securities of the issuer were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</si>
  <si>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j)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</si>
  <si>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 xml:space="preserve">k) For product labeling and risk-o-meter refer the link below </t>
  </si>
  <si>
    <t>f)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Low Duration Fund is 7,643.55 Lakhs.</t>
  </si>
  <si>
    <t>g) Maturity proceeds from Reliance Big Private Ltd (ISIN: INE333T07048) &amp; Reliance Infrastructure Consulting &amp; Engineers Private Ltd (ISIN: INE428K07011) were due on January 14, 2021 and January 15, 2021 respectively. However, the issuers were unable to meet their payment obligations. The securities of the issuer were fair valued at zero on November 4, 2020. Kindly refer note on our website on fair valuation . This fair valued price only reflects the realizable value as on the date of disclosure and does not indicate any reduction or write-off of the amount repayable by the issuers. We continue efforts to recover the maximum value for the benefit of the unitholders.</t>
  </si>
  <si>
    <t>f)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Dynamic Accrual Fund is 639.58 Lakhs.</t>
  </si>
  <si>
    <t>g)  @@@ Coupons/ part payments/ maturity payments were due to be paid by Nufuture Digital (India) Ltd. &amp; Future Ideas Co Ltd. on July 31, 2020, by Rivaaz Trade Ventures Pvt. Ltd on August 31, 2020 , by Nufuture Digital (India) Ltd on September 02, 2020, by Future Ideas Co Ltd &amp; Rivaaz Trade Ventures Pvt. Ltd on September 30, 2020 , by Rivaaz Trade Ventures Pvt. Ltd on October 31, 2020 and by Rivaaz Trade Ventures Pvt. Ltd on November 7, 2020. However, these issuers were unable to meet their payment obligations. Due to default in payment, the securities of these issuers were valued at zero basis the AMFI standard haircut matrix.This amount only reflects the realizable value as on the date of disclosure and does not indicate any reduction or write-off of the amount repayable by the issuers.</t>
  </si>
  <si>
    <t>h) Maturity proceeds from Reliance Big Private Ltd (ISIN: INE333T07063) was due on January 14, 2021. However, the issuer was unable to meet their payment obligations. The security of the issuer was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</si>
  <si>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 xml:space="preserve">g) For product labeling and risk-o-meter refer the link below </t>
  </si>
  <si>
    <t>7.27% GOI 2026 (08-Apr-2026) ##</t>
  </si>
  <si>
    <t>## 30.54% of the Investment in this security by FTMF is placed with Clearing Corporation of India Limited (CCIL) as collateral.</t>
  </si>
  <si>
    <t>12.90% Nufuture Digital (India) Ltd (02-Sep-2020) !!! (refer note g)</t>
  </si>
  <si>
    <t>13.50% Future Ideas Co Ltd (30-Sep-2020) !!! (refer note g)</t>
  </si>
  <si>
    <t>INE333T07063</t>
  </si>
  <si>
    <t>11.49% Reliance Big Pvt Ltd Series II (14-Jan-2021) (refer note h)</t>
  </si>
  <si>
    <t>INE333T07048</t>
  </si>
  <si>
    <t>11.49% Reliance Big Pvt Ltd  Series I (14-Jan-2021) (refer note g)</t>
  </si>
  <si>
    <t>INE428K07011</t>
  </si>
  <si>
    <t>11.49% Reliance Infrastructure Consulting &amp; Engineers Pvt Ltd (15-Jan-2021) (refer note g)</t>
  </si>
  <si>
    <t>12.90% Nufuture Digital (India) Ltd (02-Sep-2020) !!! (refer note h)</t>
  </si>
  <si>
    <t>13.55% Nufuture Digital (India) Ltd (31-Dec-2021) !!! (refer note h)</t>
  </si>
  <si>
    <t>INE971Z07166</t>
  </si>
  <si>
    <t>13.00% Rivaaz Trade Ventures Pvt Ltd (30-Dec-2020) (refer note h)</t>
  </si>
  <si>
    <t>11.49% Reliance Big Pvt Ltd  Series I (14-Jan-2021) (refer note i)</t>
  </si>
  <si>
    <t>INE333T07055</t>
  </si>
  <si>
    <t>11.49% Reliance Big Pvt Ltd Series II (14-Jan-2021) (refer note i)</t>
  </si>
  <si>
    <t>11.49% Reliance Infrastructure Consulting &amp; Engineers Pvt Ltd (15-Jan-2021) (refer note i)</t>
  </si>
  <si>
    <t>11.49% Reliance Big Pvt Ltd Series III (14-Jan-2021) (refer note g)</t>
  </si>
  <si>
    <t>11.49% Reliance Big Pvt Ltd Series III (14-Jan-2021) (refer note h)</t>
  </si>
  <si>
    <t>11.49% Reliance Infrastructure Consulting &amp; Engineers Pvt Ltd (15-Jan-2021) (refer note h)</t>
  </si>
  <si>
    <t>Distribution per unit (Rs.)+++</t>
  </si>
  <si>
    <t>+++ Distribution payouts/ re-investments are subject to deduction of TDS at the applicable rates.</t>
  </si>
  <si>
    <t>Arvind Fashions Ltd - Partly-Paid ##</t>
  </si>
  <si>
    <t xml:space="preserve">      Regular Plan Daily IDCW Reinvestment Option !</t>
  </si>
  <si>
    <t xml:space="preserve">      Regular Plan Weekly IDCW Option !</t>
  </si>
  <si>
    <t xml:space="preserve">      Institutional Plan Weekly IDCW Option !</t>
  </si>
  <si>
    <t xml:space="preserve">      Institutional Plan Daily IDCW Reinvestment Option !</t>
  </si>
  <si>
    <t xml:space="preserve">d) During the month, additional instances of fair valuation/deviation from valuation price provided by the valuation agencies </t>
  </si>
  <si>
    <t>^ Effective June 4, 2018, Franklin India Corporate Bond Opportunities Fund  was renamed as Franklin India Credit Risk Fund.</t>
  </si>
  <si>
    <t>Franklin India Dynamic Accrual Fund (No. of segregated Portfolios in the scheme - 3) - (under winding up) $$$</t>
  </si>
  <si>
    <t>Franklin India Low Duration Fund (No. of segregated Portfolio in the scheme -2) - (under winding up) $$$</t>
  </si>
  <si>
    <t>Franklin India Ultra Short Bond Fund - (No. of segregated Portfolio in the scheme -1) - (under winding up) $$$</t>
  </si>
  <si>
    <t>Franklin India Short-Term Income Plan (No. of segregated Portfolios in the scheme - 3) - (under winding up) $$$</t>
  </si>
  <si>
    <t>Franklin India Income Opportunities Fund (No. of segregated Portfolio in the scheme - 2) - (under winding up) $$$</t>
  </si>
  <si>
    <t>Franklin India Credit Risk Fund (No. of segregated Portfolios in the scheme -3) - (under winding up) $$$ ^</t>
  </si>
  <si>
    <t xml:space="preserve">      Unclaimed IDCW Plan - Growth</t>
  </si>
  <si>
    <t>b) Aggregate Distributions during the Half - year ended 31-Mar-2021</t>
  </si>
  <si>
    <t xml:space="preserve">      Unclaimed IDCW Investor Education Plan - Growth</t>
  </si>
  <si>
    <t>Reliance Industries Ltd (29-Jun-2021) @</t>
  </si>
  <si>
    <t>Franklin India Short-Term Income Plan (No. of Segregated Portfolios in the Scheme- 3) - (under winding up) Direct-Growth Plan ^^ $$$</t>
  </si>
  <si>
    <t>Franklin India Dynamic Accrual Fund (No. of Segregated Portfolios in the Scheme- 3) - (under winding up) Direct-Growth Plan ^^ $$$</t>
  </si>
  <si>
    <t>$$$ This scheme is under winding-up and SBI Funds Management Private Limited has been appointed as the liquidator as per the order of Hon'ble Supreme Court dated February 12,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</si>
</sst>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0"/>
    <numFmt numFmtId="165" formatCode="#,##0.00%"/>
    <numFmt numFmtId="166" formatCode="#,##0.00000000"/>
    <numFmt numFmtId="167" formatCode="#,##0.000000;\-#,##0.000000"/>
    <numFmt numFmtId="168" formatCode="#,##0.0000000;\-#,##0.0000000"/>
    <numFmt numFmtId="169" formatCode="#,##0.0000000000;\-#,##0.0000000000"/>
  </numFmts>
  <fonts count="13" x14ac:knownFonts="1">
    <font>
      <sz val="11"/>
      <color theme="1"/>
      <name val="Calibri"/>
      <family val="2"/>
      <scheme val="minor"/>
    </font>
    <font>
      <b/>
      <sz val="9"/>
      <name val="Arial"/>
      <family val="2"/>
    </font>
    <font>
      <sz val="9"/>
      <name val="Arial"/>
      <family val="2"/>
    </font>
    <font>
      <b/>
      <sz val="8"/>
      <name val="Arial"/>
      <family val="2"/>
    </font>
    <font>
      <b/>
      <sz val="11"/>
      <color indexed="63"/>
      <name val="Arial"/>
      <family val="2"/>
    </font>
    <font>
      <sz val="9"/>
      <color theme="1"/>
      <name val="Arial"/>
      <family val="2"/>
    </font>
    <font>
      <b/>
      <sz val="8"/>
      <color theme="1"/>
      <name val="Arial"/>
      <family val="2"/>
    </font>
    <font>
      <sz val="8"/>
      <color theme="1"/>
      <name val="Arial"/>
      <family val="2"/>
    </font>
    <font>
      <u/>
      <sz val="11"/>
      <color theme="10"/>
      <name val="Calibri"/>
      <family val="2"/>
      <scheme val="minor"/>
    </font>
    <font>
      <sz val="8"/>
      <name val="Arial"/>
      <family val="2"/>
    </font>
    <font>
      <u/>
      <sz val="8"/>
      <color theme="10"/>
      <name val="Arial"/>
      <family val="2"/>
    </font>
    <font>
      <sz val="11"/>
      <color theme="1"/>
      <name val="Calibri"/>
      <family val="2"/>
      <scheme val="minor"/>
    </font>
    <font>
      <b/>
      <sz val="9"/>
      <color theme="1"/>
      <name val="Arial"/>
      <family val="2"/>
    </font>
  </fonts>
  <fills count="5">
    <fill>
      <patternFill patternType="none"/>
    </fill>
    <fill>
      <patternFill patternType="gray125"/>
    </fill>
    <fill>
      <patternFill patternType="solid">
        <fgColor indexed="65"/>
        <bgColor indexed="64"/>
      </patternFill>
    </fill>
    <fill>
      <patternFill patternType="solid">
        <fgColor theme="0"/>
        <bgColor indexed="64"/>
      </patternFill>
    </fill>
    <fill>
      <patternFill patternType="solid">
        <fgColor theme="0" tint="-0.249977111117893"/>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8" fillId="0" borderId="0" applyNumberFormat="0" applyFill="0" applyBorder="0" applyAlignment="0" applyProtection="0"/>
    <xf numFmtId="9" fontId="11" fillId="0" borderId="0" applyFont="0" applyFill="0" applyBorder="0" applyAlignment="0" applyProtection="0"/>
  </cellStyleXfs>
  <cellXfs count="105">
    <xf numFmtId="0" fontId="0" fillId="0" borderId="0" xfId="0"/>
    <xf numFmtId="0" fontId="5" fillId="2" borderId="0" xfId="0" applyFont="1" applyFill="1"/>
    <xf numFmtId="0" fontId="1" fillId="2" borderId="0" xfId="0" applyFont="1" applyFill="1" applyAlignment="1">
      <alignment horizontal="left" vertical="top" wrapText="1"/>
    </xf>
    <xf numFmtId="0" fontId="2" fillId="2" borderId="0" xfId="0" applyFont="1" applyFill="1" applyAlignment="1">
      <alignment horizontal="left" vertical="top" wrapText="1"/>
    </xf>
    <xf numFmtId="0" fontId="2" fillId="2" borderId="0" xfId="0" applyNumberFormat="1" applyFont="1" applyFill="1" applyAlignment="1">
      <alignment horizontal="left" vertical="top" wrapText="1"/>
    </xf>
    <xf numFmtId="4" fontId="2" fillId="2" borderId="0" xfId="0" applyNumberFormat="1" applyFont="1" applyFill="1" applyAlignment="1">
      <alignment horizontal="left" vertical="top" wrapText="1"/>
    </xf>
    <xf numFmtId="0" fontId="5" fillId="2" borderId="0" xfId="0" applyNumberFormat="1" applyFont="1" applyFill="1"/>
    <xf numFmtId="4" fontId="5" fillId="2" borderId="0" xfId="0" applyNumberFormat="1" applyFont="1" applyFill="1"/>
    <xf numFmtId="0" fontId="6" fillId="0" borderId="1" xfId="0" applyFont="1" applyBorder="1" applyAlignment="1">
      <alignment vertical="center"/>
    </xf>
    <xf numFmtId="0" fontId="7" fillId="2" borderId="0" xfId="0" applyFont="1" applyFill="1"/>
    <xf numFmtId="0" fontId="7" fillId="2" borderId="0" xfId="0" applyNumberFormat="1" applyFont="1" applyFill="1"/>
    <xf numFmtId="0" fontId="3" fillId="2" borderId="0" xfId="0" applyFont="1" applyFill="1" applyAlignment="1">
      <alignment horizontal="left" vertical="top"/>
    </xf>
    <xf numFmtId="4" fontId="7" fillId="3" borderId="0" xfId="0" applyNumberFormat="1" applyFont="1" applyFill="1" applyBorder="1"/>
    <xf numFmtId="39" fontId="7" fillId="2" borderId="0" xfId="0" applyNumberFormat="1" applyFont="1" applyFill="1"/>
    <xf numFmtId="39" fontId="7" fillId="3" borderId="0" xfId="0" applyNumberFormat="1" applyFont="1" applyFill="1" applyBorder="1"/>
    <xf numFmtId="2" fontId="6" fillId="0" borderId="1" xfId="0" applyNumberFormat="1" applyFont="1" applyBorder="1" applyAlignment="1">
      <alignment horizontal="center" vertical="center"/>
    </xf>
    <xf numFmtId="0" fontId="6" fillId="0" borderId="1" xfId="0" applyNumberFormat="1" applyFont="1" applyBorder="1" applyAlignment="1">
      <alignment horizontal="center" vertical="center"/>
    </xf>
    <xf numFmtId="0" fontId="6" fillId="0" borderId="1" xfId="0" applyFont="1" applyBorder="1" applyAlignment="1">
      <alignment horizontal="center" vertical="center"/>
    </xf>
    <xf numFmtId="0" fontId="6" fillId="2" borderId="0" xfId="0" applyFont="1" applyFill="1"/>
    <xf numFmtId="0" fontId="6" fillId="2" borderId="0" xfId="0" applyNumberFormat="1" applyFont="1" applyFill="1"/>
    <xf numFmtId="39" fontId="6" fillId="3" borderId="0" xfId="0" applyNumberFormat="1" applyFont="1" applyFill="1" applyBorder="1"/>
    <xf numFmtId="0" fontId="6" fillId="2" borderId="3" xfId="0" applyFont="1" applyFill="1" applyBorder="1"/>
    <xf numFmtId="0" fontId="7" fillId="2" borderId="3" xfId="0" applyFont="1" applyFill="1" applyBorder="1"/>
    <xf numFmtId="0" fontId="7" fillId="2" borderId="3" xfId="0" applyNumberFormat="1" applyFont="1" applyFill="1" applyBorder="1"/>
    <xf numFmtId="39" fontId="7" fillId="2" borderId="3" xfId="0" applyNumberFormat="1" applyFont="1" applyFill="1" applyBorder="1"/>
    <xf numFmtId="39" fontId="7" fillId="3" borderId="3" xfId="0" applyNumberFormat="1" applyFont="1" applyFill="1" applyBorder="1"/>
    <xf numFmtId="0" fontId="6" fillId="2" borderId="4" xfId="0" applyFont="1" applyFill="1" applyBorder="1"/>
    <xf numFmtId="0" fontId="7" fillId="2" borderId="4" xfId="0" applyFont="1" applyFill="1" applyBorder="1"/>
    <xf numFmtId="0" fontId="7" fillId="2" borderId="4" xfId="0" applyNumberFormat="1" applyFont="1" applyFill="1" applyBorder="1"/>
    <xf numFmtId="39" fontId="7" fillId="2" borderId="4" xfId="0" applyNumberFormat="1" applyFont="1" applyFill="1" applyBorder="1"/>
    <xf numFmtId="39" fontId="7" fillId="3" borderId="4" xfId="0" applyNumberFormat="1" applyFont="1" applyFill="1" applyBorder="1"/>
    <xf numFmtId="3" fontId="7" fillId="2" borderId="4" xfId="0" applyNumberFormat="1" applyFont="1" applyFill="1" applyBorder="1"/>
    <xf numFmtId="0" fontId="6" fillId="2" borderId="4" xfId="0" applyNumberFormat="1" applyFont="1" applyFill="1" applyBorder="1"/>
    <xf numFmtId="39" fontId="6" fillId="2" borderId="4" xfId="0" applyNumberFormat="1" applyFont="1" applyFill="1" applyBorder="1"/>
    <xf numFmtId="39" fontId="6" fillId="3" borderId="4" xfId="0" applyNumberFormat="1" applyFont="1" applyFill="1" applyBorder="1"/>
    <xf numFmtId="0" fontId="6" fillId="2" borderId="5" xfId="0" applyFont="1" applyFill="1" applyBorder="1"/>
    <xf numFmtId="0" fontId="6" fillId="2" borderId="5" xfId="0" applyNumberFormat="1" applyFont="1" applyFill="1" applyBorder="1"/>
    <xf numFmtId="39" fontId="6" fillId="2" borderId="5" xfId="0" applyNumberFormat="1" applyFont="1" applyFill="1" applyBorder="1"/>
    <xf numFmtId="39" fontId="6" fillId="3" borderId="5" xfId="0" applyNumberFormat="1" applyFont="1" applyFill="1" applyBorder="1"/>
    <xf numFmtId="0" fontId="6" fillId="2" borderId="0" xfId="0" applyFont="1" applyFill="1" applyAlignment="1">
      <alignment horizontal="right"/>
    </xf>
    <xf numFmtId="164" fontId="7" fillId="2" borderId="0" xfId="0" applyNumberFormat="1" applyFont="1" applyFill="1"/>
    <xf numFmtId="0" fontId="6" fillId="2" borderId="0" xfId="0" applyNumberFormat="1" applyFont="1" applyFill="1" applyAlignment="1">
      <alignment horizontal="right"/>
    </xf>
    <xf numFmtId="4" fontId="7" fillId="2" borderId="0" xfId="0" applyNumberFormat="1" applyFont="1" applyFill="1"/>
    <xf numFmtId="0" fontId="8" fillId="2" borderId="0" xfId="1" applyFill="1"/>
    <xf numFmtId="0" fontId="6" fillId="2" borderId="1" xfId="0" applyFont="1" applyFill="1" applyBorder="1" applyAlignment="1">
      <alignment horizontal="center"/>
    </xf>
    <xf numFmtId="164" fontId="7" fillId="2" borderId="1" xfId="0" applyNumberFormat="1" applyFont="1" applyFill="1" applyBorder="1"/>
    <xf numFmtId="165" fontId="7" fillId="2" borderId="0" xfId="0" applyNumberFormat="1" applyFont="1" applyFill="1"/>
    <xf numFmtId="2" fontId="6" fillId="0" borderId="1" xfId="0" applyNumberFormat="1" applyFont="1" applyBorder="1" applyAlignment="1">
      <alignment horizontal="center" vertical="center" wrapText="1"/>
    </xf>
    <xf numFmtId="0" fontId="6" fillId="3" borderId="0" xfId="0" applyFont="1" applyFill="1"/>
    <xf numFmtId="0" fontId="9" fillId="3" borderId="0" xfId="0" applyFont="1" applyFill="1" applyAlignment="1">
      <alignment horizontal="right"/>
    </xf>
    <xf numFmtId="0" fontId="10" fillId="2" borderId="0" xfId="1" applyFont="1" applyFill="1"/>
    <xf numFmtId="0" fontId="7" fillId="2" borderId="4" xfId="0" applyFont="1" applyFill="1" applyBorder="1" applyAlignment="1">
      <alignment wrapText="1"/>
    </xf>
    <xf numFmtId="0" fontId="7" fillId="0" borderId="4" xfId="0" applyFont="1" applyFill="1" applyBorder="1"/>
    <xf numFmtId="3" fontId="7" fillId="0" borderId="4" xfId="0" applyNumberFormat="1" applyFont="1" applyFill="1" applyBorder="1"/>
    <xf numFmtId="39" fontId="7" fillId="0" borderId="4" xfId="0" applyNumberFormat="1" applyFont="1" applyFill="1" applyBorder="1"/>
    <xf numFmtId="0" fontId="10" fillId="0" borderId="0" xfId="1" applyFont="1" applyAlignment="1">
      <alignment vertical="center"/>
    </xf>
    <xf numFmtId="0" fontId="12" fillId="2" borderId="0" xfId="0" applyFont="1" applyFill="1"/>
    <xf numFmtId="0" fontId="6" fillId="2" borderId="0" xfId="0" quotePrefix="1" applyFont="1" applyFill="1" applyAlignment="1">
      <alignment horizontal="justify" vertical="top" wrapText="1"/>
    </xf>
    <xf numFmtId="0" fontId="10" fillId="3" borderId="0" xfId="1" applyFont="1" applyFill="1" applyBorder="1"/>
    <xf numFmtId="0" fontId="6" fillId="3" borderId="0" xfId="0" applyFont="1" applyFill="1" applyBorder="1" applyAlignment="1">
      <alignment horizontal="justify" vertical="top" wrapText="1"/>
    </xf>
    <xf numFmtId="0" fontId="6" fillId="2" borderId="0" xfId="0" applyFont="1" applyFill="1" applyAlignment="1">
      <alignment horizontal="justify" vertical="top" wrapText="1"/>
    </xf>
    <xf numFmtId="4" fontId="7" fillId="2" borderId="4" xfId="0" applyNumberFormat="1" applyFont="1" applyFill="1" applyBorder="1"/>
    <xf numFmtId="4" fontId="6" fillId="3" borderId="4" xfId="0" applyNumberFormat="1" applyFont="1" applyFill="1" applyBorder="1"/>
    <xf numFmtId="4" fontId="7" fillId="3" borderId="4" xfId="0" applyNumberFormat="1" applyFont="1" applyFill="1" applyBorder="1"/>
    <xf numFmtId="4" fontId="6" fillId="3" borderId="5" xfId="0" applyNumberFormat="1" applyFont="1" applyFill="1" applyBorder="1"/>
    <xf numFmtId="0" fontId="7" fillId="3" borderId="0" xfId="0" applyFont="1" applyFill="1"/>
    <xf numFmtId="0" fontId="7" fillId="3" borderId="0" xfId="0" applyNumberFormat="1" applyFont="1" applyFill="1"/>
    <xf numFmtId="0" fontId="10" fillId="3" borderId="0" xfId="1" applyFont="1" applyFill="1"/>
    <xf numFmtId="0" fontId="6" fillId="3" borderId="0" xfId="0" quotePrefix="1" applyFont="1" applyFill="1"/>
    <xf numFmtId="39" fontId="7" fillId="3" borderId="0" xfId="0" applyNumberFormat="1" applyFont="1" applyFill="1"/>
    <xf numFmtId="0" fontId="6" fillId="0" borderId="0" xfId="0" applyFont="1" applyFill="1"/>
    <xf numFmtId="166" fontId="6" fillId="2" borderId="0" xfId="0" applyNumberFormat="1" applyFont="1" applyFill="1"/>
    <xf numFmtId="167" fontId="7" fillId="2" borderId="0" xfId="0" applyNumberFormat="1" applyFont="1" applyFill="1"/>
    <xf numFmtId="168" fontId="7" fillId="2" borderId="0" xfId="0" applyNumberFormat="1" applyFont="1" applyFill="1"/>
    <xf numFmtId="169" fontId="7" fillId="2" borderId="0" xfId="0" applyNumberFormat="1" applyFont="1" applyFill="1"/>
    <xf numFmtId="0" fontId="7" fillId="3" borderId="0" xfId="0" applyFont="1" applyFill="1" applyBorder="1"/>
    <xf numFmtId="10" fontId="7" fillId="3" borderId="0" xfId="2" applyNumberFormat="1" applyFont="1" applyFill="1" applyBorder="1"/>
    <xf numFmtId="0" fontId="7" fillId="2" borderId="0" xfId="0" applyFont="1" applyFill="1" applyBorder="1"/>
    <xf numFmtId="0" fontId="6" fillId="0" borderId="1" xfId="0" applyFont="1" applyFill="1" applyBorder="1" applyAlignment="1">
      <alignment vertical="center"/>
    </xf>
    <xf numFmtId="0" fontId="6" fillId="0" borderId="1" xfId="0" applyFont="1" applyFill="1" applyBorder="1" applyAlignment="1">
      <alignment vertical="center" wrapText="1"/>
    </xf>
    <xf numFmtId="0" fontId="7" fillId="0" borderId="1" xfId="0" applyFont="1" applyFill="1" applyBorder="1"/>
    <xf numFmtId="4" fontId="7" fillId="0" borderId="1" xfId="0" applyNumberFormat="1" applyFont="1" applyFill="1" applyBorder="1"/>
    <xf numFmtId="10" fontId="7" fillId="0" borderId="1" xfId="2" applyNumberFormat="1" applyFont="1" applyFill="1" applyBorder="1"/>
    <xf numFmtId="0" fontId="7" fillId="2" borderId="0" xfId="0" applyNumberFormat="1" applyFont="1" applyFill="1" applyBorder="1"/>
    <xf numFmtId="39" fontId="7" fillId="2" borderId="0" xfId="0" applyNumberFormat="1" applyFont="1" applyFill="1" applyBorder="1"/>
    <xf numFmtId="0" fontId="6" fillId="2" borderId="0" xfId="0" applyFont="1" applyFill="1" applyAlignment="1">
      <alignment wrapText="1"/>
    </xf>
    <xf numFmtId="0" fontId="0" fillId="0" borderId="0" xfId="0" applyAlignment="1">
      <alignment wrapText="1"/>
    </xf>
    <xf numFmtId="0" fontId="0" fillId="0" borderId="0" xfId="0" applyBorder="1" applyAlignment="1">
      <alignment wrapText="1"/>
    </xf>
    <xf numFmtId="0" fontId="7" fillId="2" borderId="6" xfId="0" applyFont="1" applyFill="1" applyBorder="1"/>
    <xf numFmtId="0" fontId="7" fillId="2" borderId="7" xfId="0" applyFont="1" applyFill="1" applyBorder="1"/>
    <xf numFmtId="0" fontId="6" fillId="2" borderId="0" xfId="0" applyFont="1" applyFill="1" applyAlignment="1">
      <alignment vertical="top" wrapText="1"/>
    </xf>
    <xf numFmtId="0" fontId="0" fillId="0" borderId="0" xfId="0" applyAlignment="1">
      <alignment vertical="top" wrapText="1"/>
    </xf>
    <xf numFmtId="0" fontId="4" fillId="4" borderId="2" xfId="0" applyFont="1" applyFill="1" applyBorder="1" applyAlignment="1">
      <alignment horizontal="center" vertical="center" wrapText="1"/>
    </xf>
    <xf numFmtId="0" fontId="4" fillId="4" borderId="0" xfId="0" applyFont="1" applyFill="1" applyBorder="1" applyAlignment="1">
      <alignment horizontal="center" vertical="center" wrapText="1"/>
    </xf>
    <xf numFmtId="0" fontId="6" fillId="2" borderId="6" xfId="0" applyFont="1" applyFill="1" applyBorder="1"/>
    <xf numFmtId="0" fontId="6" fillId="2" borderId="7" xfId="0" applyFont="1" applyFill="1" applyBorder="1"/>
    <xf numFmtId="0" fontId="6" fillId="2" borderId="0" xfId="0" applyFont="1" applyFill="1" applyAlignment="1">
      <alignment horizontal="left" vertical="top" wrapText="1"/>
    </xf>
    <xf numFmtId="0" fontId="6" fillId="2" borderId="0" xfId="0" applyFont="1" applyFill="1" applyAlignment="1">
      <alignment horizontal="left" wrapText="1"/>
    </xf>
    <xf numFmtId="0" fontId="6" fillId="2" borderId="0" xfId="0" applyFont="1" applyFill="1" applyAlignment="1">
      <alignment wrapText="1"/>
    </xf>
    <xf numFmtId="0" fontId="0" fillId="0" borderId="0" xfId="0" applyAlignment="1">
      <alignment wrapText="1"/>
    </xf>
    <xf numFmtId="0" fontId="6" fillId="0" borderId="0" xfId="0" applyFont="1" applyFill="1" applyAlignment="1">
      <alignment horizontal="justify" vertical="top" wrapText="1"/>
    </xf>
    <xf numFmtId="0" fontId="6" fillId="2" borderId="0" xfId="0" quotePrefix="1" applyFont="1" applyFill="1" applyAlignment="1">
      <alignment horizontal="justify" vertical="top" wrapText="1"/>
    </xf>
    <xf numFmtId="0" fontId="6" fillId="2" borderId="0" xfId="0" applyFont="1" applyFill="1" applyAlignment="1">
      <alignment horizontal="justify" vertical="top" wrapText="1"/>
    </xf>
    <xf numFmtId="0" fontId="6" fillId="3" borderId="0" xfId="0" applyFont="1" applyFill="1" applyBorder="1" applyAlignment="1">
      <alignment horizontal="justify" vertical="top" wrapText="1"/>
    </xf>
    <xf numFmtId="0" fontId="6" fillId="2" borderId="0" xfId="0" applyFont="1" applyFill="1" applyAlignment="1">
      <alignment horizontal="justify" vertical="top"/>
    </xf>
  </cellXfs>
  <cellStyles count="3">
    <cellStyle name="Hyperlink" xfId="1" builtinId="8"/>
    <cellStyle name="Normal" xfId="0" builtinId="0"/>
    <cellStyle name="Percent" xfId="2" builtinId="5"/>
  </cellStyles>
  <dxfs count="190">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
      <numFmt numFmtId="170" formatCode="&quot;0.00*&quo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61" Type="http://schemas.openxmlformats.org/officeDocument/2006/relationships/worksheet" Target="worksheets/sheet6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franklintempletonindia.com/downloadsServlet/pdf/product-labels-jg9o5k7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franklintempletonindia.com/downloadsServlet/pdf/product-labels-jg9o5k7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franklintempletonindia.com/downloadsServlet/pdf/product-labels-jg9o5k7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franklintempletonindia.com/downloadsServlet/pdf/product-labels-jg9o5k7l" TargetMode="Externa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www.franklintempletonindia.com/downloadsServlet/pdf/product-labels-jg9o5k7l" TargetMode="External"/><Relationship Id="rId1" Type="http://schemas.openxmlformats.org/officeDocument/2006/relationships/hyperlink" Target="https://www.franklintempletonindia.com/downloadsServlet/pdf/franklin-templeton-update-on-reliance-broadcast-july-23-2020-kcg9m1gq"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franklintempletonindia.com/downloadsServlet/pdf/product-labels-jg9o5k7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www.franklintempletonindia.com/downloadsServlet/pdf/product-labels-jg9o5k7l"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www.franklintempletonindia.com/downloadsServlet/pdf/product-labels-jg9o5k7l"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s://www.franklintempletonindia.com/downloadsServlet/pdf/product-labels-jg9o5k7l"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www.franklintempletonindia.com/downloadsServlet/pdf/product-labels-jg9o5k7l"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s://www.franklintempletonindia.com/downloadsServlet/pdf/product-labels-jg9o5k7l"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s://www.franklintempletonindia.com/downloadsServlet/pdf/product-labels-jg9o5k7l" TargetMode="Externa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s://www.franklintempletonindia.com/downloadsServlet/pdf/product-labels-jg9o5k7l"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s://www.franklintempletonindia.com/downloadsServlet/pdf/product-labels-jg9o5k7l" TargetMode="Externa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franklintempletonindia.com/downloadsServlet/pdf/product-labels-jg9o5k7l"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s://www.franklintempletonindia.com/downloadsServlet/pdf/product-labels-jg9o5k7l"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s://www.franklintempletonindia.com/downloadsServlet/pdf/product-labels-jg9o5k7l" TargetMode="Externa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https://www.franklintempletonindia.com/downloadsServlet/pdf/product-labels-jg9o5k7l"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www.franklintempletonindia.com/downloadsServlet/pdf/product-labels-jg9o5k7l" TargetMode="Externa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https://www.franklintempletonindia.com/downloadsServlet/pdf/product-labels-jg9o5k7l" TargetMode="External"/></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21.bin"/><Relationship Id="rId1" Type="http://schemas.openxmlformats.org/officeDocument/2006/relationships/hyperlink" Target="https://www.franklintempletonindia.com/downloadsServlet/pdf/product-labels-jg9o5k7l" TargetMode="External"/></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hyperlink" Target="https://www.franklintempletonindia.com/downloadsServlet/pdf/product-labels-jg9o5k7l" TargetMode="External"/></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23.bin"/><Relationship Id="rId1" Type="http://schemas.openxmlformats.org/officeDocument/2006/relationships/hyperlink" Target="https://www.franklintempletonindia.com/downloadsServlet/pdf/product-labels-jg9o5k7l" TargetMode="External"/></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hyperlink" Target="https://www.franklintempletonindia.com/downloadsServlet/pdf/product-labels-jg9o5k7l" TargetMode="External"/></Relationships>
</file>

<file path=xl/worksheets/_rels/sheet25.xml.rels><?xml version="1.0" encoding="UTF-8" standalone="yes"?>
<Relationships xmlns="http://schemas.openxmlformats.org/package/2006/relationships"><Relationship Id="rId2" Type="http://schemas.openxmlformats.org/officeDocument/2006/relationships/printerSettings" Target="../printerSettings/printerSettings25.bin"/><Relationship Id="rId1" Type="http://schemas.openxmlformats.org/officeDocument/2006/relationships/hyperlink" Target="https://www.franklintempletonindia.com/downloadsServlet/pdf/product-labels-jg9o5k7l" TargetMode="External"/></Relationships>
</file>

<file path=xl/worksheets/_rels/sheet26.xml.rels><?xml version="1.0" encoding="UTF-8" standalone="yes"?>
<Relationships xmlns="http://schemas.openxmlformats.org/package/2006/relationships"><Relationship Id="rId2" Type="http://schemas.openxmlformats.org/officeDocument/2006/relationships/printerSettings" Target="../printerSettings/printerSettings26.bin"/><Relationship Id="rId1" Type="http://schemas.openxmlformats.org/officeDocument/2006/relationships/hyperlink" Target="https://www.franklintempletonindia.com/downloadsServlet/pdf/product-labels-jg9o5k7l" TargetMode="External"/></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hyperlink" Target="https://www.franklintempletonindia.com/downloadsServlet/pdf/product-labels-jg9o5k7l" TargetMode="External"/></Relationships>
</file>

<file path=xl/worksheets/_rels/sheet28.xml.rels><?xml version="1.0" encoding="UTF-8" standalone="yes"?>
<Relationships xmlns="http://schemas.openxmlformats.org/package/2006/relationships"><Relationship Id="rId2" Type="http://schemas.openxmlformats.org/officeDocument/2006/relationships/printerSettings" Target="../printerSettings/printerSettings28.bin"/><Relationship Id="rId1" Type="http://schemas.openxmlformats.org/officeDocument/2006/relationships/hyperlink" Target="https://www.franklintempletonindia.com/downloadsServlet/pdf/product-labels-jg9o5k7l" TargetMode="External"/></Relationships>
</file>

<file path=xl/worksheets/_rels/sheet29.xml.rels><?xml version="1.0" encoding="UTF-8" standalone="yes"?>
<Relationships xmlns="http://schemas.openxmlformats.org/package/2006/relationships"><Relationship Id="rId2" Type="http://schemas.openxmlformats.org/officeDocument/2006/relationships/printerSettings" Target="../printerSettings/printerSettings29.bin"/><Relationship Id="rId1" Type="http://schemas.openxmlformats.org/officeDocument/2006/relationships/hyperlink" Target="https://www.franklintempletonindia.com/downloadsServlet/pdf/product-labels-jg9o5k7l" TargetMode="External"/></Relationships>
</file>

<file path=xl/worksheets/_rels/sheet30.xml.rels><?xml version="1.0" encoding="UTF-8" standalone="yes"?>
<Relationships xmlns="http://schemas.openxmlformats.org/package/2006/relationships"><Relationship Id="rId2" Type="http://schemas.openxmlformats.org/officeDocument/2006/relationships/printerSettings" Target="../printerSettings/printerSettings30.bin"/><Relationship Id="rId1" Type="http://schemas.openxmlformats.org/officeDocument/2006/relationships/hyperlink" Target="https://www.franklintempletonindia.com/downloadsServlet/pdf/product-labels-jg9o5k7l" TargetMode="External"/></Relationships>
</file>

<file path=xl/worksheets/_rels/sheet31.xml.rels><?xml version="1.0" encoding="UTF-8" standalone="yes"?>
<Relationships xmlns="http://schemas.openxmlformats.org/package/2006/relationships"><Relationship Id="rId2" Type="http://schemas.openxmlformats.org/officeDocument/2006/relationships/printerSettings" Target="../printerSettings/printerSettings31.bin"/><Relationship Id="rId1" Type="http://schemas.openxmlformats.org/officeDocument/2006/relationships/hyperlink" Target="https://www.franklintempletonindia.com/downloadsServlet/pdf/product-labels-jg9o5k7l" TargetMode="External"/></Relationships>
</file>

<file path=xl/worksheets/_rels/sheet32.xml.rels><?xml version="1.0" encoding="UTF-8" standalone="yes"?>
<Relationships xmlns="http://schemas.openxmlformats.org/package/2006/relationships"><Relationship Id="rId2" Type="http://schemas.openxmlformats.org/officeDocument/2006/relationships/printerSettings" Target="../printerSettings/printerSettings32.bin"/><Relationship Id="rId1" Type="http://schemas.openxmlformats.org/officeDocument/2006/relationships/hyperlink" Target="https://www.franklintempletonindia.com/downloadsServlet/pdf/product-labels-jg9o5k7l" TargetMode="External"/></Relationships>
</file>

<file path=xl/worksheets/_rels/sheet33.xml.rels><?xml version="1.0" encoding="UTF-8" standalone="yes"?>
<Relationships xmlns="http://schemas.openxmlformats.org/package/2006/relationships"><Relationship Id="rId3" Type="http://schemas.openxmlformats.org/officeDocument/2006/relationships/printerSettings" Target="../printerSettings/printerSettings33.bin"/><Relationship Id="rId2" Type="http://schemas.openxmlformats.org/officeDocument/2006/relationships/hyperlink" Target="https://www.franklintempletonindia.com/investor/reports?firstFilter-4" TargetMode="External"/><Relationship Id="rId1" Type="http://schemas.openxmlformats.org/officeDocument/2006/relationships/hyperlink" Target="https://www.franklintempletonindia.com/downloadsServlet/pdf/product-labels-jg9o5k7l" TargetMode="External"/></Relationships>
</file>

<file path=xl/worksheets/_rels/sheet34.xml.rels><?xml version="1.0" encoding="UTF-8" standalone="yes"?>
<Relationships xmlns="http://schemas.openxmlformats.org/package/2006/relationships"><Relationship Id="rId2" Type="http://schemas.openxmlformats.org/officeDocument/2006/relationships/printerSettings" Target="../printerSettings/printerSettings34.bin"/><Relationship Id="rId1" Type="http://schemas.openxmlformats.org/officeDocument/2006/relationships/hyperlink" Target="https://www.franklintempletonindia.com/downloadsServlet/pdf/product-labels-jg9o5k7l" TargetMode="External"/></Relationships>
</file>

<file path=xl/worksheets/_rels/sheet35.xml.rels><?xml version="1.0" encoding="UTF-8" standalone="yes"?>
<Relationships xmlns="http://schemas.openxmlformats.org/package/2006/relationships"><Relationship Id="rId2" Type="http://schemas.openxmlformats.org/officeDocument/2006/relationships/printerSettings" Target="../printerSettings/printerSettings35.bin"/><Relationship Id="rId1" Type="http://schemas.openxmlformats.org/officeDocument/2006/relationships/hyperlink" Target="https://www.franklintempletonindia.com/downloadsServlet/pdf/product-labels-jg9o5k7l" TargetMode="External"/></Relationships>
</file>

<file path=xl/worksheets/_rels/sheet36.xml.rels><?xml version="1.0" encoding="UTF-8" standalone="yes"?>
<Relationships xmlns="http://schemas.openxmlformats.org/package/2006/relationships"><Relationship Id="rId3" Type="http://schemas.openxmlformats.org/officeDocument/2006/relationships/printerSettings" Target="../printerSettings/printerSettings36.bin"/><Relationship Id="rId2" Type="http://schemas.openxmlformats.org/officeDocument/2006/relationships/hyperlink" Target="https://www.franklintempletonindia.com/downloadsServlet/pdf/product-labels-jg9o5k7l" TargetMode="External"/><Relationship Id="rId1" Type="http://schemas.openxmlformats.org/officeDocument/2006/relationships/hyperlink" Target="https://www.franklintempletonindia.com/investor/reports?firstFilter-4" TargetMode="External"/></Relationships>
</file>

<file path=xl/worksheets/_rels/sheet37.xml.rels><?xml version="1.0" encoding="UTF-8" standalone="yes"?>
<Relationships xmlns="http://schemas.openxmlformats.org/package/2006/relationships"><Relationship Id="rId2" Type="http://schemas.openxmlformats.org/officeDocument/2006/relationships/printerSettings" Target="../printerSettings/printerSettings37.bin"/><Relationship Id="rId1" Type="http://schemas.openxmlformats.org/officeDocument/2006/relationships/hyperlink" Target="https://www.franklintempletonindia.com/downloadsServlet/pdf/product-labels-jg9o5k7l" TargetMode="External"/></Relationships>
</file>

<file path=xl/worksheets/_rels/sheet38.xml.rels><?xml version="1.0" encoding="UTF-8" standalone="yes"?>
<Relationships xmlns="http://schemas.openxmlformats.org/package/2006/relationships"><Relationship Id="rId3" Type="http://schemas.openxmlformats.org/officeDocument/2006/relationships/printerSettings" Target="../printerSettings/printerSettings38.bin"/><Relationship Id="rId2" Type="http://schemas.openxmlformats.org/officeDocument/2006/relationships/hyperlink" Target="https://www.franklintempletonindia.com/downloadsServlet/pdf/product-labels-jg9o5k7l" TargetMode="External"/><Relationship Id="rId1" Type="http://schemas.openxmlformats.org/officeDocument/2006/relationships/hyperlink" Target="https://www.franklintempletonindia.com/investor/reports?firstFilter-4" TargetMode="External"/></Relationships>
</file>

<file path=xl/worksheets/_rels/sheet39.xml.rels><?xml version="1.0" encoding="UTF-8" standalone="yes"?>
<Relationships xmlns="http://schemas.openxmlformats.org/package/2006/relationships"><Relationship Id="rId3" Type="http://schemas.openxmlformats.org/officeDocument/2006/relationships/printerSettings" Target="../printerSettings/printerSettings39.bin"/><Relationship Id="rId2" Type="http://schemas.openxmlformats.org/officeDocument/2006/relationships/hyperlink" Target="https://www.franklintempletonindia.com/downloadsServlet/pdf/product-labels-jg9o5k7l" TargetMode="External"/><Relationship Id="rId1" Type="http://schemas.openxmlformats.org/officeDocument/2006/relationships/hyperlink" Target="https://www.franklintempletonindia.com/investor/reports?firstFilter-4" TargetMode="External"/></Relationships>
</file>

<file path=xl/worksheets/_rels/sheet40.xml.rels><?xml version="1.0" encoding="UTF-8" standalone="yes"?>
<Relationships xmlns="http://schemas.openxmlformats.org/package/2006/relationships"><Relationship Id="rId2" Type="http://schemas.openxmlformats.org/officeDocument/2006/relationships/printerSettings" Target="../printerSettings/printerSettings40.bin"/><Relationship Id="rId1" Type="http://schemas.openxmlformats.org/officeDocument/2006/relationships/hyperlink" Target="https://www.franklintempletonindia.com/downloadsServlet/pdf/product-labels-jg9o5k7l" TargetMode="External"/></Relationships>
</file>

<file path=xl/worksheets/_rels/sheet41.xml.rels><?xml version="1.0" encoding="UTF-8" standalone="yes"?>
<Relationships xmlns="http://schemas.openxmlformats.org/package/2006/relationships"><Relationship Id="rId3" Type="http://schemas.openxmlformats.org/officeDocument/2006/relationships/printerSettings" Target="../printerSettings/printerSettings41.bin"/><Relationship Id="rId2" Type="http://schemas.openxmlformats.org/officeDocument/2006/relationships/hyperlink" Target="https://www.franklintempletonindia.com/downloadsServlet/pdf/product-labels-jg9o5k7l" TargetMode="External"/><Relationship Id="rId1" Type="http://schemas.openxmlformats.org/officeDocument/2006/relationships/hyperlink" Target="https://www.franklintempletonindia.com/investor/reports?firstFilter-4" TargetMode="External"/></Relationships>
</file>

<file path=xl/worksheets/_rels/sheet42.xml.rels><?xml version="1.0" encoding="UTF-8" standalone="yes"?>
<Relationships xmlns="http://schemas.openxmlformats.org/package/2006/relationships"><Relationship Id="rId2" Type="http://schemas.openxmlformats.org/officeDocument/2006/relationships/printerSettings" Target="../printerSettings/printerSettings42.bin"/><Relationship Id="rId1" Type="http://schemas.openxmlformats.org/officeDocument/2006/relationships/hyperlink" Target="https://www.franklintempletonindia.com/downloadsServlet/pdf/product-labels-jg9o5k7l" TargetMode="External"/></Relationships>
</file>

<file path=xl/worksheets/_rels/sheet43.xml.rels><?xml version="1.0" encoding="UTF-8" standalone="yes"?>
<Relationships xmlns="http://schemas.openxmlformats.org/package/2006/relationships"><Relationship Id="rId2" Type="http://schemas.openxmlformats.org/officeDocument/2006/relationships/printerSettings" Target="../printerSettings/printerSettings43.bin"/><Relationship Id="rId1" Type="http://schemas.openxmlformats.org/officeDocument/2006/relationships/hyperlink" Target="https://www.franklintempletonindia.com/downloadsServlet/pdf/product-labels-jg9o5k7l" TargetMode="External"/></Relationships>
</file>

<file path=xl/worksheets/_rels/sheet44.xml.rels><?xml version="1.0" encoding="UTF-8" standalone="yes"?>
<Relationships xmlns="http://schemas.openxmlformats.org/package/2006/relationships"><Relationship Id="rId2" Type="http://schemas.openxmlformats.org/officeDocument/2006/relationships/printerSettings" Target="../printerSettings/printerSettings44.bin"/><Relationship Id="rId1" Type="http://schemas.openxmlformats.org/officeDocument/2006/relationships/hyperlink" Target="https://www.franklintempletonindia.com/downloadsServlet/pdf/product-labels-jg9o5k7l" TargetMode="External"/></Relationships>
</file>

<file path=xl/worksheets/_rels/sheet45.xml.rels><?xml version="1.0" encoding="UTF-8" standalone="yes"?>
<Relationships xmlns="http://schemas.openxmlformats.org/package/2006/relationships"><Relationship Id="rId2" Type="http://schemas.openxmlformats.org/officeDocument/2006/relationships/printerSettings" Target="../printerSettings/printerSettings45.bin"/><Relationship Id="rId1" Type="http://schemas.openxmlformats.org/officeDocument/2006/relationships/hyperlink" Target="https://www.franklintempletonindia.com/downloadsServlet/pdf/product-labels-jg9o5k7l" TargetMode="External"/></Relationships>
</file>

<file path=xl/worksheets/_rels/sheet46.xml.rels><?xml version="1.0" encoding="UTF-8" standalone="yes"?>
<Relationships xmlns="http://schemas.openxmlformats.org/package/2006/relationships"><Relationship Id="rId2" Type="http://schemas.openxmlformats.org/officeDocument/2006/relationships/printerSettings" Target="../printerSettings/printerSettings46.bin"/><Relationship Id="rId1" Type="http://schemas.openxmlformats.org/officeDocument/2006/relationships/hyperlink" Target="https://www.franklintempletonindia.com/downloadsServlet/pdf/product-labels-jg9o5k7l" TargetMode="External"/></Relationships>
</file>

<file path=xl/worksheets/_rels/sheet47.xml.rels><?xml version="1.0" encoding="UTF-8" standalone="yes"?>
<Relationships xmlns="http://schemas.openxmlformats.org/package/2006/relationships"><Relationship Id="rId3" Type="http://schemas.openxmlformats.org/officeDocument/2006/relationships/printerSettings" Target="../printerSettings/printerSettings47.bin"/><Relationship Id="rId2" Type="http://schemas.openxmlformats.org/officeDocument/2006/relationships/hyperlink" Target="https://www.franklintempletonindia.com/downloadsServlet/pdf/product-labels-jg9o5k7l" TargetMode="External"/><Relationship Id="rId1" Type="http://schemas.openxmlformats.org/officeDocument/2006/relationships/hyperlink" Target="https://www.franklintempletonindia.com/investor/reports?firstFilter-4" TargetMode="External"/></Relationships>
</file>

<file path=xl/worksheets/_rels/sheet48.xml.rels><?xml version="1.0" encoding="UTF-8" standalone="yes"?>
<Relationships xmlns="http://schemas.openxmlformats.org/package/2006/relationships"><Relationship Id="rId2" Type="http://schemas.openxmlformats.org/officeDocument/2006/relationships/printerSettings" Target="../printerSettings/printerSettings48.bin"/><Relationship Id="rId1" Type="http://schemas.openxmlformats.org/officeDocument/2006/relationships/hyperlink" Target="https://www.franklintempletonindia.com/downloadsServlet/pdf/product-labels-jg9o5k7l" TargetMode="External"/></Relationships>
</file>

<file path=xl/worksheets/_rels/sheet49.xml.rels><?xml version="1.0" encoding="UTF-8" standalone="yes"?>
<Relationships xmlns="http://schemas.openxmlformats.org/package/2006/relationships"><Relationship Id="rId2" Type="http://schemas.openxmlformats.org/officeDocument/2006/relationships/printerSettings" Target="../printerSettings/printerSettings49.bin"/><Relationship Id="rId1" Type="http://schemas.openxmlformats.org/officeDocument/2006/relationships/hyperlink" Target="https://www.franklintempletonindia.com/downloadsServlet/pdf/product-labels-jg9o5k7l" TargetMode="External"/></Relationships>
</file>

<file path=xl/worksheets/_rels/sheet50.xml.rels><?xml version="1.0" encoding="UTF-8" standalone="yes"?>
<Relationships xmlns="http://schemas.openxmlformats.org/package/2006/relationships"><Relationship Id="rId3" Type="http://schemas.openxmlformats.org/officeDocument/2006/relationships/printerSettings" Target="../printerSettings/printerSettings50.bin"/><Relationship Id="rId2" Type="http://schemas.openxmlformats.org/officeDocument/2006/relationships/hyperlink" Target="https://www.franklintempletonindia.com/investor/reports?firstFilter-4" TargetMode="External"/><Relationship Id="rId1" Type="http://schemas.openxmlformats.org/officeDocument/2006/relationships/hyperlink" Target="https://www.franklintempletonindia.com/downloadsServlet/pdf/product-labels-jg9o5k7l" TargetMode="External"/></Relationships>
</file>

<file path=xl/worksheets/_rels/sheet51.xml.rels><?xml version="1.0" encoding="UTF-8" standalone="yes"?>
<Relationships xmlns="http://schemas.openxmlformats.org/package/2006/relationships"><Relationship Id="rId2" Type="http://schemas.openxmlformats.org/officeDocument/2006/relationships/printerSettings" Target="../printerSettings/printerSettings51.bin"/><Relationship Id="rId1" Type="http://schemas.openxmlformats.org/officeDocument/2006/relationships/hyperlink" Target="https://www.franklintempletonindia.com/downloadsServlet/pdf/product-labels-jg9o5k7l" TargetMode="External"/></Relationships>
</file>

<file path=xl/worksheets/_rels/sheet52.xml.rels><?xml version="1.0" encoding="UTF-8" standalone="yes"?>
<Relationships xmlns="http://schemas.openxmlformats.org/package/2006/relationships"><Relationship Id="rId3" Type="http://schemas.openxmlformats.org/officeDocument/2006/relationships/printerSettings" Target="../printerSettings/printerSettings52.bin"/><Relationship Id="rId2" Type="http://schemas.openxmlformats.org/officeDocument/2006/relationships/hyperlink" Target="https://www.franklintempletonindia.com/investor/reports?firstFilter-4" TargetMode="External"/><Relationship Id="rId1" Type="http://schemas.openxmlformats.org/officeDocument/2006/relationships/hyperlink" Target="https://www.franklintempletonindia.com/downloadsServlet/pdf/product-labels-jg9o5k7l" TargetMode="External"/></Relationships>
</file>

<file path=xl/worksheets/_rels/sheet53.xml.rels><?xml version="1.0" encoding="UTF-8" standalone="yes"?>
<Relationships xmlns="http://schemas.openxmlformats.org/package/2006/relationships"><Relationship Id="rId3" Type="http://schemas.openxmlformats.org/officeDocument/2006/relationships/printerSettings" Target="../printerSettings/printerSettings53.bin"/><Relationship Id="rId2" Type="http://schemas.openxmlformats.org/officeDocument/2006/relationships/hyperlink" Target="https://www.franklintempletonindia.com/investor/reports?firstFilter-4" TargetMode="External"/><Relationship Id="rId1" Type="http://schemas.openxmlformats.org/officeDocument/2006/relationships/hyperlink" Target="https://www.franklintempletonindia.com/downloadsServlet/pdf/product-labels-jg9o5k7l" TargetMode="External"/></Relationships>
</file>

<file path=xl/worksheets/_rels/sheet54.xml.rels><?xml version="1.0" encoding="UTF-8" standalone="yes"?>
<Relationships xmlns="http://schemas.openxmlformats.org/package/2006/relationships"><Relationship Id="rId3" Type="http://schemas.openxmlformats.org/officeDocument/2006/relationships/printerSettings" Target="../printerSettings/printerSettings54.bin"/><Relationship Id="rId2" Type="http://schemas.openxmlformats.org/officeDocument/2006/relationships/hyperlink" Target="https://www.franklintempletonindia.com/investor/reports?firstFilter-4" TargetMode="External"/><Relationship Id="rId1" Type="http://schemas.openxmlformats.org/officeDocument/2006/relationships/hyperlink" Target="https://www.franklintempletonindia.com/downloadsServlet/pdf/product-labels-jg9o5k7l" TargetMode="External"/></Relationships>
</file>

<file path=xl/worksheets/_rels/sheet55.xml.rels><?xml version="1.0" encoding="UTF-8" standalone="yes"?>
<Relationships xmlns="http://schemas.openxmlformats.org/package/2006/relationships"><Relationship Id="rId3" Type="http://schemas.openxmlformats.org/officeDocument/2006/relationships/printerSettings" Target="../printerSettings/printerSettings55.bin"/><Relationship Id="rId2" Type="http://schemas.openxmlformats.org/officeDocument/2006/relationships/hyperlink" Target="https://www.franklintempletonindia.com/investor/reports?firstFilter-4" TargetMode="External"/><Relationship Id="rId1" Type="http://schemas.openxmlformats.org/officeDocument/2006/relationships/hyperlink" Target="https://www.franklintempletonindia.com/downloadsServlet/pdf/product-labels-jg9o5k7l" TargetMode="External"/></Relationships>
</file>

<file path=xl/worksheets/_rels/sheet56.xml.rels><?xml version="1.0" encoding="UTF-8" standalone="yes"?>
<Relationships xmlns="http://schemas.openxmlformats.org/package/2006/relationships"><Relationship Id="rId3" Type="http://schemas.openxmlformats.org/officeDocument/2006/relationships/printerSettings" Target="../printerSettings/printerSettings56.bin"/><Relationship Id="rId2" Type="http://schemas.openxmlformats.org/officeDocument/2006/relationships/hyperlink" Target="https://www.franklintempletonindia.com/investor/reports?firstFilter-4" TargetMode="External"/><Relationship Id="rId1" Type="http://schemas.openxmlformats.org/officeDocument/2006/relationships/hyperlink" Target="https://www.franklintempletonindia.com/downloadsServlet/pdf/product-labels-jg9o5k7l" TargetMode="External"/></Relationships>
</file>

<file path=xl/worksheets/_rels/sheet57.xml.rels><?xml version="1.0" encoding="UTF-8" standalone="yes"?>
<Relationships xmlns="http://schemas.openxmlformats.org/package/2006/relationships"><Relationship Id="rId8" Type="http://schemas.openxmlformats.org/officeDocument/2006/relationships/printerSettings" Target="../printerSettings/printerSettings57.bin"/><Relationship Id="rId3" Type="http://schemas.openxmlformats.org/officeDocument/2006/relationships/hyperlink" Target="https://www.franklintempletonindia.com/downloadsServlet/pdf/product-labels-jg9o5k7l" TargetMode="External"/><Relationship Id="rId7" Type="http://schemas.openxmlformats.org/officeDocument/2006/relationships/hyperlink" Target="https://www.franklintempletonindia.com/downloadsServlet/pdf/product-labels-jg9o5k7l" TargetMode="External"/><Relationship Id="rId2" Type="http://schemas.openxmlformats.org/officeDocument/2006/relationships/hyperlink" Target="https://www.franklintempletonindia.com/downloadsServlet/pdf/fair-valuation-reliance-big-reliance-infra-november-4-2020-kgox4tfq" TargetMode="External"/><Relationship Id="rId1" Type="http://schemas.openxmlformats.org/officeDocument/2006/relationships/hyperlink" Target="https://www.franklintempletonindia.com/investor/reports?firstFilter-4" TargetMode="External"/><Relationship Id="rId6" Type="http://schemas.openxmlformats.org/officeDocument/2006/relationships/hyperlink" Target="https://www.franklintempletonindia.com/investor/reports?firstFilter-4" TargetMode="External"/><Relationship Id="rId5" Type="http://schemas.openxmlformats.org/officeDocument/2006/relationships/hyperlink" Target="https://www.franklintempletonindia.com/downloadsServlet/pdf/product-labels-jg9o5k7l" TargetMode="External"/><Relationship Id="rId4" Type="http://schemas.openxmlformats.org/officeDocument/2006/relationships/hyperlink" Target="https://www.franklintempletonindia.com/investor/reports?firstFilter-4" TargetMode="External"/></Relationships>
</file>

<file path=xl/worksheets/_rels/sheet58.xml.rels><?xml version="1.0" encoding="UTF-8" standalone="yes"?>
<Relationships xmlns="http://schemas.openxmlformats.org/package/2006/relationships"><Relationship Id="rId3" Type="http://schemas.openxmlformats.org/officeDocument/2006/relationships/hyperlink" Target="https://www.franklintempletonindia.com/downloadsServlet/pdf/product-labels-jg9o5k7l" TargetMode="External"/><Relationship Id="rId2" Type="http://schemas.openxmlformats.org/officeDocument/2006/relationships/hyperlink" Target="https://www.franklintempletonindia.com/downloadsServlet/pdf/fair-valuation-reliance-big-reliance-infra-november-4-2020-kgox4tfq" TargetMode="External"/><Relationship Id="rId1" Type="http://schemas.openxmlformats.org/officeDocument/2006/relationships/hyperlink" Target="https://www.franklintempletonindia.com/investor/reports?firstFilter-4" TargetMode="External"/><Relationship Id="rId6" Type="http://schemas.openxmlformats.org/officeDocument/2006/relationships/printerSettings" Target="../printerSettings/printerSettings58.bin"/><Relationship Id="rId5" Type="http://schemas.openxmlformats.org/officeDocument/2006/relationships/hyperlink" Target="https://www.franklintempletonindia.com/downloadsServlet/pdf/product-labels-jg9o5k7l" TargetMode="External"/><Relationship Id="rId4" Type="http://schemas.openxmlformats.org/officeDocument/2006/relationships/hyperlink" Target="https://www.franklintempletonindia.com/investor/reports?firstFilter-4" TargetMode="External"/></Relationships>
</file>

<file path=xl/worksheets/_rels/sheet59.xml.rels><?xml version="1.0" encoding="UTF-8" standalone="yes"?>
<Relationships xmlns="http://schemas.openxmlformats.org/package/2006/relationships"><Relationship Id="rId2" Type="http://schemas.openxmlformats.org/officeDocument/2006/relationships/printerSettings" Target="../printerSettings/printerSettings59.bin"/><Relationship Id="rId1" Type="http://schemas.openxmlformats.org/officeDocument/2006/relationships/hyperlink" Target="https://www.franklintempletonindia.com/downloadsServlet/pdf/product-labels-jg9o5k7l" TargetMode="External"/></Relationships>
</file>

<file path=xl/worksheets/_rels/sheet60.xml.rels><?xml version="1.0" encoding="UTF-8" standalone="yes"?>
<Relationships xmlns="http://schemas.openxmlformats.org/package/2006/relationships"><Relationship Id="rId8" Type="http://schemas.openxmlformats.org/officeDocument/2006/relationships/hyperlink" Target="https://www.franklintempletonindia.com/downloadsServlet/pdf/product-labels-jg9o5k7l" TargetMode="External"/><Relationship Id="rId3" Type="http://schemas.openxmlformats.org/officeDocument/2006/relationships/hyperlink" Target="https://www.franklintempletonindia.com/downloadsServlet/pdf/fair-valuation-reliance-big-reliance-infra-november-4-2020-kgox4tfq" TargetMode="External"/><Relationship Id="rId7" Type="http://schemas.openxmlformats.org/officeDocument/2006/relationships/hyperlink" Target="https://www.franklintempletonindia.com/investor/reports?firstFilter-4" TargetMode="External"/><Relationship Id="rId2" Type="http://schemas.openxmlformats.org/officeDocument/2006/relationships/hyperlink" Target="https://www.franklintempletonindia.com/downloadsServlet/pdf/franklin-templeton-update-on-reliance-broadcast-july-23-2020-kcg9m1gq" TargetMode="External"/><Relationship Id="rId1" Type="http://schemas.openxmlformats.org/officeDocument/2006/relationships/hyperlink" Target="https://www.franklintempletonindia.com/investor/reports?firstFilter-4" TargetMode="External"/><Relationship Id="rId6" Type="http://schemas.openxmlformats.org/officeDocument/2006/relationships/hyperlink" Target="https://www.franklintempletonindia.com/downloadsServlet/pdf/product-labels-jg9o5k7l" TargetMode="External"/><Relationship Id="rId5" Type="http://schemas.openxmlformats.org/officeDocument/2006/relationships/hyperlink" Target="https://www.franklintempletonindia.com/investor/reports?firstFilter-4" TargetMode="External"/><Relationship Id="rId4" Type="http://schemas.openxmlformats.org/officeDocument/2006/relationships/hyperlink" Target="https://www.franklintempletonindia.com/downloadsServlet/pdf/product-labels-jg9o5k7l" TargetMode="External"/><Relationship Id="rId9"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3" Type="http://schemas.openxmlformats.org/officeDocument/2006/relationships/hyperlink" Target="https://www.franklintempletonindia.com/downloadsServlet/pdf/product-labels-jg9o5k7l" TargetMode="External"/><Relationship Id="rId2" Type="http://schemas.openxmlformats.org/officeDocument/2006/relationships/hyperlink" Target="https://www.franklintempletonindia.com/downloadsServlet/pdf/fair-valuation-reliance-big-reliance-infra-november-4-2020-kgox4tfq" TargetMode="External"/><Relationship Id="rId1" Type="http://schemas.openxmlformats.org/officeDocument/2006/relationships/hyperlink" Target="https://www.franklintempletonindia.com/investor/reports?firstFilter-4" TargetMode="External"/><Relationship Id="rId6" Type="http://schemas.openxmlformats.org/officeDocument/2006/relationships/printerSettings" Target="../printerSettings/printerSettings61.bin"/><Relationship Id="rId5" Type="http://schemas.openxmlformats.org/officeDocument/2006/relationships/hyperlink" Target="https://www.franklintempletonindia.com/downloadsServlet/pdf/product-labels-jg9o5k7l" TargetMode="External"/><Relationship Id="rId4" Type="http://schemas.openxmlformats.org/officeDocument/2006/relationships/hyperlink" Target="https://www.franklintempletonindia.com/investor/reports?firstFilter-4" TargetMode="External"/></Relationships>
</file>

<file path=xl/worksheets/_rels/sheet62.xml.rels><?xml version="1.0" encoding="UTF-8" standalone="yes"?>
<Relationships xmlns="http://schemas.openxmlformats.org/package/2006/relationships"><Relationship Id="rId8" Type="http://schemas.openxmlformats.org/officeDocument/2006/relationships/printerSettings" Target="../printerSettings/printerSettings62.bin"/><Relationship Id="rId3" Type="http://schemas.openxmlformats.org/officeDocument/2006/relationships/hyperlink" Target="https://www.franklintempletonindia.com/downloadsServlet/pdf/product-labels-jg9o5k7l" TargetMode="External"/><Relationship Id="rId7" Type="http://schemas.openxmlformats.org/officeDocument/2006/relationships/hyperlink" Target="https://www.franklintempletonindia.com/downloadsServlet/pdf/product-labels-jg9o5k7l" TargetMode="External"/><Relationship Id="rId2" Type="http://schemas.openxmlformats.org/officeDocument/2006/relationships/hyperlink" Target="https://www.franklintempletonindia.com/downloadsServlet/pdf/fair-valuation-reliance-big-reliance-infra-november-4-2020-kgox4tfq" TargetMode="External"/><Relationship Id="rId1" Type="http://schemas.openxmlformats.org/officeDocument/2006/relationships/hyperlink" Target="https://www.franklintempletonindia.com/investor/reports?firstFilter-4" TargetMode="External"/><Relationship Id="rId6" Type="http://schemas.openxmlformats.org/officeDocument/2006/relationships/hyperlink" Target="https://www.franklintempletonindia.com/investor/reports?firstFilter-4" TargetMode="External"/><Relationship Id="rId5" Type="http://schemas.openxmlformats.org/officeDocument/2006/relationships/hyperlink" Target="https://www.franklintempletonindia.com/downloadsServlet/pdf/product-labels-jg9o5k7l" TargetMode="External"/><Relationship Id="rId4" Type="http://schemas.openxmlformats.org/officeDocument/2006/relationships/hyperlink" Target="https://www.franklintempletonindia.com/investor/reports?firstFilter-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6"/>
  <sheetViews>
    <sheetView tabSelected="1" view="pageBreakPreview" zoomScaleNormal="100" zoomScaleSheetLayoutView="100" workbookViewId="0">
      <selection sqref="A1:G1"/>
    </sheetView>
  </sheetViews>
  <sheetFormatPr defaultColWidth="9.21875" defaultRowHeight="10.199999999999999" x14ac:dyDescent="0.2"/>
  <cols>
    <col min="1" max="1" width="33.44140625" style="9" bestFit="1" customWidth="1"/>
    <col min="2" max="2" width="40.5546875" style="9" bestFit="1" customWidth="1"/>
    <col min="3" max="3" width="21.21875" style="9" bestFit="1" customWidth="1"/>
    <col min="4" max="4" width="15.44140625" style="10" bestFit="1" customWidth="1"/>
    <col min="5" max="5" width="23" style="13" bestFit="1" customWidth="1"/>
    <col min="6" max="6" width="13.5546875" style="14" bestFit="1" customWidth="1"/>
    <col min="7" max="7" width="14.21875" style="13" customWidth="1"/>
    <col min="8" max="16384" width="9.21875" style="9"/>
  </cols>
  <sheetData>
    <row r="1" spans="1:7" s="1" customFormat="1" ht="13.8" x14ac:dyDescent="0.2">
      <c r="A1" s="92" t="s">
        <v>1422</v>
      </c>
      <c r="B1" s="93"/>
      <c r="C1" s="93"/>
      <c r="D1" s="93"/>
      <c r="E1" s="93"/>
      <c r="F1" s="93"/>
      <c r="G1" s="93"/>
    </row>
    <row r="2" spans="1:7" s="1" customFormat="1" ht="11.4" x14ac:dyDescent="0.2">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727</v>
      </c>
      <c r="D4" s="16" t="s">
        <v>1</v>
      </c>
      <c r="E4" s="15" t="s">
        <v>3</v>
      </c>
      <c r="F4" s="15" t="s">
        <v>4</v>
      </c>
      <c r="G4" s="15" t="s">
        <v>6</v>
      </c>
    </row>
    <row r="5" spans="1:7" x14ac:dyDescent="0.2">
      <c r="A5" s="21" t="s">
        <v>48</v>
      </c>
      <c r="B5" s="22"/>
      <c r="C5" s="22"/>
      <c r="D5" s="23"/>
      <c r="E5" s="24"/>
      <c r="F5" s="25"/>
      <c r="G5" s="24"/>
    </row>
    <row r="6" spans="1:7" x14ac:dyDescent="0.2">
      <c r="A6" s="26" t="s">
        <v>52</v>
      </c>
      <c r="B6" s="27"/>
      <c r="C6" s="27"/>
      <c r="D6" s="28"/>
      <c r="E6" s="29"/>
      <c r="F6" s="30"/>
      <c r="G6" s="29"/>
    </row>
    <row r="7" spans="1:7" x14ac:dyDescent="0.2">
      <c r="A7" s="27" t="s">
        <v>728</v>
      </c>
      <c r="B7" s="27" t="s">
        <v>729</v>
      </c>
      <c r="C7" s="27" t="s">
        <v>50</v>
      </c>
      <c r="D7" s="31">
        <v>2000</v>
      </c>
      <c r="E7" s="29">
        <v>9981.08</v>
      </c>
      <c r="F7" s="30">
        <v>4.5801013021266899</v>
      </c>
      <c r="G7" s="29">
        <v>3.2947000000000002</v>
      </c>
    </row>
    <row r="8" spans="1:7" x14ac:dyDescent="0.2">
      <c r="A8" s="27" t="s">
        <v>730</v>
      </c>
      <c r="B8" s="27" t="s">
        <v>731</v>
      </c>
      <c r="C8" s="27" t="s">
        <v>732</v>
      </c>
      <c r="D8" s="31">
        <v>2000</v>
      </c>
      <c r="E8" s="29">
        <v>9957.0499999999993</v>
      </c>
      <c r="F8" s="30">
        <v>4.5690744559046301</v>
      </c>
      <c r="G8" s="29">
        <v>3.2801</v>
      </c>
    </row>
    <row r="9" spans="1:7" x14ac:dyDescent="0.2">
      <c r="A9" s="27" t="s">
        <v>733</v>
      </c>
      <c r="B9" s="27" t="s">
        <v>734</v>
      </c>
      <c r="C9" s="27" t="s">
        <v>50</v>
      </c>
      <c r="D9" s="31">
        <v>2000</v>
      </c>
      <c r="E9" s="29">
        <v>9947.4599999999991</v>
      </c>
      <c r="F9" s="30">
        <v>4.5646738127390201</v>
      </c>
      <c r="G9" s="29">
        <v>3.5701000000000001</v>
      </c>
    </row>
    <row r="10" spans="1:7" x14ac:dyDescent="0.2">
      <c r="A10" s="27" t="s">
        <v>735</v>
      </c>
      <c r="B10" s="27" t="s">
        <v>736</v>
      </c>
      <c r="C10" s="27" t="s">
        <v>50</v>
      </c>
      <c r="D10" s="31">
        <v>1700</v>
      </c>
      <c r="E10" s="29">
        <v>8480.7729999999992</v>
      </c>
      <c r="F10" s="30">
        <v>3.8916429344661001</v>
      </c>
      <c r="G10" s="29">
        <v>3.31</v>
      </c>
    </row>
    <row r="11" spans="1:7" x14ac:dyDescent="0.2">
      <c r="A11" s="52" t="s">
        <v>737</v>
      </c>
      <c r="B11" s="52" t="s">
        <v>1562</v>
      </c>
      <c r="C11" s="52" t="s">
        <v>732</v>
      </c>
      <c r="D11" s="53">
        <v>1500</v>
      </c>
      <c r="E11" s="54">
        <v>7441.2524999999996</v>
      </c>
      <c r="F11" s="54">
        <v>3.41462950549474</v>
      </c>
      <c r="G11" s="54">
        <v>3.3900999999999999</v>
      </c>
    </row>
    <row r="12" spans="1:7" x14ac:dyDescent="0.2">
      <c r="A12" s="27" t="s">
        <v>738</v>
      </c>
      <c r="B12" s="27" t="s">
        <v>739</v>
      </c>
      <c r="C12" s="27" t="s">
        <v>55</v>
      </c>
      <c r="D12" s="31">
        <v>1000</v>
      </c>
      <c r="E12" s="29">
        <v>4990.4849999999997</v>
      </c>
      <c r="F12" s="30">
        <v>2.2900254127553001</v>
      </c>
      <c r="G12" s="29">
        <v>3.3138999999999998</v>
      </c>
    </row>
    <row r="13" spans="1:7" x14ac:dyDescent="0.2">
      <c r="A13" s="27" t="s">
        <v>740</v>
      </c>
      <c r="B13" s="27" t="s">
        <v>741</v>
      </c>
      <c r="C13" s="27" t="s">
        <v>55</v>
      </c>
      <c r="D13" s="31">
        <v>1000</v>
      </c>
      <c r="E13" s="29">
        <v>4988.57</v>
      </c>
      <c r="F13" s="30">
        <v>2.28914666075717</v>
      </c>
      <c r="G13" s="29">
        <v>3.3452000000000002</v>
      </c>
    </row>
    <row r="14" spans="1:7" x14ac:dyDescent="0.2">
      <c r="A14" s="27" t="s">
        <v>742</v>
      </c>
      <c r="B14" s="27" t="s">
        <v>743</v>
      </c>
      <c r="C14" s="27" t="s">
        <v>50</v>
      </c>
      <c r="D14" s="31">
        <v>1000</v>
      </c>
      <c r="E14" s="29">
        <v>4984.3100000000004</v>
      </c>
      <c r="F14" s="30">
        <v>2.28719183907985</v>
      </c>
      <c r="G14" s="29">
        <v>3.3799000000000001</v>
      </c>
    </row>
    <row r="15" spans="1:7" x14ac:dyDescent="0.2">
      <c r="A15" s="27" t="s">
        <v>744</v>
      </c>
      <c r="B15" s="27" t="s">
        <v>745</v>
      </c>
      <c r="C15" s="27" t="s">
        <v>50</v>
      </c>
      <c r="D15" s="31">
        <v>1000</v>
      </c>
      <c r="E15" s="29">
        <v>4981.09</v>
      </c>
      <c r="F15" s="30">
        <v>2.2857142508636601</v>
      </c>
      <c r="G15" s="29">
        <v>3.3797000000000001</v>
      </c>
    </row>
    <row r="16" spans="1:7" x14ac:dyDescent="0.2">
      <c r="A16" s="27" t="s">
        <v>746</v>
      </c>
      <c r="B16" s="27" t="s">
        <v>747</v>
      </c>
      <c r="C16" s="27" t="s">
        <v>51</v>
      </c>
      <c r="D16" s="31">
        <v>1000</v>
      </c>
      <c r="E16" s="29">
        <v>4976.6149999999998</v>
      </c>
      <c r="F16" s="30">
        <v>2.2836607703458198</v>
      </c>
      <c r="G16" s="29">
        <v>3.5003000000000002</v>
      </c>
    </row>
    <row r="17" spans="1:9" x14ac:dyDescent="0.2">
      <c r="A17" s="27" t="s">
        <v>748</v>
      </c>
      <c r="B17" s="27" t="s">
        <v>749</v>
      </c>
      <c r="C17" s="27" t="s">
        <v>50</v>
      </c>
      <c r="D17" s="31">
        <v>1000</v>
      </c>
      <c r="E17" s="29">
        <v>4970.71</v>
      </c>
      <c r="F17" s="30">
        <v>2.2809510938189201</v>
      </c>
      <c r="G17" s="29">
        <v>3.5849000000000002</v>
      </c>
    </row>
    <row r="18" spans="1:9" x14ac:dyDescent="0.2">
      <c r="A18" s="27" t="s">
        <v>750</v>
      </c>
      <c r="B18" s="27" t="s">
        <v>751</v>
      </c>
      <c r="C18" s="27" t="s">
        <v>55</v>
      </c>
      <c r="D18" s="31">
        <v>800</v>
      </c>
      <c r="E18" s="29">
        <v>3988.9079999999999</v>
      </c>
      <c r="F18" s="30">
        <v>1.83042343362277</v>
      </c>
      <c r="G18" s="29">
        <v>3.4998999999999998</v>
      </c>
    </row>
    <row r="19" spans="1:9" x14ac:dyDescent="0.2">
      <c r="A19" s="27" t="s">
        <v>752</v>
      </c>
      <c r="B19" s="27" t="s">
        <v>753</v>
      </c>
      <c r="C19" s="27" t="s">
        <v>50</v>
      </c>
      <c r="D19" s="31">
        <v>500</v>
      </c>
      <c r="E19" s="29">
        <v>2496.3375000000001</v>
      </c>
      <c r="F19" s="30">
        <v>1.14551517814682</v>
      </c>
      <c r="G19" s="29">
        <v>3.5701000000000001</v>
      </c>
    </row>
    <row r="20" spans="1:9" x14ac:dyDescent="0.2">
      <c r="A20" s="27" t="s">
        <v>754</v>
      </c>
      <c r="B20" s="27" t="s">
        <v>755</v>
      </c>
      <c r="C20" s="27" t="s">
        <v>732</v>
      </c>
      <c r="D20" s="31">
        <v>500</v>
      </c>
      <c r="E20" s="29">
        <v>2485.895</v>
      </c>
      <c r="F20" s="30">
        <v>1.14072334120659</v>
      </c>
      <c r="G20" s="29">
        <v>3.3950999999999998</v>
      </c>
    </row>
    <row r="21" spans="1:9" x14ac:dyDescent="0.2">
      <c r="A21" s="27" t="s">
        <v>756</v>
      </c>
      <c r="B21" s="27" t="s">
        <v>757</v>
      </c>
      <c r="C21" s="27" t="s">
        <v>51</v>
      </c>
      <c r="D21" s="31">
        <v>500</v>
      </c>
      <c r="E21" s="29">
        <v>2484.9875000000002</v>
      </c>
      <c r="F21" s="30">
        <v>1.14030690912392</v>
      </c>
      <c r="G21" s="29">
        <v>3.5001000000000002</v>
      </c>
    </row>
    <row r="22" spans="1:9" x14ac:dyDescent="0.2">
      <c r="A22" s="27" t="s">
        <v>758</v>
      </c>
      <c r="B22" s="27" t="s">
        <v>759</v>
      </c>
      <c r="C22" s="27" t="s">
        <v>50</v>
      </c>
      <c r="D22" s="31">
        <v>200</v>
      </c>
      <c r="E22" s="29">
        <v>998.65</v>
      </c>
      <c r="F22" s="30">
        <v>0.45825884226644997</v>
      </c>
      <c r="G22" s="29">
        <v>3.2907000000000002</v>
      </c>
    </row>
    <row r="23" spans="1:9" x14ac:dyDescent="0.2">
      <c r="A23" s="26" t="s">
        <v>34</v>
      </c>
      <c r="B23" s="26"/>
      <c r="C23" s="26"/>
      <c r="D23" s="32"/>
      <c r="E23" s="33">
        <f>SUM(E6:E22)</f>
        <v>88154.173500000004</v>
      </c>
      <c r="F23" s="34">
        <f>SUM(F6:F22)</f>
        <v>40.452039742718455</v>
      </c>
      <c r="G23" s="33"/>
      <c r="H23" s="18"/>
      <c r="I23" s="18"/>
    </row>
    <row r="24" spans="1:9" x14ac:dyDescent="0.2">
      <c r="A24" s="27"/>
      <c r="B24" s="27"/>
      <c r="C24" s="27"/>
      <c r="D24" s="28"/>
      <c r="E24" s="29"/>
      <c r="F24" s="30"/>
      <c r="G24" s="29"/>
    </row>
    <row r="25" spans="1:9" x14ac:dyDescent="0.2">
      <c r="A25" s="26" t="s">
        <v>58</v>
      </c>
      <c r="B25" s="27"/>
      <c r="C25" s="27"/>
      <c r="D25" s="28"/>
      <c r="E25" s="29"/>
      <c r="F25" s="30"/>
      <c r="G25" s="29"/>
    </row>
    <row r="26" spans="1:9" x14ac:dyDescent="0.2">
      <c r="A26" s="27" t="s">
        <v>760</v>
      </c>
      <c r="B26" s="27" t="s">
        <v>761</v>
      </c>
      <c r="C26" s="27" t="s">
        <v>62</v>
      </c>
      <c r="D26" s="31">
        <v>20000000</v>
      </c>
      <c r="E26" s="29">
        <v>19889.98</v>
      </c>
      <c r="F26" s="30">
        <v>9.1270807665376701</v>
      </c>
      <c r="G26" s="29">
        <v>3.2046999999999999</v>
      </c>
    </row>
    <row r="27" spans="1:9" x14ac:dyDescent="0.2">
      <c r="A27" s="27" t="s">
        <v>762</v>
      </c>
      <c r="B27" s="27" t="s">
        <v>763</v>
      </c>
      <c r="C27" s="27" t="s">
        <v>62</v>
      </c>
      <c r="D27" s="31">
        <v>20000000</v>
      </c>
      <c r="E27" s="29">
        <v>19863.82</v>
      </c>
      <c r="F27" s="30">
        <v>9.1150765094769497</v>
      </c>
      <c r="G27" s="29">
        <v>3.2498</v>
      </c>
    </row>
    <row r="28" spans="1:9" x14ac:dyDescent="0.2">
      <c r="A28" s="27" t="s">
        <v>68</v>
      </c>
      <c r="B28" s="27" t="s">
        <v>67</v>
      </c>
      <c r="C28" s="27" t="s">
        <v>62</v>
      </c>
      <c r="D28" s="31">
        <v>16500000</v>
      </c>
      <c r="E28" s="29">
        <v>16419.265500000001</v>
      </c>
      <c r="F28" s="30">
        <v>7.5344450997801697</v>
      </c>
      <c r="G28" s="29">
        <v>3.2048999999999999</v>
      </c>
    </row>
    <row r="29" spans="1:9" x14ac:dyDescent="0.2">
      <c r="A29" s="27" t="s">
        <v>764</v>
      </c>
      <c r="B29" s="27" t="s">
        <v>765</v>
      </c>
      <c r="C29" s="27" t="s">
        <v>62</v>
      </c>
      <c r="D29" s="31">
        <v>12500000</v>
      </c>
      <c r="E29" s="29">
        <v>12407.9</v>
      </c>
      <c r="F29" s="30">
        <v>5.6937164061061303</v>
      </c>
      <c r="G29" s="29">
        <v>3.2252999999999998</v>
      </c>
    </row>
    <row r="30" spans="1:9" x14ac:dyDescent="0.2">
      <c r="A30" s="27" t="s">
        <v>766</v>
      </c>
      <c r="B30" s="27" t="s">
        <v>767</v>
      </c>
      <c r="C30" s="27" t="s">
        <v>62</v>
      </c>
      <c r="D30" s="31">
        <v>10000000</v>
      </c>
      <c r="E30" s="29">
        <v>9970.36</v>
      </c>
      <c r="F30" s="30">
        <v>4.5751821264504304</v>
      </c>
      <c r="G30" s="29">
        <v>3.1002000000000001</v>
      </c>
    </row>
    <row r="31" spans="1:9" x14ac:dyDescent="0.2">
      <c r="A31" s="27" t="s">
        <v>768</v>
      </c>
      <c r="B31" s="27" t="s">
        <v>769</v>
      </c>
      <c r="C31" s="27" t="s">
        <v>62</v>
      </c>
      <c r="D31" s="31">
        <v>10000000</v>
      </c>
      <c r="E31" s="29">
        <v>9969.52</v>
      </c>
      <c r="F31" s="30">
        <v>4.5747966686549004</v>
      </c>
      <c r="G31" s="29">
        <v>3.0998000000000001</v>
      </c>
    </row>
    <row r="32" spans="1:9" x14ac:dyDescent="0.2">
      <c r="A32" s="27" t="s">
        <v>770</v>
      </c>
      <c r="B32" s="27" t="s">
        <v>771</v>
      </c>
      <c r="C32" s="27" t="s">
        <v>62</v>
      </c>
      <c r="D32" s="31">
        <v>5000000</v>
      </c>
      <c r="E32" s="29">
        <v>4978.93</v>
      </c>
      <c r="F32" s="30">
        <v>2.2847230736751598</v>
      </c>
      <c r="G32" s="29">
        <v>3.1522999999999999</v>
      </c>
    </row>
    <row r="33" spans="1:9" x14ac:dyDescent="0.2">
      <c r="A33" s="27" t="s">
        <v>772</v>
      </c>
      <c r="B33" s="27" t="s">
        <v>773</v>
      </c>
      <c r="C33" s="27" t="s">
        <v>62</v>
      </c>
      <c r="D33" s="31">
        <v>2500000</v>
      </c>
      <c r="E33" s="29">
        <v>2481.58</v>
      </c>
      <c r="F33" s="30">
        <v>1.1387432812212299</v>
      </c>
      <c r="G33" s="29">
        <v>3.2252999999999998</v>
      </c>
    </row>
    <row r="34" spans="1:9" x14ac:dyDescent="0.2">
      <c r="A34" s="26" t="s">
        <v>34</v>
      </c>
      <c r="B34" s="26"/>
      <c r="C34" s="26"/>
      <c r="D34" s="32"/>
      <c r="E34" s="33">
        <f>SUM(E25:E33)</f>
        <v>95981.35550000002</v>
      </c>
      <c r="F34" s="34">
        <f>SUM(F25:F33)</f>
        <v>44.043763931902639</v>
      </c>
      <c r="G34" s="33"/>
      <c r="H34" s="18"/>
      <c r="I34" s="18"/>
    </row>
    <row r="35" spans="1:9" x14ac:dyDescent="0.2">
      <c r="A35" s="27"/>
      <c r="B35" s="27"/>
      <c r="C35" s="27"/>
      <c r="D35" s="28"/>
      <c r="E35" s="29"/>
      <c r="F35" s="30"/>
      <c r="G35" s="29"/>
    </row>
    <row r="36" spans="1:9" x14ac:dyDescent="0.2">
      <c r="A36" s="26" t="s">
        <v>36</v>
      </c>
      <c r="B36" s="26"/>
      <c r="C36" s="26"/>
      <c r="D36" s="32"/>
      <c r="E36" s="33">
        <f>E23+E34</f>
        <v>184135.52900000004</v>
      </c>
      <c r="F36" s="34">
        <f>F23+F34</f>
        <v>84.495803674621101</v>
      </c>
      <c r="G36" s="33"/>
      <c r="H36" s="18"/>
      <c r="I36" s="18"/>
    </row>
    <row r="37" spans="1:9" x14ac:dyDescent="0.2">
      <c r="A37" s="26"/>
      <c r="B37" s="26"/>
      <c r="C37" s="26"/>
      <c r="D37" s="32"/>
      <c r="E37" s="33"/>
      <c r="F37" s="34"/>
      <c r="G37" s="33"/>
      <c r="H37" s="18"/>
      <c r="I37" s="18"/>
    </row>
    <row r="38" spans="1:9" x14ac:dyDescent="0.2">
      <c r="A38" s="26" t="s">
        <v>38</v>
      </c>
      <c r="B38" s="26"/>
      <c r="C38" s="26"/>
      <c r="D38" s="32"/>
      <c r="E38" s="33">
        <f>E40-(E23+E34)</f>
        <v>33787.161822699971</v>
      </c>
      <c r="F38" s="34">
        <f>F40-(F23+F34)</f>
        <v>15.504196325378899</v>
      </c>
      <c r="G38" s="33"/>
      <c r="H38" s="18"/>
      <c r="I38" s="18"/>
    </row>
    <row r="39" spans="1:9" x14ac:dyDescent="0.2">
      <c r="A39" s="26"/>
      <c r="B39" s="26"/>
      <c r="C39" s="26"/>
      <c r="D39" s="32"/>
      <c r="E39" s="33"/>
      <c r="F39" s="34"/>
      <c r="G39" s="33"/>
      <c r="H39" s="18"/>
      <c r="I39" s="18"/>
    </row>
    <row r="40" spans="1:9" x14ac:dyDescent="0.2">
      <c r="A40" s="35" t="s">
        <v>37</v>
      </c>
      <c r="B40" s="35"/>
      <c r="C40" s="35"/>
      <c r="D40" s="36"/>
      <c r="E40" s="37">
        <v>217922.69082270001</v>
      </c>
      <c r="F40" s="38">
        <v>100</v>
      </c>
      <c r="G40" s="37"/>
      <c r="H40" s="18"/>
      <c r="I40" s="18"/>
    </row>
    <row r="42" spans="1:9" x14ac:dyDescent="0.2">
      <c r="A42" s="18" t="s">
        <v>63</v>
      </c>
    </row>
    <row r="43" spans="1:9" x14ac:dyDescent="0.2">
      <c r="A43" s="18" t="s">
        <v>39</v>
      </c>
    </row>
    <row r="45" spans="1:9" x14ac:dyDescent="0.2">
      <c r="A45" s="18" t="s">
        <v>40</v>
      </c>
    </row>
    <row r="46" spans="1:9" x14ac:dyDescent="0.2">
      <c r="A46" s="18" t="s">
        <v>41</v>
      </c>
    </row>
    <row r="47" spans="1:9" x14ac:dyDescent="0.2">
      <c r="A47" s="18" t="s">
        <v>42</v>
      </c>
      <c r="B47" s="18"/>
      <c r="C47" s="39" t="s">
        <v>44</v>
      </c>
      <c r="D47" s="19" t="s">
        <v>43</v>
      </c>
    </row>
    <row r="48" spans="1:9" x14ac:dyDescent="0.2">
      <c r="A48" s="9" t="s">
        <v>1424</v>
      </c>
      <c r="C48" s="40">
        <v>4702.0554000000002</v>
      </c>
      <c r="D48" s="40">
        <v>4758.5057999999999</v>
      </c>
    </row>
    <row r="49" spans="1:9" x14ac:dyDescent="0.2">
      <c r="A49" s="9" t="s">
        <v>1425</v>
      </c>
      <c r="C49" s="40">
        <v>1510.5263</v>
      </c>
      <c r="D49" s="40">
        <v>1510.4899</v>
      </c>
    </row>
    <row r="50" spans="1:9" x14ac:dyDescent="0.2">
      <c r="A50" s="9" t="s">
        <v>1426</v>
      </c>
      <c r="C50" s="40">
        <v>1244.655</v>
      </c>
      <c r="D50" s="40">
        <v>1244.5408</v>
      </c>
    </row>
    <row r="51" spans="1:9" x14ac:dyDescent="0.2">
      <c r="A51" s="9" t="s">
        <v>1427</v>
      </c>
      <c r="C51" s="40">
        <v>1000</v>
      </c>
      <c r="D51" s="40">
        <v>1000</v>
      </c>
    </row>
    <row r="52" spans="1:9" x14ac:dyDescent="0.2">
      <c r="A52" s="9" t="s">
        <v>1428</v>
      </c>
      <c r="C52" s="40">
        <v>1055.0467000000001</v>
      </c>
      <c r="D52" s="40">
        <v>1054.9404</v>
      </c>
    </row>
    <row r="53" spans="1:9" x14ac:dyDescent="0.2">
      <c r="A53" s="9" t="s">
        <v>774</v>
      </c>
      <c r="C53" s="40">
        <v>3029.2559999999999</v>
      </c>
      <c r="D53" s="40">
        <v>3075.9115000000002</v>
      </c>
    </row>
    <row r="54" spans="1:9" x14ac:dyDescent="0.2">
      <c r="A54" s="9" t="s">
        <v>775</v>
      </c>
      <c r="C54" s="40">
        <v>1000</v>
      </c>
      <c r="D54" s="40">
        <v>1000</v>
      </c>
    </row>
    <row r="55" spans="1:9" x14ac:dyDescent="0.2">
      <c r="A55" s="9" t="s">
        <v>776</v>
      </c>
      <c r="C55" s="40">
        <v>1022.2748</v>
      </c>
      <c r="D55" s="40">
        <v>1022.1623</v>
      </c>
    </row>
    <row r="56" spans="1:9" x14ac:dyDescent="0.2">
      <c r="A56" s="9" t="s">
        <v>777</v>
      </c>
      <c r="C56" s="40">
        <v>3043.7177000000001</v>
      </c>
      <c r="D56" s="40">
        <v>3091.8067000000001</v>
      </c>
    </row>
    <row r="57" spans="1:9" x14ac:dyDescent="0.2">
      <c r="A57" s="9" t="s">
        <v>778</v>
      </c>
      <c r="C57" s="40">
        <v>1002.2243</v>
      </c>
      <c r="D57" s="40">
        <v>1002.2204</v>
      </c>
    </row>
    <row r="58" spans="1:9" x14ac:dyDescent="0.2">
      <c r="A58" s="9" t="s">
        <v>779</v>
      </c>
      <c r="C58" s="40">
        <v>1021.7454</v>
      </c>
      <c r="D58" s="40">
        <v>1021.631</v>
      </c>
    </row>
    <row r="59" spans="1:9" x14ac:dyDescent="0.2">
      <c r="A59" s="9" t="s">
        <v>780</v>
      </c>
      <c r="C59" s="40">
        <v>12.849</v>
      </c>
      <c r="D59" s="40">
        <v>13.051399999999999</v>
      </c>
    </row>
    <row r="60" spans="1:9" x14ac:dyDescent="0.2">
      <c r="A60" s="9" t="s">
        <v>1559</v>
      </c>
      <c r="C60" s="40">
        <v>12.849</v>
      </c>
      <c r="D60" s="40">
        <v>13.051399999999999</v>
      </c>
    </row>
    <row r="61" spans="1:9" x14ac:dyDescent="0.2">
      <c r="A61" s="9" t="s">
        <v>781</v>
      </c>
      <c r="C61" s="40">
        <v>10</v>
      </c>
      <c r="D61" s="40">
        <v>10</v>
      </c>
    </row>
    <row r="62" spans="1:9" x14ac:dyDescent="0.2">
      <c r="A62" s="9" t="s">
        <v>1561</v>
      </c>
      <c r="C62" s="40">
        <v>10</v>
      </c>
      <c r="D62" s="40">
        <v>10</v>
      </c>
    </row>
    <row r="63" spans="1:9" x14ac:dyDescent="0.2">
      <c r="C63" s="40"/>
      <c r="D63" s="40"/>
    </row>
    <row r="64" spans="1:9" s="14" customFormat="1" x14ac:dyDescent="0.2">
      <c r="A64" s="48" t="s">
        <v>1429</v>
      </c>
      <c r="B64" s="9"/>
      <c r="C64" s="40"/>
      <c r="D64" s="40"/>
      <c r="E64" s="13"/>
      <c r="G64" s="13"/>
      <c r="H64" s="9"/>
      <c r="I64" s="9"/>
    </row>
    <row r="66" spans="1:9" s="14" customFormat="1" x14ac:dyDescent="0.2">
      <c r="A66" s="18" t="s">
        <v>1560</v>
      </c>
      <c r="B66" s="9"/>
      <c r="C66" s="9"/>
      <c r="D66" s="10"/>
      <c r="E66" s="13"/>
      <c r="G66" s="13"/>
      <c r="H66" s="9"/>
      <c r="I66" s="9"/>
    </row>
    <row r="67" spans="1:9" s="14" customFormat="1" x14ac:dyDescent="0.2">
      <c r="A67" s="94" t="s">
        <v>64</v>
      </c>
      <c r="B67" s="95"/>
      <c r="C67" s="44" t="s">
        <v>1544</v>
      </c>
      <c r="D67" s="10"/>
      <c r="E67" s="13"/>
      <c r="G67" s="13"/>
      <c r="H67" s="9"/>
      <c r="I67" s="9"/>
    </row>
    <row r="68" spans="1:9" s="14" customFormat="1" x14ac:dyDescent="0.2">
      <c r="A68" s="88" t="s">
        <v>1547</v>
      </c>
      <c r="B68" s="89"/>
      <c r="C68" s="45">
        <v>18.063636958999997</v>
      </c>
      <c r="D68" s="10"/>
      <c r="E68" s="13"/>
      <c r="G68" s="13"/>
      <c r="H68" s="9"/>
      <c r="I68" s="9"/>
    </row>
    <row r="69" spans="1:9" s="14" customFormat="1" x14ac:dyDescent="0.2">
      <c r="A69" s="88" t="s">
        <v>1548</v>
      </c>
      <c r="B69" s="89"/>
      <c r="C69" s="45">
        <v>14.967108501999999</v>
      </c>
      <c r="D69" s="10"/>
      <c r="E69" s="13"/>
      <c r="G69" s="13"/>
      <c r="H69" s="9"/>
      <c r="I69" s="9"/>
    </row>
    <row r="70" spans="1:9" s="14" customFormat="1" x14ac:dyDescent="0.2">
      <c r="A70" s="88" t="s">
        <v>1550</v>
      </c>
      <c r="B70" s="89"/>
      <c r="C70" s="45">
        <v>13.180345310000002</v>
      </c>
      <c r="D70" s="10"/>
      <c r="E70" s="13"/>
      <c r="G70" s="13"/>
      <c r="H70" s="9"/>
      <c r="I70" s="9"/>
    </row>
    <row r="71" spans="1:9" s="14" customFormat="1" x14ac:dyDescent="0.2">
      <c r="A71" s="88" t="s">
        <v>1549</v>
      </c>
      <c r="B71" s="89"/>
      <c r="C71" s="45">
        <v>14.043460600999996</v>
      </c>
      <c r="D71" s="10"/>
      <c r="E71" s="13"/>
      <c r="G71" s="13"/>
      <c r="H71" s="9"/>
      <c r="I71" s="9"/>
    </row>
    <row r="72" spans="1:9" s="14" customFormat="1" x14ac:dyDescent="0.2">
      <c r="A72" s="88" t="s">
        <v>775</v>
      </c>
      <c r="B72" s="89"/>
      <c r="C72" s="45">
        <v>15.279898947999994</v>
      </c>
      <c r="D72" s="10"/>
      <c r="E72" s="13"/>
      <c r="G72" s="13"/>
      <c r="H72" s="9"/>
      <c r="I72" s="9"/>
    </row>
    <row r="73" spans="1:9" s="14" customFormat="1" x14ac:dyDescent="0.2">
      <c r="A73" s="88" t="s">
        <v>776</v>
      </c>
      <c r="B73" s="89"/>
      <c r="C73" s="45">
        <v>15.735707082999999</v>
      </c>
      <c r="D73" s="10"/>
      <c r="E73" s="13"/>
      <c r="G73" s="13"/>
      <c r="H73" s="9"/>
      <c r="I73" s="9"/>
    </row>
    <row r="74" spans="1:9" s="14" customFormat="1" x14ac:dyDescent="0.2">
      <c r="A74" s="88" t="s">
        <v>778</v>
      </c>
      <c r="B74" s="89"/>
      <c r="C74" s="45">
        <v>15.663033546000001</v>
      </c>
      <c r="D74" s="10"/>
      <c r="E74" s="13"/>
      <c r="G74" s="13"/>
      <c r="H74" s="9"/>
      <c r="I74" s="9"/>
    </row>
    <row r="75" spans="1:9" s="14" customFormat="1" x14ac:dyDescent="0.2">
      <c r="A75" s="88" t="s">
        <v>779</v>
      </c>
      <c r="B75" s="89"/>
      <c r="C75" s="45">
        <v>16.090037815999999</v>
      </c>
      <c r="D75" s="10"/>
      <c r="E75" s="13"/>
      <c r="G75" s="13"/>
      <c r="H75" s="9"/>
      <c r="I75" s="9"/>
    </row>
    <row r="76" spans="1:9" s="14" customFormat="1" x14ac:dyDescent="0.2">
      <c r="A76" s="9" t="s">
        <v>1545</v>
      </c>
      <c r="B76" s="9"/>
      <c r="C76" s="9"/>
      <c r="D76" s="10"/>
      <c r="E76" s="13"/>
      <c r="G76" s="13"/>
      <c r="H76" s="9"/>
      <c r="I76" s="9"/>
    </row>
    <row r="77" spans="1:9" s="14" customFormat="1" x14ac:dyDescent="0.2">
      <c r="A77" s="9" t="s">
        <v>782</v>
      </c>
      <c r="B77" s="9"/>
      <c r="C77" s="9"/>
      <c r="D77" s="10"/>
      <c r="E77" s="13"/>
      <c r="G77" s="13"/>
      <c r="H77" s="9"/>
      <c r="I77" s="9"/>
    </row>
    <row r="79" spans="1:9" s="14" customFormat="1" x14ac:dyDescent="0.2">
      <c r="A79" s="18" t="s">
        <v>783</v>
      </c>
      <c r="B79" s="9"/>
      <c r="C79" s="9"/>
      <c r="D79" s="42">
        <v>0.123323117424658</v>
      </c>
      <c r="E79" s="13" t="s">
        <v>46</v>
      </c>
      <c r="G79" s="13"/>
      <c r="H79" s="9"/>
      <c r="I79" s="9"/>
    </row>
    <row r="81" spans="1:7" x14ac:dyDescent="0.2">
      <c r="A81" s="18" t="s">
        <v>717</v>
      </c>
      <c r="D81" s="41" t="s">
        <v>45</v>
      </c>
    </row>
    <row r="83" spans="1:7" ht="14.4" x14ac:dyDescent="0.2">
      <c r="A83" s="90" t="s">
        <v>784</v>
      </c>
      <c r="B83" s="91"/>
      <c r="C83" s="91"/>
      <c r="D83" s="91"/>
      <c r="E83" s="91"/>
      <c r="F83" s="91"/>
      <c r="G83" s="91"/>
    </row>
    <row r="84" spans="1:7" x14ac:dyDescent="0.2">
      <c r="A84" s="50" t="s">
        <v>47</v>
      </c>
    </row>
    <row r="86" spans="1:7" x14ac:dyDescent="0.2">
      <c r="A86" s="48" t="s">
        <v>1423</v>
      </c>
    </row>
  </sheetData>
  <mergeCells count="11">
    <mergeCell ref="A71:B71"/>
    <mergeCell ref="A1:G1"/>
    <mergeCell ref="A67:B67"/>
    <mergeCell ref="A68:B68"/>
    <mergeCell ref="A69:B69"/>
    <mergeCell ref="A70:B70"/>
    <mergeCell ref="A72:B72"/>
    <mergeCell ref="A73:B73"/>
    <mergeCell ref="A74:B74"/>
    <mergeCell ref="A75:B75"/>
    <mergeCell ref="A83:G83"/>
  </mergeCells>
  <conditionalFormatting sqref="F2:F3 F87:F65539 F5:F82">
    <cfRule type="cellIs" dxfId="189" priority="3" stopIfTrue="1" operator="between">
      <formula>0.009</formula>
      <formula>-0.009</formula>
    </cfRule>
  </conditionalFormatting>
  <conditionalFormatting sqref="F85:F86">
    <cfRule type="cellIs" dxfId="188" priority="2" stopIfTrue="1" operator="between">
      <formula>0.009</formula>
      <formula>-0.009</formula>
    </cfRule>
  </conditionalFormatting>
  <conditionalFormatting sqref="F84">
    <cfRule type="cellIs" dxfId="187" priority="1" stopIfTrue="1" operator="between">
      <formula>0.009</formula>
      <formula>-0.009</formula>
    </cfRule>
  </conditionalFormatting>
  <hyperlinks>
    <hyperlink ref="A84" r:id="rId1" xr:uid="{00000000-0004-0000-0000-000000000000}"/>
  </hyperlinks>
  <pageMargins left="0.7" right="0.7" top="0.75" bottom="0.75" header="0.3" footer="0.3"/>
  <pageSetup paperSize="9" scale="54" orientation="portrait" r:id="rId2"/>
  <headerFooter>
    <oddFooter>&amp;R&amp;1#&amp;"Calibri"&amp;10&amp;KFF0000|PUBLIC|</oddFooter>
    <evenFooter>&amp;LPUBLIC</evenFooter>
    <firstFooter>&amp;LPUBLIC</firstFooter>
  </headerFooter>
  <colBreaks count="1" manualBreakCount="1">
    <brk id="7" max="86"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4"/>
  <sheetViews>
    <sheetView view="pageBreakPreview" zoomScaleNormal="100" zoomScaleSheetLayoutView="100" workbookViewId="0">
      <selection sqref="A1:G1"/>
    </sheetView>
  </sheetViews>
  <sheetFormatPr defaultColWidth="9.21875" defaultRowHeight="10.199999999999999" x14ac:dyDescent="0.2"/>
  <cols>
    <col min="1" max="1" width="33.44140625" style="9" bestFit="1" customWidth="1"/>
    <col min="2" max="2" width="19.21875" style="9" customWidth="1"/>
    <col min="3" max="3" width="23.21875" style="9" customWidth="1"/>
    <col min="4" max="4" width="15" style="10" customWidth="1"/>
    <col min="5" max="5" width="22" style="13" customWidth="1"/>
    <col min="6" max="6" width="13.5546875" style="14" bestFit="1" customWidth="1"/>
    <col min="7" max="7" width="14.21875" style="13" customWidth="1"/>
    <col min="8" max="16384" width="9.21875" style="9"/>
  </cols>
  <sheetData>
    <row r="1" spans="1:9" s="1" customFormat="1" ht="13.8" x14ac:dyDescent="0.2">
      <c r="A1" s="92" t="s">
        <v>785</v>
      </c>
      <c r="B1" s="93"/>
      <c r="C1" s="93"/>
      <c r="D1" s="93"/>
      <c r="E1" s="93"/>
      <c r="F1" s="93"/>
      <c r="G1" s="93"/>
    </row>
    <row r="2" spans="1:9" s="1" customFormat="1" ht="11.4" x14ac:dyDescent="0.2">
      <c r="D2" s="6"/>
      <c r="E2" s="7"/>
      <c r="F2" s="12"/>
      <c r="G2" s="13"/>
    </row>
    <row r="3" spans="1:9" s="1" customFormat="1" ht="12" x14ac:dyDescent="0.2">
      <c r="A3" s="11" t="s">
        <v>7</v>
      </c>
      <c r="B3" s="2"/>
      <c r="C3" s="3"/>
      <c r="D3" s="4"/>
      <c r="E3" s="5"/>
      <c r="F3" s="12"/>
      <c r="G3" s="13"/>
    </row>
    <row r="4" spans="1:9" s="1" customFormat="1" ht="17.55" customHeight="1" x14ac:dyDescent="0.2">
      <c r="A4" s="8" t="s">
        <v>2</v>
      </c>
      <c r="B4" s="8" t="s">
        <v>0</v>
      </c>
      <c r="C4" s="17" t="s">
        <v>727</v>
      </c>
      <c r="D4" s="16" t="s">
        <v>1</v>
      </c>
      <c r="E4" s="15" t="s">
        <v>3</v>
      </c>
      <c r="F4" s="15" t="s">
        <v>4</v>
      </c>
      <c r="G4" s="15" t="s">
        <v>6</v>
      </c>
    </row>
    <row r="5" spans="1:9" x14ac:dyDescent="0.2">
      <c r="A5" s="26" t="s">
        <v>38</v>
      </c>
      <c r="B5" s="26"/>
      <c r="C5" s="26"/>
      <c r="D5" s="32"/>
      <c r="E5" s="33">
        <v>23093.747340900001</v>
      </c>
      <c r="F5" s="34">
        <v>100</v>
      </c>
      <c r="G5" s="33"/>
      <c r="H5" s="18"/>
      <c r="I5" s="18"/>
    </row>
    <row r="6" spans="1:9" x14ac:dyDescent="0.2">
      <c r="A6" s="26"/>
      <c r="B6" s="26"/>
      <c r="C6" s="26"/>
      <c r="D6" s="32"/>
      <c r="E6" s="33"/>
      <c r="F6" s="34"/>
      <c r="G6" s="33"/>
      <c r="H6" s="18"/>
      <c r="I6" s="18"/>
    </row>
    <row r="7" spans="1:9" x14ac:dyDescent="0.2">
      <c r="A7" s="35" t="s">
        <v>37</v>
      </c>
      <c r="B7" s="35"/>
      <c r="C7" s="35"/>
      <c r="D7" s="36"/>
      <c r="E7" s="37">
        <v>23093.747340900001</v>
      </c>
      <c r="F7" s="38">
        <v>100</v>
      </c>
      <c r="G7" s="37"/>
      <c r="H7" s="18"/>
      <c r="I7" s="18"/>
    </row>
    <row r="10" spans="1:9" x14ac:dyDescent="0.2">
      <c r="A10" s="18" t="s">
        <v>40</v>
      </c>
    </row>
    <row r="11" spans="1:9" x14ac:dyDescent="0.2">
      <c r="A11" s="18" t="s">
        <v>41</v>
      </c>
    </row>
    <row r="12" spans="1:9" x14ac:dyDescent="0.2">
      <c r="A12" s="18" t="s">
        <v>42</v>
      </c>
      <c r="B12" s="18"/>
      <c r="C12" s="39" t="s">
        <v>44</v>
      </c>
      <c r="D12" s="19" t="s">
        <v>43</v>
      </c>
    </row>
    <row r="13" spans="1:9" x14ac:dyDescent="0.2">
      <c r="A13" s="9" t="s">
        <v>65</v>
      </c>
      <c r="C13" s="40">
        <v>1058.9866999999999</v>
      </c>
      <c r="D13" s="40">
        <v>1074.347</v>
      </c>
    </row>
    <row r="14" spans="1:9" x14ac:dyDescent="0.2">
      <c r="A14" s="9" t="s">
        <v>786</v>
      </c>
      <c r="C14" s="40">
        <v>1000</v>
      </c>
      <c r="D14" s="40">
        <v>1000</v>
      </c>
    </row>
    <row r="15" spans="1:9" x14ac:dyDescent="0.2">
      <c r="A15" s="9" t="s">
        <v>787</v>
      </c>
      <c r="C15" s="40">
        <v>1000.2512</v>
      </c>
      <c r="D15" s="40">
        <v>1000.1723</v>
      </c>
    </row>
    <row r="16" spans="1:9" x14ac:dyDescent="0.2">
      <c r="A16" s="9" t="s">
        <v>66</v>
      </c>
      <c r="C16" s="40">
        <v>1059.8851999999999</v>
      </c>
      <c r="D16" s="40">
        <v>1075.5297</v>
      </c>
    </row>
    <row r="17" spans="1:5" x14ac:dyDescent="0.2">
      <c r="A17" s="9" t="s">
        <v>788</v>
      </c>
      <c r="C17" s="40">
        <v>1000</v>
      </c>
      <c r="D17" s="40">
        <v>1000</v>
      </c>
    </row>
    <row r="18" spans="1:5" x14ac:dyDescent="0.2">
      <c r="A18" s="9" t="s">
        <v>789</v>
      </c>
      <c r="C18" s="40">
        <v>1000.2546</v>
      </c>
      <c r="D18" s="40">
        <v>1000.1755000000001</v>
      </c>
    </row>
    <row r="19" spans="1:5" x14ac:dyDescent="0.2">
      <c r="C19" s="40"/>
      <c r="D19" s="40"/>
    </row>
    <row r="20" spans="1:5" x14ac:dyDescent="0.2">
      <c r="A20" s="18" t="s">
        <v>1560</v>
      </c>
    </row>
    <row r="21" spans="1:5" x14ac:dyDescent="0.2">
      <c r="A21" s="94" t="s">
        <v>64</v>
      </c>
      <c r="B21" s="95"/>
      <c r="C21" s="44" t="s">
        <v>1544</v>
      </c>
    </row>
    <row r="22" spans="1:5" x14ac:dyDescent="0.2">
      <c r="A22" s="88" t="s">
        <v>786</v>
      </c>
      <c r="B22" s="89"/>
      <c r="C22" s="45">
        <v>14.400762960999993</v>
      </c>
    </row>
    <row r="23" spans="1:5" x14ac:dyDescent="0.2">
      <c r="A23" s="88" t="s">
        <v>787</v>
      </c>
      <c r="B23" s="89"/>
      <c r="C23" s="45">
        <v>14.520807469999999</v>
      </c>
    </row>
    <row r="24" spans="1:5" x14ac:dyDescent="0.2">
      <c r="A24" s="88" t="s">
        <v>788</v>
      </c>
      <c r="B24" s="89"/>
      <c r="C24" s="45">
        <v>14.65472589899999</v>
      </c>
    </row>
    <row r="25" spans="1:5" x14ac:dyDescent="0.2">
      <c r="A25" s="88" t="s">
        <v>789</v>
      </c>
      <c r="B25" s="89"/>
      <c r="C25" s="45">
        <v>14.759152491999998</v>
      </c>
    </row>
    <row r="26" spans="1:5" x14ac:dyDescent="0.2">
      <c r="A26" s="9" t="s">
        <v>1545</v>
      </c>
    </row>
    <row r="27" spans="1:5" x14ac:dyDescent="0.2">
      <c r="A27" s="9" t="s">
        <v>782</v>
      </c>
    </row>
    <row r="29" spans="1:5" x14ac:dyDescent="0.2">
      <c r="A29" s="18" t="s">
        <v>783</v>
      </c>
      <c r="D29" s="42">
        <v>1.3698630136986301E-2</v>
      </c>
      <c r="E29" s="13" t="s">
        <v>46</v>
      </c>
    </row>
    <row r="31" spans="1:5" ht="26.25" customHeight="1" x14ac:dyDescent="0.2">
      <c r="A31" s="96" t="s">
        <v>717</v>
      </c>
      <c r="B31" s="96"/>
      <c r="C31" s="96"/>
      <c r="D31" s="41" t="s">
        <v>45</v>
      </c>
    </row>
    <row r="33" spans="1:7" ht="15" customHeight="1" x14ac:dyDescent="0.2">
      <c r="A33" s="90" t="s">
        <v>784</v>
      </c>
      <c r="B33" s="91"/>
      <c r="C33" s="91"/>
      <c r="D33" s="91"/>
      <c r="E33" s="91"/>
      <c r="F33" s="91"/>
      <c r="G33" s="91"/>
    </row>
    <row r="34" spans="1:7" x14ac:dyDescent="0.2">
      <c r="A34" s="50" t="s">
        <v>47</v>
      </c>
    </row>
  </sheetData>
  <mergeCells count="8">
    <mergeCell ref="A31:C31"/>
    <mergeCell ref="A33:G33"/>
    <mergeCell ref="A1:G1"/>
    <mergeCell ref="A21:B21"/>
    <mergeCell ref="A22:B22"/>
    <mergeCell ref="A23:B23"/>
    <mergeCell ref="A24:B24"/>
    <mergeCell ref="A25:B25"/>
  </mergeCells>
  <conditionalFormatting sqref="F2:F3 F36:F65532 F5:F30">
    <cfRule type="cellIs" dxfId="186" priority="5" stopIfTrue="1" operator="between">
      <formula>0.009</formula>
      <formula>-0.009</formula>
    </cfRule>
  </conditionalFormatting>
  <conditionalFormatting sqref="F31:F32 F35">
    <cfRule type="cellIs" dxfId="185" priority="4" stopIfTrue="1" operator="between">
      <formula>0.009</formula>
      <formula>-0.009</formula>
    </cfRule>
  </conditionalFormatting>
  <conditionalFormatting sqref="F34">
    <cfRule type="cellIs" dxfId="184" priority="1" stopIfTrue="1" operator="between">
      <formula>0.009</formula>
      <formula>-0.009</formula>
    </cfRule>
  </conditionalFormatting>
  <hyperlinks>
    <hyperlink ref="A34" r:id="rId1" xr:uid="{00000000-0004-0000-0100-000000000000}"/>
  </hyperlinks>
  <pageMargins left="0.7" right="0.7" top="0.75" bottom="0.75" header="0.3" footer="0.3"/>
  <pageSetup paperSize="9" scale="62" orientation="portrait" r:id="rId2"/>
  <headerFooter>
    <oddFooter>&amp;R&amp;1#&amp;"Calibri"&amp;10&amp;KFF0000|PUBLIC|</oddFooter>
    <evenFooter>&amp;LPUBLIC</evenFooter>
    <firstFooter>&amp;LPUBLIC</firstFooter>
  </headerFooter>
  <colBreaks count="1" manualBreakCount="1">
    <brk id="7"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9"/>
  <sheetViews>
    <sheetView view="pageBreakPreview" zoomScaleNormal="100" zoomScaleSheetLayoutView="100" workbookViewId="0">
      <selection sqref="A1:G1"/>
    </sheetView>
  </sheetViews>
  <sheetFormatPr defaultColWidth="9.21875" defaultRowHeight="10.199999999999999" x14ac:dyDescent="0.2"/>
  <cols>
    <col min="1" max="1" width="33.44140625" style="9" bestFit="1" customWidth="1"/>
    <col min="2" max="2" width="49" style="9" bestFit="1" customWidth="1"/>
    <col min="3" max="3" width="22.77734375" style="9" customWidth="1"/>
    <col min="4" max="4" width="15.44140625" style="10" bestFit="1" customWidth="1"/>
    <col min="5" max="5" width="23" style="13" bestFit="1" customWidth="1"/>
    <col min="6" max="6" width="13.5546875" style="14" bestFit="1" customWidth="1"/>
    <col min="7" max="7" width="14.21875" style="13" customWidth="1"/>
    <col min="8" max="16384" width="9.21875" style="9"/>
  </cols>
  <sheetData>
    <row r="1" spans="1:9" s="1" customFormat="1" ht="13.8" x14ac:dyDescent="0.2">
      <c r="A1" s="92" t="s">
        <v>1430</v>
      </c>
      <c r="B1" s="93"/>
      <c r="C1" s="93"/>
      <c r="D1" s="93"/>
      <c r="E1" s="93"/>
      <c r="F1" s="93"/>
      <c r="G1" s="93"/>
    </row>
    <row r="2" spans="1:9" s="1" customFormat="1" ht="11.4" x14ac:dyDescent="0.2">
      <c r="D2" s="6"/>
      <c r="E2" s="7"/>
      <c r="F2" s="12"/>
      <c r="G2" s="13"/>
    </row>
    <row r="3" spans="1:9" s="1" customFormat="1" ht="12" x14ac:dyDescent="0.2">
      <c r="A3" s="11" t="s">
        <v>7</v>
      </c>
      <c r="B3" s="2"/>
      <c r="C3" s="3"/>
      <c r="D3" s="4"/>
      <c r="E3" s="5"/>
      <c r="F3" s="12"/>
      <c r="G3" s="13"/>
    </row>
    <row r="4" spans="1:9" s="1" customFormat="1" ht="17.55" customHeight="1" x14ac:dyDescent="0.2">
      <c r="A4" s="8" t="s">
        <v>2</v>
      </c>
      <c r="B4" s="8" t="s">
        <v>0</v>
      </c>
      <c r="C4" s="17" t="s">
        <v>727</v>
      </c>
      <c r="D4" s="16" t="s">
        <v>1</v>
      </c>
      <c r="E4" s="15" t="s">
        <v>3</v>
      </c>
      <c r="F4" s="15" t="s">
        <v>4</v>
      </c>
      <c r="G4" s="15" t="s">
        <v>6</v>
      </c>
    </row>
    <row r="5" spans="1:9" x14ac:dyDescent="0.2">
      <c r="A5" s="21" t="s">
        <v>48</v>
      </c>
      <c r="B5" s="22"/>
      <c r="C5" s="22"/>
      <c r="D5" s="23"/>
      <c r="E5" s="24"/>
      <c r="F5" s="25"/>
      <c r="G5" s="24"/>
    </row>
    <row r="6" spans="1:9" x14ac:dyDescent="0.2">
      <c r="A6" s="26" t="s">
        <v>49</v>
      </c>
      <c r="B6" s="27"/>
      <c r="C6" s="27"/>
      <c r="D6" s="28"/>
      <c r="E6" s="29"/>
      <c r="F6" s="30"/>
      <c r="G6" s="29"/>
    </row>
    <row r="7" spans="1:9" x14ac:dyDescent="0.2">
      <c r="A7" s="27" t="s">
        <v>790</v>
      </c>
      <c r="B7" s="27" t="s">
        <v>791</v>
      </c>
      <c r="C7" s="27" t="s">
        <v>50</v>
      </c>
      <c r="D7" s="31">
        <v>5000</v>
      </c>
      <c r="E7" s="29">
        <v>5000.6049999999996</v>
      </c>
      <c r="F7" s="30">
        <v>4.3002451162357698</v>
      </c>
      <c r="G7" s="29">
        <v>3.9649999999999999</v>
      </c>
    </row>
    <row r="8" spans="1:9" x14ac:dyDescent="0.2">
      <c r="A8" s="27" t="s">
        <v>792</v>
      </c>
      <c r="B8" s="27" t="s">
        <v>793</v>
      </c>
      <c r="C8" s="27" t="s">
        <v>50</v>
      </c>
      <c r="D8" s="31">
        <v>5000</v>
      </c>
      <c r="E8" s="29">
        <v>4870.875</v>
      </c>
      <c r="F8" s="30">
        <v>4.1886844552899003</v>
      </c>
      <c r="G8" s="29">
        <v>3.7650999999999999</v>
      </c>
    </row>
    <row r="9" spans="1:9" x14ac:dyDescent="0.2">
      <c r="A9" s="27" t="s">
        <v>794</v>
      </c>
      <c r="B9" s="27" t="s">
        <v>795</v>
      </c>
      <c r="C9" s="27" t="s">
        <v>50</v>
      </c>
      <c r="D9" s="31">
        <v>5000</v>
      </c>
      <c r="E9" s="29">
        <v>4825.49</v>
      </c>
      <c r="F9" s="30">
        <v>4.1496558528307199</v>
      </c>
      <c r="G9" s="29">
        <v>4</v>
      </c>
    </row>
    <row r="10" spans="1:9" x14ac:dyDescent="0.2">
      <c r="A10" s="27" t="s">
        <v>796</v>
      </c>
      <c r="B10" s="27" t="s">
        <v>797</v>
      </c>
      <c r="C10" s="27" t="s">
        <v>732</v>
      </c>
      <c r="D10" s="31">
        <v>5000</v>
      </c>
      <c r="E10" s="29">
        <v>4816.3549999999996</v>
      </c>
      <c r="F10" s="30">
        <v>4.1418002555306304</v>
      </c>
      <c r="G10" s="29">
        <v>3.9649999999999999</v>
      </c>
    </row>
    <row r="11" spans="1:9" x14ac:dyDescent="0.2">
      <c r="A11" s="27" t="s">
        <v>798</v>
      </c>
      <c r="B11" s="27" t="s">
        <v>799</v>
      </c>
      <c r="C11" s="27" t="s">
        <v>50</v>
      </c>
      <c r="D11" s="31">
        <v>2500</v>
      </c>
      <c r="E11" s="29">
        <v>2417.1424999999999</v>
      </c>
      <c r="F11" s="30">
        <v>2.07860953442052</v>
      </c>
      <c r="G11" s="29">
        <v>3.9975000000000001</v>
      </c>
    </row>
    <row r="12" spans="1:9" x14ac:dyDescent="0.2">
      <c r="A12" s="27" t="s">
        <v>800</v>
      </c>
      <c r="B12" s="27" t="s">
        <v>801</v>
      </c>
      <c r="C12" s="27" t="s">
        <v>51</v>
      </c>
      <c r="D12" s="31">
        <v>2500</v>
      </c>
      <c r="E12" s="29">
        <v>2413.0549999999998</v>
      </c>
      <c r="F12" s="30">
        <v>2.0750945093560298</v>
      </c>
      <c r="G12" s="29">
        <v>3.9973999999999998</v>
      </c>
    </row>
    <row r="13" spans="1:9" x14ac:dyDescent="0.2">
      <c r="A13" s="26" t="s">
        <v>34</v>
      </c>
      <c r="B13" s="26"/>
      <c r="C13" s="26"/>
      <c r="D13" s="32"/>
      <c r="E13" s="33">
        <f>SUM(E6:E12)</f>
        <v>24343.522499999999</v>
      </c>
      <c r="F13" s="34">
        <f>SUM(F6:F12)</f>
        <v>20.934089723663568</v>
      </c>
      <c r="G13" s="33"/>
      <c r="H13" s="18"/>
      <c r="I13" s="18"/>
    </row>
    <row r="14" spans="1:9" x14ac:dyDescent="0.2">
      <c r="A14" s="27"/>
      <c r="B14" s="27"/>
      <c r="C14" s="27"/>
      <c r="D14" s="28"/>
      <c r="E14" s="29"/>
      <c r="F14" s="30"/>
      <c r="G14" s="29"/>
    </row>
    <row r="15" spans="1:9" x14ac:dyDescent="0.2">
      <c r="A15" s="26" t="s">
        <v>52</v>
      </c>
      <c r="B15" s="27"/>
      <c r="C15" s="27"/>
      <c r="D15" s="28"/>
      <c r="E15" s="29"/>
      <c r="F15" s="30"/>
      <c r="G15" s="29"/>
    </row>
    <row r="16" spans="1:9" x14ac:dyDescent="0.2">
      <c r="A16" s="27" t="s">
        <v>744</v>
      </c>
      <c r="B16" s="27" t="s">
        <v>745</v>
      </c>
      <c r="C16" s="27" t="s">
        <v>50</v>
      </c>
      <c r="D16" s="31">
        <v>1000</v>
      </c>
      <c r="E16" s="29">
        <v>4981.09</v>
      </c>
      <c r="F16" s="30">
        <v>4.2834632901480596</v>
      </c>
      <c r="G16" s="29">
        <v>3.3797000000000001</v>
      </c>
    </row>
    <row r="17" spans="1:9" x14ac:dyDescent="0.2">
      <c r="A17" s="27" t="s">
        <v>802</v>
      </c>
      <c r="B17" s="27" t="s">
        <v>803</v>
      </c>
      <c r="C17" s="27" t="s">
        <v>50</v>
      </c>
      <c r="D17" s="31">
        <v>1000</v>
      </c>
      <c r="E17" s="29">
        <v>4944.6400000000003</v>
      </c>
      <c r="F17" s="30">
        <v>4.2521182959950004</v>
      </c>
      <c r="G17" s="29">
        <v>3.7149999999999999</v>
      </c>
    </row>
    <row r="18" spans="1:9" x14ac:dyDescent="0.2">
      <c r="A18" s="27" t="s">
        <v>804</v>
      </c>
      <c r="B18" s="27" t="s">
        <v>805</v>
      </c>
      <c r="C18" s="27" t="s">
        <v>50</v>
      </c>
      <c r="D18" s="31">
        <v>1000</v>
      </c>
      <c r="E18" s="29">
        <v>4935.26</v>
      </c>
      <c r="F18" s="30">
        <v>4.2440520121772796</v>
      </c>
      <c r="G18" s="29">
        <v>3.6</v>
      </c>
    </row>
    <row r="19" spans="1:9" x14ac:dyDescent="0.2">
      <c r="A19" s="27" t="s">
        <v>806</v>
      </c>
      <c r="B19" s="27" t="s">
        <v>807</v>
      </c>
      <c r="C19" s="27" t="s">
        <v>50</v>
      </c>
      <c r="D19" s="31">
        <v>1000</v>
      </c>
      <c r="E19" s="29">
        <v>4929.1450000000004</v>
      </c>
      <c r="F19" s="30">
        <v>4.2387934486863097</v>
      </c>
      <c r="G19" s="29">
        <v>3.9750000000000001</v>
      </c>
    </row>
    <row r="20" spans="1:9" x14ac:dyDescent="0.2">
      <c r="A20" s="27" t="s">
        <v>54</v>
      </c>
      <c r="B20" s="27" t="s">
        <v>53</v>
      </c>
      <c r="C20" s="27" t="s">
        <v>55</v>
      </c>
      <c r="D20" s="31">
        <v>1000</v>
      </c>
      <c r="E20" s="29">
        <v>4817.6000000000004</v>
      </c>
      <c r="F20" s="30">
        <v>4.1428708870181596</v>
      </c>
      <c r="G20" s="29">
        <v>4.1498999999999997</v>
      </c>
    </row>
    <row r="21" spans="1:9" x14ac:dyDescent="0.2">
      <c r="A21" s="27" t="s">
        <v>808</v>
      </c>
      <c r="B21" s="27" t="s">
        <v>809</v>
      </c>
      <c r="C21" s="27" t="s">
        <v>51</v>
      </c>
      <c r="D21" s="31">
        <v>1000</v>
      </c>
      <c r="E21" s="29">
        <v>4816.57</v>
      </c>
      <c r="F21" s="30">
        <v>4.1419851436991602</v>
      </c>
      <c r="G21" s="29">
        <v>4.2249999999999996</v>
      </c>
    </row>
    <row r="22" spans="1:9" x14ac:dyDescent="0.2">
      <c r="A22" s="27" t="s">
        <v>810</v>
      </c>
      <c r="B22" s="27" t="s">
        <v>811</v>
      </c>
      <c r="C22" s="27" t="s">
        <v>732</v>
      </c>
      <c r="D22" s="31">
        <v>500</v>
      </c>
      <c r="E22" s="29">
        <v>2471.8024999999998</v>
      </c>
      <c r="F22" s="30">
        <v>2.1256141264755701</v>
      </c>
      <c r="G22" s="29">
        <v>3.47</v>
      </c>
    </row>
    <row r="23" spans="1:9" x14ac:dyDescent="0.2">
      <c r="A23" s="27" t="s">
        <v>57</v>
      </c>
      <c r="B23" s="27" t="s">
        <v>56</v>
      </c>
      <c r="C23" s="27" t="s">
        <v>50</v>
      </c>
      <c r="D23" s="31">
        <v>500</v>
      </c>
      <c r="E23" s="29">
        <v>2445.8274999999999</v>
      </c>
      <c r="F23" s="30">
        <v>2.1032770558822702</v>
      </c>
      <c r="G23" s="29">
        <v>4.2549000000000001</v>
      </c>
    </row>
    <row r="24" spans="1:9" x14ac:dyDescent="0.2">
      <c r="A24" s="27" t="s">
        <v>812</v>
      </c>
      <c r="B24" s="27" t="s">
        <v>813</v>
      </c>
      <c r="C24" s="27" t="s">
        <v>50</v>
      </c>
      <c r="D24" s="31">
        <v>500</v>
      </c>
      <c r="E24" s="29">
        <v>2406.355</v>
      </c>
      <c r="F24" s="30">
        <v>2.0693328780576601</v>
      </c>
      <c r="G24" s="29">
        <v>4.4249999999999998</v>
      </c>
    </row>
    <row r="25" spans="1:9" x14ac:dyDescent="0.2">
      <c r="A25" s="27" t="s">
        <v>750</v>
      </c>
      <c r="B25" s="27" t="s">
        <v>751</v>
      </c>
      <c r="C25" s="27" t="s">
        <v>55</v>
      </c>
      <c r="D25" s="31">
        <v>200</v>
      </c>
      <c r="E25" s="29">
        <v>997.22699999999998</v>
      </c>
      <c r="F25" s="30">
        <v>0.85756034250424795</v>
      </c>
      <c r="G25" s="29">
        <v>3.4998999999999998</v>
      </c>
    </row>
    <row r="26" spans="1:9" x14ac:dyDescent="0.2">
      <c r="A26" s="26" t="s">
        <v>34</v>
      </c>
      <c r="B26" s="26"/>
      <c r="C26" s="26"/>
      <c r="D26" s="32"/>
      <c r="E26" s="33">
        <f>SUM(E15:E25)</f>
        <v>37745.517</v>
      </c>
      <c r="F26" s="34">
        <f>SUM(F15:F25)</f>
        <v>32.459067480643718</v>
      </c>
      <c r="G26" s="33"/>
      <c r="H26" s="18"/>
      <c r="I26" s="18"/>
    </row>
    <row r="27" spans="1:9" x14ac:dyDescent="0.2">
      <c r="A27" s="27"/>
      <c r="B27" s="27"/>
      <c r="C27" s="27"/>
      <c r="D27" s="28"/>
      <c r="E27" s="29"/>
      <c r="F27" s="30"/>
      <c r="G27" s="29"/>
    </row>
    <row r="28" spans="1:9" x14ac:dyDescent="0.2">
      <c r="A28" s="26" t="s">
        <v>58</v>
      </c>
      <c r="B28" s="27"/>
      <c r="C28" s="27"/>
      <c r="D28" s="28"/>
      <c r="E28" s="29"/>
      <c r="F28" s="30"/>
      <c r="G28" s="29"/>
    </row>
    <row r="29" spans="1:9" x14ac:dyDescent="0.2">
      <c r="A29" s="27" t="s">
        <v>814</v>
      </c>
      <c r="B29" s="27" t="s">
        <v>815</v>
      </c>
      <c r="C29" s="27" t="s">
        <v>62</v>
      </c>
      <c r="D29" s="31">
        <v>15000000</v>
      </c>
      <c r="E29" s="29">
        <v>14468.28</v>
      </c>
      <c r="F29" s="30">
        <v>12.4419246091886</v>
      </c>
      <c r="G29" s="29">
        <v>3.7574999999999998</v>
      </c>
    </row>
    <row r="30" spans="1:9" x14ac:dyDescent="0.2">
      <c r="A30" s="27" t="s">
        <v>816</v>
      </c>
      <c r="B30" s="27" t="s">
        <v>817</v>
      </c>
      <c r="C30" s="27" t="s">
        <v>62</v>
      </c>
      <c r="D30" s="31">
        <v>10000000</v>
      </c>
      <c r="E30" s="29">
        <v>9640</v>
      </c>
      <c r="F30" s="30">
        <v>8.2898695098918793</v>
      </c>
      <c r="G30" s="29">
        <v>3.7549999999999999</v>
      </c>
    </row>
    <row r="31" spans="1:9" x14ac:dyDescent="0.2">
      <c r="A31" s="26" t="s">
        <v>34</v>
      </c>
      <c r="B31" s="26"/>
      <c r="C31" s="26"/>
      <c r="D31" s="32"/>
      <c r="E31" s="33">
        <f>SUM(E28:E30)</f>
        <v>24108.28</v>
      </c>
      <c r="F31" s="34">
        <f>SUM(F28:F30)</f>
        <v>20.73179411908048</v>
      </c>
      <c r="G31" s="33"/>
      <c r="H31" s="18"/>
      <c r="I31" s="18"/>
    </row>
    <row r="32" spans="1:9" x14ac:dyDescent="0.2">
      <c r="A32" s="27"/>
      <c r="B32" s="27"/>
      <c r="C32" s="27"/>
      <c r="D32" s="28"/>
      <c r="E32" s="29"/>
      <c r="F32" s="30"/>
      <c r="G32" s="29"/>
    </row>
    <row r="33" spans="1:9" x14ac:dyDescent="0.2">
      <c r="A33" s="26" t="s">
        <v>59</v>
      </c>
      <c r="B33" s="27"/>
      <c r="C33" s="27"/>
      <c r="D33" s="28"/>
      <c r="E33" s="29"/>
      <c r="F33" s="30"/>
      <c r="G33" s="29"/>
    </row>
    <row r="34" spans="1:9" x14ac:dyDescent="0.2">
      <c r="A34" s="27" t="s">
        <v>61</v>
      </c>
      <c r="B34" s="27" t="s">
        <v>60</v>
      </c>
      <c r="C34" s="27" t="s">
        <v>62</v>
      </c>
      <c r="D34" s="31">
        <v>10000000</v>
      </c>
      <c r="E34" s="29">
        <v>10376.82</v>
      </c>
      <c r="F34" s="30">
        <v>8.9234941626178692</v>
      </c>
      <c r="G34" s="29">
        <v>3.7595000000000001</v>
      </c>
    </row>
    <row r="35" spans="1:9" x14ac:dyDescent="0.2">
      <c r="A35" s="27" t="s">
        <v>818</v>
      </c>
      <c r="B35" s="27" t="s">
        <v>819</v>
      </c>
      <c r="C35" s="27" t="s">
        <v>62</v>
      </c>
      <c r="D35" s="31">
        <v>5000000</v>
      </c>
      <c r="E35" s="29">
        <v>5152.7650000000003</v>
      </c>
      <c r="F35" s="30">
        <v>4.4310943428566398</v>
      </c>
      <c r="G35" s="29">
        <v>3.6095000000000002</v>
      </c>
    </row>
    <row r="36" spans="1:9" x14ac:dyDescent="0.2">
      <c r="A36" s="26" t="s">
        <v>34</v>
      </c>
      <c r="B36" s="26"/>
      <c r="C36" s="26"/>
      <c r="D36" s="32"/>
      <c r="E36" s="33">
        <f>SUM(E34:E35)</f>
        <v>15529.584999999999</v>
      </c>
      <c r="F36" s="34">
        <f>SUM(F34:F35)</f>
        <v>13.35458850547451</v>
      </c>
      <c r="G36" s="33"/>
      <c r="H36" s="18"/>
      <c r="I36" s="18"/>
    </row>
    <row r="37" spans="1:9" x14ac:dyDescent="0.2">
      <c r="A37" s="27"/>
      <c r="B37" s="27"/>
      <c r="C37" s="27"/>
      <c r="D37" s="28"/>
      <c r="E37" s="29"/>
      <c r="F37" s="30"/>
      <c r="G37" s="29"/>
    </row>
    <row r="38" spans="1:9" x14ac:dyDescent="0.2">
      <c r="A38" s="26" t="s">
        <v>36</v>
      </c>
      <c r="B38" s="26"/>
      <c r="C38" s="26"/>
      <c r="D38" s="32"/>
      <c r="E38" s="33">
        <f>E13+E26+E31+E36</f>
        <v>101726.9045</v>
      </c>
      <c r="F38" s="34">
        <f>F13+F26+F31+F36</f>
        <v>87.479539828862272</v>
      </c>
      <c r="G38" s="33"/>
      <c r="H38" s="18"/>
      <c r="I38" s="18"/>
    </row>
    <row r="39" spans="1:9" x14ac:dyDescent="0.2">
      <c r="A39" s="26"/>
      <c r="B39" s="26"/>
      <c r="C39" s="26"/>
      <c r="D39" s="32"/>
      <c r="E39" s="33"/>
      <c r="F39" s="34"/>
      <c r="G39" s="33"/>
      <c r="H39" s="18"/>
      <c r="I39" s="18"/>
    </row>
    <row r="40" spans="1:9" x14ac:dyDescent="0.2">
      <c r="A40" s="26" t="s">
        <v>38</v>
      </c>
      <c r="B40" s="26"/>
      <c r="C40" s="26"/>
      <c r="D40" s="32"/>
      <c r="E40" s="33">
        <f>E42-(E13+E26+E31+E36)</f>
        <v>14559.606264699993</v>
      </c>
      <c r="F40" s="34">
        <f>F42-(F13+F26+F31+F36)</f>
        <v>12.520460171137728</v>
      </c>
      <c r="G40" s="33"/>
      <c r="H40" s="18"/>
      <c r="I40" s="18"/>
    </row>
    <row r="41" spans="1:9" x14ac:dyDescent="0.2">
      <c r="A41" s="26"/>
      <c r="B41" s="26"/>
      <c r="C41" s="26"/>
      <c r="D41" s="32"/>
      <c r="E41" s="33"/>
      <c r="F41" s="34"/>
      <c r="G41" s="33"/>
      <c r="H41" s="18"/>
      <c r="I41" s="18"/>
    </row>
    <row r="42" spans="1:9" x14ac:dyDescent="0.2">
      <c r="A42" s="35" t="s">
        <v>37</v>
      </c>
      <c r="B42" s="35"/>
      <c r="C42" s="35"/>
      <c r="D42" s="36"/>
      <c r="E42" s="37">
        <v>116286.5107647</v>
      </c>
      <c r="F42" s="38">
        <v>100</v>
      </c>
      <c r="G42" s="37"/>
      <c r="H42" s="18"/>
      <c r="I42" s="18"/>
    </row>
    <row r="44" spans="1:9" x14ac:dyDescent="0.2">
      <c r="A44" s="18" t="s">
        <v>63</v>
      </c>
    </row>
    <row r="45" spans="1:9" x14ac:dyDescent="0.2">
      <c r="A45" s="18" t="s">
        <v>39</v>
      </c>
    </row>
    <row r="46" spans="1:9" x14ac:dyDescent="0.2">
      <c r="A46" s="18" t="s">
        <v>1431</v>
      </c>
    </row>
    <row r="48" spans="1:9" x14ac:dyDescent="0.2">
      <c r="A48" s="18" t="s">
        <v>40</v>
      </c>
    </row>
    <row r="49" spans="1:9" x14ac:dyDescent="0.2">
      <c r="A49" s="18" t="s">
        <v>41</v>
      </c>
    </row>
    <row r="50" spans="1:9" s="13" customFormat="1" x14ac:dyDescent="0.2">
      <c r="A50" s="18" t="s">
        <v>42</v>
      </c>
      <c r="B50" s="18"/>
      <c r="C50" s="39" t="s">
        <v>44</v>
      </c>
      <c r="D50" s="19" t="s">
        <v>43</v>
      </c>
      <c r="F50" s="14"/>
      <c r="H50" s="9"/>
      <c r="I50" s="9"/>
    </row>
    <row r="51" spans="1:9" s="13" customFormat="1" x14ac:dyDescent="0.2">
      <c r="A51" s="9" t="s">
        <v>820</v>
      </c>
      <c r="B51" s="9"/>
      <c r="C51" s="40">
        <v>38.253399999999999</v>
      </c>
      <c r="D51" s="40">
        <v>38.929499999999997</v>
      </c>
      <c r="F51" s="14"/>
      <c r="H51" s="9"/>
      <c r="I51" s="9"/>
    </row>
    <row r="52" spans="1:9" s="13" customFormat="1" x14ac:dyDescent="0.2">
      <c r="A52" s="9" t="s">
        <v>821</v>
      </c>
      <c r="B52" s="9"/>
      <c r="C52" s="40">
        <v>10.110799999999999</v>
      </c>
      <c r="D52" s="40">
        <v>10.1099</v>
      </c>
      <c r="F52" s="14"/>
      <c r="H52" s="9"/>
      <c r="I52" s="9"/>
    </row>
    <row r="53" spans="1:9" s="13" customFormat="1" x14ac:dyDescent="0.2">
      <c r="A53" s="9" t="s">
        <v>822</v>
      </c>
      <c r="B53" s="9"/>
      <c r="C53" s="40">
        <v>10.1754</v>
      </c>
      <c r="D53" s="40">
        <v>10.128399999999999</v>
      </c>
      <c r="F53" s="14"/>
      <c r="H53" s="9"/>
      <c r="I53" s="9"/>
    </row>
    <row r="54" spans="1:9" s="13" customFormat="1" x14ac:dyDescent="0.2">
      <c r="A54" s="9" t="s">
        <v>823</v>
      </c>
      <c r="B54" s="9"/>
      <c r="C54" s="40">
        <v>10.728999999999999</v>
      </c>
      <c r="D54" s="40">
        <v>10.4762</v>
      </c>
      <c r="F54" s="14"/>
      <c r="H54" s="9"/>
      <c r="I54" s="9"/>
    </row>
    <row r="55" spans="1:9" s="13" customFormat="1" x14ac:dyDescent="0.2">
      <c r="A55" s="9" t="s">
        <v>824</v>
      </c>
      <c r="B55" s="9"/>
      <c r="C55" s="40">
        <v>39.226599999999998</v>
      </c>
      <c r="D55" s="40">
        <v>39.9499</v>
      </c>
      <c r="F55" s="14"/>
      <c r="H55" s="9"/>
      <c r="I55" s="9"/>
    </row>
    <row r="56" spans="1:9" s="13" customFormat="1" x14ac:dyDescent="0.2">
      <c r="A56" s="9" t="s">
        <v>825</v>
      </c>
      <c r="B56" s="9"/>
      <c r="C56" s="40">
        <v>10.1205</v>
      </c>
      <c r="D56" s="40">
        <v>10.1198</v>
      </c>
      <c r="F56" s="14"/>
      <c r="H56" s="9"/>
      <c r="I56" s="9"/>
    </row>
    <row r="57" spans="1:9" s="13" customFormat="1" x14ac:dyDescent="0.2">
      <c r="A57" s="9" t="s">
        <v>826</v>
      </c>
      <c r="B57" s="9"/>
      <c r="C57" s="40">
        <v>10.5078</v>
      </c>
      <c r="D57" s="40">
        <v>10.4747</v>
      </c>
      <c r="F57" s="14"/>
      <c r="H57" s="9"/>
      <c r="I57" s="9"/>
    </row>
    <row r="58" spans="1:9" s="13" customFormat="1" x14ac:dyDescent="0.2">
      <c r="A58" s="9" t="s">
        <v>827</v>
      </c>
      <c r="B58" s="9"/>
      <c r="C58" s="40">
        <v>11.1098</v>
      </c>
      <c r="D58" s="40">
        <v>10.872199999999999</v>
      </c>
      <c r="F58" s="14"/>
      <c r="H58" s="9"/>
      <c r="I58" s="9"/>
    </row>
    <row r="61" spans="1:9" s="13" customFormat="1" x14ac:dyDescent="0.2">
      <c r="A61" s="18" t="s">
        <v>1560</v>
      </c>
      <c r="B61" s="9"/>
      <c r="C61" s="9"/>
      <c r="D61" s="10"/>
      <c r="F61" s="14"/>
      <c r="H61" s="9"/>
      <c r="I61" s="9"/>
    </row>
    <row r="62" spans="1:9" s="13" customFormat="1" x14ac:dyDescent="0.2">
      <c r="A62" s="94" t="s">
        <v>64</v>
      </c>
      <c r="B62" s="95"/>
      <c r="C62" s="44" t="s">
        <v>1544</v>
      </c>
      <c r="D62" s="10"/>
      <c r="F62" s="14"/>
      <c r="H62" s="9"/>
      <c r="I62" s="9"/>
    </row>
    <row r="63" spans="1:9" s="13" customFormat="1" x14ac:dyDescent="0.2">
      <c r="A63" s="88" t="s">
        <v>821</v>
      </c>
      <c r="B63" s="89"/>
      <c r="C63" s="45">
        <v>0.17803303140000001</v>
      </c>
      <c r="D63" s="10"/>
      <c r="F63" s="14"/>
      <c r="H63" s="9"/>
      <c r="I63" s="9"/>
    </row>
    <row r="64" spans="1:9" s="13" customFormat="1" x14ac:dyDescent="0.2">
      <c r="A64" s="88" t="s">
        <v>822</v>
      </c>
      <c r="B64" s="89"/>
      <c r="C64" s="45">
        <v>0.22500000000000001</v>
      </c>
      <c r="D64" s="10"/>
      <c r="F64" s="14"/>
      <c r="H64" s="9"/>
      <c r="I64" s="9"/>
    </row>
    <row r="65" spans="1:7" x14ac:dyDescent="0.2">
      <c r="A65" s="88" t="s">
        <v>823</v>
      </c>
      <c r="B65" s="89"/>
      <c r="C65" s="45">
        <v>0.44</v>
      </c>
    </row>
    <row r="66" spans="1:7" x14ac:dyDescent="0.2">
      <c r="A66" s="88" t="s">
        <v>825</v>
      </c>
      <c r="B66" s="89"/>
      <c r="C66" s="45">
        <v>0.1856735806</v>
      </c>
    </row>
    <row r="67" spans="1:7" x14ac:dyDescent="0.2">
      <c r="A67" s="88" t="s">
        <v>826</v>
      </c>
      <c r="B67" s="89"/>
      <c r="C67" s="45">
        <v>0.22500000000000001</v>
      </c>
    </row>
    <row r="68" spans="1:7" x14ac:dyDescent="0.2">
      <c r="A68" s="88" t="s">
        <v>827</v>
      </c>
      <c r="B68" s="89"/>
      <c r="C68" s="45">
        <v>0.44</v>
      </c>
    </row>
    <row r="69" spans="1:7" x14ac:dyDescent="0.2">
      <c r="A69" s="9" t="s">
        <v>1545</v>
      </c>
    </row>
    <row r="70" spans="1:7" x14ac:dyDescent="0.2">
      <c r="A70" s="9" t="s">
        <v>782</v>
      </c>
    </row>
    <row r="72" spans="1:7" x14ac:dyDescent="0.2">
      <c r="A72" s="18" t="s">
        <v>783</v>
      </c>
      <c r="D72" s="42">
        <v>0.646672081013699</v>
      </c>
      <c r="E72" s="13" t="s">
        <v>46</v>
      </c>
    </row>
    <row r="74" spans="1:7" x14ac:dyDescent="0.2">
      <c r="A74" s="18" t="s">
        <v>717</v>
      </c>
      <c r="D74" s="41" t="s">
        <v>45</v>
      </c>
    </row>
    <row r="76" spans="1:7" ht="14.4" x14ac:dyDescent="0.2">
      <c r="A76" s="90" t="s">
        <v>784</v>
      </c>
      <c r="B76" s="91"/>
      <c r="C76" s="91"/>
      <c r="D76" s="91"/>
      <c r="E76" s="91"/>
      <c r="F76" s="91"/>
      <c r="G76" s="91"/>
    </row>
    <row r="77" spans="1:7" x14ac:dyDescent="0.2">
      <c r="A77" s="50" t="s">
        <v>47</v>
      </c>
    </row>
    <row r="79" spans="1:7" x14ac:dyDescent="0.2">
      <c r="A79" s="18" t="s">
        <v>1432</v>
      </c>
    </row>
  </sheetData>
  <mergeCells count="9">
    <mergeCell ref="A67:B67"/>
    <mergeCell ref="A68:B68"/>
    <mergeCell ref="A76:G76"/>
    <mergeCell ref="A1:G1"/>
    <mergeCell ref="A62:B62"/>
    <mergeCell ref="A63:B63"/>
    <mergeCell ref="A64:B64"/>
    <mergeCell ref="A65:B65"/>
    <mergeCell ref="A66:B66"/>
  </mergeCells>
  <conditionalFormatting sqref="F2:F3 F80:F65539 F5:F75">
    <cfRule type="cellIs" dxfId="183" priority="3" stopIfTrue="1" operator="between">
      <formula>0.009</formula>
      <formula>-0.009</formula>
    </cfRule>
  </conditionalFormatting>
  <conditionalFormatting sqref="F78:F79">
    <cfRule type="cellIs" dxfId="182" priority="2" stopIfTrue="1" operator="between">
      <formula>0.009</formula>
      <formula>-0.009</formula>
    </cfRule>
  </conditionalFormatting>
  <conditionalFormatting sqref="F77">
    <cfRule type="cellIs" dxfId="181" priority="1" stopIfTrue="1" operator="between">
      <formula>0.009</formula>
      <formula>-0.009</formula>
    </cfRule>
  </conditionalFormatting>
  <hyperlinks>
    <hyperlink ref="A77" r:id="rId1" xr:uid="{00000000-0004-0000-0200-000000000000}"/>
  </hyperlinks>
  <pageMargins left="0.7" right="0.7" top="0.75" bottom="0.75" header="0.3" footer="0.3"/>
  <pageSetup paperSize="9" scale="51" orientation="portrait" r:id="rId2"/>
  <headerFooter>
    <oddFooter>&amp;R&amp;1#&amp;"Calibri"&amp;10&amp;KFF0000|PUBLIC|</oddFooter>
    <evenFooter>&amp;LPUBLIC</evenFooter>
    <firstFooter>&amp;LPUBLIC</firstFooter>
  </headerFooter>
  <colBreaks count="1" manualBreakCount="1">
    <brk id="7" max="81"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65"/>
  <sheetViews>
    <sheetView view="pageBreakPreview" zoomScaleNormal="100" zoomScaleSheetLayoutView="100" workbookViewId="0">
      <selection sqref="A1:G1"/>
    </sheetView>
  </sheetViews>
  <sheetFormatPr defaultColWidth="9.21875" defaultRowHeight="10.199999999999999" x14ac:dyDescent="0.2"/>
  <cols>
    <col min="1" max="1" width="38.77734375" style="9" bestFit="1" customWidth="1"/>
    <col min="2" max="2" width="53.77734375" style="9" bestFit="1" customWidth="1"/>
    <col min="3" max="3" width="22.44140625" style="9" customWidth="1"/>
    <col min="4" max="4" width="15.44140625" style="10" bestFit="1" customWidth="1"/>
    <col min="5" max="5" width="23" style="13" bestFit="1" customWidth="1"/>
    <col min="6" max="6" width="13.5546875" style="14" bestFit="1" customWidth="1"/>
    <col min="7" max="7" width="14.21875" style="13" customWidth="1"/>
    <col min="8" max="16384" width="9.21875" style="9"/>
  </cols>
  <sheetData>
    <row r="1" spans="1:9" s="1" customFormat="1" ht="13.8" x14ac:dyDescent="0.2">
      <c r="A1" s="92" t="s">
        <v>1433</v>
      </c>
      <c r="B1" s="93"/>
      <c r="C1" s="93"/>
      <c r="D1" s="93"/>
      <c r="E1" s="93"/>
      <c r="F1" s="93"/>
      <c r="G1" s="93"/>
    </row>
    <row r="2" spans="1:9" s="1" customFormat="1" ht="11.4" x14ac:dyDescent="0.2">
      <c r="D2" s="6"/>
      <c r="E2" s="7"/>
      <c r="F2" s="12"/>
      <c r="G2" s="13"/>
    </row>
    <row r="3" spans="1:9" s="1" customFormat="1" ht="12" x14ac:dyDescent="0.2">
      <c r="A3" s="11" t="s">
        <v>7</v>
      </c>
      <c r="B3" s="2"/>
      <c r="C3" s="3"/>
      <c r="D3" s="4"/>
      <c r="E3" s="5"/>
      <c r="F3" s="12"/>
      <c r="G3" s="13"/>
    </row>
    <row r="4" spans="1:9" s="1" customFormat="1" ht="17.55" customHeight="1" x14ac:dyDescent="0.2">
      <c r="A4" s="8" t="s">
        <v>2</v>
      </c>
      <c r="B4" s="8" t="s">
        <v>0</v>
      </c>
      <c r="C4" s="17" t="s">
        <v>727</v>
      </c>
      <c r="D4" s="16" t="s">
        <v>1</v>
      </c>
      <c r="E4" s="15" t="s">
        <v>3</v>
      </c>
      <c r="F4" s="15" t="s">
        <v>4</v>
      </c>
      <c r="G4" s="15" t="s">
        <v>6</v>
      </c>
    </row>
    <row r="5" spans="1:9" x14ac:dyDescent="0.2">
      <c r="A5" s="21" t="s">
        <v>26</v>
      </c>
      <c r="B5" s="22"/>
      <c r="C5" s="22"/>
      <c r="D5" s="23"/>
      <c r="E5" s="24"/>
      <c r="F5" s="25"/>
      <c r="G5" s="24"/>
    </row>
    <row r="6" spans="1:9" x14ac:dyDescent="0.2">
      <c r="A6" s="26" t="s">
        <v>27</v>
      </c>
      <c r="B6" s="27"/>
      <c r="C6" s="27"/>
      <c r="D6" s="28"/>
      <c r="E6" s="29"/>
      <c r="F6" s="30"/>
      <c r="G6" s="29"/>
    </row>
    <row r="7" spans="1:9" x14ac:dyDescent="0.2">
      <c r="A7" s="27" t="s">
        <v>828</v>
      </c>
      <c r="B7" s="27" t="s">
        <v>829</v>
      </c>
      <c r="C7" s="27" t="s">
        <v>830</v>
      </c>
      <c r="D7" s="31">
        <v>250</v>
      </c>
      <c r="E7" s="29">
        <v>2530.3625000000002</v>
      </c>
      <c r="F7" s="30">
        <v>8.2210230320075492</v>
      </c>
      <c r="G7" s="29">
        <v>6.22</v>
      </c>
    </row>
    <row r="8" spans="1:9" x14ac:dyDescent="0.2">
      <c r="A8" s="27" t="s">
        <v>831</v>
      </c>
      <c r="B8" s="27" t="s">
        <v>832</v>
      </c>
      <c r="C8" s="27" t="s">
        <v>33</v>
      </c>
      <c r="D8" s="31">
        <v>250</v>
      </c>
      <c r="E8" s="29">
        <v>2504.6849999999999</v>
      </c>
      <c r="F8" s="30">
        <v>8.1375981002420907</v>
      </c>
      <c r="G8" s="29">
        <v>4.5999999999999996</v>
      </c>
    </row>
    <row r="9" spans="1:9" x14ac:dyDescent="0.2">
      <c r="A9" s="27" t="s">
        <v>833</v>
      </c>
      <c r="B9" s="27" t="s">
        <v>834</v>
      </c>
      <c r="C9" s="27" t="s">
        <v>835</v>
      </c>
      <c r="D9" s="31">
        <v>100</v>
      </c>
      <c r="E9" s="29">
        <v>1053.1890000000001</v>
      </c>
      <c r="F9" s="30">
        <v>3.42175914559949</v>
      </c>
      <c r="G9" s="29">
        <v>4</v>
      </c>
    </row>
    <row r="10" spans="1:9" x14ac:dyDescent="0.2">
      <c r="A10" s="27" t="s">
        <v>29</v>
      </c>
      <c r="B10" s="27" t="s">
        <v>28</v>
      </c>
      <c r="C10" s="27" t="s">
        <v>30</v>
      </c>
      <c r="D10" s="31">
        <v>100</v>
      </c>
      <c r="E10" s="29">
        <v>1001.771</v>
      </c>
      <c r="F10" s="30">
        <v>3.2547045981740701</v>
      </c>
      <c r="G10" s="29">
        <v>7.1247999999999996</v>
      </c>
    </row>
    <row r="11" spans="1:9" x14ac:dyDescent="0.2">
      <c r="A11" s="27" t="s">
        <v>836</v>
      </c>
      <c r="B11" s="27" t="s">
        <v>837</v>
      </c>
      <c r="C11" s="27" t="s">
        <v>838</v>
      </c>
      <c r="D11" s="31">
        <v>100</v>
      </c>
      <c r="E11" s="29">
        <v>981.66</v>
      </c>
      <c r="F11" s="30">
        <v>3.1893649505161901</v>
      </c>
      <c r="G11" s="29">
        <v>7.1875</v>
      </c>
    </row>
    <row r="12" spans="1:9" x14ac:dyDescent="0.2">
      <c r="A12" s="26" t="s">
        <v>34</v>
      </c>
      <c r="B12" s="26"/>
      <c r="C12" s="26"/>
      <c r="D12" s="32"/>
      <c r="E12" s="33">
        <f>SUM(E6:E11)</f>
        <v>8071.6675000000005</v>
      </c>
      <c r="F12" s="34">
        <f>SUM(F6:F11)</f>
        <v>26.224449826539388</v>
      </c>
      <c r="G12" s="33"/>
      <c r="H12" s="18"/>
      <c r="I12" s="18"/>
    </row>
    <row r="13" spans="1:9" x14ac:dyDescent="0.2">
      <c r="A13" s="27"/>
      <c r="B13" s="27"/>
      <c r="C13" s="27"/>
      <c r="D13" s="28"/>
      <c r="E13" s="29"/>
      <c r="F13" s="30"/>
      <c r="G13" s="29"/>
    </row>
    <row r="14" spans="1:9" x14ac:dyDescent="0.2">
      <c r="A14" s="26" t="s">
        <v>48</v>
      </c>
      <c r="B14" s="27"/>
      <c r="C14" s="27"/>
      <c r="D14" s="28"/>
      <c r="E14" s="29"/>
      <c r="F14" s="30"/>
      <c r="G14" s="29"/>
    </row>
    <row r="15" spans="1:9" x14ac:dyDescent="0.2">
      <c r="A15" s="26" t="s">
        <v>49</v>
      </c>
      <c r="B15" s="27"/>
      <c r="C15" s="27"/>
      <c r="D15" s="28"/>
      <c r="E15" s="29"/>
      <c r="F15" s="30"/>
      <c r="G15" s="29"/>
    </row>
    <row r="16" spans="1:9" x14ac:dyDescent="0.2">
      <c r="A16" s="27" t="s">
        <v>794</v>
      </c>
      <c r="B16" s="27" t="s">
        <v>795</v>
      </c>
      <c r="C16" s="27" t="s">
        <v>50</v>
      </c>
      <c r="D16" s="31">
        <v>1500</v>
      </c>
      <c r="E16" s="29">
        <v>1447.6469999999999</v>
      </c>
      <c r="F16" s="30">
        <v>4.7033337433733804</v>
      </c>
      <c r="G16" s="29">
        <v>4</v>
      </c>
    </row>
    <row r="17" spans="1:9" x14ac:dyDescent="0.2">
      <c r="A17" s="27" t="s">
        <v>790</v>
      </c>
      <c r="B17" s="27" t="s">
        <v>791</v>
      </c>
      <c r="C17" s="27" t="s">
        <v>50</v>
      </c>
      <c r="D17" s="31">
        <v>1000</v>
      </c>
      <c r="E17" s="29">
        <v>1000.121</v>
      </c>
      <c r="F17" s="30">
        <v>3.2493438295083901</v>
      </c>
      <c r="G17" s="29">
        <v>3.9649999999999999</v>
      </c>
    </row>
    <row r="18" spans="1:9" x14ac:dyDescent="0.2">
      <c r="A18" s="26" t="s">
        <v>34</v>
      </c>
      <c r="B18" s="26"/>
      <c r="C18" s="26"/>
      <c r="D18" s="32"/>
      <c r="E18" s="33">
        <f>SUM(E15:E17)</f>
        <v>2447.768</v>
      </c>
      <c r="F18" s="34">
        <f>SUM(F15:F17)</f>
        <v>7.95267757288177</v>
      </c>
      <c r="G18" s="33"/>
      <c r="H18" s="18"/>
      <c r="I18" s="18"/>
    </row>
    <row r="19" spans="1:9" x14ac:dyDescent="0.2">
      <c r="A19" s="27"/>
      <c r="B19" s="27"/>
      <c r="C19" s="27"/>
      <c r="D19" s="28"/>
      <c r="E19" s="29"/>
      <c r="F19" s="30"/>
      <c r="G19" s="29"/>
    </row>
    <row r="20" spans="1:9" x14ac:dyDescent="0.2">
      <c r="A20" s="26" t="s">
        <v>58</v>
      </c>
      <c r="B20" s="27"/>
      <c r="C20" s="27"/>
      <c r="D20" s="28"/>
      <c r="E20" s="29"/>
      <c r="F20" s="30"/>
      <c r="G20" s="29"/>
    </row>
    <row r="21" spans="1:9" x14ac:dyDescent="0.2">
      <c r="A21" s="27" t="s">
        <v>839</v>
      </c>
      <c r="B21" s="27" t="s">
        <v>840</v>
      </c>
      <c r="C21" s="27" t="s">
        <v>62</v>
      </c>
      <c r="D21" s="31">
        <v>2500000</v>
      </c>
      <c r="E21" s="29">
        <v>2469.6750000000002</v>
      </c>
      <c r="F21" s="30">
        <v>8.0238523360084795</v>
      </c>
      <c r="G21" s="29">
        <v>3.3698999999999999</v>
      </c>
    </row>
    <row r="22" spans="1:9" x14ac:dyDescent="0.2">
      <c r="A22" s="27" t="s">
        <v>841</v>
      </c>
      <c r="B22" s="27" t="s">
        <v>842</v>
      </c>
      <c r="C22" s="27" t="s">
        <v>62</v>
      </c>
      <c r="D22" s="31">
        <v>2500000</v>
      </c>
      <c r="E22" s="29">
        <v>2414.4949999999999</v>
      </c>
      <c r="F22" s="30">
        <v>7.8445752360252996</v>
      </c>
      <c r="G22" s="29">
        <v>3.7574999999999998</v>
      </c>
    </row>
    <row r="23" spans="1:9" x14ac:dyDescent="0.2">
      <c r="A23" s="26" t="s">
        <v>34</v>
      </c>
      <c r="B23" s="26"/>
      <c r="C23" s="26"/>
      <c r="D23" s="32"/>
      <c r="E23" s="33">
        <f>SUM(E20:E22)</f>
        <v>4884.17</v>
      </c>
      <c r="F23" s="34">
        <f>SUM(F20:F22)</f>
        <v>15.868427572033779</v>
      </c>
      <c r="G23" s="33"/>
      <c r="H23" s="18"/>
      <c r="I23" s="18"/>
    </row>
    <row r="24" spans="1:9" x14ac:dyDescent="0.2">
      <c r="A24" s="27"/>
      <c r="B24" s="27"/>
      <c r="C24" s="27"/>
      <c r="D24" s="28"/>
      <c r="E24" s="29"/>
      <c r="F24" s="30"/>
      <c r="G24" s="29"/>
    </row>
    <row r="25" spans="1:9" x14ac:dyDescent="0.2">
      <c r="A25" s="26" t="s">
        <v>59</v>
      </c>
      <c r="B25" s="27"/>
      <c r="C25" s="27"/>
      <c r="D25" s="28"/>
      <c r="E25" s="29"/>
      <c r="F25" s="30"/>
      <c r="G25" s="29"/>
    </row>
    <row r="26" spans="1:9" x14ac:dyDescent="0.2">
      <c r="A26" s="27" t="s">
        <v>843</v>
      </c>
      <c r="B26" s="27" t="s">
        <v>844</v>
      </c>
      <c r="C26" s="27" t="s">
        <v>62</v>
      </c>
      <c r="D26" s="31">
        <v>6500000</v>
      </c>
      <c r="E26" s="29">
        <v>6422.9359999999997</v>
      </c>
      <c r="F26" s="30">
        <v>20.867802454830301</v>
      </c>
      <c r="G26" s="29">
        <v>3.7141437850702799</v>
      </c>
    </row>
    <row r="27" spans="1:9" x14ac:dyDescent="0.2">
      <c r="A27" s="27" t="s">
        <v>845</v>
      </c>
      <c r="B27" s="27" t="s">
        <v>846</v>
      </c>
      <c r="C27" s="27" t="s">
        <v>62</v>
      </c>
      <c r="D27" s="31">
        <v>3000000</v>
      </c>
      <c r="E27" s="29">
        <v>3013.5390000000002</v>
      </c>
      <c r="F27" s="30">
        <v>9.79083966303366</v>
      </c>
      <c r="G27" s="29">
        <v>4.23642691915318</v>
      </c>
    </row>
    <row r="28" spans="1:9" x14ac:dyDescent="0.2">
      <c r="A28" s="27" t="s">
        <v>847</v>
      </c>
      <c r="B28" s="27" t="s">
        <v>848</v>
      </c>
      <c r="C28" s="27" t="s">
        <v>62</v>
      </c>
      <c r="D28" s="31">
        <v>2500000</v>
      </c>
      <c r="E28" s="29">
        <v>2616.27</v>
      </c>
      <c r="F28" s="30">
        <v>8.5001322648238702</v>
      </c>
      <c r="G28" s="29">
        <v>4.0514999999999999</v>
      </c>
    </row>
    <row r="29" spans="1:9" x14ac:dyDescent="0.2">
      <c r="A29" s="27" t="s">
        <v>849</v>
      </c>
      <c r="B29" s="27" t="s">
        <v>850</v>
      </c>
      <c r="C29" s="27" t="s">
        <v>62</v>
      </c>
      <c r="D29" s="31">
        <v>500000</v>
      </c>
      <c r="E29" s="29">
        <v>521.14149999999995</v>
      </c>
      <c r="F29" s="30">
        <v>1.69316304459735</v>
      </c>
      <c r="G29" s="29">
        <v>4.2544000000000004</v>
      </c>
    </row>
    <row r="30" spans="1:9" x14ac:dyDescent="0.2">
      <c r="A30" s="27" t="s">
        <v>851</v>
      </c>
      <c r="B30" s="27" t="s">
        <v>852</v>
      </c>
      <c r="C30" s="27" t="s">
        <v>62</v>
      </c>
      <c r="D30" s="31">
        <v>500000</v>
      </c>
      <c r="E30" s="29">
        <v>504.04300000000001</v>
      </c>
      <c r="F30" s="30">
        <v>1.63761086094272</v>
      </c>
      <c r="G30" s="29">
        <v>3.3153999999999999</v>
      </c>
    </row>
    <row r="31" spans="1:9" x14ac:dyDescent="0.2">
      <c r="A31" s="26" t="s">
        <v>34</v>
      </c>
      <c r="B31" s="26"/>
      <c r="C31" s="26"/>
      <c r="D31" s="32"/>
      <c r="E31" s="33">
        <f>SUM(E26:E30)</f>
        <v>13077.9295</v>
      </c>
      <c r="F31" s="34">
        <f>SUM(F26:F30)</f>
        <v>42.489548288227901</v>
      </c>
      <c r="G31" s="33"/>
      <c r="H31" s="18"/>
      <c r="I31" s="18"/>
    </row>
    <row r="32" spans="1:9" x14ac:dyDescent="0.2">
      <c r="A32" s="27"/>
      <c r="B32" s="27"/>
      <c r="C32" s="27"/>
      <c r="D32" s="28"/>
      <c r="E32" s="29"/>
      <c r="F32" s="30"/>
      <c r="G32" s="29"/>
    </row>
    <row r="33" spans="1:9" x14ac:dyDescent="0.2">
      <c r="A33" s="26" t="s">
        <v>36</v>
      </c>
      <c r="B33" s="26"/>
      <c r="C33" s="26"/>
      <c r="D33" s="32"/>
      <c r="E33" s="33">
        <f>E12+E18+E23+E31</f>
        <v>28481.535</v>
      </c>
      <c r="F33" s="34">
        <f>F12+F18+F23+F31</f>
        <v>92.535103259682842</v>
      </c>
      <c r="G33" s="33"/>
      <c r="H33" s="18"/>
      <c r="I33" s="18"/>
    </row>
    <row r="34" spans="1:9" x14ac:dyDescent="0.2">
      <c r="A34" s="26"/>
      <c r="B34" s="26"/>
      <c r="C34" s="26"/>
      <c r="D34" s="32"/>
      <c r="E34" s="33"/>
      <c r="F34" s="34"/>
      <c r="G34" s="33"/>
      <c r="H34" s="18"/>
      <c r="I34" s="18"/>
    </row>
    <row r="35" spans="1:9" x14ac:dyDescent="0.2">
      <c r="A35" s="26" t="s">
        <v>38</v>
      </c>
      <c r="B35" s="26"/>
      <c r="C35" s="26"/>
      <c r="D35" s="32"/>
      <c r="E35" s="33">
        <f>E37-(E12+E18+E23+E31)</f>
        <v>2297.6331175000014</v>
      </c>
      <c r="F35" s="34">
        <f>F37-(F12+F18+F23+F31)</f>
        <v>7.4648967403171582</v>
      </c>
      <c r="G35" s="33"/>
      <c r="H35" s="18"/>
      <c r="I35" s="18"/>
    </row>
    <row r="36" spans="1:9" x14ac:dyDescent="0.2">
      <c r="A36" s="26"/>
      <c r="B36" s="26"/>
      <c r="C36" s="26"/>
      <c r="D36" s="32"/>
      <c r="E36" s="33"/>
      <c r="F36" s="34"/>
      <c r="G36" s="33"/>
      <c r="H36" s="18"/>
      <c r="I36" s="18"/>
    </row>
    <row r="37" spans="1:9" x14ac:dyDescent="0.2">
      <c r="A37" s="35" t="s">
        <v>37</v>
      </c>
      <c r="B37" s="35"/>
      <c r="C37" s="35"/>
      <c r="D37" s="36"/>
      <c r="E37" s="37">
        <v>30779.168117500001</v>
      </c>
      <c r="F37" s="38">
        <v>100</v>
      </c>
      <c r="G37" s="37"/>
      <c r="H37" s="18"/>
      <c r="I37" s="18"/>
    </row>
    <row r="39" spans="1:9" x14ac:dyDescent="0.2">
      <c r="A39" s="18" t="s">
        <v>39</v>
      </c>
    </row>
    <row r="40" spans="1:9" x14ac:dyDescent="0.2">
      <c r="A40" s="18" t="s">
        <v>1434</v>
      </c>
    </row>
    <row r="41" spans="1:9" x14ac:dyDescent="0.2">
      <c r="A41" s="18" t="s">
        <v>1435</v>
      </c>
    </row>
    <row r="43" spans="1:9" x14ac:dyDescent="0.2">
      <c r="A43" s="18" t="s">
        <v>40</v>
      </c>
    </row>
    <row r="44" spans="1:9" x14ac:dyDescent="0.2">
      <c r="A44" s="18" t="s">
        <v>41</v>
      </c>
    </row>
    <row r="45" spans="1:9" x14ac:dyDescent="0.2">
      <c r="A45" s="18" t="s">
        <v>42</v>
      </c>
      <c r="B45" s="18"/>
      <c r="C45" s="39" t="s">
        <v>44</v>
      </c>
      <c r="D45" s="19" t="s">
        <v>43</v>
      </c>
    </row>
    <row r="46" spans="1:9" x14ac:dyDescent="0.2">
      <c r="A46" s="9" t="s">
        <v>65</v>
      </c>
      <c r="C46" s="40">
        <v>30.739899999999999</v>
      </c>
      <c r="D46" s="40">
        <v>31.370999999999999</v>
      </c>
    </row>
    <row r="47" spans="1:9" x14ac:dyDescent="0.2">
      <c r="A47" s="9" t="s">
        <v>786</v>
      </c>
      <c r="C47" s="40">
        <v>10.145799999999999</v>
      </c>
      <c r="D47" s="40">
        <v>10.139799999999999</v>
      </c>
    </row>
    <row r="48" spans="1:9" x14ac:dyDescent="0.2">
      <c r="A48" s="9" t="s">
        <v>66</v>
      </c>
      <c r="C48" s="40">
        <v>32.460099999999997</v>
      </c>
      <c r="D48" s="40">
        <v>33.2303</v>
      </c>
    </row>
    <row r="49" spans="1:7" x14ac:dyDescent="0.2">
      <c r="A49" s="9" t="s">
        <v>788</v>
      </c>
      <c r="C49" s="40">
        <v>10.047000000000001</v>
      </c>
      <c r="D49" s="40">
        <v>10.042299999999999</v>
      </c>
    </row>
    <row r="50" spans="1:7" x14ac:dyDescent="0.2">
      <c r="C50" s="40"/>
      <c r="D50" s="40"/>
    </row>
    <row r="51" spans="1:7" x14ac:dyDescent="0.2">
      <c r="A51" s="18" t="s">
        <v>1560</v>
      </c>
    </row>
    <row r="52" spans="1:7" x14ac:dyDescent="0.2">
      <c r="A52" s="94" t="s">
        <v>64</v>
      </c>
      <c r="B52" s="95"/>
      <c r="C52" s="44" t="s">
        <v>1544</v>
      </c>
    </row>
    <row r="53" spans="1:7" x14ac:dyDescent="0.2">
      <c r="A53" s="88" t="s">
        <v>786</v>
      </c>
      <c r="B53" s="89"/>
      <c r="C53" s="45">
        <v>0.2125570876</v>
      </c>
    </row>
    <row r="54" spans="1:7" x14ac:dyDescent="0.2">
      <c r="A54" s="88" t="s">
        <v>788</v>
      </c>
      <c r="B54" s="89"/>
      <c r="C54" s="45">
        <v>0.24055608340000001</v>
      </c>
    </row>
    <row r="55" spans="1:7" x14ac:dyDescent="0.2">
      <c r="A55" s="9" t="s">
        <v>1545</v>
      </c>
    </row>
    <row r="56" spans="1:7" x14ac:dyDescent="0.2">
      <c r="A56" s="9" t="s">
        <v>782</v>
      </c>
    </row>
    <row r="58" spans="1:7" x14ac:dyDescent="0.2">
      <c r="A58" s="18" t="s">
        <v>783</v>
      </c>
      <c r="D58" s="42">
        <v>2.4786234298356198</v>
      </c>
      <c r="E58" s="13" t="s">
        <v>46</v>
      </c>
    </row>
    <row r="60" spans="1:7" x14ac:dyDescent="0.2">
      <c r="A60" s="18" t="s">
        <v>717</v>
      </c>
      <c r="D60" s="41" t="s">
        <v>45</v>
      </c>
    </row>
    <row r="62" spans="1:7" ht="14.4" x14ac:dyDescent="0.2">
      <c r="A62" s="90" t="s">
        <v>784</v>
      </c>
      <c r="B62" s="91"/>
      <c r="C62" s="91"/>
      <c r="D62" s="91"/>
      <c r="E62" s="91"/>
      <c r="F62" s="91"/>
      <c r="G62" s="91"/>
    </row>
    <row r="63" spans="1:7" x14ac:dyDescent="0.2">
      <c r="A63" s="50" t="s">
        <v>47</v>
      </c>
    </row>
    <row r="65" spans="1:1" x14ac:dyDescent="0.2">
      <c r="A65" s="18" t="s">
        <v>1436</v>
      </c>
    </row>
  </sheetData>
  <mergeCells count="5">
    <mergeCell ref="A1:G1"/>
    <mergeCell ref="A52:B52"/>
    <mergeCell ref="A53:B53"/>
    <mergeCell ref="A54:B54"/>
    <mergeCell ref="A62:G62"/>
  </mergeCells>
  <conditionalFormatting sqref="F2:F3 F66:F65539 F5:F61">
    <cfRule type="cellIs" dxfId="180" priority="3" stopIfTrue="1" operator="between">
      <formula>0.009</formula>
      <formula>-0.009</formula>
    </cfRule>
  </conditionalFormatting>
  <conditionalFormatting sqref="F64:F65">
    <cfRule type="cellIs" dxfId="179" priority="2" stopIfTrue="1" operator="between">
      <formula>0.009</formula>
      <formula>-0.009</formula>
    </cfRule>
  </conditionalFormatting>
  <conditionalFormatting sqref="F63">
    <cfRule type="cellIs" dxfId="178" priority="1" stopIfTrue="1" operator="between">
      <formula>0.009</formula>
      <formula>-0.009</formula>
    </cfRule>
  </conditionalFormatting>
  <hyperlinks>
    <hyperlink ref="A63" r:id="rId1" xr:uid="{00000000-0004-0000-0300-000000000000}"/>
  </hyperlinks>
  <pageMargins left="0.7" right="0.7" top="0.75" bottom="0.75" header="0.3" footer="0.3"/>
  <pageSetup paperSize="9" scale="48" orientation="portrait" r:id="rId2"/>
  <headerFooter>
    <oddFooter>&amp;R&amp;1#&amp;"Calibri"&amp;10&amp;KFF0000|PUBLIC|</oddFooter>
    <evenFooter>&amp;LPUBLIC</evenFooter>
    <firstFooter>&amp;LPUBLIC</firstFooter>
  </headerFooter>
  <colBreaks count="1" manualBreakCount="1">
    <brk id="7"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17"/>
  <sheetViews>
    <sheetView view="pageBreakPreview" zoomScaleNormal="100" zoomScaleSheetLayoutView="100" workbookViewId="0">
      <selection sqref="A1:G1"/>
    </sheetView>
  </sheetViews>
  <sheetFormatPr defaultColWidth="9.21875" defaultRowHeight="10.199999999999999" x14ac:dyDescent="0.2"/>
  <cols>
    <col min="1" max="1" width="38.77734375" style="9" bestFit="1" customWidth="1"/>
    <col min="2" max="2" width="54" style="9" bestFit="1" customWidth="1"/>
    <col min="3" max="3" width="22.44140625" style="9" customWidth="1"/>
    <col min="4" max="4" width="15.44140625" style="10" bestFit="1" customWidth="1"/>
    <col min="5" max="5" width="23" style="13" bestFit="1" customWidth="1"/>
    <col min="6" max="6" width="13.5546875" style="14" bestFit="1" customWidth="1"/>
    <col min="7" max="7" width="14.21875" style="13" customWidth="1"/>
    <col min="8" max="16384" width="9.21875" style="9"/>
  </cols>
  <sheetData>
    <row r="1" spans="1:7" s="1" customFormat="1" ht="13.8" x14ac:dyDescent="0.2">
      <c r="A1" s="92" t="s">
        <v>1437</v>
      </c>
      <c r="B1" s="93"/>
      <c r="C1" s="93"/>
      <c r="D1" s="93"/>
      <c r="E1" s="93"/>
      <c r="F1" s="93"/>
      <c r="G1" s="93"/>
    </row>
    <row r="2" spans="1:7" s="1" customFormat="1" ht="11.4" x14ac:dyDescent="0.2">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727</v>
      </c>
      <c r="D4" s="16" t="s">
        <v>1</v>
      </c>
      <c r="E4" s="15" t="s">
        <v>3</v>
      </c>
      <c r="F4" s="15" t="s">
        <v>4</v>
      </c>
      <c r="G4" s="15" t="s">
        <v>6</v>
      </c>
    </row>
    <row r="5" spans="1:7" x14ac:dyDescent="0.2">
      <c r="A5" s="21" t="s">
        <v>26</v>
      </c>
      <c r="B5" s="22"/>
      <c r="C5" s="22"/>
      <c r="D5" s="23"/>
      <c r="E5" s="24"/>
      <c r="F5" s="25"/>
      <c r="G5" s="24"/>
    </row>
    <row r="6" spans="1:7" x14ac:dyDescent="0.2">
      <c r="A6" s="26" t="s">
        <v>27</v>
      </c>
      <c r="B6" s="27"/>
      <c r="C6" s="27"/>
      <c r="D6" s="28"/>
      <c r="E6" s="29"/>
      <c r="F6" s="30"/>
      <c r="G6" s="29"/>
    </row>
    <row r="7" spans="1:7" x14ac:dyDescent="0.2">
      <c r="A7" s="27" t="s">
        <v>853</v>
      </c>
      <c r="B7" s="27" t="s">
        <v>854</v>
      </c>
      <c r="C7" s="27" t="s">
        <v>855</v>
      </c>
      <c r="D7" s="31">
        <v>550</v>
      </c>
      <c r="E7" s="29">
        <v>5881.0235000000002</v>
      </c>
      <c r="F7" s="30">
        <v>6.8764379273065197</v>
      </c>
      <c r="G7" s="29">
        <v>4.8499999999999996</v>
      </c>
    </row>
    <row r="8" spans="1:7" x14ac:dyDescent="0.2">
      <c r="A8" s="27" t="s">
        <v>856</v>
      </c>
      <c r="B8" s="27" t="s">
        <v>857</v>
      </c>
      <c r="C8" s="27" t="s">
        <v>33</v>
      </c>
      <c r="D8" s="31">
        <v>500</v>
      </c>
      <c r="E8" s="29">
        <v>5317.58</v>
      </c>
      <c r="F8" s="30">
        <v>6.21762670961723</v>
      </c>
      <c r="G8" s="29">
        <v>5.2949999999999999</v>
      </c>
    </row>
    <row r="9" spans="1:7" x14ac:dyDescent="0.2">
      <c r="A9" s="27" t="s">
        <v>858</v>
      </c>
      <c r="B9" s="27" t="s">
        <v>859</v>
      </c>
      <c r="C9" s="27" t="s">
        <v>33</v>
      </c>
      <c r="D9" s="31">
        <v>500</v>
      </c>
      <c r="E9" s="29">
        <v>5099.7299999999996</v>
      </c>
      <c r="F9" s="30">
        <v>5.9629037005247199</v>
      </c>
      <c r="G9" s="29">
        <v>4.05</v>
      </c>
    </row>
    <row r="10" spans="1:7" x14ac:dyDescent="0.2">
      <c r="A10" s="27" t="s">
        <v>860</v>
      </c>
      <c r="B10" s="27" t="s">
        <v>861</v>
      </c>
      <c r="C10" s="27" t="s">
        <v>862</v>
      </c>
      <c r="D10" s="31">
        <v>430</v>
      </c>
      <c r="E10" s="29">
        <v>4421.3073000000004</v>
      </c>
      <c r="F10" s="30">
        <v>5.1696520522315801</v>
      </c>
      <c r="G10" s="29">
        <v>5.4398</v>
      </c>
    </row>
    <row r="11" spans="1:7" x14ac:dyDescent="0.2">
      <c r="A11" s="27" t="s">
        <v>863</v>
      </c>
      <c r="B11" s="27" t="s">
        <v>864</v>
      </c>
      <c r="C11" s="27" t="s">
        <v>855</v>
      </c>
      <c r="D11" s="31">
        <v>264</v>
      </c>
      <c r="E11" s="29">
        <v>2719.2</v>
      </c>
      <c r="F11" s="30">
        <v>3.1794482732354101</v>
      </c>
      <c r="G11" s="29">
        <v>5.83</v>
      </c>
    </row>
    <row r="12" spans="1:7" x14ac:dyDescent="0.2">
      <c r="A12" s="27" t="s">
        <v>865</v>
      </c>
      <c r="B12" s="27" t="s">
        <v>866</v>
      </c>
      <c r="C12" s="27" t="s">
        <v>33</v>
      </c>
      <c r="D12" s="31">
        <v>250</v>
      </c>
      <c r="E12" s="29">
        <v>2603.7249999999999</v>
      </c>
      <c r="F12" s="30">
        <v>3.0444281241651501</v>
      </c>
      <c r="G12" s="29">
        <v>6.5949999999999998</v>
      </c>
    </row>
    <row r="13" spans="1:7" x14ac:dyDescent="0.2">
      <c r="A13" s="27" t="s">
        <v>867</v>
      </c>
      <c r="B13" s="27" t="s">
        <v>868</v>
      </c>
      <c r="C13" s="27" t="s">
        <v>33</v>
      </c>
      <c r="D13" s="31">
        <v>250</v>
      </c>
      <c r="E13" s="29">
        <v>2589.9050000000002</v>
      </c>
      <c r="F13" s="30">
        <v>3.02826896884884</v>
      </c>
      <c r="G13" s="29">
        <v>4.3049999999999997</v>
      </c>
    </row>
    <row r="14" spans="1:7" x14ac:dyDescent="0.2">
      <c r="A14" s="27" t="s">
        <v>869</v>
      </c>
      <c r="B14" s="27" t="s">
        <v>870</v>
      </c>
      <c r="C14" s="27" t="s">
        <v>33</v>
      </c>
      <c r="D14" s="31">
        <v>250</v>
      </c>
      <c r="E14" s="29">
        <v>2585.7199999999998</v>
      </c>
      <c r="F14" s="30">
        <v>3.0233756211644098</v>
      </c>
      <c r="G14" s="29">
        <v>5.8849</v>
      </c>
    </row>
    <row r="15" spans="1:7" x14ac:dyDescent="0.2">
      <c r="A15" s="27" t="s">
        <v>871</v>
      </c>
      <c r="B15" s="27" t="s">
        <v>872</v>
      </c>
      <c r="C15" s="27" t="s">
        <v>33</v>
      </c>
      <c r="D15" s="31">
        <v>250</v>
      </c>
      <c r="E15" s="29">
        <v>2583.11</v>
      </c>
      <c r="F15" s="30">
        <v>3.0203238559418701</v>
      </c>
      <c r="G15" s="29">
        <v>4</v>
      </c>
    </row>
    <row r="16" spans="1:7" x14ac:dyDescent="0.2">
      <c r="A16" s="27" t="s">
        <v>873</v>
      </c>
      <c r="B16" s="27" t="s">
        <v>874</v>
      </c>
      <c r="C16" s="27" t="s">
        <v>33</v>
      </c>
      <c r="D16" s="31">
        <v>250</v>
      </c>
      <c r="E16" s="29">
        <v>2581.7575000000002</v>
      </c>
      <c r="F16" s="30">
        <v>3.0187424335420601</v>
      </c>
      <c r="G16" s="29">
        <v>4.8150000000000004</v>
      </c>
    </row>
    <row r="17" spans="1:7" x14ac:dyDescent="0.2">
      <c r="A17" s="27" t="s">
        <v>875</v>
      </c>
      <c r="B17" s="27" t="s">
        <v>876</v>
      </c>
      <c r="C17" s="27" t="s">
        <v>33</v>
      </c>
      <c r="D17" s="31">
        <v>250</v>
      </c>
      <c r="E17" s="29">
        <v>2571.0149999999999</v>
      </c>
      <c r="F17" s="30">
        <v>3.0061816718933301</v>
      </c>
      <c r="G17" s="29">
        <v>4.7199</v>
      </c>
    </row>
    <row r="18" spans="1:7" x14ac:dyDescent="0.2">
      <c r="A18" s="27" t="s">
        <v>877</v>
      </c>
      <c r="B18" s="27" t="s">
        <v>878</v>
      </c>
      <c r="C18" s="27" t="s">
        <v>33</v>
      </c>
      <c r="D18" s="31">
        <v>250</v>
      </c>
      <c r="E18" s="29">
        <v>2549.4299999999998</v>
      </c>
      <c r="F18" s="30">
        <v>2.9809432227252701</v>
      </c>
      <c r="G18" s="29">
        <v>4.7899000000000003</v>
      </c>
    </row>
    <row r="19" spans="1:7" x14ac:dyDescent="0.2">
      <c r="A19" s="27" t="s">
        <v>879</v>
      </c>
      <c r="B19" s="27" t="s">
        <v>880</v>
      </c>
      <c r="C19" s="27" t="s">
        <v>33</v>
      </c>
      <c r="D19" s="31">
        <v>250</v>
      </c>
      <c r="E19" s="29">
        <v>2519.7550000000001</v>
      </c>
      <c r="F19" s="30">
        <v>2.9462454706260299</v>
      </c>
      <c r="G19" s="29">
        <v>4.55</v>
      </c>
    </row>
    <row r="20" spans="1:7" x14ac:dyDescent="0.2">
      <c r="A20" s="27" t="s">
        <v>881</v>
      </c>
      <c r="B20" s="27" t="s">
        <v>882</v>
      </c>
      <c r="C20" s="27" t="s">
        <v>33</v>
      </c>
      <c r="D20" s="31">
        <v>166</v>
      </c>
      <c r="E20" s="29">
        <v>2121.9364999999998</v>
      </c>
      <c r="F20" s="30">
        <v>2.4810927261106901</v>
      </c>
      <c r="G20" s="29">
        <v>4.2249999999999996</v>
      </c>
    </row>
    <row r="21" spans="1:7" x14ac:dyDescent="0.2">
      <c r="A21" s="27" t="s">
        <v>883</v>
      </c>
      <c r="B21" s="27" t="s">
        <v>884</v>
      </c>
      <c r="C21" s="27" t="s">
        <v>885</v>
      </c>
      <c r="D21" s="31">
        <v>200</v>
      </c>
      <c r="E21" s="29">
        <v>2106.46</v>
      </c>
      <c r="F21" s="30">
        <v>2.4629966937479599</v>
      </c>
      <c r="G21" s="29">
        <v>4.875</v>
      </c>
    </row>
    <row r="22" spans="1:7" x14ac:dyDescent="0.2">
      <c r="A22" s="27" t="s">
        <v>886</v>
      </c>
      <c r="B22" s="27" t="s">
        <v>887</v>
      </c>
      <c r="C22" s="27" t="s">
        <v>33</v>
      </c>
      <c r="D22" s="31">
        <v>200</v>
      </c>
      <c r="E22" s="29">
        <v>2090.1080000000002</v>
      </c>
      <c r="F22" s="30">
        <v>2.4438769753881702</v>
      </c>
      <c r="G22" s="29">
        <v>5.4848999999999997</v>
      </c>
    </row>
    <row r="23" spans="1:7" x14ac:dyDescent="0.2">
      <c r="A23" s="27" t="s">
        <v>888</v>
      </c>
      <c r="B23" s="27" t="s">
        <v>889</v>
      </c>
      <c r="C23" s="27" t="s">
        <v>33</v>
      </c>
      <c r="D23" s="31">
        <v>187</v>
      </c>
      <c r="E23" s="29">
        <v>1913.7149899999999</v>
      </c>
      <c r="F23" s="30">
        <v>2.2376279127759</v>
      </c>
      <c r="G23" s="29">
        <v>3.9449999999999998</v>
      </c>
    </row>
    <row r="24" spans="1:7" x14ac:dyDescent="0.2">
      <c r="A24" s="27" t="s">
        <v>890</v>
      </c>
      <c r="B24" s="27" t="s">
        <v>891</v>
      </c>
      <c r="C24" s="27" t="s">
        <v>33</v>
      </c>
      <c r="D24" s="31">
        <v>180</v>
      </c>
      <c r="E24" s="29">
        <v>1840.7429999999999</v>
      </c>
      <c r="F24" s="30">
        <v>2.15230477817747</v>
      </c>
      <c r="G24" s="29">
        <v>3.9</v>
      </c>
    </row>
    <row r="25" spans="1:7" x14ac:dyDescent="0.2">
      <c r="A25" s="27" t="s">
        <v>892</v>
      </c>
      <c r="B25" s="27" t="s">
        <v>893</v>
      </c>
      <c r="C25" s="27" t="s">
        <v>894</v>
      </c>
      <c r="D25" s="31">
        <v>160</v>
      </c>
      <c r="E25" s="29">
        <v>1810.8335999999999</v>
      </c>
      <c r="F25" s="30">
        <v>2.1173329518375499</v>
      </c>
      <c r="G25" s="29">
        <v>7.4999000000000002</v>
      </c>
    </row>
    <row r="26" spans="1:7" x14ac:dyDescent="0.2">
      <c r="A26" s="27" t="s">
        <v>895</v>
      </c>
      <c r="B26" s="27" t="s">
        <v>896</v>
      </c>
      <c r="C26" s="27" t="s">
        <v>33</v>
      </c>
      <c r="D26" s="31">
        <v>140</v>
      </c>
      <c r="E26" s="29">
        <v>1525.5044</v>
      </c>
      <c r="F26" s="30">
        <v>1.7837093006741001</v>
      </c>
      <c r="G26" s="29">
        <v>5.7249999999999996</v>
      </c>
    </row>
    <row r="27" spans="1:7" x14ac:dyDescent="0.2">
      <c r="A27" s="27" t="s">
        <v>897</v>
      </c>
      <c r="B27" s="27" t="s">
        <v>898</v>
      </c>
      <c r="C27" s="27" t="s">
        <v>885</v>
      </c>
      <c r="D27" s="31">
        <v>140</v>
      </c>
      <c r="E27" s="29">
        <v>1512.5684000000001</v>
      </c>
      <c r="F27" s="30">
        <v>1.76858377005386</v>
      </c>
      <c r="G27" s="29">
        <v>5.2</v>
      </c>
    </row>
    <row r="28" spans="1:7" x14ac:dyDescent="0.2">
      <c r="A28" s="27" t="s">
        <v>899</v>
      </c>
      <c r="B28" s="27" t="s">
        <v>900</v>
      </c>
      <c r="C28" s="27" t="s">
        <v>885</v>
      </c>
      <c r="D28" s="31">
        <v>150</v>
      </c>
      <c r="E28" s="29">
        <v>1501.6244999999999</v>
      </c>
      <c r="F28" s="30">
        <v>1.7557875197017501</v>
      </c>
      <c r="G28" s="29">
        <v>5.1849999999999996</v>
      </c>
    </row>
    <row r="29" spans="1:7" x14ac:dyDescent="0.2">
      <c r="A29" s="27" t="s">
        <v>901</v>
      </c>
      <c r="B29" s="27" t="s">
        <v>902</v>
      </c>
      <c r="C29" s="27" t="s">
        <v>33</v>
      </c>
      <c r="D29" s="31">
        <v>118</v>
      </c>
      <c r="E29" s="29">
        <v>1196.0739599999999</v>
      </c>
      <c r="F29" s="30">
        <v>1.3985198906972101</v>
      </c>
      <c r="G29" s="29">
        <v>3.57</v>
      </c>
    </row>
    <row r="30" spans="1:7" x14ac:dyDescent="0.2">
      <c r="A30" s="27" t="s">
        <v>903</v>
      </c>
      <c r="B30" s="27" t="s">
        <v>904</v>
      </c>
      <c r="C30" s="27" t="s">
        <v>33</v>
      </c>
      <c r="D30" s="31">
        <v>100</v>
      </c>
      <c r="E30" s="29">
        <v>1076.377</v>
      </c>
      <c r="F30" s="30">
        <v>1.25856317814074</v>
      </c>
      <c r="G30" s="29">
        <v>6.1</v>
      </c>
    </row>
    <row r="31" spans="1:7" x14ac:dyDescent="0.2">
      <c r="A31" s="27" t="s">
        <v>905</v>
      </c>
      <c r="B31" s="27" t="s">
        <v>906</v>
      </c>
      <c r="C31" s="27" t="s">
        <v>33</v>
      </c>
      <c r="D31" s="31">
        <v>100</v>
      </c>
      <c r="E31" s="29">
        <v>1049.298</v>
      </c>
      <c r="F31" s="30">
        <v>1.22690082164216</v>
      </c>
      <c r="G31" s="29">
        <v>5.86</v>
      </c>
    </row>
    <row r="32" spans="1:7" x14ac:dyDescent="0.2">
      <c r="A32" s="27" t="s">
        <v>907</v>
      </c>
      <c r="B32" s="27" t="s">
        <v>908</v>
      </c>
      <c r="C32" s="27" t="s">
        <v>33</v>
      </c>
      <c r="D32" s="31">
        <v>100</v>
      </c>
      <c r="E32" s="29">
        <v>1037.643</v>
      </c>
      <c r="F32" s="30">
        <v>1.2132731114242501</v>
      </c>
      <c r="G32" s="29">
        <v>5</v>
      </c>
    </row>
    <row r="33" spans="1:7" x14ac:dyDescent="0.2">
      <c r="A33" s="27" t="s">
        <v>909</v>
      </c>
      <c r="B33" s="27" t="s">
        <v>910</v>
      </c>
      <c r="C33" s="27" t="s">
        <v>911</v>
      </c>
      <c r="D33" s="31">
        <v>100</v>
      </c>
      <c r="E33" s="29">
        <v>1024.183</v>
      </c>
      <c r="F33" s="30">
        <v>1.1975348892420801</v>
      </c>
      <c r="G33" s="29">
        <v>9.75</v>
      </c>
    </row>
    <row r="34" spans="1:7" x14ac:dyDescent="0.2">
      <c r="A34" s="27" t="s">
        <v>912</v>
      </c>
      <c r="B34" s="27" t="s">
        <v>913</v>
      </c>
      <c r="C34" s="27" t="s">
        <v>33</v>
      </c>
      <c r="D34" s="31">
        <v>76</v>
      </c>
      <c r="E34" s="29">
        <v>787.75976000000003</v>
      </c>
      <c r="F34" s="30">
        <v>0.92109495758176796</v>
      </c>
      <c r="G34" s="29">
        <v>4.0250000000000004</v>
      </c>
    </row>
    <row r="35" spans="1:7" x14ac:dyDescent="0.2">
      <c r="A35" s="27" t="s">
        <v>914</v>
      </c>
      <c r="B35" s="27" t="s">
        <v>915</v>
      </c>
      <c r="C35" s="27" t="s">
        <v>830</v>
      </c>
      <c r="D35" s="31">
        <v>59</v>
      </c>
      <c r="E35" s="29">
        <v>612.5557</v>
      </c>
      <c r="F35" s="30">
        <v>0.71623608510793901</v>
      </c>
      <c r="G35" s="29">
        <v>4.0491999999999999</v>
      </c>
    </row>
    <row r="36" spans="1:7" x14ac:dyDescent="0.2">
      <c r="A36" s="27" t="s">
        <v>916</v>
      </c>
      <c r="B36" s="27" t="s">
        <v>917</v>
      </c>
      <c r="C36" s="27" t="s">
        <v>885</v>
      </c>
      <c r="D36" s="31">
        <v>44</v>
      </c>
      <c r="E36" s="29">
        <v>563.11464000000001</v>
      </c>
      <c r="F36" s="30">
        <v>0.65842669527124897</v>
      </c>
      <c r="G36" s="29">
        <v>4.54</v>
      </c>
    </row>
    <row r="37" spans="1:7" x14ac:dyDescent="0.2">
      <c r="A37" s="27" t="s">
        <v>918</v>
      </c>
      <c r="B37" s="27" t="s">
        <v>919</v>
      </c>
      <c r="C37" s="27" t="s">
        <v>885</v>
      </c>
      <c r="D37" s="31">
        <v>53</v>
      </c>
      <c r="E37" s="29">
        <v>539.69370000000004</v>
      </c>
      <c r="F37" s="30">
        <v>0.631041557274577</v>
      </c>
      <c r="G37" s="29">
        <v>3.8649</v>
      </c>
    </row>
    <row r="38" spans="1:7" x14ac:dyDescent="0.2">
      <c r="A38" s="27" t="s">
        <v>920</v>
      </c>
      <c r="B38" s="27" t="s">
        <v>921</v>
      </c>
      <c r="C38" s="27" t="s">
        <v>33</v>
      </c>
      <c r="D38" s="31">
        <v>45</v>
      </c>
      <c r="E38" s="29">
        <v>491.00580000000002</v>
      </c>
      <c r="F38" s="30">
        <v>0.57411280632486505</v>
      </c>
      <c r="G38" s="29">
        <v>6.2750000000000004</v>
      </c>
    </row>
    <row r="39" spans="1:7" x14ac:dyDescent="0.2">
      <c r="A39" s="27" t="s">
        <v>922</v>
      </c>
      <c r="B39" s="27" t="s">
        <v>923</v>
      </c>
      <c r="C39" s="27" t="s">
        <v>33</v>
      </c>
      <c r="D39" s="31">
        <v>31</v>
      </c>
      <c r="E39" s="29">
        <v>386.05416000000002</v>
      </c>
      <c r="F39" s="30">
        <v>0.45139718755051</v>
      </c>
      <c r="G39" s="29">
        <v>4.4347000000000003</v>
      </c>
    </row>
    <row r="40" spans="1:7" x14ac:dyDescent="0.2">
      <c r="A40" s="27" t="s">
        <v>924</v>
      </c>
      <c r="B40" s="27" t="s">
        <v>925</v>
      </c>
      <c r="C40" s="27" t="s">
        <v>885</v>
      </c>
      <c r="D40" s="31">
        <v>34</v>
      </c>
      <c r="E40" s="29">
        <v>352.87103999999999</v>
      </c>
      <c r="F40" s="30">
        <v>0.412597535599729</v>
      </c>
      <c r="G40" s="29">
        <v>3.9750000000000001</v>
      </c>
    </row>
    <row r="41" spans="1:7" x14ac:dyDescent="0.2">
      <c r="A41" s="27" t="s">
        <v>926</v>
      </c>
      <c r="B41" s="27" t="s">
        <v>927</v>
      </c>
      <c r="C41" s="27" t="s">
        <v>33</v>
      </c>
      <c r="D41" s="31">
        <v>33</v>
      </c>
      <c r="E41" s="29">
        <v>334.46391</v>
      </c>
      <c r="F41" s="30">
        <v>0.39107483859556602</v>
      </c>
      <c r="G41" s="29">
        <v>3.6749999999999998</v>
      </c>
    </row>
    <row r="42" spans="1:7" x14ac:dyDescent="0.2">
      <c r="A42" s="27" t="s">
        <v>79</v>
      </c>
      <c r="B42" s="27" t="s">
        <v>78</v>
      </c>
      <c r="C42" s="27" t="s">
        <v>33</v>
      </c>
      <c r="D42" s="31">
        <v>25</v>
      </c>
      <c r="E42" s="29">
        <v>277.69425000000001</v>
      </c>
      <c r="F42" s="30">
        <v>0.32469641940640698</v>
      </c>
      <c r="G42" s="29">
        <v>7</v>
      </c>
    </row>
    <row r="43" spans="1:7" x14ac:dyDescent="0.2">
      <c r="A43" s="27" t="s">
        <v>81</v>
      </c>
      <c r="B43" s="27" t="s">
        <v>80</v>
      </c>
      <c r="C43" s="27" t="s">
        <v>33</v>
      </c>
      <c r="D43" s="31">
        <v>20</v>
      </c>
      <c r="E43" s="29">
        <v>222.58420000000001</v>
      </c>
      <c r="F43" s="30">
        <v>0.26025851365823999</v>
      </c>
      <c r="G43" s="29">
        <v>6.98</v>
      </c>
    </row>
    <row r="44" spans="1:7" x14ac:dyDescent="0.2">
      <c r="A44" s="27" t="s">
        <v>928</v>
      </c>
      <c r="B44" s="27" t="s">
        <v>929</v>
      </c>
      <c r="C44" s="27" t="s">
        <v>885</v>
      </c>
      <c r="D44" s="31">
        <v>19</v>
      </c>
      <c r="E44" s="29">
        <v>194.03598</v>
      </c>
      <c r="F44" s="30">
        <v>0.22687825888369401</v>
      </c>
      <c r="G44" s="29">
        <v>3.4950000000000001</v>
      </c>
    </row>
    <row r="45" spans="1:7" x14ac:dyDescent="0.2">
      <c r="A45" s="27" t="s">
        <v>930</v>
      </c>
      <c r="B45" s="27" t="s">
        <v>931</v>
      </c>
      <c r="C45" s="27" t="s">
        <v>33</v>
      </c>
      <c r="D45" s="31">
        <v>15</v>
      </c>
      <c r="E45" s="29">
        <v>192.1377</v>
      </c>
      <c r="F45" s="30">
        <v>0.22465867846735199</v>
      </c>
      <c r="G45" s="29">
        <v>4.4048999999999996</v>
      </c>
    </row>
    <row r="46" spans="1:7" x14ac:dyDescent="0.2">
      <c r="A46" s="27" t="s">
        <v>932</v>
      </c>
      <c r="B46" s="27" t="s">
        <v>933</v>
      </c>
      <c r="C46" s="27" t="s">
        <v>885</v>
      </c>
      <c r="D46" s="31">
        <v>70</v>
      </c>
      <c r="E46" s="29">
        <v>70.95711</v>
      </c>
      <c r="F46" s="30">
        <v>8.2967218616973801E-2</v>
      </c>
      <c r="G46" s="29">
        <v>3.4449999999999998</v>
      </c>
    </row>
    <row r="47" spans="1:7" x14ac:dyDescent="0.2">
      <c r="A47" s="27" t="s">
        <v>934</v>
      </c>
      <c r="B47" s="27" t="s">
        <v>935</v>
      </c>
      <c r="C47" s="27" t="s">
        <v>830</v>
      </c>
      <c r="D47" s="31">
        <v>3</v>
      </c>
      <c r="E47" s="29">
        <v>38.899560000000001</v>
      </c>
      <c r="F47" s="30">
        <v>4.5483649187855697E-2</v>
      </c>
      <c r="G47" s="29">
        <v>5.39</v>
      </c>
    </row>
    <row r="48" spans="1:7" x14ac:dyDescent="0.2">
      <c r="A48" s="27" t="s">
        <v>936</v>
      </c>
      <c r="B48" s="27" t="s">
        <v>937</v>
      </c>
      <c r="C48" s="27" t="s">
        <v>33</v>
      </c>
      <c r="D48" s="31">
        <v>3</v>
      </c>
      <c r="E48" s="29">
        <v>30.781169999999999</v>
      </c>
      <c r="F48" s="30">
        <v>3.5991151002010002E-2</v>
      </c>
      <c r="G48" s="29">
        <v>4.5349000000000004</v>
      </c>
    </row>
    <row r="49" spans="1:9" x14ac:dyDescent="0.2">
      <c r="A49" s="27" t="s">
        <v>938</v>
      </c>
      <c r="B49" s="27" t="s">
        <v>939</v>
      </c>
      <c r="C49" s="27" t="s">
        <v>33</v>
      </c>
      <c r="D49" s="31">
        <v>2</v>
      </c>
      <c r="E49" s="29">
        <v>20.347740000000002</v>
      </c>
      <c r="F49" s="30">
        <v>2.3791772141528101E-2</v>
      </c>
      <c r="G49" s="29">
        <v>3.9049999999999998</v>
      </c>
    </row>
    <row r="50" spans="1:9" x14ac:dyDescent="0.2">
      <c r="A50" s="27" t="s">
        <v>940</v>
      </c>
      <c r="B50" s="27" t="s">
        <v>941</v>
      </c>
      <c r="C50" s="27" t="s">
        <v>33</v>
      </c>
      <c r="D50" s="31">
        <v>2</v>
      </c>
      <c r="E50" s="29">
        <v>20.207180000000001</v>
      </c>
      <c r="F50" s="30">
        <v>2.3627421137818901E-2</v>
      </c>
      <c r="G50" s="29">
        <v>3.3351999999999999</v>
      </c>
    </row>
    <row r="51" spans="1:9" x14ac:dyDescent="0.2">
      <c r="A51" s="26" t="s">
        <v>34</v>
      </c>
      <c r="B51" s="26"/>
      <c r="C51" s="26"/>
      <c r="D51" s="32"/>
      <c r="E51" s="33">
        <f>SUM(E6:E50)</f>
        <v>70965.490250000017</v>
      </c>
      <c r="F51" s="34">
        <f>SUM(F6:F50)</f>
        <v>82.977017297244402</v>
      </c>
      <c r="G51" s="33"/>
      <c r="H51" s="18"/>
      <c r="I51" s="18"/>
    </row>
    <row r="52" spans="1:9" x14ac:dyDescent="0.2">
      <c r="A52" s="27"/>
      <c r="B52" s="27"/>
      <c r="C52" s="27"/>
      <c r="D52" s="28"/>
      <c r="E52" s="29"/>
      <c r="F52" s="30"/>
      <c r="G52" s="29"/>
    </row>
    <row r="53" spans="1:9" x14ac:dyDescent="0.2">
      <c r="A53" s="26" t="s">
        <v>942</v>
      </c>
      <c r="B53" s="27"/>
      <c r="C53" s="27"/>
      <c r="D53" s="28"/>
      <c r="E53" s="29"/>
      <c r="F53" s="30"/>
      <c r="G53" s="29"/>
    </row>
    <row r="54" spans="1:9" x14ac:dyDescent="0.2">
      <c r="A54" s="27" t="s">
        <v>943</v>
      </c>
      <c r="B54" s="27" t="s">
        <v>944</v>
      </c>
      <c r="C54" s="27" t="s">
        <v>33</v>
      </c>
      <c r="D54" s="31">
        <v>49</v>
      </c>
      <c r="E54" s="29">
        <v>491.27057000000002</v>
      </c>
      <c r="F54" s="30">
        <v>0.57442239095244096</v>
      </c>
      <c r="G54" s="29">
        <v>3.4466000000000001</v>
      </c>
    </row>
    <row r="55" spans="1:9" x14ac:dyDescent="0.2">
      <c r="A55" s="26" t="s">
        <v>34</v>
      </c>
      <c r="B55" s="26"/>
      <c r="C55" s="26"/>
      <c r="D55" s="32"/>
      <c r="E55" s="33">
        <f>SUM(E53:E54)</f>
        <v>491.27057000000002</v>
      </c>
      <c r="F55" s="34">
        <f>SUM(F53:F54)</f>
        <v>0.57442239095244096</v>
      </c>
      <c r="G55" s="33"/>
      <c r="H55" s="18"/>
      <c r="I55" s="18"/>
    </row>
    <row r="56" spans="1:9" x14ac:dyDescent="0.2">
      <c r="A56" s="27"/>
      <c r="B56" s="27"/>
      <c r="C56" s="27"/>
      <c r="D56" s="28"/>
      <c r="E56" s="29"/>
      <c r="F56" s="30"/>
      <c r="G56" s="29"/>
    </row>
    <row r="57" spans="1:9" x14ac:dyDescent="0.2">
      <c r="A57" s="26" t="s">
        <v>59</v>
      </c>
      <c r="B57" s="27"/>
      <c r="C57" s="27"/>
      <c r="D57" s="28"/>
      <c r="E57" s="29"/>
      <c r="F57" s="30"/>
      <c r="G57" s="29"/>
    </row>
    <row r="58" spans="1:9" x14ac:dyDescent="0.2">
      <c r="A58" s="27" t="s">
        <v>83</v>
      </c>
      <c r="B58" s="27" t="s">
        <v>82</v>
      </c>
      <c r="C58" s="27" t="s">
        <v>62</v>
      </c>
      <c r="D58" s="31">
        <v>4500000</v>
      </c>
      <c r="E58" s="29">
        <v>4630.9589999999998</v>
      </c>
      <c r="F58" s="30">
        <v>5.4147891276750499</v>
      </c>
      <c r="G58" s="29">
        <v>5.2779999999999996</v>
      </c>
    </row>
    <row r="59" spans="1:9" x14ac:dyDescent="0.2">
      <c r="A59" s="27" t="s">
        <v>73</v>
      </c>
      <c r="B59" s="27" t="s">
        <v>72</v>
      </c>
      <c r="C59" s="27" t="s">
        <v>62</v>
      </c>
      <c r="D59" s="31">
        <v>2000000</v>
      </c>
      <c r="E59" s="29">
        <v>2124.4639999999999</v>
      </c>
      <c r="F59" s="30">
        <v>2.4840480274900001</v>
      </c>
      <c r="G59" s="29">
        <v>4.9292999999999996</v>
      </c>
    </row>
    <row r="60" spans="1:9" x14ac:dyDescent="0.2">
      <c r="A60" s="27" t="s">
        <v>945</v>
      </c>
      <c r="B60" s="27" t="s">
        <v>946</v>
      </c>
      <c r="C60" s="27" t="s">
        <v>62</v>
      </c>
      <c r="D60" s="31">
        <v>2000000</v>
      </c>
      <c r="E60" s="29">
        <v>2110.1579999999999</v>
      </c>
      <c r="F60" s="30">
        <v>2.4673206124425899</v>
      </c>
      <c r="G60" s="29">
        <v>4.5141</v>
      </c>
    </row>
    <row r="61" spans="1:9" x14ac:dyDescent="0.2">
      <c r="A61" s="26" t="s">
        <v>34</v>
      </c>
      <c r="B61" s="26"/>
      <c r="C61" s="26"/>
      <c r="D61" s="32"/>
      <c r="E61" s="33">
        <f>SUM(E58:E60)</f>
        <v>8865.5810000000001</v>
      </c>
      <c r="F61" s="34">
        <f>SUM(F58:F60)</f>
        <v>10.366157767607639</v>
      </c>
      <c r="G61" s="33"/>
      <c r="H61" s="18"/>
      <c r="I61" s="18"/>
    </row>
    <row r="62" spans="1:9" x14ac:dyDescent="0.2">
      <c r="A62" s="27"/>
      <c r="B62" s="27"/>
      <c r="C62" s="27"/>
      <c r="D62" s="28"/>
      <c r="E62" s="29"/>
      <c r="F62" s="30"/>
      <c r="G62" s="29"/>
    </row>
    <row r="63" spans="1:9" x14ac:dyDescent="0.2">
      <c r="A63" s="26" t="s">
        <v>36</v>
      </c>
      <c r="B63" s="26"/>
      <c r="C63" s="26"/>
      <c r="D63" s="32"/>
      <c r="E63" s="33">
        <f>E51+E55+E61</f>
        <v>80322.341820000016</v>
      </c>
      <c r="F63" s="34">
        <f>F51+F55+F61</f>
        <v>93.917597455804469</v>
      </c>
      <c r="G63" s="33"/>
      <c r="H63" s="18"/>
      <c r="I63" s="18"/>
    </row>
    <row r="64" spans="1:9" x14ac:dyDescent="0.2">
      <c r="A64" s="26"/>
      <c r="B64" s="26"/>
      <c r="C64" s="26"/>
      <c r="D64" s="32"/>
      <c r="E64" s="33"/>
      <c r="F64" s="34"/>
      <c r="G64" s="33"/>
      <c r="H64" s="18"/>
      <c r="I64" s="18"/>
    </row>
    <row r="65" spans="1:9" x14ac:dyDescent="0.2">
      <c r="A65" s="26" t="s">
        <v>38</v>
      </c>
      <c r="B65" s="26"/>
      <c r="C65" s="26"/>
      <c r="D65" s="32"/>
      <c r="E65" s="33">
        <f>E67-(E51+E55+E61)</f>
        <v>5201.9305164999823</v>
      </c>
      <c r="F65" s="34">
        <f>F67-(F51+F55+F61)</f>
        <v>6.0824025441955314</v>
      </c>
      <c r="G65" s="33"/>
      <c r="H65" s="18"/>
      <c r="I65" s="18"/>
    </row>
    <row r="66" spans="1:9" x14ac:dyDescent="0.2">
      <c r="A66" s="26"/>
      <c r="B66" s="26"/>
      <c r="C66" s="26"/>
      <c r="D66" s="32"/>
      <c r="E66" s="33"/>
      <c r="F66" s="34"/>
      <c r="G66" s="33"/>
      <c r="H66" s="18"/>
      <c r="I66" s="18"/>
    </row>
    <row r="67" spans="1:9" x14ac:dyDescent="0.2">
      <c r="A67" s="35" t="s">
        <v>37</v>
      </c>
      <c r="B67" s="35"/>
      <c r="C67" s="35"/>
      <c r="D67" s="36"/>
      <c r="E67" s="37">
        <v>85524.272336499998</v>
      </c>
      <c r="F67" s="38">
        <v>100</v>
      </c>
      <c r="G67" s="37"/>
      <c r="H67" s="18"/>
      <c r="I67" s="18"/>
    </row>
    <row r="69" spans="1:9" x14ac:dyDescent="0.2">
      <c r="A69" s="18" t="s">
        <v>39</v>
      </c>
    </row>
    <row r="71" spans="1:9" x14ac:dyDescent="0.2">
      <c r="A71" s="18" t="s">
        <v>40</v>
      </c>
    </row>
    <row r="72" spans="1:9" x14ac:dyDescent="0.2">
      <c r="A72" s="18" t="s">
        <v>41</v>
      </c>
    </row>
    <row r="73" spans="1:9" x14ac:dyDescent="0.2">
      <c r="A73" s="18" t="s">
        <v>42</v>
      </c>
      <c r="B73" s="18"/>
      <c r="C73" s="39" t="s">
        <v>44</v>
      </c>
      <c r="D73" s="19" t="s">
        <v>43</v>
      </c>
    </row>
    <row r="74" spans="1:9" x14ac:dyDescent="0.2">
      <c r="A74" s="9" t="s">
        <v>65</v>
      </c>
      <c r="C74" s="40">
        <v>74.726500000000001</v>
      </c>
      <c r="D74" s="40">
        <v>77.210599999999999</v>
      </c>
    </row>
    <row r="75" spans="1:9" x14ac:dyDescent="0.2">
      <c r="A75" s="9" t="s">
        <v>947</v>
      </c>
      <c r="C75" s="40">
        <v>16.1113</v>
      </c>
      <c r="D75" s="40">
        <v>16.026</v>
      </c>
    </row>
    <row r="76" spans="1:9" x14ac:dyDescent="0.2">
      <c r="A76" s="9" t="s">
        <v>948</v>
      </c>
      <c r="C76" s="40">
        <v>13.3278</v>
      </c>
      <c r="D76" s="40">
        <v>13.2174</v>
      </c>
    </row>
    <row r="77" spans="1:9" x14ac:dyDescent="0.2">
      <c r="A77" s="9" t="s">
        <v>949</v>
      </c>
      <c r="C77" s="40">
        <v>13.837199999999999</v>
      </c>
      <c r="D77" s="40">
        <v>13.744199999999999</v>
      </c>
    </row>
    <row r="78" spans="1:9" x14ac:dyDescent="0.2">
      <c r="A78" s="9" t="s">
        <v>950</v>
      </c>
      <c r="C78" s="40">
        <v>17.966799999999999</v>
      </c>
      <c r="D78" s="40">
        <v>17.302299999999999</v>
      </c>
    </row>
    <row r="79" spans="1:9" x14ac:dyDescent="0.2">
      <c r="A79" s="9" t="s">
        <v>66</v>
      </c>
      <c r="C79" s="40">
        <v>78.852599999999995</v>
      </c>
      <c r="D79" s="40">
        <v>81.702100000000002</v>
      </c>
    </row>
    <row r="80" spans="1:9" x14ac:dyDescent="0.2">
      <c r="A80" s="9" t="s">
        <v>951</v>
      </c>
      <c r="C80" s="40">
        <v>17.3796</v>
      </c>
      <c r="D80" s="40">
        <v>17.3858</v>
      </c>
    </row>
    <row r="81" spans="1:4" x14ac:dyDescent="0.2">
      <c r="A81" s="9" t="s">
        <v>952</v>
      </c>
      <c r="C81" s="40">
        <v>14.4216</v>
      </c>
      <c r="D81" s="40">
        <v>14.388999999999999</v>
      </c>
    </row>
    <row r="82" spans="1:4" x14ac:dyDescent="0.2">
      <c r="A82" s="9" t="s">
        <v>953</v>
      </c>
      <c r="C82" s="40">
        <v>15.272</v>
      </c>
      <c r="D82" s="40">
        <v>15.2721</v>
      </c>
    </row>
    <row r="83" spans="1:4" x14ac:dyDescent="0.2">
      <c r="A83" s="9" t="s">
        <v>954</v>
      </c>
      <c r="C83" s="40">
        <v>19.416</v>
      </c>
      <c r="D83" s="40">
        <v>18.856200000000001</v>
      </c>
    </row>
    <row r="84" spans="1:4" x14ac:dyDescent="0.2">
      <c r="C84" s="40"/>
      <c r="D84" s="40"/>
    </row>
    <row r="85" spans="1:4" x14ac:dyDescent="0.2">
      <c r="A85" s="18" t="s">
        <v>1560</v>
      </c>
    </row>
    <row r="86" spans="1:4" x14ac:dyDescent="0.2">
      <c r="A86" s="94" t="s">
        <v>64</v>
      </c>
      <c r="B86" s="95"/>
      <c r="C86" s="44" t="s">
        <v>1544</v>
      </c>
    </row>
    <row r="87" spans="1:4" x14ac:dyDescent="0.2">
      <c r="A87" s="88" t="s">
        <v>947</v>
      </c>
      <c r="B87" s="89"/>
      <c r="C87" s="45">
        <v>0.61499999999999999</v>
      </c>
    </row>
    <row r="88" spans="1:4" x14ac:dyDescent="0.2">
      <c r="A88" s="88" t="s">
        <v>948</v>
      </c>
      <c r="B88" s="89"/>
      <c r="C88" s="45">
        <v>0.55000000000000004</v>
      </c>
    </row>
    <row r="89" spans="1:4" x14ac:dyDescent="0.2">
      <c r="A89" s="88" t="s">
        <v>949</v>
      </c>
      <c r="B89" s="89"/>
      <c r="C89" s="45">
        <v>0.55000000000000004</v>
      </c>
    </row>
    <row r="90" spans="1:4" x14ac:dyDescent="0.2">
      <c r="A90" s="88" t="s">
        <v>950</v>
      </c>
      <c r="B90" s="89"/>
      <c r="C90" s="45">
        <v>1.2549999999999999</v>
      </c>
    </row>
    <row r="91" spans="1:4" x14ac:dyDescent="0.2">
      <c r="A91" s="88" t="s">
        <v>951</v>
      </c>
      <c r="B91" s="89"/>
      <c r="C91" s="45">
        <v>0.61499999999999999</v>
      </c>
    </row>
    <row r="92" spans="1:4" x14ac:dyDescent="0.2">
      <c r="A92" s="88" t="s">
        <v>952</v>
      </c>
      <c r="B92" s="89"/>
      <c r="C92" s="45">
        <v>0.55000000000000004</v>
      </c>
    </row>
    <row r="93" spans="1:4" x14ac:dyDescent="0.2">
      <c r="A93" s="88" t="s">
        <v>953</v>
      </c>
      <c r="B93" s="89"/>
      <c r="C93" s="45">
        <v>0.55000000000000004</v>
      </c>
    </row>
    <row r="94" spans="1:4" x14ac:dyDescent="0.2">
      <c r="A94" s="88" t="s">
        <v>954</v>
      </c>
      <c r="B94" s="89"/>
      <c r="C94" s="45">
        <v>1.2549999999999999</v>
      </c>
    </row>
    <row r="95" spans="1:4" x14ac:dyDescent="0.2">
      <c r="A95" s="9" t="s">
        <v>1545</v>
      </c>
    </row>
    <row r="96" spans="1:4" x14ac:dyDescent="0.2">
      <c r="A96" s="9" t="s">
        <v>782</v>
      </c>
    </row>
    <row r="98" spans="1:7" x14ac:dyDescent="0.2">
      <c r="A98" s="18" t="s">
        <v>783</v>
      </c>
      <c r="D98" s="42">
        <v>2.0628693493972601</v>
      </c>
      <c r="E98" s="13" t="s">
        <v>46</v>
      </c>
    </row>
    <row r="100" spans="1:7" x14ac:dyDescent="0.2">
      <c r="A100" s="18" t="s">
        <v>717</v>
      </c>
      <c r="D100" s="41" t="s">
        <v>45</v>
      </c>
    </row>
    <row r="102" spans="1:7" x14ac:dyDescent="0.2">
      <c r="A102" s="18" t="s">
        <v>1438</v>
      </c>
    </row>
    <row r="104" spans="1:7" x14ac:dyDescent="0.2">
      <c r="A104" s="9" t="s">
        <v>1442</v>
      </c>
    </row>
    <row r="106" spans="1:7" ht="40.799999999999997" x14ac:dyDescent="0.2">
      <c r="A106" s="78" t="s">
        <v>2</v>
      </c>
      <c r="B106" s="79" t="s">
        <v>1446</v>
      </c>
      <c r="C106" s="79" t="s">
        <v>1443</v>
      </c>
      <c r="D106" s="79" t="s">
        <v>1444</v>
      </c>
      <c r="E106" s="79" t="s">
        <v>1445</v>
      </c>
    </row>
    <row r="107" spans="1:7" x14ac:dyDescent="0.2">
      <c r="A107" s="80" t="s">
        <v>1439</v>
      </c>
      <c r="B107" s="80" t="s">
        <v>1440</v>
      </c>
      <c r="C107" s="81">
        <f>53460000/100000</f>
        <v>534.6</v>
      </c>
      <c r="D107" s="82">
        <v>6.2508570420404938E-3</v>
      </c>
      <c r="E107" s="81">
        <f>224422415.43/100000</f>
        <v>2244.2241543</v>
      </c>
    </row>
    <row r="108" spans="1:7" s="65" customFormat="1" x14ac:dyDescent="0.2">
      <c r="A108" s="75"/>
      <c r="B108" s="75"/>
      <c r="C108" s="12"/>
      <c r="D108" s="76"/>
      <c r="E108" s="12"/>
      <c r="F108" s="14"/>
      <c r="G108" s="69"/>
    </row>
    <row r="109" spans="1:7" s="65" customFormat="1" x14ac:dyDescent="0.2">
      <c r="A109" s="75" t="s">
        <v>1441</v>
      </c>
      <c r="B109" s="75"/>
      <c r="C109" s="12"/>
      <c r="D109" s="76"/>
      <c r="E109" s="12"/>
      <c r="F109" s="14"/>
      <c r="G109" s="69"/>
    </row>
    <row r="110" spans="1:7" s="65" customFormat="1" x14ac:dyDescent="0.2">
      <c r="D110" s="66"/>
      <c r="E110" s="69"/>
      <c r="F110" s="14"/>
      <c r="G110" s="69"/>
    </row>
    <row r="111" spans="1:7" x14ac:dyDescent="0.2">
      <c r="A111" s="18" t="s">
        <v>1226</v>
      </c>
    </row>
    <row r="112" spans="1:7" x14ac:dyDescent="0.2">
      <c r="A112" s="55" t="s">
        <v>955</v>
      </c>
    </row>
    <row r="113" spans="1:7" x14ac:dyDescent="0.2">
      <c r="A113" s="55"/>
    </row>
    <row r="114" spans="1:7" ht="14.4" x14ac:dyDescent="0.2">
      <c r="A114" s="90" t="s">
        <v>1522</v>
      </c>
      <c r="B114" s="91"/>
      <c r="C114" s="91"/>
      <c r="D114" s="91"/>
      <c r="E114" s="91"/>
      <c r="F114" s="91"/>
      <c r="G114" s="91"/>
    </row>
    <row r="115" spans="1:7" x14ac:dyDescent="0.2">
      <c r="A115" s="50" t="s">
        <v>47</v>
      </c>
    </row>
    <row r="117" spans="1:7" x14ac:dyDescent="0.2">
      <c r="A117" s="18" t="s">
        <v>1447</v>
      </c>
    </row>
  </sheetData>
  <mergeCells count="11">
    <mergeCell ref="A90:B90"/>
    <mergeCell ref="A1:G1"/>
    <mergeCell ref="A86:B86"/>
    <mergeCell ref="A87:B87"/>
    <mergeCell ref="A88:B88"/>
    <mergeCell ref="A89:B89"/>
    <mergeCell ref="A91:B91"/>
    <mergeCell ref="A92:B92"/>
    <mergeCell ref="A93:B93"/>
    <mergeCell ref="A94:B94"/>
    <mergeCell ref="A114:G114"/>
  </mergeCells>
  <conditionalFormatting sqref="F2:F3 F118:F65546 F5:F110">
    <cfRule type="cellIs" dxfId="177" priority="4" stopIfTrue="1" operator="between">
      <formula>0.009</formula>
      <formula>-0.009</formula>
    </cfRule>
  </conditionalFormatting>
  <conditionalFormatting sqref="F111:F113">
    <cfRule type="cellIs" dxfId="176" priority="3" stopIfTrue="1" operator="between">
      <formula>0.009</formula>
      <formula>-0.009</formula>
    </cfRule>
  </conditionalFormatting>
  <conditionalFormatting sqref="F116:F117">
    <cfRule type="cellIs" dxfId="175" priority="2" stopIfTrue="1" operator="between">
      <formula>0.009</formula>
      <formula>-0.009</formula>
    </cfRule>
  </conditionalFormatting>
  <conditionalFormatting sqref="F115">
    <cfRule type="cellIs" dxfId="174" priority="1" stopIfTrue="1" operator="between">
      <formula>0.009</formula>
      <formula>-0.009</formula>
    </cfRule>
  </conditionalFormatting>
  <hyperlinks>
    <hyperlink ref="A112" r:id="rId1" xr:uid="{00000000-0004-0000-0400-000000000000}"/>
    <hyperlink ref="A115" r:id="rId2" xr:uid="{00000000-0004-0000-0400-000001000000}"/>
  </hyperlinks>
  <pageMargins left="0.7" right="0.7" top="0.75" bottom="0.75" header="0.3" footer="0.3"/>
  <pageSetup paperSize="9" scale="48" orientation="portrait" r:id="rId3"/>
  <headerFooter>
    <oddFooter>&amp;R&amp;1#&amp;"Calibri"&amp;10&amp;KFF0000|PUBLIC|</oddFooter>
    <evenFooter>&amp;LPUBLIC</evenFooter>
    <firstFooter>&amp;LPUBLIC</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85"/>
  <sheetViews>
    <sheetView view="pageBreakPreview" zoomScaleNormal="100" zoomScaleSheetLayoutView="100" workbookViewId="0">
      <selection sqref="A1:G1"/>
    </sheetView>
  </sheetViews>
  <sheetFormatPr defaultColWidth="9.21875" defaultRowHeight="10.199999999999999" x14ac:dyDescent="0.2"/>
  <cols>
    <col min="1" max="1" width="38.77734375" style="9" bestFit="1" customWidth="1"/>
    <col min="2" max="2" width="54.21875" style="9" bestFit="1" customWidth="1"/>
    <col min="3" max="3" width="22.77734375" style="9" customWidth="1"/>
    <col min="4" max="4" width="15.44140625" style="10" bestFit="1" customWidth="1"/>
    <col min="5" max="5" width="23" style="13" bestFit="1" customWidth="1"/>
    <col min="6" max="6" width="13.5546875" style="14" bestFit="1" customWidth="1"/>
    <col min="7" max="7" width="14.21875" style="13" customWidth="1"/>
    <col min="8" max="16384" width="9.21875" style="9"/>
  </cols>
  <sheetData>
    <row r="1" spans="1:7" s="1" customFormat="1" ht="13.8" x14ac:dyDescent="0.2">
      <c r="A1" s="92" t="s">
        <v>957</v>
      </c>
      <c r="B1" s="93"/>
      <c r="C1" s="93"/>
      <c r="D1" s="93"/>
      <c r="E1" s="93"/>
      <c r="F1" s="93"/>
      <c r="G1" s="93"/>
    </row>
    <row r="2" spans="1:7" s="1" customFormat="1" ht="11.4" x14ac:dyDescent="0.2">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727</v>
      </c>
      <c r="D4" s="16" t="s">
        <v>1</v>
      </c>
      <c r="E4" s="15" t="s">
        <v>3</v>
      </c>
      <c r="F4" s="15" t="s">
        <v>4</v>
      </c>
      <c r="G4" s="15" t="s">
        <v>6</v>
      </c>
    </row>
    <row r="5" spans="1:7" x14ac:dyDescent="0.2">
      <c r="A5" s="21" t="s">
        <v>26</v>
      </c>
      <c r="B5" s="22"/>
      <c r="C5" s="22"/>
      <c r="D5" s="23"/>
      <c r="E5" s="24"/>
      <c r="F5" s="25"/>
      <c r="G5" s="24"/>
    </row>
    <row r="6" spans="1:7" x14ac:dyDescent="0.2">
      <c r="A6" s="26" t="s">
        <v>27</v>
      </c>
      <c r="B6" s="27"/>
      <c r="C6" s="27"/>
      <c r="D6" s="28"/>
      <c r="E6" s="29"/>
      <c r="F6" s="30"/>
      <c r="G6" s="29"/>
    </row>
    <row r="7" spans="1:7" x14ac:dyDescent="0.2">
      <c r="A7" s="27" t="s">
        <v>958</v>
      </c>
      <c r="B7" s="27" t="s">
        <v>959</v>
      </c>
      <c r="C7" s="27" t="s">
        <v>33</v>
      </c>
      <c r="D7" s="31">
        <v>750</v>
      </c>
      <c r="E7" s="29">
        <v>7891.14</v>
      </c>
      <c r="F7" s="30">
        <v>8.1248155578809502</v>
      </c>
      <c r="G7" s="29">
        <v>5.4499000000000004</v>
      </c>
    </row>
    <row r="8" spans="1:7" x14ac:dyDescent="0.2">
      <c r="A8" s="27" t="s">
        <v>960</v>
      </c>
      <c r="B8" s="27" t="s">
        <v>961</v>
      </c>
      <c r="C8" s="27" t="s">
        <v>962</v>
      </c>
      <c r="D8" s="31">
        <v>500</v>
      </c>
      <c r="E8" s="29">
        <v>5167.8149999999996</v>
      </c>
      <c r="F8" s="30">
        <v>5.3208463811629896</v>
      </c>
      <c r="G8" s="29">
        <v>4.7549999999999999</v>
      </c>
    </row>
    <row r="9" spans="1:7" x14ac:dyDescent="0.2">
      <c r="A9" s="27" t="s">
        <v>963</v>
      </c>
      <c r="B9" s="27" t="s">
        <v>964</v>
      </c>
      <c r="C9" s="27" t="s">
        <v>33</v>
      </c>
      <c r="D9" s="31">
        <v>500</v>
      </c>
      <c r="E9" s="29">
        <v>5084.8549999999996</v>
      </c>
      <c r="F9" s="30">
        <v>5.2354297368401399</v>
      </c>
      <c r="G9" s="29">
        <v>4.0000999999999998</v>
      </c>
    </row>
    <row r="10" spans="1:7" x14ac:dyDescent="0.2">
      <c r="A10" s="27" t="s">
        <v>879</v>
      </c>
      <c r="B10" s="27" t="s">
        <v>880</v>
      </c>
      <c r="C10" s="27" t="s">
        <v>33</v>
      </c>
      <c r="D10" s="31">
        <v>500</v>
      </c>
      <c r="E10" s="29">
        <v>5039.51</v>
      </c>
      <c r="F10" s="30">
        <v>5.1887419627704796</v>
      </c>
      <c r="G10" s="29">
        <v>4.55</v>
      </c>
    </row>
    <row r="11" spans="1:7" x14ac:dyDescent="0.2">
      <c r="A11" s="27" t="s">
        <v>965</v>
      </c>
      <c r="B11" s="27" t="s">
        <v>966</v>
      </c>
      <c r="C11" s="27" t="s">
        <v>33</v>
      </c>
      <c r="D11" s="31">
        <v>400</v>
      </c>
      <c r="E11" s="29">
        <v>4262.0039999999999</v>
      </c>
      <c r="F11" s="30">
        <v>4.3882121476682503</v>
      </c>
      <c r="G11" s="29">
        <v>6.1498999999999997</v>
      </c>
    </row>
    <row r="12" spans="1:7" x14ac:dyDescent="0.2">
      <c r="A12" s="27" t="s">
        <v>905</v>
      </c>
      <c r="B12" s="27" t="s">
        <v>906</v>
      </c>
      <c r="C12" s="27" t="s">
        <v>33</v>
      </c>
      <c r="D12" s="31">
        <v>400</v>
      </c>
      <c r="E12" s="29">
        <v>4197.192</v>
      </c>
      <c r="F12" s="30">
        <v>4.3214809090972199</v>
      </c>
      <c r="G12" s="29">
        <v>5.86</v>
      </c>
    </row>
    <row r="13" spans="1:7" x14ac:dyDescent="0.2">
      <c r="A13" s="27" t="s">
        <v>897</v>
      </c>
      <c r="B13" s="27" t="s">
        <v>898</v>
      </c>
      <c r="C13" s="27" t="s">
        <v>885</v>
      </c>
      <c r="D13" s="31">
        <v>360</v>
      </c>
      <c r="E13" s="29">
        <v>3889.4616000000001</v>
      </c>
      <c r="F13" s="30">
        <v>4.0046378748141001</v>
      </c>
      <c r="G13" s="29">
        <v>5.2</v>
      </c>
    </row>
    <row r="14" spans="1:7" x14ac:dyDescent="0.2">
      <c r="A14" s="27" t="s">
        <v>883</v>
      </c>
      <c r="B14" s="27" t="s">
        <v>884</v>
      </c>
      <c r="C14" s="27" t="s">
        <v>885</v>
      </c>
      <c r="D14" s="31">
        <v>300</v>
      </c>
      <c r="E14" s="29">
        <v>3159.69</v>
      </c>
      <c r="F14" s="30">
        <v>3.2532559896391202</v>
      </c>
      <c r="G14" s="29">
        <v>4.875</v>
      </c>
    </row>
    <row r="15" spans="1:7" x14ac:dyDescent="0.2">
      <c r="A15" s="27" t="s">
        <v>967</v>
      </c>
      <c r="B15" s="27" t="s">
        <v>968</v>
      </c>
      <c r="C15" s="27" t="s">
        <v>885</v>
      </c>
      <c r="D15" s="31">
        <v>300</v>
      </c>
      <c r="E15" s="29">
        <v>3107.9789999999998</v>
      </c>
      <c r="F15" s="30">
        <v>3.2000137030603</v>
      </c>
      <c r="G15" s="29">
        <v>4.4249999999999998</v>
      </c>
    </row>
    <row r="16" spans="1:7" x14ac:dyDescent="0.2">
      <c r="A16" s="27" t="s">
        <v>860</v>
      </c>
      <c r="B16" s="27" t="s">
        <v>861</v>
      </c>
      <c r="C16" s="27" t="s">
        <v>862</v>
      </c>
      <c r="D16" s="31">
        <v>300</v>
      </c>
      <c r="E16" s="29">
        <v>3084.6329999999998</v>
      </c>
      <c r="F16" s="30">
        <v>3.1759763720771601</v>
      </c>
      <c r="G16" s="29">
        <v>5.4398</v>
      </c>
    </row>
    <row r="17" spans="1:7" x14ac:dyDescent="0.2">
      <c r="A17" s="27" t="s">
        <v>969</v>
      </c>
      <c r="B17" s="27" t="s">
        <v>970</v>
      </c>
      <c r="C17" s="27" t="s">
        <v>971</v>
      </c>
      <c r="D17" s="31">
        <v>300</v>
      </c>
      <c r="E17" s="29">
        <v>2941.0169999999998</v>
      </c>
      <c r="F17" s="30">
        <v>3.0281075582985899</v>
      </c>
      <c r="G17" s="29">
        <v>6.93</v>
      </c>
    </row>
    <row r="18" spans="1:7" x14ac:dyDescent="0.2">
      <c r="A18" s="27" t="s">
        <v>972</v>
      </c>
      <c r="B18" s="27" t="s">
        <v>973</v>
      </c>
      <c r="C18" s="27" t="s">
        <v>33</v>
      </c>
      <c r="D18" s="31">
        <v>250</v>
      </c>
      <c r="E18" s="29">
        <v>2791.6374999999998</v>
      </c>
      <c r="F18" s="30">
        <v>2.8743045734791002</v>
      </c>
      <c r="G18" s="29">
        <v>5.38</v>
      </c>
    </row>
    <row r="19" spans="1:7" x14ac:dyDescent="0.2">
      <c r="A19" s="27" t="s">
        <v>974</v>
      </c>
      <c r="B19" s="27" t="s">
        <v>975</v>
      </c>
      <c r="C19" s="27" t="s">
        <v>885</v>
      </c>
      <c r="D19" s="31">
        <v>250</v>
      </c>
      <c r="E19" s="29">
        <v>2582.1550000000002</v>
      </c>
      <c r="F19" s="30">
        <v>2.6586187948585498</v>
      </c>
      <c r="G19" s="29">
        <v>4.335</v>
      </c>
    </row>
    <row r="20" spans="1:7" x14ac:dyDescent="0.2">
      <c r="A20" s="27" t="s">
        <v>976</v>
      </c>
      <c r="B20" s="27" t="s">
        <v>977</v>
      </c>
      <c r="C20" s="27" t="s">
        <v>33</v>
      </c>
      <c r="D20" s="31">
        <v>250</v>
      </c>
      <c r="E20" s="29">
        <v>2576.0650000000001</v>
      </c>
      <c r="F20" s="30">
        <v>2.6523484553705301</v>
      </c>
      <c r="G20" s="29">
        <v>4.6749999999999998</v>
      </c>
    </row>
    <row r="21" spans="1:7" x14ac:dyDescent="0.2">
      <c r="A21" s="27" t="s">
        <v>978</v>
      </c>
      <c r="B21" s="27" t="s">
        <v>979</v>
      </c>
      <c r="C21" s="27" t="s">
        <v>33</v>
      </c>
      <c r="D21" s="31">
        <v>250</v>
      </c>
      <c r="E21" s="29">
        <v>2467.3575000000001</v>
      </c>
      <c r="F21" s="30">
        <v>2.5404218658969699</v>
      </c>
      <c r="G21" s="29">
        <v>5.73</v>
      </c>
    </row>
    <row r="22" spans="1:7" x14ac:dyDescent="0.2">
      <c r="A22" s="27" t="s">
        <v>895</v>
      </c>
      <c r="B22" s="27" t="s">
        <v>896</v>
      </c>
      <c r="C22" s="27" t="s">
        <v>33</v>
      </c>
      <c r="D22" s="31">
        <v>210</v>
      </c>
      <c r="E22" s="29">
        <v>2288.2566000000002</v>
      </c>
      <c r="F22" s="30">
        <v>2.3560173592286699</v>
      </c>
      <c r="G22" s="29">
        <v>5.7249999999999996</v>
      </c>
    </row>
    <row r="23" spans="1:7" x14ac:dyDescent="0.2">
      <c r="A23" s="27" t="s">
        <v>907</v>
      </c>
      <c r="B23" s="27" t="s">
        <v>908</v>
      </c>
      <c r="C23" s="27" t="s">
        <v>33</v>
      </c>
      <c r="D23" s="31">
        <v>150</v>
      </c>
      <c r="E23" s="29">
        <v>1556.4645</v>
      </c>
      <c r="F23" s="30">
        <v>1.60255514220878</v>
      </c>
      <c r="G23" s="29">
        <v>5</v>
      </c>
    </row>
    <row r="24" spans="1:7" x14ac:dyDescent="0.2">
      <c r="A24" s="27" t="s">
        <v>890</v>
      </c>
      <c r="B24" s="27" t="s">
        <v>891</v>
      </c>
      <c r="C24" s="27" t="s">
        <v>33</v>
      </c>
      <c r="D24" s="31">
        <v>120</v>
      </c>
      <c r="E24" s="29">
        <v>1227.162</v>
      </c>
      <c r="F24" s="30">
        <v>1.26350120637073</v>
      </c>
      <c r="G24" s="29">
        <v>3.9</v>
      </c>
    </row>
    <row r="25" spans="1:7" x14ac:dyDescent="0.2">
      <c r="A25" s="27" t="s">
        <v>918</v>
      </c>
      <c r="B25" s="27" t="s">
        <v>919</v>
      </c>
      <c r="C25" s="27" t="s">
        <v>885</v>
      </c>
      <c r="D25" s="31">
        <v>120</v>
      </c>
      <c r="E25" s="29">
        <v>1221.9480000000001</v>
      </c>
      <c r="F25" s="30">
        <v>1.25813280734108</v>
      </c>
      <c r="G25" s="29">
        <v>3.8649</v>
      </c>
    </row>
    <row r="26" spans="1:7" x14ac:dyDescent="0.2">
      <c r="A26" s="27" t="s">
        <v>920</v>
      </c>
      <c r="B26" s="27" t="s">
        <v>921</v>
      </c>
      <c r="C26" s="27" t="s">
        <v>33</v>
      </c>
      <c r="D26" s="31">
        <v>110</v>
      </c>
      <c r="E26" s="29">
        <v>1200.2364</v>
      </c>
      <c r="F26" s="30">
        <v>1.2357782748569901</v>
      </c>
      <c r="G26" s="29">
        <v>6.2750000000000004</v>
      </c>
    </row>
    <row r="27" spans="1:7" x14ac:dyDescent="0.2">
      <c r="A27" s="27" t="s">
        <v>980</v>
      </c>
      <c r="B27" s="27" t="s">
        <v>981</v>
      </c>
      <c r="C27" s="27" t="s">
        <v>885</v>
      </c>
      <c r="D27" s="31">
        <v>100</v>
      </c>
      <c r="E27" s="29">
        <v>1089.8720000000001</v>
      </c>
      <c r="F27" s="30">
        <v>1.1221457206054899</v>
      </c>
      <c r="G27" s="29">
        <v>6.1146000000000003</v>
      </c>
    </row>
    <row r="28" spans="1:7" x14ac:dyDescent="0.2">
      <c r="A28" s="27" t="s">
        <v>982</v>
      </c>
      <c r="B28" s="27" t="s">
        <v>983</v>
      </c>
      <c r="C28" s="27" t="s">
        <v>33</v>
      </c>
      <c r="D28" s="31">
        <v>100</v>
      </c>
      <c r="E28" s="29">
        <v>1072.674</v>
      </c>
      <c r="F28" s="30">
        <v>1.10443844662931</v>
      </c>
      <c r="G28" s="29">
        <v>6.1</v>
      </c>
    </row>
    <row r="29" spans="1:7" x14ac:dyDescent="0.2">
      <c r="A29" s="27" t="s">
        <v>984</v>
      </c>
      <c r="B29" s="27" t="s">
        <v>985</v>
      </c>
      <c r="C29" s="27" t="s">
        <v>885</v>
      </c>
      <c r="D29" s="31">
        <v>500</v>
      </c>
      <c r="E29" s="29">
        <v>1035.28</v>
      </c>
      <c r="F29" s="30">
        <v>1.0659371207155099</v>
      </c>
      <c r="G29" s="29">
        <v>6.3848000000000003</v>
      </c>
    </row>
    <row r="30" spans="1:7" x14ac:dyDescent="0.2">
      <c r="A30" s="27" t="s">
        <v>986</v>
      </c>
      <c r="B30" s="27" t="s">
        <v>987</v>
      </c>
      <c r="C30" s="27" t="s">
        <v>885</v>
      </c>
      <c r="D30" s="31">
        <v>500</v>
      </c>
      <c r="E30" s="29">
        <v>1020.2190000000001</v>
      </c>
      <c r="F30" s="30">
        <v>1.05043012842831</v>
      </c>
      <c r="G30" s="29">
        <v>6.3848000000000003</v>
      </c>
    </row>
    <row r="31" spans="1:7" x14ac:dyDescent="0.2">
      <c r="A31" s="27" t="s">
        <v>988</v>
      </c>
      <c r="B31" s="27" t="s">
        <v>989</v>
      </c>
      <c r="C31" s="27" t="s">
        <v>990</v>
      </c>
      <c r="D31" s="31">
        <v>100</v>
      </c>
      <c r="E31" s="29">
        <v>1013.849</v>
      </c>
      <c r="F31" s="30">
        <v>1.04387149746957</v>
      </c>
      <c r="G31" s="29">
        <v>9.7844999999999995</v>
      </c>
    </row>
    <row r="32" spans="1:7" x14ac:dyDescent="0.2">
      <c r="A32" s="27" t="s">
        <v>991</v>
      </c>
      <c r="B32" s="27" t="s">
        <v>992</v>
      </c>
      <c r="C32" s="27" t="s">
        <v>33</v>
      </c>
      <c r="D32" s="31">
        <v>50</v>
      </c>
      <c r="E32" s="29">
        <v>548.51700000000005</v>
      </c>
      <c r="F32" s="30">
        <v>0.56475990229069395</v>
      </c>
      <c r="G32" s="29">
        <v>5.7249999999999996</v>
      </c>
    </row>
    <row r="33" spans="1:9" x14ac:dyDescent="0.2">
      <c r="A33" s="27" t="s">
        <v>993</v>
      </c>
      <c r="B33" s="27" t="s">
        <v>994</v>
      </c>
      <c r="C33" s="27" t="s">
        <v>33</v>
      </c>
      <c r="D33" s="31">
        <v>50</v>
      </c>
      <c r="E33" s="29">
        <v>548.21199999999999</v>
      </c>
      <c r="F33" s="30">
        <v>0.56444587051009498</v>
      </c>
      <c r="G33" s="29">
        <v>5.78</v>
      </c>
    </row>
    <row r="34" spans="1:9" x14ac:dyDescent="0.2">
      <c r="A34" s="27" t="s">
        <v>995</v>
      </c>
      <c r="B34" s="27" t="s">
        <v>996</v>
      </c>
      <c r="C34" s="27" t="s">
        <v>33</v>
      </c>
      <c r="D34" s="31">
        <v>50</v>
      </c>
      <c r="E34" s="29">
        <v>543.73450000000003</v>
      </c>
      <c r="F34" s="30">
        <v>0.55983578100966602</v>
      </c>
      <c r="G34" s="29">
        <v>5.3049999999999997</v>
      </c>
    </row>
    <row r="35" spans="1:9" x14ac:dyDescent="0.2">
      <c r="A35" s="27" t="s">
        <v>903</v>
      </c>
      <c r="B35" s="27" t="s">
        <v>904</v>
      </c>
      <c r="C35" s="27" t="s">
        <v>33</v>
      </c>
      <c r="D35" s="31">
        <v>50</v>
      </c>
      <c r="E35" s="29">
        <v>538.18849999999998</v>
      </c>
      <c r="F35" s="30">
        <v>0.554125550664747</v>
      </c>
      <c r="G35" s="29">
        <v>6.1</v>
      </c>
    </row>
    <row r="36" spans="1:9" x14ac:dyDescent="0.2">
      <c r="A36" s="27" t="s">
        <v>863</v>
      </c>
      <c r="B36" s="27" t="s">
        <v>864</v>
      </c>
      <c r="C36" s="27" t="s">
        <v>855</v>
      </c>
      <c r="D36" s="31">
        <v>50</v>
      </c>
      <c r="E36" s="29">
        <v>515</v>
      </c>
      <c r="F36" s="30">
        <v>0.53025038363388399</v>
      </c>
      <c r="G36" s="29">
        <v>5.83</v>
      </c>
    </row>
    <row r="37" spans="1:9" x14ac:dyDescent="0.2">
      <c r="A37" s="27" t="s">
        <v>79</v>
      </c>
      <c r="B37" s="27" t="s">
        <v>78</v>
      </c>
      <c r="C37" s="27" t="s">
        <v>33</v>
      </c>
      <c r="D37" s="31">
        <v>30</v>
      </c>
      <c r="E37" s="29">
        <v>333.23309999999998</v>
      </c>
      <c r="F37" s="30">
        <v>0.34310093031943401</v>
      </c>
      <c r="G37" s="29">
        <v>7</v>
      </c>
    </row>
    <row r="38" spans="1:9" x14ac:dyDescent="0.2">
      <c r="A38" s="27" t="s">
        <v>867</v>
      </c>
      <c r="B38" s="27" t="s">
        <v>868</v>
      </c>
      <c r="C38" s="27" t="s">
        <v>33</v>
      </c>
      <c r="D38" s="31">
        <v>32</v>
      </c>
      <c r="E38" s="29">
        <v>331.50783999999999</v>
      </c>
      <c r="F38" s="30">
        <v>0.34132458123813603</v>
      </c>
      <c r="G38" s="29">
        <v>4.3049999999999997</v>
      </c>
    </row>
    <row r="39" spans="1:9" x14ac:dyDescent="0.2">
      <c r="A39" s="27" t="s">
        <v>833</v>
      </c>
      <c r="B39" s="27" t="s">
        <v>834</v>
      </c>
      <c r="C39" s="27" t="s">
        <v>835</v>
      </c>
      <c r="D39" s="31">
        <v>27</v>
      </c>
      <c r="E39" s="29">
        <v>284.36103000000003</v>
      </c>
      <c r="F39" s="30">
        <v>0.29278164125830403</v>
      </c>
      <c r="G39" s="29">
        <v>4</v>
      </c>
    </row>
    <row r="40" spans="1:9" x14ac:dyDescent="0.2">
      <c r="A40" s="27" t="s">
        <v>938</v>
      </c>
      <c r="B40" s="27" t="s">
        <v>939</v>
      </c>
      <c r="C40" s="27" t="s">
        <v>33</v>
      </c>
      <c r="D40" s="31">
        <v>23</v>
      </c>
      <c r="E40" s="29">
        <v>233.99901</v>
      </c>
      <c r="F40" s="30">
        <v>0.24092828120863899</v>
      </c>
      <c r="G40" s="29">
        <v>3.9049999999999998</v>
      </c>
    </row>
    <row r="41" spans="1:9" x14ac:dyDescent="0.2">
      <c r="A41" s="27" t="s">
        <v>997</v>
      </c>
      <c r="B41" s="27" t="s">
        <v>998</v>
      </c>
      <c r="C41" s="27" t="s">
        <v>885</v>
      </c>
      <c r="D41" s="31">
        <v>5</v>
      </c>
      <c r="E41" s="29">
        <v>51.943800000000003</v>
      </c>
      <c r="F41" s="30">
        <v>5.3481980344469403E-2</v>
      </c>
      <c r="G41" s="29">
        <v>4.05</v>
      </c>
    </row>
    <row r="42" spans="1:9" x14ac:dyDescent="0.2">
      <c r="A42" s="27" t="s">
        <v>999</v>
      </c>
      <c r="B42" s="27" t="s">
        <v>1000</v>
      </c>
      <c r="C42" s="27" t="s">
        <v>33</v>
      </c>
      <c r="D42" s="31">
        <v>1</v>
      </c>
      <c r="E42" s="29">
        <v>10.027329999999999</v>
      </c>
      <c r="F42" s="30">
        <v>1.03242632608224E-2</v>
      </c>
      <c r="G42" s="29">
        <v>3.3348</v>
      </c>
    </row>
    <row r="43" spans="1:9" x14ac:dyDescent="0.2">
      <c r="A43" s="26" t="s">
        <v>34</v>
      </c>
      <c r="B43" s="26"/>
      <c r="C43" s="26"/>
      <c r="D43" s="32"/>
      <c r="E43" s="33">
        <f>SUM(E6:E42)</f>
        <v>74907.197209999998</v>
      </c>
      <c r="F43" s="34">
        <f>SUM(F6:F42)</f>
        <v>77.125378752507785</v>
      </c>
      <c r="G43" s="33"/>
      <c r="H43" s="18"/>
      <c r="I43" s="18"/>
    </row>
    <row r="44" spans="1:9" x14ac:dyDescent="0.2">
      <c r="A44" s="27"/>
      <c r="B44" s="27"/>
      <c r="C44" s="27"/>
      <c r="D44" s="28"/>
      <c r="E44" s="29"/>
      <c r="F44" s="30"/>
      <c r="G44" s="29"/>
    </row>
    <row r="45" spans="1:9" x14ac:dyDescent="0.2">
      <c r="A45" s="26" t="s">
        <v>48</v>
      </c>
      <c r="B45" s="27"/>
      <c r="C45" s="27"/>
      <c r="D45" s="28"/>
      <c r="E45" s="29"/>
      <c r="F45" s="30"/>
      <c r="G45" s="29"/>
    </row>
    <row r="46" spans="1:9" x14ac:dyDescent="0.2">
      <c r="A46" s="26" t="s">
        <v>49</v>
      </c>
      <c r="B46" s="27"/>
      <c r="C46" s="27"/>
      <c r="D46" s="28"/>
      <c r="E46" s="29"/>
      <c r="F46" s="30"/>
      <c r="G46" s="29"/>
    </row>
    <row r="47" spans="1:9" x14ac:dyDescent="0.2">
      <c r="A47" s="27" t="s">
        <v>1001</v>
      </c>
      <c r="B47" s="27" t="s">
        <v>1002</v>
      </c>
      <c r="C47" s="27" t="s">
        <v>50</v>
      </c>
      <c r="D47" s="31">
        <v>2500</v>
      </c>
      <c r="E47" s="29">
        <v>2484.2775000000001</v>
      </c>
      <c r="F47" s="30">
        <v>2.55784290762724</v>
      </c>
      <c r="G47" s="29">
        <v>3.3</v>
      </c>
    </row>
    <row r="48" spans="1:9" x14ac:dyDescent="0.2">
      <c r="A48" s="26" t="s">
        <v>34</v>
      </c>
      <c r="B48" s="26"/>
      <c r="C48" s="26"/>
      <c r="D48" s="32"/>
      <c r="E48" s="33">
        <f>SUM(E46:E47)</f>
        <v>2484.2775000000001</v>
      </c>
      <c r="F48" s="34">
        <f>SUM(F46:F47)</f>
        <v>2.55784290762724</v>
      </c>
      <c r="G48" s="33"/>
      <c r="H48" s="18"/>
      <c r="I48" s="18"/>
    </row>
    <row r="49" spans="1:9" x14ac:dyDescent="0.2">
      <c r="A49" s="27"/>
      <c r="B49" s="27"/>
      <c r="C49" s="27"/>
      <c r="D49" s="28"/>
      <c r="E49" s="29"/>
      <c r="F49" s="30"/>
      <c r="G49" s="29"/>
    </row>
    <row r="50" spans="1:9" x14ac:dyDescent="0.2">
      <c r="A50" s="26" t="s">
        <v>59</v>
      </c>
      <c r="B50" s="27"/>
      <c r="C50" s="27"/>
      <c r="D50" s="28"/>
      <c r="E50" s="29"/>
      <c r="F50" s="30"/>
      <c r="G50" s="29"/>
    </row>
    <row r="51" spans="1:9" x14ac:dyDescent="0.2">
      <c r="A51" s="27" t="s">
        <v>83</v>
      </c>
      <c r="B51" s="27" t="s">
        <v>82</v>
      </c>
      <c r="C51" s="27" t="s">
        <v>62</v>
      </c>
      <c r="D51" s="31">
        <v>5500000</v>
      </c>
      <c r="E51" s="29">
        <v>5660.0609999999997</v>
      </c>
      <c r="F51" s="30">
        <v>5.8276689643518198</v>
      </c>
      <c r="G51" s="29">
        <v>5.2779999999999996</v>
      </c>
    </row>
    <row r="52" spans="1:9" x14ac:dyDescent="0.2">
      <c r="A52" s="27" t="s">
        <v>73</v>
      </c>
      <c r="B52" s="27" t="s">
        <v>72</v>
      </c>
      <c r="C52" s="27" t="s">
        <v>62</v>
      </c>
      <c r="D52" s="31">
        <v>3000000</v>
      </c>
      <c r="E52" s="29">
        <v>3186.6959999999999</v>
      </c>
      <c r="F52" s="30">
        <v>3.2810617019894401</v>
      </c>
      <c r="G52" s="29">
        <v>4.9292999999999996</v>
      </c>
    </row>
    <row r="53" spans="1:9" x14ac:dyDescent="0.2">
      <c r="A53" s="27" t="s">
        <v>945</v>
      </c>
      <c r="B53" s="27" t="s">
        <v>946</v>
      </c>
      <c r="C53" s="27" t="s">
        <v>62</v>
      </c>
      <c r="D53" s="31">
        <v>3000000</v>
      </c>
      <c r="E53" s="29">
        <v>3165.2370000000001</v>
      </c>
      <c r="F53" s="30">
        <v>3.2589672495964401</v>
      </c>
      <c r="G53" s="29">
        <v>4.5141</v>
      </c>
    </row>
    <row r="54" spans="1:9" x14ac:dyDescent="0.2">
      <c r="A54" s="26" t="s">
        <v>34</v>
      </c>
      <c r="B54" s="26"/>
      <c r="C54" s="26"/>
      <c r="D54" s="32"/>
      <c r="E54" s="33">
        <f>SUM(E51:E53)</f>
        <v>12011.993999999999</v>
      </c>
      <c r="F54" s="34">
        <f>SUM(F51:F53)</f>
        <v>12.367697915937699</v>
      </c>
      <c r="G54" s="33"/>
      <c r="H54" s="18"/>
      <c r="I54" s="18"/>
    </row>
    <row r="55" spans="1:9" x14ac:dyDescent="0.2">
      <c r="A55" s="27"/>
      <c r="B55" s="27"/>
      <c r="C55" s="27"/>
      <c r="D55" s="28"/>
      <c r="E55" s="29"/>
      <c r="F55" s="30"/>
      <c r="G55" s="29"/>
    </row>
    <row r="56" spans="1:9" x14ac:dyDescent="0.2">
      <c r="A56" s="26" t="s">
        <v>36</v>
      </c>
      <c r="B56" s="26"/>
      <c r="C56" s="26"/>
      <c r="D56" s="32"/>
      <c r="E56" s="33">
        <f>E43+E48+E54</f>
        <v>89403.468709999986</v>
      </c>
      <c r="F56" s="34">
        <f>F43+F48+F54</f>
        <v>92.050919576072715</v>
      </c>
      <c r="G56" s="33"/>
      <c r="H56" s="18"/>
      <c r="I56" s="18"/>
    </row>
    <row r="57" spans="1:9" x14ac:dyDescent="0.2">
      <c r="A57" s="26"/>
      <c r="B57" s="26"/>
      <c r="C57" s="26"/>
      <c r="D57" s="32"/>
      <c r="E57" s="33"/>
      <c r="F57" s="34"/>
      <c r="G57" s="33"/>
      <c r="H57" s="18"/>
      <c r="I57" s="18"/>
    </row>
    <row r="58" spans="1:9" x14ac:dyDescent="0.2">
      <c r="A58" s="26" t="s">
        <v>38</v>
      </c>
      <c r="B58" s="26"/>
      <c r="C58" s="26"/>
      <c r="D58" s="32"/>
      <c r="E58" s="33">
        <f>E60-(E43+E48+E54)</f>
        <v>7720.4591353000142</v>
      </c>
      <c r="F58" s="34">
        <f>F60-(F43+F48+F54)</f>
        <v>7.9490804239272848</v>
      </c>
      <c r="G58" s="33"/>
      <c r="H58" s="18"/>
      <c r="I58" s="18"/>
    </row>
    <row r="59" spans="1:9" x14ac:dyDescent="0.2">
      <c r="A59" s="26"/>
      <c r="B59" s="26"/>
      <c r="C59" s="26"/>
      <c r="D59" s="32"/>
      <c r="E59" s="33"/>
      <c r="F59" s="34"/>
      <c r="G59" s="33"/>
      <c r="H59" s="18"/>
      <c r="I59" s="18"/>
    </row>
    <row r="60" spans="1:9" x14ac:dyDescent="0.2">
      <c r="A60" s="35" t="s">
        <v>37</v>
      </c>
      <c r="B60" s="35"/>
      <c r="C60" s="35"/>
      <c r="D60" s="36"/>
      <c r="E60" s="37">
        <v>97123.927845300001</v>
      </c>
      <c r="F60" s="38">
        <v>100</v>
      </c>
      <c r="G60" s="37"/>
      <c r="H60" s="18"/>
      <c r="I60" s="18"/>
    </row>
    <row r="62" spans="1:9" x14ac:dyDescent="0.2">
      <c r="A62" s="18" t="s">
        <v>39</v>
      </c>
    </row>
    <row r="64" spans="1:9" x14ac:dyDescent="0.2">
      <c r="A64" s="18" t="s">
        <v>40</v>
      </c>
    </row>
    <row r="65" spans="1:5" x14ac:dyDescent="0.2">
      <c r="A65" s="18" t="s">
        <v>41</v>
      </c>
    </row>
    <row r="66" spans="1:5" x14ac:dyDescent="0.2">
      <c r="A66" s="18" t="s">
        <v>42</v>
      </c>
      <c r="B66" s="18"/>
      <c r="C66" s="39" t="s">
        <v>44</v>
      </c>
      <c r="D66" s="19" t="s">
        <v>43</v>
      </c>
    </row>
    <row r="67" spans="1:5" x14ac:dyDescent="0.2">
      <c r="A67" s="9" t="s">
        <v>65</v>
      </c>
      <c r="C67" s="40">
        <v>17.049700000000001</v>
      </c>
      <c r="D67" s="40">
        <v>17.495100000000001</v>
      </c>
    </row>
    <row r="68" spans="1:5" x14ac:dyDescent="0.2">
      <c r="A68" s="9" t="s">
        <v>1003</v>
      </c>
      <c r="C68" s="40">
        <v>10.7263</v>
      </c>
      <c r="D68" s="40">
        <v>10.6046</v>
      </c>
    </row>
    <row r="69" spans="1:5" x14ac:dyDescent="0.2">
      <c r="A69" s="9" t="s">
        <v>66</v>
      </c>
      <c r="C69" s="40">
        <v>17.532499999999999</v>
      </c>
      <c r="D69" s="40">
        <v>18.0184</v>
      </c>
    </row>
    <row r="70" spans="1:5" x14ac:dyDescent="0.2">
      <c r="A70" s="9" t="s">
        <v>1004</v>
      </c>
      <c r="C70" s="40">
        <v>11.1065</v>
      </c>
      <c r="D70" s="40">
        <v>11.0122</v>
      </c>
    </row>
    <row r="71" spans="1:5" x14ac:dyDescent="0.2">
      <c r="C71" s="40"/>
      <c r="D71" s="40"/>
    </row>
    <row r="72" spans="1:5" x14ac:dyDescent="0.2">
      <c r="A72" s="18" t="s">
        <v>1560</v>
      </c>
    </row>
    <row r="73" spans="1:5" x14ac:dyDescent="0.2">
      <c r="A73" s="94" t="s">
        <v>64</v>
      </c>
      <c r="B73" s="95"/>
      <c r="C73" s="44" t="s">
        <v>1544</v>
      </c>
    </row>
    <row r="74" spans="1:5" x14ac:dyDescent="0.2">
      <c r="A74" s="88" t="s">
        <v>1003</v>
      </c>
      <c r="B74" s="89"/>
      <c r="C74" s="45">
        <v>0.4</v>
      </c>
    </row>
    <row r="75" spans="1:5" x14ac:dyDescent="0.2">
      <c r="A75" s="88" t="s">
        <v>1004</v>
      </c>
      <c r="B75" s="89"/>
      <c r="C75" s="45">
        <v>0.4</v>
      </c>
    </row>
    <row r="76" spans="1:5" x14ac:dyDescent="0.2">
      <c r="A76" s="9" t="s">
        <v>1545</v>
      </c>
    </row>
    <row r="77" spans="1:5" x14ac:dyDescent="0.2">
      <c r="A77" s="9" t="s">
        <v>782</v>
      </c>
    </row>
    <row r="79" spans="1:5" x14ac:dyDescent="0.2">
      <c r="A79" s="18" t="s">
        <v>783</v>
      </c>
      <c r="D79" s="42">
        <v>2.67702391219178</v>
      </c>
      <c r="E79" s="13" t="s">
        <v>46</v>
      </c>
    </row>
    <row r="81" spans="1:7" x14ac:dyDescent="0.2">
      <c r="A81" s="18" t="s">
        <v>717</v>
      </c>
      <c r="D81" s="41" t="s">
        <v>45</v>
      </c>
    </row>
    <row r="83" spans="1:7" ht="14.4" x14ac:dyDescent="0.2">
      <c r="A83" s="90" t="s">
        <v>784</v>
      </c>
      <c r="B83" s="91"/>
      <c r="C83" s="91"/>
      <c r="D83" s="91"/>
      <c r="E83" s="91"/>
      <c r="F83" s="91"/>
      <c r="G83" s="91"/>
    </row>
    <row r="84" spans="1:7" x14ac:dyDescent="0.2">
      <c r="A84" s="50" t="s">
        <v>47</v>
      </c>
    </row>
    <row r="85" spans="1:7" x14ac:dyDescent="0.2">
      <c r="A85" s="50"/>
    </row>
  </sheetData>
  <mergeCells count="5">
    <mergeCell ref="A1:G1"/>
    <mergeCell ref="A73:B73"/>
    <mergeCell ref="A74:B74"/>
    <mergeCell ref="A75:B75"/>
    <mergeCell ref="A83:G83"/>
  </mergeCells>
  <conditionalFormatting sqref="F2:F3 F85:F65536 F5:F82">
    <cfRule type="cellIs" dxfId="173" priority="3" stopIfTrue="1" operator="between">
      <formula>0.009</formula>
      <formula>-0.009</formula>
    </cfRule>
  </conditionalFormatting>
  <conditionalFormatting sqref="F84">
    <cfRule type="cellIs" dxfId="172" priority="1" stopIfTrue="1" operator="between">
      <formula>0.009</formula>
      <formula>-0.009</formula>
    </cfRule>
  </conditionalFormatting>
  <hyperlinks>
    <hyperlink ref="A84" r:id="rId1" xr:uid="{00000000-0004-0000-0500-000000000000}"/>
  </hyperlinks>
  <pageMargins left="0.7" right="0.7" top="0.75" bottom="0.75" header="0.3" footer="0.3"/>
  <pageSetup paperSize="9" scale="48" orientation="portrait" r:id="rId2"/>
  <headerFooter>
    <oddFooter>&amp;R&amp;1#&amp;"Calibri"&amp;10&amp;KFF0000|PUBLIC|</oddFooter>
    <evenFooter>&amp;LPUBLIC</evenFooter>
    <firstFooter>&amp;LPUBLIC</firstFooter>
  </headerFooter>
  <colBreaks count="1" manualBreakCount="1">
    <brk id="7"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48"/>
  <sheetViews>
    <sheetView view="pageBreakPreview" zoomScaleNormal="100" zoomScaleSheetLayoutView="100" workbookViewId="0">
      <selection sqref="A1:G1"/>
    </sheetView>
  </sheetViews>
  <sheetFormatPr defaultColWidth="9.21875" defaultRowHeight="10.199999999999999" x14ac:dyDescent="0.2"/>
  <cols>
    <col min="1" max="1" width="33.44140625" style="9" bestFit="1" customWidth="1"/>
    <col min="2" max="2" width="25.21875" style="9" customWidth="1"/>
    <col min="3" max="3" width="22.5546875" style="9" customWidth="1"/>
    <col min="4" max="4" width="15.44140625" style="10" bestFit="1" customWidth="1"/>
    <col min="5" max="5" width="17.77734375" style="13" customWidth="1"/>
    <col min="6" max="6" width="13.5546875" style="14" bestFit="1" customWidth="1"/>
    <col min="7" max="7" width="14.21875" style="13" customWidth="1"/>
    <col min="8" max="16384" width="9.21875" style="9"/>
  </cols>
  <sheetData>
    <row r="1" spans="1:9" s="1" customFormat="1" ht="13.8" x14ac:dyDescent="0.2">
      <c r="A1" s="92" t="s">
        <v>1448</v>
      </c>
      <c r="B1" s="93"/>
      <c r="C1" s="93"/>
      <c r="D1" s="93"/>
      <c r="E1" s="93"/>
      <c r="F1" s="93"/>
      <c r="G1" s="93"/>
    </row>
    <row r="2" spans="1:9" s="1" customFormat="1" ht="11.4" x14ac:dyDescent="0.2">
      <c r="D2" s="6"/>
      <c r="E2" s="7"/>
      <c r="F2" s="12"/>
      <c r="G2" s="13"/>
    </row>
    <row r="3" spans="1:9" s="1" customFormat="1" ht="12" x14ac:dyDescent="0.2">
      <c r="A3" s="11" t="s">
        <v>7</v>
      </c>
      <c r="B3" s="2"/>
      <c r="C3" s="3"/>
      <c r="D3" s="4"/>
      <c r="E3" s="5"/>
      <c r="F3" s="12"/>
      <c r="G3" s="13"/>
    </row>
    <row r="4" spans="1:9" s="1" customFormat="1" ht="25.5" customHeight="1" x14ac:dyDescent="0.2">
      <c r="A4" s="8" t="s">
        <v>2</v>
      </c>
      <c r="B4" s="8" t="s">
        <v>0</v>
      </c>
      <c r="C4" s="17" t="s">
        <v>727</v>
      </c>
      <c r="D4" s="16" t="s">
        <v>1</v>
      </c>
      <c r="E4" s="47" t="s">
        <v>3</v>
      </c>
      <c r="F4" s="15" t="s">
        <v>4</v>
      </c>
      <c r="G4" s="15" t="s">
        <v>6</v>
      </c>
    </row>
    <row r="5" spans="1:9" x14ac:dyDescent="0.2">
      <c r="A5" s="21" t="s">
        <v>48</v>
      </c>
      <c r="B5" s="22"/>
      <c r="C5" s="22"/>
      <c r="D5" s="23"/>
      <c r="E5" s="24"/>
      <c r="F5" s="25"/>
      <c r="G5" s="24"/>
    </row>
    <row r="6" spans="1:9" x14ac:dyDescent="0.2">
      <c r="A6" s="26" t="s">
        <v>58</v>
      </c>
      <c r="B6" s="27"/>
      <c r="C6" s="27"/>
      <c r="D6" s="28"/>
      <c r="E6" s="29"/>
      <c r="F6" s="30"/>
      <c r="G6" s="29"/>
    </row>
    <row r="7" spans="1:9" x14ac:dyDescent="0.2">
      <c r="A7" s="27" t="s">
        <v>68</v>
      </c>
      <c r="B7" s="27" t="s">
        <v>67</v>
      </c>
      <c r="C7" s="27" t="s">
        <v>62</v>
      </c>
      <c r="D7" s="31">
        <v>3000000</v>
      </c>
      <c r="E7" s="29">
        <v>2985.3209999999999</v>
      </c>
      <c r="F7" s="30">
        <v>13.2808104651794</v>
      </c>
      <c r="G7" s="29">
        <v>3.2048999999999999</v>
      </c>
    </row>
    <row r="8" spans="1:9" x14ac:dyDescent="0.2">
      <c r="A8" s="26" t="s">
        <v>34</v>
      </c>
      <c r="B8" s="26"/>
      <c r="C8" s="26"/>
      <c r="D8" s="32"/>
      <c r="E8" s="33">
        <f>SUM(E6:E7)</f>
        <v>2985.3209999999999</v>
      </c>
      <c r="F8" s="34">
        <f>SUM(F6:F7)</f>
        <v>13.2808104651794</v>
      </c>
      <c r="G8" s="33"/>
      <c r="H8" s="18"/>
      <c r="I8" s="18"/>
    </row>
    <row r="9" spans="1:9" x14ac:dyDescent="0.2">
      <c r="A9" s="27"/>
      <c r="B9" s="27"/>
      <c r="C9" s="27"/>
      <c r="D9" s="28"/>
      <c r="E9" s="29"/>
      <c r="F9" s="30"/>
      <c r="G9" s="29"/>
    </row>
    <row r="10" spans="1:9" x14ac:dyDescent="0.2">
      <c r="A10" s="26" t="s">
        <v>59</v>
      </c>
      <c r="B10" s="27"/>
      <c r="C10" s="27"/>
      <c r="D10" s="28"/>
      <c r="E10" s="29"/>
      <c r="F10" s="30"/>
      <c r="G10" s="29"/>
    </row>
    <row r="11" spans="1:9" x14ac:dyDescent="0.2">
      <c r="A11" s="27" t="s">
        <v>1005</v>
      </c>
      <c r="B11" s="27" t="s">
        <v>1006</v>
      </c>
      <c r="C11" s="27" t="s">
        <v>62</v>
      </c>
      <c r="D11" s="31">
        <v>5200000</v>
      </c>
      <c r="E11" s="29">
        <v>5363.3059999999996</v>
      </c>
      <c r="F11" s="30">
        <v>23.8597626361653</v>
      </c>
      <c r="G11" s="29">
        <v>6.1645000000000003</v>
      </c>
    </row>
    <row r="12" spans="1:9" x14ac:dyDescent="0.2">
      <c r="A12" s="27" t="s">
        <v>70</v>
      </c>
      <c r="B12" s="27" t="s">
        <v>69</v>
      </c>
      <c r="C12" s="27" t="s">
        <v>62</v>
      </c>
      <c r="D12" s="31">
        <v>5000000</v>
      </c>
      <c r="E12" s="29">
        <v>4889.2749999999996</v>
      </c>
      <c r="F12" s="30">
        <v>21.750938872952101</v>
      </c>
      <c r="G12" s="29">
        <v>5.702</v>
      </c>
    </row>
    <row r="13" spans="1:9" x14ac:dyDescent="0.2">
      <c r="A13" s="27" t="s">
        <v>1007</v>
      </c>
      <c r="B13" s="27" t="s">
        <v>1008</v>
      </c>
      <c r="C13" s="27" t="s">
        <v>62</v>
      </c>
      <c r="D13" s="31">
        <v>3450000</v>
      </c>
      <c r="E13" s="29">
        <v>3610.1835000000001</v>
      </c>
      <c r="F13" s="30">
        <v>16.0606389758482</v>
      </c>
      <c r="G13" s="29">
        <v>6.3140000000000001</v>
      </c>
    </row>
    <row r="14" spans="1:9" x14ac:dyDescent="0.2">
      <c r="A14" s="27" t="s">
        <v>71</v>
      </c>
      <c r="B14" s="27" t="s">
        <v>1523</v>
      </c>
      <c r="C14" s="27" t="s">
        <v>62</v>
      </c>
      <c r="D14" s="31">
        <v>1900000</v>
      </c>
      <c r="E14" s="29">
        <v>2005.4404999999999</v>
      </c>
      <c r="F14" s="30">
        <v>8.9216118399645001</v>
      </c>
      <c r="G14" s="29">
        <v>5.9736000000000002</v>
      </c>
    </row>
    <row r="15" spans="1:9" x14ac:dyDescent="0.2">
      <c r="A15" s="27" t="s">
        <v>73</v>
      </c>
      <c r="B15" s="27" t="s">
        <v>72</v>
      </c>
      <c r="C15" s="27" t="s">
        <v>62</v>
      </c>
      <c r="D15" s="31">
        <v>300000</v>
      </c>
      <c r="E15" s="29">
        <v>318.6696</v>
      </c>
      <c r="F15" s="30">
        <v>1.41766683000406</v>
      </c>
      <c r="G15" s="29">
        <v>4.9292999999999996</v>
      </c>
    </row>
    <row r="16" spans="1:9" x14ac:dyDescent="0.2">
      <c r="A16" s="27" t="s">
        <v>75</v>
      </c>
      <c r="B16" s="27" t="s">
        <v>74</v>
      </c>
      <c r="C16" s="27" t="s">
        <v>62</v>
      </c>
      <c r="D16" s="31">
        <v>200000</v>
      </c>
      <c r="E16" s="29">
        <v>197.19300000000001</v>
      </c>
      <c r="F16" s="30">
        <v>0.87725335334462395</v>
      </c>
      <c r="G16" s="29">
        <v>5.5968</v>
      </c>
    </row>
    <row r="17" spans="1:9" x14ac:dyDescent="0.2">
      <c r="A17" s="26" t="s">
        <v>34</v>
      </c>
      <c r="B17" s="26"/>
      <c r="C17" s="26"/>
      <c r="D17" s="32"/>
      <c r="E17" s="33">
        <f>SUM(E11:E16)</f>
        <v>16384.067599999998</v>
      </c>
      <c r="F17" s="34">
        <f>SUM(F11:F16)</f>
        <v>72.887872508278804</v>
      </c>
      <c r="G17" s="33"/>
      <c r="H17" s="18"/>
      <c r="I17" s="18"/>
    </row>
    <row r="18" spans="1:9" x14ac:dyDescent="0.2">
      <c r="A18" s="27"/>
      <c r="B18" s="27"/>
      <c r="C18" s="27"/>
      <c r="D18" s="28"/>
      <c r="E18" s="29"/>
      <c r="F18" s="30"/>
      <c r="G18" s="29"/>
    </row>
    <row r="19" spans="1:9" x14ac:dyDescent="0.2">
      <c r="A19" s="26" t="s">
        <v>36</v>
      </c>
      <c r="B19" s="26"/>
      <c r="C19" s="26"/>
      <c r="D19" s="32"/>
      <c r="E19" s="33">
        <f>E8+E17</f>
        <v>19369.388599999998</v>
      </c>
      <c r="F19" s="34">
        <f>F8+F17</f>
        <v>86.168682973458203</v>
      </c>
      <c r="G19" s="33"/>
      <c r="H19" s="18"/>
      <c r="I19" s="18"/>
    </row>
    <row r="20" spans="1:9" x14ac:dyDescent="0.2">
      <c r="A20" s="26"/>
      <c r="B20" s="26"/>
      <c r="C20" s="26"/>
      <c r="D20" s="32"/>
      <c r="E20" s="33"/>
      <c r="F20" s="34"/>
      <c r="G20" s="33"/>
      <c r="H20" s="18"/>
      <c r="I20" s="18"/>
    </row>
    <row r="21" spans="1:9" x14ac:dyDescent="0.2">
      <c r="A21" s="26" t="s">
        <v>38</v>
      </c>
      <c r="B21" s="26"/>
      <c r="C21" s="26"/>
      <c r="D21" s="32"/>
      <c r="E21" s="33">
        <f>E23-(E8+E17)</f>
        <v>3109.0663695000003</v>
      </c>
      <c r="F21" s="34">
        <f>F23-(F8+F17)</f>
        <v>13.831317026541797</v>
      </c>
      <c r="G21" s="33"/>
      <c r="H21" s="18"/>
      <c r="I21" s="18"/>
    </row>
    <row r="22" spans="1:9" x14ac:dyDescent="0.2">
      <c r="A22" s="26"/>
      <c r="B22" s="26"/>
      <c r="C22" s="26"/>
      <c r="D22" s="32"/>
      <c r="E22" s="33"/>
      <c r="F22" s="34"/>
      <c r="G22" s="33"/>
      <c r="H22" s="18"/>
      <c r="I22" s="18"/>
    </row>
    <row r="23" spans="1:9" x14ac:dyDescent="0.2">
      <c r="A23" s="35" t="s">
        <v>37</v>
      </c>
      <c r="B23" s="35"/>
      <c r="C23" s="35"/>
      <c r="D23" s="36"/>
      <c r="E23" s="37">
        <v>22478.454969499999</v>
      </c>
      <c r="F23" s="38">
        <v>100</v>
      </c>
      <c r="G23" s="37"/>
      <c r="H23" s="18"/>
      <c r="I23" s="18"/>
    </row>
    <row r="24" spans="1:9" x14ac:dyDescent="0.2">
      <c r="A24" s="77" t="s">
        <v>1524</v>
      </c>
    </row>
    <row r="25" spans="1:9" x14ac:dyDescent="0.2">
      <c r="A25" s="77"/>
    </row>
    <row r="26" spans="1:9" x14ac:dyDescent="0.2">
      <c r="A26" s="18" t="s">
        <v>40</v>
      </c>
    </row>
    <row r="27" spans="1:9" x14ac:dyDescent="0.2">
      <c r="A27" s="18" t="s">
        <v>41</v>
      </c>
    </row>
    <row r="28" spans="1:9" x14ac:dyDescent="0.2">
      <c r="A28" s="18" t="s">
        <v>42</v>
      </c>
      <c r="B28" s="18"/>
      <c r="C28" s="39" t="s">
        <v>44</v>
      </c>
      <c r="D28" s="19" t="s">
        <v>43</v>
      </c>
    </row>
    <row r="29" spans="1:9" x14ac:dyDescent="0.2">
      <c r="A29" s="9" t="s">
        <v>76</v>
      </c>
      <c r="C29" s="40">
        <v>46.775399999999998</v>
      </c>
      <c r="D29" s="40">
        <v>46.93</v>
      </c>
    </row>
    <row r="30" spans="1:9" x14ac:dyDescent="0.2">
      <c r="A30" s="9" t="s">
        <v>1009</v>
      </c>
      <c r="C30" s="40">
        <v>10.7559</v>
      </c>
      <c r="D30" s="40">
        <v>10.3682</v>
      </c>
    </row>
    <row r="31" spans="1:9" x14ac:dyDescent="0.2">
      <c r="A31" s="9" t="s">
        <v>77</v>
      </c>
      <c r="C31" s="40">
        <v>50.101500000000001</v>
      </c>
      <c r="D31" s="40">
        <v>50.378</v>
      </c>
    </row>
    <row r="32" spans="1:9" x14ac:dyDescent="0.2">
      <c r="A32" s="9" t="s">
        <v>1010</v>
      </c>
      <c r="C32" s="40">
        <v>11.8253</v>
      </c>
      <c r="D32" s="40">
        <v>11.467000000000001</v>
      </c>
    </row>
    <row r="33" spans="1:7" x14ac:dyDescent="0.2">
      <c r="C33" s="40"/>
      <c r="D33" s="40"/>
    </row>
    <row r="34" spans="1:7" x14ac:dyDescent="0.2">
      <c r="A34" s="18" t="s">
        <v>1560</v>
      </c>
    </row>
    <row r="35" spans="1:7" x14ac:dyDescent="0.2">
      <c r="A35" s="94" t="s">
        <v>64</v>
      </c>
      <c r="B35" s="95"/>
      <c r="C35" s="44" t="s">
        <v>1544</v>
      </c>
    </row>
    <row r="36" spans="1:7" x14ac:dyDescent="0.2">
      <c r="A36" s="88" t="s">
        <v>1009</v>
      </c>
      <c r="B36" s="89"/>
      <c r="C36" s="45">
        <v>0.42499999999999999</v>
      </c>
    </row>
    <row r="37" spans="1:7" x14ac:dyDescent="0.2">
      <c r="A37" s="88" t="s">
        <v>1010</v>
      </c>
      <c r="B37" s="89"/>
      <c r="C37" s="45">
        <v>0.42499999999999999</v>
      </c>
    </row>
    <row r="38" spans="1:7" x14ac:dyDescent="0.2">
      <c r="A38" s="9" t="s">
        <v>1545</v>
      </c>
    </row>
    <row r="39" spans="1:7" x14ac:dyDescent="0.2">
      <c r="A39" s="9" t="s">
        <v>782</v>
      </c>
    </row>
    <row r="41" spans="1:7" x14ac:dyDescent="0.2">
      <c r="A41" s="18" t="s">
        <v>783</v>
      </c>
      <c r="D41" s="42">
        <v>4.0998647309588998</v>
      </c>
      <c r="E41" s="13" t="s">
        <v>46</v>
      </c>
    </row>
    <row r="43" spans="1:7" ht="24" customHeight="1" x14ac:dyDescent="0.2">
      <c r="A43" s="97" t="s">
        <v>717</v>
      </c>
      <c r="B43" s="97"/>
      <c r="C43" s="97"/>
      <c r="D43" s="41" t="s">
        <v>45</v>
      </c>
    </row>
    <row r="45" spans="1:7" ht="14.4" x14ac:dyDescent="0.2">
      <c r="A45" s="90" t="s">
        <v>784</v>
      </c>
      <c r="B45" s="91"/>
      <c r="C45" s="91"/>
      <c r="D45" s="91"/>
      <c r="E45" s="91"/>
      <c r="F45" s="91"/>
      <c r="G45" s="91"/>
    </row>
    <row r="46" spans="1:7" x14ac:dyDescent="0.2">
      <c r="A46" s="50" t="s">
        <v>47</v>
      </c>
    </row>
    <row r="48" spans="1:7" x14ac:dyDescent="0.2">
      <c r="A48" s="18" t="s">
        <v>1449</v>
      </c>
    </row>
  </sheetData>
  <mergeCells count="6">
    <mergeCell ref="A45:G45"/>
    <mergeCell ref="A1:G1"/>
    <mergeCell ref="A35:B35"/>
    <mergeCell ref="A36:B36"/>
    <mergeCell ref="A37:B37"/>
    <mergeCell ref="A43:C43"/>
  </mergeCells>
  <conditionalFormatting sqref="F2:F3 F50:F65536 F5:F44">
    <cfRule type="cellIs" dxfId="171" priority="4" stopIfTrue="1" operator="between">
      <formula>0.009</formula>
      <formula>-0.009</formula>
    </cfRule>
  </conditionalFormatting>
  <conditionalFormatting sqref="F49">
    <cfRule type="cellIs" dxfId="170" priority="3" stopIfTrue="1" operator="between">
      <formula>0.009</formula>
      <formula>-0.009</formula>
    </cfRule>
  </conditionalFormatting>
  <conditionalFormatting sqref="F47:F48">
    <cfRule type="cellIs" dxfId="169" priority="2" stopIfTrue="1" operator="between">
      <formula>0.009</formula>
      <formula>-0.009</formula>
    </cfRule>
  </conditionalFormatting>
  <conditionalFormatting sqref="F46">
    <cfRule type="cellIs" dxfId="168" priority="1" stopIfTrue="1" operator="between">
      <formula>0.009</formula>
      <formula>-0.009</formula>
    </cfRule>
  </conditionalFormatting>
  <hyperlinks>
    <hyperlink ref="A46" r:id="rId1" xr:uid="{00000000-0004-0000-0600-000000000000}"/>
  </hyperlinks>
  <pageMargins left="0.7" right="0.7" top="0.75" bottom="0.75" header="0.3" footer="0.3"/>
  <pageSetup paperSize="9" scale="60" orientation="portrait" r:id="rId2"/>
  <headerFooter>
    <oddFooter>&amp;R&amp;1#&amp;"Calibri"&amp;10&amp;KFF0000|PUBLIC|</oddFooter>
    <evenFooter>&amp;LPUBLIC</evenFooter>
    <firstFooter>&amp;LPUBLIC</firstFooter>
  </headerFooter>
  <colBreaks count="1" manualBreakCount="1">
    <brk id="7"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53"/>
  <sheetViews>
    <sheetView view="pageBreakPreview" zoomScaleNormal="100" zoomScaleSheetLayoutView="100" workbookViewId="0">
      <selection sqref="A1:G1"/>
    </sheetView>
  </sheetViews>
  <sheetFormatPr defaultColWidth="9.21875" defaultRowHeight="10.199999999999999" x14ac:dyDescent="0.2"/>
  <cols>
    <col min="1" max="1" width="38.77734375" style="9" bestFit="1" customWidth="1"/>
    <col min="2" max="2" width="54" style="9" bestFit="1" customWidth="1"/>
    <col min="3" max="3" width="22.77734375" style="9" customWidth="1"/>
    <col min="4" max="4" width="15.44140625" style="10" bestFit="1" customWidth="1"/>
    <col min="5" max="5" width="23" style="13" bestFit="1" customWidth="1"/>
    <col min="6" max="6" width="13.5546875" style="14" bestFit="1" customWidth="1"/>
    <col min="7" max="7" width="14.21875" style="13" customWidth="1"/>
    <col min="8" max="16384" width="9.21875" style="9"/>
  </cols>
  <sheetData>
    <row r="1" spans="1:7" s="1" customFormat="1" ht="13.8" x14ac:dyDescent="0.2">
      <c r="A1" s="92" t="s">
        <v>1258</v>
      </c>
      <c r="B1" s="93"/>
      <c r="C1" s="93"/>
      <c r="D1" s="93"/>
      <c r="E1" s="93"/>
      <c r="F1" s="93"/>
      <c r="G1" s="93"/>
    </row>
    <row r="2" spans="1:7" s="1" customFormat="1" ht="11.4" x14ac:dyDescent="0.2">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727</v>
      </c>
      <c r="D4" s="16" t="s">
        <v>1</v>
      </c>
      <c r="E4" s="15" t="s">
        <v>3</v>
      </c>
      <c r="F4" s="15" t="s">
        <v>4</v>
      </c>
      <c r="G4" s="15" t="s">
        <v>6</v>
      </c>
    </row>
    <row r="5" spans="1:7" x14ac:dyDescent="0.2">
      <c r="A5" s="21" t="s">
        <v>26</v>
      </c>
      <c r="B5" s="22"/>
      <c r="C5" s="22"/>
      <c r="D5" s="23"/>
      <c r="E5" s="24"/>
      <c r="F5" s="25"/>
      <c r="G5" s="24"/>
    </row>
    <row r="6" spans="1:7" x14ac:dyDescent="0.2">
      <c r="A6" s="26" t="s">
        <v>27</v>
      </c>
      <c r="B6" s="27"/>
      <c r="C6" s="27"/>
      <c r="D6" s="28"/>
      <c r="E6" s="29"/>
      <c r="F6" s="30"/>
      <c r="G6" s="29"/>
    </row>
    <row r="7" spans="1:7" x14ac:dyDescent="0.2">
      <c r="A7" s="27" t="s">
        <v>1259</v>
      </c>
      <c r="B7" s="27" t="s">
        <v>1260</v>
      </c>
      <c r="C7" s="27" t="s">
        <v>962</v>
      </c>
      <c r="D7" s="31">
        <v>40</v>
      </c>
      <c r="E7" s="29">
        <v>523.00400000000002</v>
      </c>
      <c r="F7" s="30">
        <v>10.1133124676261</v>
      </c>
      <c r="G7" s="29">
        <v>5.1742999999999997</v>
      </c>
    </row>
    <row r="8" spans="1:7" x14ac:dyDescent="0.2">
      <c r="A8" s="27" t="s">
        <v>1261</v>
      </c>
      <c r="B8" s="27" t="s">
        <v>1262</v>
      </c>
      <c r="C8" s="27" t="s">
        <v>33</v>
      </c>
      <c r="D8" s="31">
        <v>40</v>
      </c>
      <c r="E8" s="29">
        <v>520.92840000000001</v>
      </c>
      <c r="F8" s="30">
        <v>10.073176653449099</v>
      </c>
      <c r="G8" s="29">
        <v>4.6749999999999998</v>
      </c>
    </row>
    <row r="9" spans="1:7" x14ac:dyDescent="0.2">
      <c r="A9" s="27" t="s">
        <v>997</v>
      </c>
      <c r="B9" s="27" t="s">
        <v>998</v>
      </c>
      <c r="C9" s="27" t="s">
        <v>885</v>
      </c>
      <c r="D9" s="31">
        <v>42</v>
      </c>
      <c r="E9" s="29">
        <v>436.32792000000001</v>
      </c>
      <c r="F9" s="30">
        <v>8.4372597404787495</v>
      </c>
      <c r="G9" s="29">
        <v>4.05</v>
      </c>
    </row>
    <row r="10" spans="1:7" x14ac:dyDescent="0.2">
      <c r="A10" s="27" t="s">
        <v>914</v>
      </c>
      <c r="B10" s="27" t="s">
        <v>915</v>
      </c>
      <c r="C10" s="27" t="s">
        <v>830</v>
      </c>
      <c r="D10" s="31">
        <v>41</v>
      </c>
      <c r="E10" s="29">
        <v>425.67430000000002</v>
      </c>
      <c r="F10" s="30">
        <v>8.2312510140228294</v>
      </c>
      <c r="G10" s="29">
        <v>4.0491999999999999</v>
      </c>
    </row>
    <row r="11" spans="1:7" x14ac:dyDescent="0.2">
      <c r="A11" s="27" t="s">
        <v>888</v>
      </c>
      <c r="B11" s="27" t="s">
        <v>889</v>
      </c>
      <c r="C11" s="27" t="s">
        <v>33</v>
      </c>
      <c r="D11" s="31">
        <v>41</v>
      </c>
      <c r="E11" s="29">
        <v>419.58456999999999</v>
      </c>
      <c r="F11" s="30">
        <v>8.1134940899199997</v>
      </c>
      <c r="G11" s="29">
        <v>3.9449999999999998</v>
      </c>
    </row>
    <row r="12" spans="1:7" x14ac:dyDescent="0.2">
      <c r="A12" s="27" t="s">
        <v>863</v>
      </c>
      <c r="B12" s="27" t="s">
        <v>864</v>
      </c>
      <c r="C12" s="27" t="s">
        <v>855</v>
      </c>
      <c r="D12" s="31">
        <v>40</v>
      </c>
      <c r="E12" s="29">
        <v>412</v>
      </c>
      <c r="F12" s="30">
        <v>7.9668314901261503</v>
      </c>
      <c r="G12" s="29">
        <v>5.83</v>
      </c>
    </row>
    <row r="13" spans="1:7" x14ac:dyDescent="0.2">
      <c r="A13" s="27" t="s">
        <v>833</v>
      </c>
      <c r="B13" s="27" t="s">
        <v>834</v>
      </c>
      <c r="C13" s="27" t="s">
        <v>835</v>
      </c>
      <c r="D13" s="31">
        <v>37</v>
      </c>
      <c r="E13" s="29">
        <v>389.67993000000001</v>
      </c>
      <c r="F13" s="30">
        <v>7.5352289742576604</v>
      </c>
      <c r="G13" s="29">
        <v>4</v>
      </c>
    </row>
    <row r="14" spans="1:7" x14ac:dyDescent="0.2">
      <c r="A14" s="27" t="s">
        <v>922</v>
      </c>
      <c r="B14" s="27" t="s">
        <v>923</v>
      </c>
      <c r="C14" s="27" t="s">
        <v>33</v>
      </c>
      <c r="D14" s="31">
        <v>30</v>
      </c>
      <c r="E14" s="29">
        <v>373.60079999999999</v>
      </c>
      <c r="F14" s="30">
        <v>7.22430732567069</v>
      </c>
      <c r="G14" s="29">
        <v>4.4347000000000003</v>
      </c>
    </row>
    <row r="15" spans="1:7" x14ac:dyDescent="0.2">
      <c r="A15" s="27" t="s">
        <v>912</v>
      </c>
      <c r="B15" s="27" t="s">
        <v>913</v>
      </c>
      <c r="C15" s="27" t="s">
        <v>33</v>
      </c>
      <c r="D15" s="31">
        <v>30</v>
      </c>
      <c r="E15" s="29">
        <v>310.95780000000002</v>
      </c>
      <c r="F15" s="30">
        <v>6.0129815367484198</v>
      </c>
      <c r="G15" s="29">
        <v>4.0250000000000004</v>
      </c>
    </row>
    <row r="16" spans="1:7" x14ac:dyDescent="0.2">
      <c r="A16" s="27" t="s">
        <v>1263</v>
      </c>
      <c r="B16" s="27" t="s">
        <v>1264</v>
      </c>
      <c r="C16" s="27" t="s">
        <v>962</v>
      </c>
      <c r="D16" s="31">
        <v>21</v>
      </c>
      <c r="E16" s="29">
        <v>268.57193999999998</v>
      </c>
      <c r="F16" s="30">
        <v>5.1933674489229897</v>
      </c>
      <c r="G16" s="29">
        <v>5.0198999999999998</v>
      </c>
    </row>
    <row r="17" spans="1:9" x14ac:dyDescent="0.2">
      <c r="A17" s="27" t="s">
        <v>1265</v>
      </c>
      <c r="B17" s="27" t="s">
        <v>1266</v>
      </c>
      <c r="C17" s="27" t="s">
        <v>33</v>
      </c>
      <c r="D17" s="31">
        <v>19</v>
      </c>
      <c r="E17" s="29">
        <v>243.29670999999999</v>
      </c>
      <c r="F17" s="30">
        <v>4.7046210938642998</v>
      </c>
      <c r="G17" s="29">
        <v>4.7999000000000001</v>
      </c>
    </row>
    <row r="18" spans="1:9" x14ac:dyDescent="0.2">
      <c r="A18" s="27" t="s">
        <v>1267</v>
      </c>
      <c r="B18" s="27" t="s">
        <v>1268</v>
      </c>
      <c r="C18" s="27" t="s">
        <v>830</v>
      </c>
      <c r="D18" s="31">
        <v>18</v>
      </c>
      <c r="E18" s="29">
        <v>186.84450000000001</v>
      </c>
      <c r="F18" s="30">
        <v>3.6130064231963002</v>
      </c>
      <c r="G18" s="29">
        <v>4.4050000000000002</v>
      </c>
    </row>
    <row r="19" spans="1:9" x14ac:dyDescent="0.2">
      <c r="A19" s="27" t="s">
        <v>1269</v>
      </c>
      <c r="B19" s="27" t="s">
        <v>1270</v>
      </c>
      <c r="C19" s="27" t="s">
        <v>33</v>
      </c>
      <c r="D19" s="31">
        <v>12</v>
      </c>
      <c r="E19" s="29">
        <v>152.6454</v>
      </c>
      <c r="F19" s="30">
        <v>2.9516994649099599</v>
      </c>
      <c r="G19" s="29">
        <v>5.7195</v>
      </c>
    </row>
    <row r="20" spans="1:9" x14ac:dyDescent="0.2">
      <c r="A20" s="27" t="s">
        <v>867</v>
      </c>
      <c r="B20" s="27" t="s">
        <v>868</v>
      </c>
      <c r="C20" s="27" t="s">
        <v>33</v>
      </c>
      <c r="D20" s="31">
        <v>10</v>
      </c>
      <c r="E20" s="29">
        <v>103.5962</v>
      </c>
      <c r="F20" s="30">
        <v>2.0032365738286599</v>
      </c>
      <c r="G20" s="29">
        <v>4.3049999999999997</v>
      </c>
    </row>
    <row r="21" spans="1:9" x14ac:dyDescent="0.2">
      <c r="A21" s="27" t="s">
        <v>860</v>
      </c>
      <c r="B21" s="27" t="s">
        <v>861</v>
      </c>
      <c r="C21" s="27" t="s">
        <v>862</v>
      </c>
      <c r="D21" s="31">
        <v>5</v>
      </c>
      <c r="E21" s="29">
        <v>51.410550000000001</v>
      </c>
      <c r="F21" s="30">
        <v>0.99412424433180802</v>
      </c>
      <c r="G21" s="29">
        <v>5.4398</v>
      </c>
    </row>
    <row r="22" spans="1:9" x14ac:dyDescent="0.2">
      <c r="A22" s="26" t="s">
        <v>34</v>
      </c>
      <c r="B22" s="26"/>
      <c r="C22" s="26"/>
      <c r="D22" s="32"/>
      <c r="E22" s="33">
        <f>SUM(E6:E21)</f>
        <v>4818.12302</v>
      </c>
      <c r="F22" s="34">
        <f>SUM(F6:F21)</f>
        <v>93.167898541353736</v>
      </c>
      <c r="G22" s="33"/>
      <c r="H22" s="18"/>
      <c r="I22" s="18"/>
    </row>
    <row r="23" spans="1:9" x14ac:dyDescent="0.2">
      <c r="A23" s="27"/>
      <c r="B23" s="27"/>
      <c r="C23" s="27"/>
      <c r="D23" s="28"/>
      <c r="E23" s="29"/>
      <c r="F23" s="30"/>
      <c r="G23" s="29"/>
    </row>
    <row r="24" spans="1:9" x14ac:dyDescent="0.2">
      <c r="A24" s="26" t="s">
        <v>36</v>
      </c>
      <c r="B24" s="26"/>
      <c r="C24" s="26"/>
      <c r="D24" s="32"/>
      <c r="E24" s="33">
        <f>E22</f>
        <v>4818.12302</v>
      </c>
      <c r="F24" s="34">
        <f>F22</f>
        <v>93.167898541353736</v>
      </c>
      <c r="G24" s="33"/>
      <c r="H24" s="18"/>
      <c r="I24" s="18"/>
    </row>
    <row r="25" spans="1:9" x14ac:dyDescent="0.2">
      <c r="A25" s="26"/>
      <c r="B25" s="26"/>
      <c r="C25" s="26"/>
      <c r="D25" s="32"/>
      <c r="E25" s="33"/>
      <c r="F25" s="34"/>
      <c r="G25" s="33"/>
      <c r="H25" s="18"/>
      <c r="I25" s="18"/>
    </row>
    <row r="26" spans="1:9" x14ac:dyDescent="0.2">
      <c r="A26" s="26" t="s">
        <v>38</v>
      </c>
      <c r="B26" s="26"/>
      <c r="C26" s="26"/>
      <c r="D26" s="32"/>
      <c r="E26" s="33">
        <f>E28-(E22)</f>
        <v>353.31810450000012</v>
      </c>
      <c r="F26" s="34">
        <f>F28-(F22)</f>
        <v>6.8321014586462638</v>
      </c>
      <c r="G26" s="33"/>
      <c r="H26" s="18"/>
      <c r="I26" s="18"/>
    </row>
    <row r="27" spans="1:9" x14ac:dyDescent="0.2">
      <c r="A27" s="26"/>
      <c r="B27" s="26"/>
      <c r="C27" s="26"/>
      <c r="D27" s="32"/>
      <c r="E27" s="33"/>
      <c r="F27" s="34"/>
      <c r="G27" s="33"/>
      <c r="H27" s="18"/>
      <c r="I27" s="18"/>
    </row>
    <row r="28" spans="1:9" x14ac:dyDescent="0.2">
      <c r="A28" s="35" t="s">
        <v>37</v>
      </c>
      <c r="B28" s="35"/>
      <c r="C28" s="35"/>
      <c r="D28" s="36"/>
      <c r="E28" s="37">
        <v>5171.4411245000001</v>
      </c>
      <c r="F28" s="38">
        <v>100</v>
      </c>
      <c r="G28" s="37"/>
      <c r="H28" s="18"/>
      <c r="I28" s="18"/>
    </row>
    <row r="30" spans="1:9" x14ac:dyDescent="0.2">
      <c r="A30" s="18" t="s">
        <v>39</v>
      </c>
    </row>
    <row r="32" spans="1:9" x14ac:dyDescent="0.2">
      <c r="A32" s="18" t="s">
        <v>40</v>
      </c>
    </row>
    <row r="33" spans="1:5" x14ac:dyDescent="0.2">
      <c r="A33" s="18" t="s">
        <v>41</v>
      </c>
    </row>
    <row r="34" spans="1:5" x14ac:dyDescent="0.2">
      <c r="A34" s="18" t="s">
        <v>42</v>
      </c>
      <c r="B34" s="18"/>
      <c r="C34" s="39" t="s">
        <v>44</v>
      </c>
      <c r="D34" s="19" t="s">
        <v>43</v>
      </c>
    </row>
    <row r="35" spans="1:5" x14ac:dyDescent="0.2">
      <c r="A35" s="9" t="s">
        <v>65</v>
      </c>
      <c r="C35" s="40">
        <v>11.719799999999999</v>
      </c>
      <c r="D35" s="40">
        <v>12.047700000000001</v>
      </c>
    </row>
    <row r="36" spans="1:5" x14ac:dyDescent="0.2">
      <c r="A36" s="9" t="s">
        <v>1271</v>
      </c>
      <c r="C36" s="40">
        <v>10.8963</v>
      </c>
      <c r="D36" s="40">
        <v>10.4186</v>
      </c>
    </row>
    <row r="37" spans="1:5" x14ac:dyDescent="0.2">
      <c r="A37" s="9" t="s">
        <v>948</v>
      </c>
      <c r="C37" s="40">
        <v>10.507099999999999</v>
      </c>
      <c r="D37" s="40">
        <v>10.417999999999999</v>
      </c>
    </row>
    <row r="38" spans="1:5" x14ac:dyDescent="0.2">
      <c r="A38" s="9" t="s">
        <v>66</v>
      </c>
      <c r="C38" s="40">
        <v>11.755800000000001</v>
      </c>
      <c r="D38" s="40">
        <v>12.0968</v>
      </c>
    </row>
    <row r="39" spans="1:5" x14ac:dyDescent="0.2">
      <c r="C39" s="40"/>
      <c r="D39" s="40"/>
    </row>
    <row r="40" spans="1:5" x14ac:dyDescent="0.2">
      <c r="A40" s="18" t="s">
        <v>1560</v>
      </c>
    </row>
    <row r="41" spans="1:5" x14ac:dyDescent="0.2">
      <c r="A41" s="94" t="s">
        <v>64</v>
      </c>
      <c r="B41" s="95"/>
      <c r="C41" s="44" t="s">
        <v>1544</v>
      </c>
    </row>
    <row r="42" spans="1:5" x14ac:dyDescent="0.2">
      <c r="A42" s="88" t="s">
        <v>1271</v>
      </c>
      <c r="B42" s="89"/>
      <c r="C42" s="45">
        <v>0.78</v>
      </c>
    </row>
    <row r="43" spans="1:5" x14ac:dyDescent="0.2">
      <c r="A43" s="88" t="s">
        <v>948</v>
      </c>
      <c r="B43" s="89"/>
      <c r="C43" s="45">
        <v>0.38</v>
      </c>
    </row>
    <row r="44" spans="1:5" x14ac:dyDescent="0.2">
      <c r="A44" s="9" t="s">
        <v>1545</v>
      </c>
    </row>
    <row r="45" spans="1:5" x14ac:dyDescent="0.2">
      <c r="A45" s="9" t="s">
        <v>782</v>
      </c>
    </row>
    <row r="47" spans="1:5" x14ac:dyDescent="0.2">
      <c r="A47" s="18" t="s">
        <v>783</v>
      </c>
      <c r="D47" s="42">
        <v>0.88140994408219198</v>
      </c>
      <c r="E47" s="13" t="s">
        <v>46</v>
      </c>
    </row>
    <row r="49" spans="1:7" x14ac:dyDescent="0.2">
      <c r="A49" s="18" t="s">
        <v>717</v>
      </c>
      <c r="D49" s="41" t="s">
        <v>45</v>
      </c>
    </row>
    <row r="51" spans="1:7" ht="14.4" x14ac:dyDescent="0.2">
      <c r="A51" s="90" t="s">
        <v>784</v>
      </c>
      <c r="B51" s="91"/>
      <c r="C51" s="91"/>
      <c r="D51" s="91"/>
      <c r="E51" s="91"/>
      <c r="F51" s="91"/>
      <c r="G51" s="91"/>
    </row>
    <row r="52" spans="1:7" x14ac:dyDescent="0.2">
      <c r="A52" s="50" t="s">
        <v>47</v>
      </c>
    </row>
    <row r="53" spans="1:7" x14ac:dyDescent="0.2">
      <c r="A53" s="50"/>
    </row>
  </sheetData>
  <mergeCells count="5">
    <mergeCell ref="A1:G1"/>
    <mergeCell ref="A41:B41"/>
    <mergeCell ref="A42:B42"/>
    <mergeCell ref="A43:B43"/>
    <mergeCell ref="A51:G51"/>
  </mergeCells>
  <conditionalFormatting sqref="F2:F3 F53:F65536 F5:F50">
    <cfRule type="cellIs" dxfId="167" priority="3" stopIfTrue="1" operator="between">
      <formula>0.009</formula>
      <formula>-0.009</formula>
    </cfRule>
  </conditionalFormatting>
  <conditionalFormatting sqref="F52">
    <cfRule type="cellIs" dxfId="166" priority="1" stopIfTrue="1" operator="between">
      <formula>0.009</formula>
      <formula>-0.009</formula>
    </cfRule>
  </conditionalFormatting>
  <hyperlinks>
    <hyperlink ref="A52" r:id="rId1" xr:uid="{00000000-0004-0000-0700-000000000000}"/>
  </hyperlinks>
  <pageMargins left="0.7" right="0.7" top="0.75" bottom="0.75" header="0.3" footer="0.3"/>
  <pageSetup paperSize="9" scale="48" orientation="portrait" r:id="rId2"/>
  <headerFooter>
    <oddFooter>&amp;R&amp;1#&amp;"Calibri"&amp;10&amp;KFF0000|PUBLIC|</oddFooter>
    <evenFooter>&amp;LPUBLIC</evenFooter>
    <firstFooter>&amp;LPUBLIC</firstFooter>
  </headerFooter>
  <colBreaks count="1" manualBreakCount="1">
    <brk id="7" max="1048575"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56"/>
  <sheetViews>
    <sheetView view="pageBreakPreview" zoomScale="106" zoomScaleNormal="100" zoomScaleSheetLayoutView="106" workbookViewId="0">
      <selection sqref="A1:G1"/>
    </sheetView>
  </sheetViews>
  <sheetFormatPr defaultColWidth="9.21875" defaultRowHeight="10.199999999999999" x14ac:dyDescent="0.2"/>
  <cols>
    <col min="1" max="1" width="38.77734375" style="9" bestFit="1" customWidth="1"/>
    <col min="2" max="2" width="54" style="9" bestFit="1" customWidth="1"/>
    <col min="3" max="3" width="21.21875" style="9" bestFit="1" customWidth="1"/>
    <col min="4" max="4" width="15.44140625" style="10" bestFit="1" customWidth="1"/>
    <col min="5" max="5" width="23" style="13" bestFit="1" customWidth="1"/>
    <col min="6" max="6" width="13.5546875" style="14" bestFit="1" customWidth="1"/>
    <col min="7" max="7" width="14.21875" style="13" customWidth="1"/>
    <col min="8" max="16384" width="9.21875" style="9"/>
  </cols>
  <sheetData>
    <row r="1" spans="1:7" s="1" customFormat="1" ht="13.8" x14ac:dyDescent="0.2">
      <c r="A1" s="92" t="s">
        <v>1272</v>
      </c>
      <c r="B1" s="93"/>
      <c r="C1" s="93"/>
      <c r="D1" s="93"/>
      <c r="E1" s="93"/>
      <c r="F1" s="93"/>
      <c r="G1" s="93"/>
    </row>
    <row r="2" spans="1:7" s="1" customFormat="1" ht="11.4" x14ac:dyDescent="0.2">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727</v>
      </c>
      <c r="D4" s="16" t="s">
        <v>1</v>
      </c>
      <c r="E4" s="15" t="s">
        <v>3</v>
      </c>
      <c r="F4" s="15" t="s">
        <v>4</v>
      </c>
      <c r="G4" s="15" t="s">
        <v>6</v>
      </c>
    </row>
    <row r="5" spans="1:7" x14ac:dyDescent="0.2">
      <c r="A5" s="21" t="s">
        <v>26</v>
      </c>
      <c r="B5" s="22"/>
      <c r="C5" s="22"/>
      <c r="D5" s="23"/>
      <c r="E5" s="24"/>
      <c r="F5" s="25"/>
      <c r="G5" s="24"/>
    </row>
    <row r="6" spans="1:7" x14ac:dyDescent="0.2">
      <c r="A6" s="26" t="s">
        <v>27</v>
      </c>
      <c r="B6" s="27"/>
      <c r="C6" s="27"/>
      <c r="D6" s="28"/>
      <c r="E6" s="29"/>
      <c r="F6" s="30"/>
      <c r="G6" s="29"/>
    </row>
    <row r="7" spans="1:7" x14ac:dyDescent="0.2">
      <c r="A7" s="27" t="s">
        <v>922</v>
      </c>
      <c r="B7" s="27" t="s">
        <v>923</v>
      </c>
      <c r="C7" s="27" t="s">
        <v>33</v>
      </c>
      <c r="D7" s="31">
        <v>39</v>
      </c>
      <c r="E7" s="29">
        <v>485.68104</v>
      </c>
      <c r="F7" s="30">
        <v>12.0179566895251</v>
      </c>
      <c r="G7" s="29">
        <v>4.4347000000000003</v>
      </c>
    </row>
    <row r="8" spans="1:7" x14ac:dyDescent="0.2">
      <c r="A8" s="27" t="s">
        <v>1273</v>
      </c>
      <c r="B8" s="27" t="s">
        <v>1274</v>
      </c>
      <c r="C8" s="27" t="s">
        <v>33</v>
      </c>
      <c r="D8" s="31">
        <v>39</v>
      </c>
      <c r="E8" s="29">
        <v>406.34919000000002</v>
      </c>
      <c r="F8" s="30">
        <v>10.054926101796401</v>
      </c>
      <c r="G8" s="29">
        <v>4.0500999999999996</v>
      </c>
    </row>
    <row r="9" spans="1:7" x14ac:dyDescent="0.2">
      <c r="A9" s="27" t="s">
        <v>1275</v>
      </c>
      <c r="B9" s="27" t="s">
        <v>1276</v>
      </c>
      <c r="C9" s="27" t="s">
        <v>33</v>
      </c>
      <c r="D9" s="31">
        <v>39</v>
      </c>
      <c r="E9" s="29">
        <v>401.68635</v>
      </c>
      <c r="F9" s="30">
        <v>9.9395462443282199</v>
      </c>
      <c r="G9" s="29">
        <v>3.9849999999999999</v>
      </c>
    </row>
    <row r="10" spans="1:7" x14ac:dyDescent="0.2">
      <c r="A10" s="27" t="s">
        <v>888</v>
      </c>
      <c r="B10" s="27" t="s">
        <v>889</v>
      </c>
      <c r="C10" s="27" t="s">
        <v>33</v>
      </c>
      <c r="D10" s="31">
        <v>38</v>
      </c>
      <c r="E10" s="29">
        <v>388.88326000000001</v>
      </c>
      <c r="F10" s="30">
        <v>9.6227395987319806</v>
      </c>
      <c r="G10" s="29">
        <v>3.9449999999999998</v>
      </c>
    </row>
    <row r="11" spans="1:7" x14ac:dyDescent="0.2">
      <c r="A11" s="27" t="s">
        <v>1267</v>
      </c>
      <c r="B11" s="27" t="s">
        <v>1268</v>
      </c>
      <c r="C11" s="27" t="s">
        <v>830</v>
      </c>
      <c r="D11" s="31">
        <v>37</v>
      </c>
      <c r="E11" s="29">
        <v>384.06925000000001</v>
      </c>
      <c r="F11" s="30">
        <v>9.5036191082904793</v>
      </c>
      <c r="G11" s="29">
        <v>4.4050000000000002</v>
      </c>
    </row>
    <row r="12" spans="1:7" x14ac:dyDescent="0.2">
      <c r="A12" s="27" t="s">
        <v>1263</v>
      </c>
      <c r="B12" s="27" t="s">
        <v>1264</v>
      </c>
      <c r="C12" s="27" t="s">
        <v>962</v>
      </c>
      <c r="D12" s="31">
        <v>29</v>
      </c>
      <c r="E12" s="29">
        <v>370.88506000000001</v>
      </c>
      <c r="F12" s="30">
        <v>9.17738231632827</v>
      </c>
      <c r="G12" s="29">
        <v>5.0198999999999998</v>
      </c>
    </row>
    <row r="13" spans="1:7" x14ac:dyDescent="0.2">
      <c r="A13" s="27" t="s">
        <v>860</v>
      </c>
      <c r="B13" s="27" t="s">
        <v>861</v>
      </c>
      <c r="C13" s="27" t="s">
        <v>862</v>
      </c>
      <c r="D13" s="31">
        <v>34</v>
      </c>
      <c r="E13" s="29">
        <v>349.59174000000002</v>
      </c>
      <c r="F13" s="30">
        <v>8.6504887865001301</v>
      </c>
      <c r="G13" s="29">
        <v>5.4398</v>
      </c>
    </row>
    <row r="14" spans="1:7" x14ac:dyDescent="0.2">
      <c r="A14" s="27" t="s">
        <v>930</v>
      </c>
      <c r="B14" s="27" t="s">
        <v>931</v>
      </c>
      <c r="C14" s="27" t="s">
        <v>33</v>
      </c>
      <c r="D14" s="31">
        <v>27</v>
      </c>
      <c r="E14" s="29">
        <v>345.84786000000003</v>
      </c>
      <c r="F14" s="30">
        <v>8.5578481767477292</v>
      </c>
      <c r="G14" s="29">
        <v>4.4048999999999996</v>
      </c>
    </row>
    <row r="15" spans="1:7" x14ac:dyDescent="0.2">
      <c r="A15" s="27" t="s">
        <v>1269</v>
      </c>
      <c r="B15" s="27" t="s">
        <v>1270</v>
      </c>
      <c r="C15" s="27" t="s">
        <v>33</v>
      </c>
      <c r="D15" s="31">
        <v>24</v>
      </c>
      <c r="E15" s="29">
        <v>305.29079999999999</v>
      </c>
      <c r="F15" s="30">
        <v>7.5542821521516901</v>
      </c>
      <c r="G15" s="29">
        <v>5.7195</v>
      </c>
    </row>
    <row r="16" spans="1:7" x14ac:dyDescent="0.2">
      <c r="A16" s="27" t="s">
        <v>912</v>
      </c>
      <c r="B16" s="27" t="s">
        <v>913</v>
      </c>
      <c r="C16" s="27" t="s">
        <v>33</v>
      </c>
      <c r="D16" s="31">
        <v>13</v>
      </c>
      <c r="E16" s="29">
        <v>134.74838</v>
      </c>
      <c r="F16" s="30">
        <v>3.33428744680598</v>
      </c>
      <c r="G16" s="29">
        <v>4.0250000000000004</v>
      </c>
    </row>
    <row r="17" spans="1:9" x14ac:dyDescent="0.2">
      <c r="A17" s="27" t="s">
        <v>867</v>
      </c>
      <c r="B17" s="27" t="s">
        <v>868</v>
      </c>
      <c r="C17" s="27" t="s">
        <v>33</v>
      </c>
      <c r="D17" s="31">
        <v>12</v>
      </c>
      <c r="E17" s="29">
        <v>124.31544</v>
      </c>
      <c r="F17" s="30">
        <v>3.0761290861987498</v>
      </c>
      <c r="G17" s="29">
        <v>4.3049999999999997</v>
      </c>
    </row>
    <row r="18" spans="1:9" x14ac:dyDescent="0.2">
      <c r="A18" s="27" t="s">
        <v>1261</v>
      </c>
      <c r="B18" s="27" t="s">
        <v>1262</v>
      </c>
      <c r="C18" s="27" t="s">
        <v>33</v>
      </c>
      <c r="D18" s="31">
        <v>4</v>
      </c>
      <c r="E18" s="29">
        <v>52.092840000000002</v>
      </c>
      <c r="F18" s="30">
        <v>1.2890136599822</v>
      </c>
      <c r="G18" s="29">
        <v>4.6749999999999998</v>
      </c>
    </row>
    <row r="19" spans="1:9" x14ac:dyDescent="0.2">
      <c r="A19" s="27" t="s">
        <v>1277</v>
      </c>
      <c r="B19" s="27" t="s">
        <v>1278</v>
      </c>
      <c r="C19" s="27" t="s">
        <v>962</v>
      </c>
      <c r="D19" s="31">
        <v>1</v>
      </c>
      <c r="E19" s="29">
        <v>12.724069999999999</v>
      </c>
      <c r="F19" s="30">
        <v>0.31485133159508499</v>
      </c>
      <c r="G19" s="29">
        <v>5.5795000000000003</v>
      </c>
    </row>
    <row r="20" spans="1:9" x14ac:dyDescent="0.2">
      <c r="A20" s="27" t="s">
        <v>863</v>
      </c>
      <c r="B20" s="27" t="s">
        <v>864</v>
      </c>
      <c r="C20" s="27" t="s">
        <v>855</v>
      </c>
      <c r="D20" s="31">
        <v>1</v>
      </c>
      <c r="E20" s="29">
        <v>10.3</v>
      </c>
      <c r="F20" s="30">
        <v>0.25486882070197497</v>
      </c>
      <c r="G20" s="29">
        <v>5.83</v>
      </c>
    </row>
    <row r="21" spans="1:9" x14ac:dyDescent="0.2">
      <c r="A21" s="26" t="s">
        <v>34</v>
      </c>
      <c r="B21" s="26"/>
      <c r="C21" s="26"/>
      <c r="D21" s="32"/>
      <c r="E21" s="33">
        <f>SUM(E6:E20)</f>
        <v>3772.4652800000003</v>
      </c>
      <c r="F21" s="34">
        <f>SUM(F6:F20)</f>
        <v>93.347939519683962</v>
      </c>
      <c r="G21" s="33"/>
      <c r="H21" s="18"/>
      <c r="I21" s="18"/>
    </row>
    <row r="22" spans="1:9" x14ac:dyDescent="0.2">
      <c r="A22" s="27"/>
      <c r="B22" s="27"/>
      <c r="C22" s="27"/>
      <c r="D22" s="28"/>
      <c r="E22" s="29"/>
      <c r="F22" s="30"/>
      <c r="G22" s="29"/>
    </row>
    <row r="23" spans="1:9" x14ac:dyDescent="0.2">
      <c r="A23" s="26" t="s">
        <v>36</v>
      </c>
      <c r="B23" s="26"/>
      <c r="C23" s="26"/>
      <c r="D23" s="32"/>
      <c r="E23" s="33">
        <f>E21</f>
        <v>3772.4652800000003</v>
      </c>
      <c r="F23" s="34">
        <f>F21</f>
        <v>93.347939519683962</v>
      </c>
      <c r="G23" s="33"/>
      <c r="H23" s="18"/>
      <c r="I23" s="18"/>
    </row>
    <row r="24" spans="1:9" x14ac:dyDescent="0.2">
      <c r="A24" s="26"/>
      <c r="B24" s="26"/>
      <c r="C24" s="26"/>
      <c r="D24" s="32"/>
      <c r="E24" s="33"/>
      <c r="F24" s="34"/>
      <c r="G24" s="33"/>
      <c r="H24" s="18"/>
      <c r="I24" s="18"/>
    </row>
    <row r="25" spans="1:9" x14ac:dyDescent="0.2">
      <c r="A25" s="26" t="s">
        <v>38</v>
      </c>
      <c r="B25" s="26"/>
      <c r="C25" s="26"/>
      <c r="D25" s="32"/>
      <c r="E25" s="33">
        <f>E27-(E21)</f>
        <v>268.82936389999986</v>
      </c>
      <c r="F25" s="34">
        <f>F27-(F21)</f>
        <v>6.6520604803160381</v>
      </c>
      <c r="G25" s="33"/>
      <c r="H25" s="18"/>
      <c r="I25" s="18"/>
    </row>
    <row r="26" spans="1:9" x14ac:dyDescent="0.2">
      <c r="A26" s="26"/>
      <c r="B26" s="26"/>
      <c r="C26" s="26"/>
      <c r="D26" s="32"/>
      <c r="E26" s="33"/>
      <c r="F26" s="34"/>
      <c r="G26" s="33"/>
      <c r="H26" s="18"/>
      <c r="I26" s="18"/>
    </row>
    <row r="27" spans="1:9" x14ac:dyDescent="0.2">
      <c r="A27" s="35" t="s">
        <v>37</v>
      </c>
      <c r="B27" s="35"/>
      <c r="C27" s="35"/>
      <c r="D27" s="36"/>
      <c r="E27" s="37">
        <v>4041.2946439000002</v>
      </c>
      <c r="F27" s="38">
        <v>100</v>
      </c>
      <c r="G27" s="37"/>
      <c r="H27" s="18"/>
      <c r="I27" s="18"/>
    </row>
    <row r="29" spans="1:9" x14ac:dyDescent="0.2">
      <c r="A29" s="18" t="s">
        <v>39</v>
      </c>
    </row>
    <row r="31" spans="1:9" x14ac:dyDescent="0.2">
      <c r="A31" s="18" t="s">
        <v>40</v>
      </c>
    </row>
    <row r="32" spans="1:9" x14ac:dyDescent="0.2">
      <c r="A32" s="18" t="s">
        <v>41</v>
      </c>
    </row>
    <row r="33" spans="1:4" x14ac:dyDescent="0.2">
      <c r="A33" s="18" t="s">
        <v>42</v>
      </c>
      <c r="B33" s="18"/>
      <c r="C33" s="39" t="s">
        <v>44</v>
      </c>
      <c r="D33" s="19" t="s">
        <v>43</v>
      </c>
    </row>
    <row r="34" spans="1:4" x14ac:dyDescent="0.2">
      <c r="A34" s="9" t="s">
        <v>65</v>
      </c>
      <c r="C34" s="40">
        <v>11.8629</v>
      </c>
      <c r="D34" s="40">
        <v>12.182499999999999</v>
      </c>
    </row>
    <row r="35" spans="1:4" x14ac:dyDescent="0.2">
      <c r="A35" s="9" t="s">
        <v>1271</v>
      </c>
      <c r="C35" s="40">
        <v>11.012700000000001</v>
      </c>
      <c r="D35" s="40">
        <v>10.4697</v>
      </c>
    </row>
    <row r="36" spans="1:4" x14ac:dyDescent="0.2">
      <c r="A36" s="9" t="s">
        <v>948</v>
      </c>
      <c r="C36" s="40">
        <v>10.5839</v>
      </c>
      <c r="D36" s="40">
        <v>10.464499999999999</v>
      </c>
    </row>
    <row r="37" spans="1:4" x14ac:dyDescent="0.2">
      <c r="A37" s="9" t="s">
        <v>66</v>
      </c>
      <c r="C37" s="40">
        <v>11.9016</v>
      </c>
      <c r="D37" s="40">
        <v>12.234400000000001</v>
      </c>
    </row>
    <row r="38" spans="1:4" x14ac:dyDescent="0.2">
      <c r="A38" s="9" t="s">
        <v>1004</v>
      </c>
      <c r="C38" s="40">
        <v>11.0496</v>
      </c>
      <c r="D38" s="40">
        <v>10.5176</v>
      </c>
    </row>
    <row r="39" spans="1:4" x14ac:dyDescent="0.2">
      <c r="A39" s="9" t="s">
        <v>952</v>
      </c>
      <c r="C39" s="40">
        <v>10.6206</v>
      </c>
      <c r="D39" s="40">
        <v>10.5136</v>
      </c>
    </row>
    <row r="40" spans="1:4" x14ac:dyDescent="0.2">
      <c r="C40" s="40"/>
      <c r="D40" s="40"/>
    </row>
    <row r="41" spans="1:4" x14ac:dyDescent="0.2">
      <c r="A41" s="18" t="s">
        <v>1560</v>
      </c>
    </row>
    <row r="42" spans="1:4" x14ac:dyDescent="0.2">
      <c r="A42" s="94" t="s">
        <v>64</v>
      </c>
      <c r="B42" s="95"/>
      <c r="C42" s="44" t="s">
        <v>1544</v>
      </c>
    </row>
    <row r="43" spans="1:4" x14ac:dyDescent="0.2">
      <c r="A43" s="88" t="s">
        <v>1271</v>
      </c>
      <c r="B43" s="89"/>
      <c r="C43" s="45">
        <v>0.83499999999999996</v>
      </c>
    </row>
    <row r="44" spans="1:4" x14ac:dyDescent="0.2">
      <c r="A44" s="88" t="s">
        <v>948</v>
      </c>
      <c r="B44" s="89"/>
      <c r="C44" s="45">
        <v>0.4</v>
      </c>
    </row>
    <row r="45" spans="1:4" x14ac:dyDescent="0.2">
      <c r="A45" s="88" t="s">
        <v>1004</v>
      </c>
      <c r="B45" s="89"/>
      <c r="C45" s="45">
        <v>0.83499999999999996</v>
      </c>
    </row>
    <row r="46" spans="1:4" x14ac:dyDescent="0.2">
      <c r="A46" s="88" t="s">
        <v>952</v>
      </c>
      <c r="B46" s="89"/>
      <c r="C46" s="45">
        <v>0.4</v>
      </c>
    </row>
    <row r="47" spans="1:4" x14ac:dyDescent="0.2">
      <c r="A47" s="9" t="s">
        <v>1545</v>
      </c>
    </row>
    <row r="48" spans="1:4" x14ac:dyDescent="0.2">
      <c r="A48" s="9" t="s">
        <v>782</v>
      </c>
    </row>
    <row r="50" spans="1:7" x14ac:dyDescent="0.2">
      <c r="A50" s="18" t="s">
        <v>783</v>
      </c>
      <c r="D50" s="42">
        <v>0.81546114912328804</v>
      </c>
      <c r="E50" s="13" t="s">
        <v>46</v>
      </c>
    </row>
    <row r="52" spans="1:7" x14ac:dyDescent="0.2">
      <c r="A52" s="18" t="s">
        <v>717</v>
      </c>
      <c r="D52" s="41" t="s">
        <v>45</v>
      </c>
    </row>
    <row r="54" spans="1:7" ht="14.4" x14ac:dyDescent="0.2">
      <c r="A54" s="90" t="s">
        <v>784</v>
      </c>
      <c r="B54" s="91"/>
      <c r="C54" s="91"/>
      <c r="D54" s="91"/>
      <c r="E54" s="91"/>
      <c r="F54" s="91"/>
      <c r="G54" s="91"/>
    </row>
    <row r="55" spans="1:7" x14ac:dyDescent="0.2">
      <c r="A55" s="50" t="s">
        <v>47</v>
      </c>
    </row>
    <row r="56" spans="1:7" x14ac:dyDescent="0.2">
      <c r="A56" s="50"/>
    </row>
  </sheetData>
  <mergeCells count="7">
    <mergeCell ref="A54:G54"/>
    <mergeCell ref="A1:G1"/>
    <mergeCell ref="A42:B42"/>
    <mergeCell ref="A43:B43"/>
    <mergeCell ref="A44:B44"/>
    <mergeCell ref="A45:B45"/>
    <mergeCell ref="A46:B46"/>
  </mergeCells>
  <conditionalFormatting sqref="F2:F3 F56:F65536 F5:F53">
    <cfRule type="cellIs" dxfId="165" priority="3" stopIfTrue="1" operator="between">
      <formula>0.009</formula>
      <formula>-0.009</formula>
    </cfRule>
  </conditionalFormatting>
  <conditionalFormatting sqref="F55">
    <cfRule type="cellIs" dxfId="164" priority="1" stopIfTrue="1" operator="between">
      <formula>0.009</formula>
      <formula>-0.009</formula>
    </cfRule>
  </conditionalFormatting>
  <hyperlinks>
    <hyperlink ref="A55" r:id="rId1" xr:uid="{00000000-0004-0000-0800-000000000000}"/>
  </hyperlinks>
  <pageMargins left="0.7" right="0.7" top="0.75" bottom="0.75" header="0.3" footer="0.3"/>
  <pageSetup paperSize="9" scale="48" orientation="portrait" r:id="rId2"/>
  <headerFooter>
    <oddFooter>&amp;R&amp;1#&amp;"Calibri"&amp;10&amp;KFF0000|PUBLIC|</oddFooter>
    <evenFooter>&amp;LPUBLIC</evenFooter>
    <firstFooter>&amp;LPUBLIC</firstFooter>
  </headerFooter>
  <colBreaks count="1" manualBreakCount="1">
    <brk id="7" max="1048575"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54"/>
  <sheetViews>
    <sheetView view="pageBreakPreview" zoomScaleNormal="100" zoomScaleSheetLayoutView="100" workbookViewId="0">
      <selection sqref="A1:G1"/>
    </sheetView>
  </sheetViews>
  <sheetFormatPr defaultColWidth="9.21875" defaultRowHeight="10.199999999999999" x14ac:dyDescent="0.2"/>
  <cols>
    <col min="1" max="1" width="38.77734375" style="9" bestFit="1" customWidth="1"/>
    <col min="2" max="2" width="54" style="9" bestFit="1" customWidth="1"/>
    <col min="3" max="3" width="22.44140625" style="9" customWidth="1"/>
    <col min="4" max="4" width="15.44140625" style="10" bestFit="1" customWidth="1"/>
    <col min="5" max="5" width="23" style="13" bestFit="1" customWidth="1"/>
    <col min="6" max="6" width="13.5546875" style="14" bestFit="1" customWidth="1"/>
    <col min="7" max="7" width="14.21875" style="13" customWidth="1"/>
    <col min="8" max="16384" width="9.21875" style="9"/>
  </cols>
  <sheetData>
    <row r="1" spans="1:7" s="1" customFormat="1" ht="13.8" x14ac:dyDescent="0.2">
      <c r="A1" s="92" t="s">
        <v>1279</v>
      </c>
      <c r="B1" s="93"/>
      <c r="C1" s="93"/>
      <c r="D1" s="93"/>
      <c r="E1" s="93"/>
      <c r="F1" s="93"/>
      <c r="G1" s="93"/>
    </row>
    <row r="2" spans="1:7" s="1" customFormat="1" ht="11.4" x14ac:dyDescent="0.2">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727</v>
      </c>
      <c r="D4" s="16" t="s">
        <v>1</v>
      </c>
      <c r="E4" s="15" t="s">
        <v>3</v>
      </c>
      <c r="F4" s="15" t="s">
        <v>4</v>
      </c>
      <c r="G4" s="15" t="s">
        <v>6</v>
      </c>
    </row>
    <row r="5" spans="1:7" x14ac:dyDescent="0.2">
      <c r="A5" s="21" t="s">
        <v>26</v>
      </c>
      <c r="B5" s="22"/>
      <c r="C5" s="22"/>
      <c r="D5" s="23"/>
      <c r="E5" s="24"/>
      <c r="F5" s="25"/>
      <c r="G5" s="24"/>
    </row>
    <row r="6" spans="1:7" x14ac:dyDescent="0.2">
      <c r="A6" s="26" t="s">
        <v>27</v>
      </c>
      <c r="B6" s="27"/>
      <c r="C6" s="27"/>
      <c r="D6" s="28"/>
      <c r="E6" s="29"/>
      <c r="F6" s="30"/>
      <c r="G6" s="29"/>
    </row>
    <row r="7" spans="1:7" x14ac:dyDescent="0.2">
      <c r="A7" s="27" t="s">
        <v>1280</v>
      </c>
      <c r="B7" s="27" t="s">
        <v>1281</v>
      </c>
      <c r="C7" s="27" t="s">
        <v>33</v>
      </c>
      <c r="D7" s="31">
        <v>23</v>
      </c>
      <c r="E7" s="29">
        <v>296.99486000000002</v>
      </c>
      <c r="F7" s="30">
        <v>12.018592734940601</v>
      </c>
      <c r="G7" s="29">
        <v>4.6749999999999998</v>
      </c>
    </row>
    <row r="8" spans="1:7" x14ac:dyDescent="0.2">
      <c r="A8" s="27" t="s">
        <v>1282</v>
      </c>
      <c r="B8" s="27" t="s">
        <v>1283</v>
      </c>
      <c r="C8" s="27" t="s">
        <v>33</v>
      </c>
      <c r="D8" s="31">
        <v>23</v>
      </c>
      <c r="E8" s="29">
        <v>294.39379000000002</v>
      </c>
      <c r="F8" s="30">
        <v>11.9133343442564</v>
      </c>
      <c r="G8" s="29">
        <v>4.7999000000000001</v>
      </c>
    </row>
    <row r="9" spans="1:7" x14ac:dyDescent="0.2">
      <c r="A9" s="27" t="s">
        <v>1267</v>
      </c>
      <c r="B9" s="27" t="s">
        <v>1268</v>
      </c>
      <c r="C9" s="27" t="s">
        <v>830</v>
      </c>
      <c r="D9" s="31">
        <v>24</v>
      </c>
      <c r="E9" s="29">
        <v>249.126</v>
      </c>
      <c r="F9" s="30">
        <v>10.0814671798859</v>
      </c>
      <c r="G9" s="29">
        <v>4.4050000000000002</v>
      </c>
    </row>
    <row r="10" spans="1:7" x14ac:dyDescent="0.2">
      <c r="A10" s="27" t="s">
        <v>1275</v>
      </c>
      <c r="B10" s="27" t="s">
        <v>1276</v>
      </c>
      <c r="C10" s="27" t="s">
        <v>33</v>
      </c>
      <c r="D10" s="31">
        <v>24</v>
      </c>
      <c r="E10" s="29">
        <v>247.19159999999999</v>
      </c>
      <c r="F10" s="30">
        <v>10.003187152458899</v>
      </c>
      <c r="G10" s="29">
        <v>3.9849999999999999</v>
      </c>
    </row>
    <row r="11" spans="1:7" x14ac:dyDescent="0.2">
      <c r="A11" s="27" t="s">
        <v>1273</v>
      </c>
      <c r="B11" s="27" t="s">
        <v>1274</v>
      </c>
      <c r="C11" s="27" t="s">
        <v>33</v>
      </c>
      <c r="D11" s="31">
        <v>23</v>
      </c>
      <c r="E11" s="29">
        <v>239.64183</v>
      </c>
      <c r="F11" s="30">
        <v>9.6976680237020307</v>
      </c>
      <c r="G11" s="29">
        <v>4.0500999999999996</v>
      </c>
    </row>
    <row r="12" spans="1:7" x14ac:dyDescent="0.2">
      <c r="A12" s="27" t="s">
        <v>888</v>
      </c>
      <c r="B12" s="27" t="s">
        <v>889</v>
      </c>
      <c r="C12" s="27" t="s">
        <v>33</v>
      </c>
      <c r="D12" s="31">
        <v>23</v>
      </c>
      <c r="E12" s="29">
        <v>235.37671</v>
      </c>
      <c r="F12" s="30">
        <v>9.52506995164903</v>
      </c>
      <c r="G12" s="29">
        <v>3.9449999999999998</v>
      </c>
    </row>
    <row r="13" spans="1:7" x14ac:dyDescent="0.2">
      <c r="A13" s="27" t="s">
        <v>1277</v>
      </c>
      <c r="B13" s="27" t="s">
        <v>1278</v>
      </c>
      <c r="C13" s="27" t="s">
        <v>962</v>
      </c>
      <c r="D13" s="31">
        <v>18</v>
      </c>
      <c r="E13" s="29">
        <v>229.03326000000001</v>
      </c>
      <c r="F13" s="30">
        <v>9.2683673875559691</v>
      </c>
      <c r="G13" s="29">
        <v>5.5795000000000003</v>
      </c>
    </row>
    <row r="14" spans="1:7" x14ac:dyDescent="0.2">
      <c r="A14" s="27" t="s">
        <v>860</v>
      </c>
      <c r="B14" s="27" t="s">
        <v>861</v>
      </c>
      <c r="C14" s="27" t="s">
        <v>862</v>
      </c>
      <c r="D14" s="31">
        <v>21</v>
      </c>
      <c r="E14" s="29">
        <v>215.92430999999999</v>
      </c>
      <c r="F14" s="30">
        <v>8.7378830174470092</v>
      </c>
      <c r="G14" s="29">
        <v>5.4398</v>
      </c>
    </row>
    <row r="15" spans="1:7" x14ac:dyDescent="0.2">
      <c r="A15" s="27" t="s">
        <v>1269</v>
      </c>
      <c r="B15" s="27" t="s">
        <v>1270</v>
      </c>
      <c r="C15" s="27" t="s">
        <v>33</v>
      </c>
      <c r="D15" s="31">
        <v>14</v>
      </c>
      <c r="E15" s="29">
        <v>178.08629999999999</v>
      </c>
      <c r="F15" s="30">
        <v>7.2066793054009199</v>
      </c>
      <c r="G15" s="29">
        <v>5.7195</v>
      </c>
    </row>
    <row r="16" spans="1:7" x14ac:dyDescent="0.2">
      <c r="A16" s="27" t="s">
        <v>867</v>
      </c>
      <c r="B16" s="27" t="s">
        <v>868</v>
      </c>
      <c r="C16" s="27" t="s">
        <v>33</v>
      </c>
      <c r="D16" s="31">
        <v>6</v>
      </c>
      <c r="E16" s="29">
        <v>62.157719999999998</v>
      </c>
      <c r="F16" s="30">
        <v>2.5153577473107398</v>
      </c>
      <c r="G16" s="29">
        <v>4.3049999999999997</v>
      </c>
    </row>
    <row r="17" spans="1:9" x14ac:dyDescent="0.2">
      <c r="A17" s="27" t="s">
        <v>912</v>
      </c>
      <c r="B17" s="27" t="s">
        <v>913</v>
      </c>
      <c r="C17" s="27" t="s">
        <v>33</v>
      </c>
      <c r="D17" s="31">
        <v>3</v>
      </c>
      <c r="E17" s="29">
        <v>31.095780000000001</v>
      </c>
      <c r="F17" s="30">
        <v>1.2583635810913001</v>
      </c>
      <c r="G17" s="29">
        <v>4.0250000000000004</v>
      </c>
    </row>
    <row r="18" spans="1:9" x14ac:dyDescent="0.2">
      <c r="A18" s="27" t="s">
        <v>871</v>
      </c>
      <c r="B18" s="27" t="s">
        <v>872</v>
      </c>
      <c r="C18" s="27" t="s">
        <v>33</v>
      </c>
      <c r="D18" s="31">
        <v>2</v>
      </c>
      <c r="E18" s="29">
        <v>20.66488</v>
      </c>
      <c r="F18" s="30">
        <v>0.83625277769594497</v>
      </c>
      <c r="G18" s="29">
        <v>4</v>
      </c>
    </row>
    <row r="19" spans="1:9" x14ac:dyDescent="0.2">
      <c r="A19" s="27" t="s">
        <v>1284</v>
      </c>
      <c r="B19" s="27" t="s">
        <v>1285</v>
      </c>
      <c r="C19" s="27" t="s">
        <v>830</v>
      </c>
      <c r="D19" s="31">
        <v>1</v>
      </c>
      <c r="E19" s="29">
        <v>10.536429999999999</v>
      </c>
      <c r="F19" s="30">
        <v>0.42638132205456297</v>
      </c>
      <c r="G19" s="29">
        <v>5.0498000000000003</v>
      </c>
    </row>
    <row r="20" spans="1:9" x14ac:dyDescent="0.2">
      <c r="A20" s="26" t="s">
        <v>34</v>
      </c>
      <c r="B20" s="26"/>
      <c r="C20" s="26"/>
      <c r="D20" s="32"/>
      <c r="E20" s="33">
        <f>SUM(E6:E19)</f>
        <v>2310.2234700000004</v>
      </c>
      <c r="F20" s="34">
        <f>SUM(F6:F19)</f>
        <v>93.488604525449318</v>
      </c>
      <c r="G20" s="33"/>
      <c r="H20" s="18"/>
      <c r="I20" s="18"/>
    </row>
    <row r="21" spans="1:9" x14ac:dyDescent="0.2">
      <c r="A21" s="27"/>
      <c r="B21" s="27"/>
      <c r="C21" s="27"/>
      <c r="D21" s="28"/>
      <c r="E21" s="29"/>
      <c r="F21" s="30"/>
      <c r="G21" s="29"/>
    </row>
    <row r="22" spans="1:9" x14ac:dyDescent="0.2">
      <c r="A22" s="26" t="s">
        <v>36</v>
      </c>
      <c r="B22" s="26"/>
      <c r="C22" s="26"/>
      <c r="D22" s="32"/>
      <c r="E22" s="33">
        <f>E20</f>
        <v>2310.2234700000004</v>
      </c>
      <c r="F22" s="34">
        <f>F20</f>
        <v>93.488604525449318</v>
      </c>
      <c r="G22" s="33"/>
      <c r="H22" s="18"/>
      <c r="I22" s="18"/>
    </row>
    <row r="23" spans="1:9" x14ac:dyDescent="0.2">
      <c r="A23" s="26"/>
      <c r="B23" s="26"/>
      <c r="C23" s="26"/>
      <c r="D23" s="32"/>
      <c r="E23" s="33"/>
      <c r="F23" s="34"/>
      <c r="G23" s="33"/>
      <c r="H23" s="18"/>
      <c r="I23" s="18"/>
    </row>
    <row r="24" spans="1:9" x14ac:dyDescent="0.2">
      <c r="A24" s="26" t="s">
        <v>38</v>
      </c>
      <c r="B24" s="26"/>
      <c r="C24" s="26"/>
      <c r="D24" s="32"/>
      <c r="E24" s="33">
        <f>E26-(E20)</f>
        <v>160.90494369999942</v>
      </c>
      <c r="F24" s="34">
        <f>F26-(F20)</f>
        <v>6.5113954745506817</v>
      </c>
      <c r="G24" s="33"/>
      <c r="H24" s="18"/>
      <c r="I24" s="18"/>
    </row>
    <row r="25" spans="1:9" x14ac:dyDescent="0.2">
      <c r="A25" s="26"/>
      <c r="B25" s="26"/>
      <c r="C25" s="26"/>
      <c r="D25" s="32"/>
      <c r="E25" s="33"/>
      <c r="F25" s="34"/>
      <c r="G25" s="33"/>
      <c r="H25" s="18"/>
      <c r="I25" s="18"/>
    </row>
    <row r="26" spans="1:9" x14ac:dyDescent="0.2">
      <c r="A26" s="35" t="s">
        <v>37</v>
      </c>
      <c r="B26" s="35"/>
      <c r="C26" s="35"/>
      <c r="D26" s="36"/>
      <c r="E26" s="37">
        <v>2471.1284136999998</v>
      </c>
      <c r="F26" s="38">
        <v>100</v>
      </c>
      <c r="G26" s="37"/>
      <c r="H26" s="18"/>
      <c r="I26" s="18"/>
    </row>
    <row r="28" spans="1:9" x14ac:dyDescent="0.2">
      <c r="A28" s="18" t="s">
        <v>39</v>
      </c>
    </row>
    <row r="30" spans="1:9" x14ac:dyDescent="0.2">
      <c r="A30" s="18" t="s">
        <v>40</v>
      </c>
    </row>
    <row r="31" spans="1:9" x14ac:dyDescent="0.2">
      <c r="A31" s="18" t="s">
        <v>41</v>
      </c>
    </row>
    <row r="32" spans="1:9" x14ac:dyDescent="0.2">
      <c r="A32" s="18" t="s">
        <v>42</v>
      </c>
      <c r="B32" s="18"/>
      <c r="C32" s="39" t="s">
        <v>44</v>
      </c>
      <c r="D32" s="19" t="s">
        <v>43</v>
      </c>
    </row>
    <row r="33" spans="1:4" x14ac:dyDescent="0.2">
      <c r="A33" s="9" t="s">
        <v>65</v>
      </c>
      <c r="C33" s="40">
        <v>11.9231</v>
      </c>
      <c r="D33" s="40">
        <v>12.256399999999999</v>
      </c>
    </row>
    <row r="34" spans="1:4" x14ac:dyDescent="0.2">
      <c r="A34" s="9" t="s">
        <v>1003</v>
      </c>
      <c r="C34" s="40">
        <v>11.1226</v>
      </c>
      <c r="D34" s="40">
        <v>10.545</v>
      </c>
    </row>
    <row r="35" spans="1:4" x14ac:dyDescent="0.2">
      <c r="A35" s="9" t="s">
        <v>948</v>
      </c>
      <c r="C35" s="40">
        <v>10.652100000000001</v>
      </c>
      <c r="D35" s="40">
        <v>10.5389</v>
      </c>
    </row>
    <row r="36" spans="1:4" x14ac:dyDescent="0.2">
      <c r="A36" s="9" t="s">
        <v>66</v>
      </c>
      <c r="C36" s="40">
        <v>11.9734</v>
      </c>
      <c r="D36" s="40">
        <v>12.323499999999999</v>
      </c>
    </row>
    <row r="37" spans="1:4" x14ac:dyDescent="0.2">
      <c r="A37" s="9" t="s">
        <v>1004</v>
      </c>
      <c r="C37" s="40">
        <v>11.1717</v>
      </c>
      <c r="D37" s="40">
        <v>10.609500000000001</v>
      </c>
    </row>
    <row r="38" spans="1:4" x14ac:dyDescent="0.2">
      <c r="A38" s="9" t="s">
        <v>952</v>
      </c>
      <c r="C38" s="40">
        <v>10.6999</v>
      </c>
      <c r="D38" s="40">
        <v>10.6014</v>
      </c>
    </row>
    <row r="39" spans="1:4" x14ac:dyDescent="0.2">
      <c r="C39" s="40"/>
      <c r="D39" s="40"/>
    </row>
    <row r="40" spans="1:4" x14ac:dyDescent="0.2">
      <c r="A40" s="18" t="s">
        <v>1560</v>
      </c>
    </row>
    <row r="41" spans="1:4" x14ac:dyDescent="0.2">
      <c r="A41" s="94" t="s">
        <v>64</v>
      </c>
      <c r="B41" s="95"/>
      <c r="C41" s="44" t="s">
        <v>1544</v>
      </c>
    </row>
    <row r="42" spans="1:4" x14ac:dyDescent="0.2">
      <c r="A42" s="88" t="s">
        <v>1003</v>
      </c>
      <c r="B42" s="89"/>
      <c r="C42" s="45">
        <v>0.88</v>
      </c>
    </row>
    <row r="43" spans="1:4" x14ac:dyDescent="0.2">
      <c r="A43" s="88" t="s">
        <v>948</v>
      </c>
      <c r="B43" s="89"/>
      <c r="C43" s="45">
        <v>0.40500000000000003</v>
      </c>
    </row>
    <row r="44" spans="1:4" x14ac:dyDescent="0.2">
      <c r="A44" s="88" t="s">
        <v>1004</v>
      </c>
      <c r="B44" s="89"/>
      <c r="C44" s="45">
        <v>0.88</v>
      </c>
    </row>
    <row r="45" spans="1:4" x14ac:dyDescent="0.2">
      <c r="A45" s="88" t="s">
        <v>952</v>
      </c>
      <c r="B45" s="89"/>
      <c r="C45" s="45">
        <v>0.40500000000000003</v>
      </c>
    </row>
    <row r="46" spans="1:4" x14ac:dyDescent="0.2">
      <c r="A46" s="9" t="s">
        <v>1545</v>
      </c>
    </row>
    <row r="47" spans="1:4" x14ac:dyDescent="0.2">
      <c r="A47" s="9" t="s">
        <v>782</v>
      </c>
    </row>
    <row r="49" spans="1:7" x14ac:dyDescent="0.2">
      <c r="A49" s="18" t="s">
        <v>783</v>
      </c>
      <c r="D49" s="42">
        <v>0.861509428191781</v>
      </c>
      <c r="E49" s="13" t="s">
        <v>46</v>
      </c>
    </row>
    <row r="51" spans="1:7" x14ac:dyDescent="0.2">
      <c r="A51" s="18" t="s">
        <v>717</v>
      </c>
      <c r="D51" s="41" t="s">
        <v>45</v>
      </c>
    </row>
    <row r="53" spans="1:7" ht="14.4" x14ac:dyDescent="0.2">
      <c r="A53" s="90" t="s">
        <v>784</v>
      </c>
      <c r="B53" s="91"/>
      <c r="C53" s="91"/>
      <c r="D53" s="91"/>
      <c r="E53" s="91"/>
      <c r="F53" s="91"/>
      <c r="G53" s="91"/>
    </row>
    <row r="54" spans="1:7" x14ac:dyDescent="0.2">
      <c r="A54" s="50" t="s">
        <v>47</v>
      </c>
    </row>
  </sheetData>
  <mergeCells count="7">
    <mergeCell ref="A53:G53"/>
    <mergeCell ref="A1:G1"/>
    <mergeCell ref="A41:B41"/>
    <mergeCell ref="A42:B42"/>
    <mergeCell ref="A43:B43"/>
    <mergeCell ref="A44:B44"/>
    <mergeCell ref="A45:B45"/>
  </mergeCells>
  <conditionalFormatting sqref="F2:F3 F56:F65536 F5:F52">
    <cfRule type="cellIs" dxfId="163" priority="3" stopIfTrue="1" operator="between">
      <formula>0.009</formula>
      <formula>-0.009</formula>
    </cfRule>
  </conditionalFormatting>
  <conditionalFormatting sqref="F55">
    <cfRule type="cellIs" dxfId="162" priority="2" stopIfTrue="1" operator="between">
      <formula>0.009</formula>
      <formula>-0.009</formula>
    </cfRule>
  </conditionalFormatting>
  <conditionalFormatting sqref="F54">
    <cfRule type="cellIs" dxfId="161" priority="1" stopIfTrue="1" operator="between">
      <formula>0.009</formula>
      <formula>-0.009</formula>
    </cfRule>
  </conditionalFormatting>
  <hyperlinks>
    <hyperlink ref="A54" r:id="rId1" xr:uid="{00000000-0004-0000-0900-000000000000}"/>
  </hyperlinks>
  <pageMargins left="0.7" right="0.7" top="0.75" bottom="0.75" header="0.3" footer="0.3"/>
  <pageSetup paperSize="9" scale="48" orientation="portrait" r:id="rId2"/>
  <headerFooter>
    <oddFooter>&amp;R&amp;1#&amp;"Calibri"&amp;10&amp;KFF0000|PUBLIC|</oddFooter>
    <evenFooter>&amp;LPUBLIC</evenFooter>
    <firstFooter>&amp;LPUBLIC</firstFooter>
  </headerFooter>
  <colBreaks count="1" manualBreakCount="1">
    <brk id="7"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4"/>
  <sheetViews>
    <sheetView view="pageBreakPreview" zoomScaleNormal="100" zoomScaleSheetLayoutView="100" workbookViewId="0">
      <selection sqref="A1:G1"/>
    </sheetView>
  </sheetViews>
  <sheetFormatPr defaultColWidth="9.21875" defaultRowHeight="10.199999999999999" x14ac:dyDescent="0.2"/>
  <cols>
    <col min="1" max="1" width="38.77734375" style="9" bestFit="1" customWidth="1"/>
    <col min="2" max="2" width="54" style="9" bestFit="1" customWidth="1"/>
    <col min="3" max="3" width="22.44140625" style="9" customWidth="1"/>
    <col min="4" max="4" width="15.44140625" style="10" bestFit="1" customWidth="1"/>
    <col min="5" max="5" width="23" style="13" bestFit="1" customWidth="1"/>
    <col min="6" max="6" width="13.5546875" style="14" bestFit="1" customWidth="1"/>
    <col min="7" max="7" width="14.21875" style="13" customWidth="1"/>
    <col min="8" max="16384" width="9.21875" style="9"/>
  </cols>
  <sheetData>
    <row r="1" spans="1:7" s="1" customFormat="1" ht="13.8" x14ac:dyDescent="0.2">
      <c r="A1" s="92" t="s">
        <v>1286</v>
      </c>
      <c r="B1" s="93"/>
      <c r="C1" s="93"/>
      <c r="D1" s="93"/>
      <c r="E1" s="93"/>
      <c r="F1" s="93"/>
      <c r="G1" s="93"/>
    </row>
    <row r="2" spans="1:7" s="1" customFormat="1" ht="11.4" x14ac:dyDescent="0.2">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727</v>
      </c>
      <c r="D4" s="16" t="s">
        <v>1</v>
      </c>
      <c r="E4" s="15" t="s">
        <v>3</v>
      </c>
      <c r="F4" s="15" t="s">
        <v>4</v>
      </c>
      <c r="G4" s="15" t="s">
        <v>6</v>
      </c>
    </row>
    <row r="5" spans="1:7" x14ac:dyDescent="0.2">
      <c r="A5" s="21" t="s">
        <v>26</v>
      </c>
      <c r="B5" s="22"/>
      <c r="C5" s="22"/>
      <c r="D5" s="23"/>
      <c r="E5" s="24"/>
      <c r="F5" s="25"/>
      <c r="G5" s="24"/>
    </row>
    <row r="6" spans="1:7" x14ac:dyDescent="0.2">
      <c r="A6" s="26" t="s">
        <v>27</v>
      </c>
      <c r="B6" s="27"/>
      <c r="C6" s="27"/>
      <c r="D6" s="28"/>
      <c r="E6" s="29"/>
      <c r="F6" s="30"/>
      <c r="G6" s="29"/>
    </row>
    <row r="7" spans="1:7" x14ac:dyDescent="0.2">
      <c r="A7" s="27" t="s">
        <v>1280</v>
      </c>
      <c r="B7" s="27" t="s">
        <v>1281</v>
      </c>
      <c r="C7" s="27" t="s">
        <v>33</v>
      </c>
      <c r="D7" s="31">
        <v>68</v>
      </c>
      <c r="E7" s="29">
        <v>878.07176000000004</v>
      </c>
      <c r="F7" s="30">
        <v>11.9042542583455</v>
      </c>
      <c r="G7" s="29">
        <v>4.6749999999999998</v>
      </c>
    </row>
    <row r="8" spans="1:7" x14ac:dyDescent="0.2">
      <c r="A8" s="27" t="s">
        <v>1267</v>
      </c>
      <c r="B8" s="27" t="s">
        <v>1268</v>
      </c>
      <c r="C8" s="27" t="s">
        <v>830</v>
      </c>
      <c r="D8" s="31">
        <v>71</v>
      </c>
      <c r="E8" s="29">
        <v>736.99775</v>
      </c>
      <c r="F8" s="30">
        <v>9.9916760833175502</v>
      </c>
      <c r="G8" s="29">
        <v>4.4050000000000002</v>
      </c>
    </row>
    <row r="9" spans="1:7" x14ac:dyDescent="0.2">
      <c r="A9" s="27" t="s">
        <v>1275</v>
      </c>
      <c r="B9" s="27" t="s">
        <v>1276</v>
      </c>
      <c r="C9" s="27" t="s">
        <v>33</v>
      </c>
      <c r="D9" s="31">
        <v>71</v>
      </c>
      <c r="E9" s="29">
        <v>731.27515000000005</v>
      </c>
      <c r="F9" s="30">
        <v>9.91409326090813</v>
      </c>
      <c r="G9" s="29">
        <v>3.9849999999999999</v>
      </c>
    </row>
    <row r="10" spans="1:7" x14ac:dyDescent="0.2">
      <c r="A10" s="27" t="s">
        <v>1273</v>
      </c>
      <c r="B10" s="27" t="s">
        <v>1274</v>
      </c>
      <c r="C10" s="27" t="s">
        <v>33</v>
      </c>
      <c r="D10" s="31">
        <v>70</v>
      </c>
      <c r="E10" s="29">
        <v>729.34469999999999</v>
      </c>
      <c r="F10" s="30">
        <v>9.8879216327111106</v>
      </c>
      <c r="G10" s="29">
        <v>4.0500999999999996</v>
      </c>
    </row>
    <row r="11" spans="1:7" x14ac:dyDescent="0.2">
      <c r="A11" s="27" t="s">
        <v>1287</v>
      </c>
      <c r="B11" s="27" t="s">
        <v>1288</v>
      </c>
      <c r="C11" s="27" t="s">
        <v>885</v>
      </c>
      <c r="D11" s="31">
        <v>70000</v>
      </c>
      <c r="E11" s="29">
        <v>725.33929999999998</v>
      </c>
      <c r="F11" s="30">
        <v>9.8336193510771093</v>
      </c>
      <c r="G11" s="29">
        <v>5.4097</v>
      </c>
    </row>
    <row r="12" spans="1:7" x14ac:dyDescent="0.2">
      <c r="A12" s="27" t="s">
        <v>860</v>
      </c>
      <c r="B12" s="27" t="s">
        <v>861</v>
      </c>
      <c r="C12" s="27" t="s">
        <v>862</v>
      </c>
      <c r="D12" s="31">
        <v>70</v>
      </c>
      <c r="E12" s="29">
        <v>719.74770000000001</v>
      </c>
      <c r="F12" s="30">
        <v>9.7578125307883408</v>
      </c>
      <c r="G12" s="29">
        <v>5.4398</v>
      </c>
    </row>
    <row r="13" spans="1:7" x14ac:dyDescent="0.2">
      <c r="A13" s="27" t="s">
        <v>888</v>
      </c>
      <c r="B13" s="27" t="s">
        <v>889</v>
      </c>
      <c r="C13" s="27" t="s">
        <v>33</v>
      </c>
      <c r="D13" s="31">
        <v>69</v>
      </c>
      <c r="E13" s="29">
        <v>706.13013000000001</v>
      </c>
      <c r="F13" s="30">
        <v>9.5731954834745601</v>
      </c>
      <c r="G13" s="29">
        <v>3.9449999999999998</v>
      </c>
    </row>
    <row r="14" spans="1:7" x14ac:dyDescent="0.2">
      <c r="A14" s="27" t="s">
        <v>934</v>
      </c>
      <c r="B14" s="27" t="s">
        <v>935</v>
      </c>
      <c r="C14" s="27" t="s">
        <v>830</v>
      </c>
      <c r="D14" s="31">
        <v>47</v>
      </c>
      <c r="E14" s="29">
        <v>609.42643999999996</v>
      </c>
      <c r="F14" s="30">
        <v>8.2621576322171393</v>
      </c>
      <c r="G14" s="29">
        <v>5.39</v>
      </c>
    </row>
    <row r="15" spans="1:7" x14ac:dyDescent="0.2">
      <c r="A15" s="27" t="s">
        <v>1284</v>
      </c>
      <c r="B15" s="27" t="s">
        <v>1285</v>
      </c>
      <c r="C15" s="27" t="s">
        <v>830</v>
      </c>
      <c r="D15" s="31">
        <v>31</v>
      </c>
      <c r="E15" s="29">
        <v>326.62932999999998</v>
      </c>
      <c r="F15" s="30">
        <v>4.4282013950124499</v>
      </c>
      <c r="G15" s="29">
        <v>5.0498000000000003</v>
      </c>
    </row>
    <row r="16" spans="1:7" x14ac:dyDescent="0.2">
      <c r="A16" s="27" t="s">
        <v>1277</v>
      </c>
      <c r="B16" s="27" t="s">
        <v>1278</v>
      </c>
      <c r="C16" s="27" t="s">
        <v>962</v>
      </c>
      <c r="D16" s="31">
        <v>20</v>
      </c>
      <c r="E16" s="29">
        <v>254.48140000000001</v>
      </c>
      <c r="F16" s="30">
        <v>3.4500725653900099</v>
      </c>
      <c r="G16" s="29">
        <v>5.5795000000000003</v>
      </c>
    </row>
    <row r="17" spans="1:9" x14ac:dyDescent="0.2">
      <c r="A17" s="27" t="s">
        <v>867</v>
      </c>
      <c r="B17" s="27" t="s">
        <v>868</v>
      </c>
      <c r="C17" s="27" t="s">
        <v>33</v>
      </c>
      <c r="D17" s="31">
        <v>22</v>
      </c>
      <c r="E17" s="29">
        <v>227.91164000000001</v>
      </c>
      <c r="F17" s="30">
        <v>3.0898592058085401</v>
      </c>
      <c r="G17" s="29">
        <v>4.3049999999999997</v>
      </c>
    </row>
    <row r="18" spans="1:9" x14ac:dyDescent="0.2">
      <c r="A18" s="27" t="s">
        <v>833</v>
      </c>
      <c r="B18" s="27" t="s">
        <v>834</v>
      </c>
      <c r="C18" s="27" t="s">
        <v>835</v>
      </c>
      <c r="D18" s="31">
        <v>11</v>
      </c>
      <c r="E18" s="29">
        <v>115.85079</v>
      </c>
      <c r="F18" s="30">
        <v>1.57062021922922</v>
      </c>
      <c r="G18" s="29">
        <v>4</v>
      </c>
    </row>
    <row r="19" spans="1:9" x14ac:dyDescent="0.2">
      <c r="A19" s="27" t="s">
        <v>1265</v>
      </c>
      <c r="B19" s="27" t="s">
        <v>1266</v>
      </c>
      <c r="C19" s="27" t="s">
        <v>33</v>
      </c>
      <c r="D19" s="31">
        <v>2</v>
      </c>
      <c r="E19" s="29">
        <v>25.61018</v>
      </c>
      <c r="F19" s="30">
        <v>0.34720407626136901</v>
      </c>
      <c r="G19" s="29">
        <v>4.7999000000000001</v>
      </c>
    </row>
    <row r="20" spans="1:9" x14ac:dyDescent="0.2">
      <c r="A20" s="27" t="s">
        <v>912</v>
      </c>
      <c r="B20" s="27" t="s">
        <v>913</v>
      </c>
      <c r="C20" s="27" t="s">
        <v>33</v>
      </c>
      <c r="D20" s="31">
        <v>1</v>
      </c>
      <c r="E20" s="29">
        <v>10.365259999999999</v>
      </c>
      <c r="F20" s="30">
        <v>0.14052460871063499</v>
      </c>
      <c r="G20" s="29">
        <v>4.0250000000000004</v>
      </c>
    </row>
    <row r="21" spans="1:9" x14ac:dyDescent="0.2">
      <c r="A21" s="26" t="s">
        <v>34</v>
      </c>
      <c r="B21" s="26"/>
      <c r="C21" s="26"/>
      <c r="D21" s="32"/>
      <c r="E21" s="33">
        <f>SUM(E6:E20)</f>
        <v>6797.1815300000007</v>
      </c>
      <c r="F21" s="34">
        <f>SUM(F6:F20)</f>
        <v>92.151212303251668</v>
      </c>
      <c r="G21" s="33"/>
      <c r="H21" s="18"/>
      <c r="I21" s="18"/>
    </row>
    <row r="22" spans="1:9" x14ac:dyDescent="0.2">
      <c r="A22" s="27"/>
      <c r="B22" s="27"/>
      <c r="C22" s="27"/>
      <c r="D22" s="28"/>
      <c r="E22" s="29"/>
      <c r="F22" s="30"/>
      <c r="G22" s="29"/>
    </row>
    <row r="23" spans="1:9" x14ac:dyDescent="0.2">
      <c r="A23" s="26" t="s">
        <v>36</v>
      </c>
      <c r="B23" s="26"/>
      <c r="C23" s="26"/>
      <c r="D23" s="32"/>
      <c r="E23" s="33">
        <f>E21</f>
        <v>6797.1815300000007</v>
      </c>
      <c r="F23" s="34">
        <f>F21</f>
        <v>92.151212303251668</v>
      </c>
      <c r="G23" s="33"/>
      <c r="H23" s="18"/>
      <c r="I23" s="18"/>
    </row>
    <row r="24" spans="1:9" x14ac:dyDescent="0.2">
      <c r="A24" s="26"/>
      <c r="B24" s="26"/>
      <c r="C24" s="26"/>
      <c r="D24" s="32"/>
      <c r="E24" s="33"/>
      <c r="F24" s="34"/>
      <c r="G24" s="33"/>
      <c r="H24" s="18"/>
      <c r="I24" s="18"/>
    </row>
    <row r="25" spans="1:9" x14ac:dyDescent="0.2">
      <c r="A25" s="26" t="s">
        <v>38</v>
      </c>
      <c r="B25" s="26"/>
      <c r="C25" s="26"/>
      <c r="D25" s="32"/>
      <c r="E25" s="33">
        <f>E27-(E21)</f>
        <v>578.93578859999889</v>
      </c>
      <c r="F25" s="34">
        <f>F27-(F21)</f>
        <v>7.8487876967483317</v>
      </c>
      <c r="G25" s="33"/>
      <c r="H25" s="18"/>
      <c r="I25" s="18"/>
    </row>
    <row r="26" spans="1:9" x14ac:dyDescent="0.2">
      <c r="A26" s="26"/>
      <c r="B26" s="26"/>
      <c r="C26" s="26"/>
      <c r="D26" s="32"/>
      <c r="E26" s="33"/>
      <c r="F26" s="34"/>
      <c r="G26" s="33"/>
      <c r="H26" s="18"/>
      <c r="I26" s="18"/>
    </row>
    <row r="27" spans="1:9" x14ac:dyDescent="0.2">
      <c r="A27" s="35" t="s">
        <v>37</v>
      </c>
      <c r="B27" s="35"/>
      <c r="C27" s="35"/>
      <c r="D27" s="36"/>
      <c r="E27" s="37">
        <v>7376.1173185999996</v>
      </c>
      <c r="F27" s="38">
        <v>100</v>
      </c>
      <c r="G27" s="37"/>
      <c r="H27" s="18"/>
      <c r="I27" s="18"/>
    </row>
    <row r="29" spans="1:9" x14ac:dyDescent="0.2">
      <c r="A29" s="18" t="s">
        <v>39</v>
      </c>
    </row>
    <row r="31" spans="1:9" x14ac:dyDescent="0.2">
      <c r="A31" s="18" t="s">
        <v>40</v>
      </c>
    </row>
    <row r="32" spans="1:9" x14ac:dyDescent="0.2">
      <c r="A32" s="18" t="s">
        <v>41</v>
      </c>
    </row>
    <row r="33" spans="1:5" x14ac:dyDescent="0.2">
      <c r="A33" s="18" t="s">
        <v>42</v>
      </c>
      <c r="B33" s="18"/>
      <c r="C33" s="39" t="s">
        <v>44</v>
      </c>
      <c r="D33" s="19" t="s">
        <v>43</v>
      </c>
    </row>
    <row r="34" spans="1:5" x14ac:dyDescent="0.2">
      <c r="A34" s="9" t="s">
        <v>65</v>
      </c>
      <c r="C34" s="40">
        <v>11.9375</v>
      </c>
      <c r="D34" s="40">
        <v>12.278</v>
      </c>
    </row>
    <row r="35" spans="1:5" x14ac:dyDescent="0.2">
      <c r="A35" s="9" t="s">
        <v>1003</v>
      </c>
      <c r="C35" s="40">
        <v>11.1066</v>
      </c>
      <c r="D35" s="40">
        <v>10.545199999999999</v>
      </c>
    </row>
    <row r="36" spans="1:5" x14ac:dyDescent="0.2">
      <c r="A36" s="9" t="s">
        <v>948</v>
      </c>
      <c r="C36" s="40">
        <v>10.645200000000001</v>
      </c>
      <c r="D36" s="40">
        <v>10.538</v>
      </c>
    </row>
    <row r="37" spans="1:5" x14ac:dyDescent="0.2">
      <c r="A37" s="9" t="s">
        <v>66</v>
      </c>
      <c r="C37" s="40">
        <v>11.989000000000001</v>
      </c>
      <c r="D37" s="40">
        <v>12.346399999999999</v>
      </c>
    </row>
    <row r="38" spans="1:5" x14ac:dyDescent="0.2">
      <c r="A38" s="9" t="s">
        <v>1004</v>
      </c>
      <c r="C38" s="40">
        <v>11.1568</v>
      </c>
      <c r="D38" s="40">
        <v>10.6107</v>
      </c>
    </row>
    <row r="39" spans="1:5" x14ac:dyDescent="0.2">
      <c r="C39" s="40"/>
      <c r="D39" s="40"/>
    </row>
    <row r="40" spans="1:5" x14ac:dyDescent="0.2">
      <c r="A40" s="18" t="s">
        <v>1560</v>
      </c>
    </row>
    <row r="41" spans="1:5" x14ac:dyDescent="0.2">
      <c r="A41" s="94" t="s">
        <v>64</v>
      </c>
      <c r="B41" s="95"/>
      <c r="C41" s="44" t="s">
        <v>1544</v>
      </c>
    </row>
    <row r="42" spans="1:5" x14ac:dyDescent="0.2">
      <c r="A42" s="88" t="s">
        <v>1003</v>
      </c>
      <c r="B42" s="89"/>
      <c r="C42" s="45">
        <v>0.87</v>
      </c>
    </row>
    <row r="43" spans="1:5" x14ac:dyDescent="0.2">
      <c r="A43" s="88" t="s">
        <v>948</v>
      </c>
      <c r="B43" s="89"/>
      <c r="C43" s="45">
        <v>0.40500000000000003</v>
      </c>
    </row>
    <row r="44" spans="1:5" x14ac:dyDescent="0.2">
      <c r="A44" s="88" t="s">
        <v>1004</v>
      </c>
      <c r="B44" s="89"/>
      <c r="C44" s="45">
        <v>0.87</v>
      </c>
    </row>
    <row r="45" spans="1:5" x14ac:dyDescent="0.2">
      <c r="A45" s="9" t="s">
        <v>1545</v>
      </c>
    </row>
    <row r="46" spans="1:5" x14ac:dyDescent="0.2">
      <c r="A46" s="9" t="s">
        <v>782</v>
      </c>
    </row>
    <row r="48" spans="1:5" x14ac:dyDescent="0.2">
      <c r="A48" s="18" t="s">
        <v>783</v>
      </c>
      <c r="D48" s="42">
        <v>0.850034546054794</v>
      </c>
      <c r="E48" s="13" t="s">
        <v>46</v>
      </c>
    </row>
    <row r="50" spans="1:7" x14ac:dyDescent="0.2">
      <c r="A50" s="18" t="s">
        <v>717</v>
      </c>
      <c r="D50" s="41" t="s">
        <v>45</v>
      </c>
    </row>
    <row r="52" spans="1:7" ht="14.4" x14ac:dyDescent="0.2">
      <c r="A52" s="90" t="s">
        <v>784</v>
      </c>
      <c r="B52" s="91"/>
      <c r="C52" s="91"/>
      <c r="D52" s="91"/>
      <c r="E52" s="91"/>
      <c r="F52" s="91"/>
      <c r="G52" s="91"/>
    </row>
    <row r="53" spans="1:7" x14ac:dyDescent="0.2">
      <c r="A53" s="50" t="s">
        <v>47</v>
      </c>
    </row>
    <row r="54" spans="1:7" x14ac:dyDescent="0.2">
      <c r="A54" s="50"/>
    </row>
  </sheetData>
  <mergeCells count="6">
    <mergeCell ref="A52:G52"/>
    <mergeCell ref="A1:G1"/>
    <mergeCell ref="A41:B41"/>
    <mergeCell ref="A42:B42"/>
    <mergeCell ref="A43:B43"/>
    <mergeCell ref="A44:B44"/>
  </mergeCells>
  <conditionalFormatting sqref="F2:F3 F54:F65536 F5:F51">
    <cfRule type="cellIs" dxfId="160" priority="3" stopIfTrue="1" operator="between">
      <formula>0.009</formula>
      <formula>-0.009</formula>
    </cfRule>
  </conditionalFormatting>
  <conditionalFormatting sqref="F53">
    <cfRule type="cellIs" dxfId="159" priority="1" stopIfTrue="1" operator="between">
      <formula>0.009</formula>
      <formula>-0.009</formula>
    </cfRule>
  </conditionalFormatting>
  <hyperlinks>
    <hyperlink ref="A53" r:id="rId1" xr:uid="{00000000-0004-0000-0A00-000000000000}"/>
  </hyperlinks>
  <pageMargins left="0.7" right="0.7" top="0.75" bottom="0.75" header="0.3" footer="0.3"/>
  <pageSetup paperSize="9" scale="48" orientation="portrait" r:id="rId2"/>
  <headerFooter>
    <oddFooter>&amp;R&amp;1#&amp;"Calibri"&amp;10&amp;KFF0000|PUBLIC|</oddFooter>
    <evenFooter>&amp;LPUBLIC</evenFooter>
    <firstFooter>&amp;LPUBLIC</firstFooter>
  </headerFooter>
  <colBreaks count="1" manualBreakCount="1">
    <brk id="7" max="1048575"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59"/>
  <sheetViews>
    <sheetView view="pageBreakPreview" zoomScaleNormal="100" zoomScaleSheetLayoutView="100" workbookViewId="0">
      <selection sqref="A1:G1"/>
    </sheetView>
  </sheetViews>
  <sheetFormatPr defaultColWidth="9.21875" defaultRowHeight="10.199999999999999" x14ac:dyDescent="0.2"/>
  <cols>
    <col min="1" max="1" width="38.77734375" style="9" bestFit="1" customWidth="1"/>
    <col min="2" max="2" width="54" style="9" bestFit="1" customWidth="1"/>
    <col min="3" max="3" width="22.77734375" style="9" customWidth="1"/>
    <col min="4" max="4" width="15.44140625" style="10" bestFit="1" customWidth="1"/>
    <col min="5" max="5" width="23" style="13" bestFit="1" customWidth="1"/>
    <col min="6" max="6" width="13.5546875" style="14" bestFit="1" customWidth="1"/>
    <col min="7" max="7" width="14.21875" style="13" customWidth="1"/>
    <col min="8" max="16384" width="9.21875" style="9"/>
  </cols>
  <sheetData>
    <row r="1" spans="1:7" s="1" customFormat="1" ht="13.8" x14ac:dyDescent="0.2">
      <c r="A1" s="92" t="s">
        <v>1289</v>
      </c>
      <c r="B1" s="93"/>
      <c r="C1" s="93"/>
      <c r="D1" s="93"/>
      <c r="E1" s="93"/>
      <c r="F1" s="93"/>
      <c r="G1" s="93"/>
    </row>
    <row r="2" spans="1:7" s="1" customFormat="1" ht="11.4" x14ac:dyDescent="0.2">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727</v>
      </c>
      <c r="D4" s="16" t="s">
        <v>1</v>
      </c>
      <c r="E4" s="15" t="s">
        <v>3</v>
      </c>
      <c r="F4" s="15" t="s">
        <v>4</v>
      </c>
      <c r="G4" s="15" t="s">
        <v>6</v>
      </c>
    </row>
    <row r="5" spans="1:7" x14ac:dyDescent="0.2">
      <c r="A5" s="21" t="s">
        <v>26</v>
      </c>
      <c r="B5" s="22"/>
      <c r="C5" s="22"/>
      <c r="D5" s="23"/>
      <c r="E5" s="24"/>
      <c r="F5" s="25"/>
      <c r="G5" s="24"/>
    </row>
    <row r="6" spans="1:7" x14ac:dyDescent="0.2">
      <c r="A6" s="26" t="s">
        <v>27</v>
      </c>
      <c r="B6" s="27"/>
      <c r="C6" s="27"/>
      <c r="D6" s="28"/>
      <c r="E6" s="29"/>
      <c r="F6" s="30"/>
      <c r="G6" s="29"/>
    </row>
    <row r="7" spans="1:7" x14ac:dyDescent="0.2">
      <c r="A7" s="27" t="s">
        <v>881</v>
      </c>
      <c r="B7" s="27" t="s">
        <v>882</v>
      </c>
      <c r="C7" s="27" t="s">
        <v>33</v>
      </c>
      <c r="D7" s="31">
        <v>37</v>
      </c>
      <c r="E7" s="29">
        <v>472.96174999999999</v>
      </c>
      <c r="F7" s="30">
        <v>12.024803827734599</v>
      </c>
      <c r="G7" s="29">
        <v>4.2249999999999996</v>
      </c>
    </row>
    <row r="8" spans="1:7" x14ac:dyDescent="0.2">
      <c r="A8" s="27" t="s">
        <v>997</v>
      </c>
      <c r="B8" s="27" t="s">
        <v>998</v>
      </c>
      <c r="C8" s="27" t="s">
        <v>885</v>
      </c>
      <c r="D8" s="31">
        <v>37</v>
      </c>
      <c r="E8" s="29">
        <v>384.38412</v>
      </c>
      <c r="F8" s="30">
        <v>9.7727641558675895</v>
      </c>
      <c r="G8" s="29">
        <v>4.05</v>
      </c>
    </row>
    <row r="9" spans="1:7" x14ac:dyDescent="0.2">
      <c r="A9" s="27" t="s">
        <v>936</v>
      </c>
      <c r="B9" s="27" t="s">
        <v>937</v>
      </c>
      <c r="C9" s="27" t="s">
        <v>33</v>
      </c>
      <c r="D9" s="31">
        <v>37</v>
      </c>
      <c r="E9" s="29">
        <v>379.63443000000001</v>
      </c>
      <c r="F9" s="30">
        <v>9.6520057848311307</v>
      </c>
      <c r="G9" s="29">
        <v>4.5349000000000004</v>
      </c>
    </row>
    <row r="10" spans="1:7" x14ac:dyDescent="0.2">
      <c r="A10" s="27" t="s">
        <v>1284</v>
      </c>
      <c r="B10" s="27" t="s">
        <v>1285</v>
      </c>
      <c r="C10" s="27" t="s">
        <v>830</v>
      </c>
      <c r="D10" s="31">
        <v>36</v>
      </c>
      <c r="E10" s="29">
        <v>379.31148000000002</v>
      </c>
      <c r="F10" s="30">
        <v>9.6437949508764493</v>
      </c>
      <c r="G10" s="29">
        <v>5.0498000000000003</v>
      </c>
    </row>
    <row r="11" spans="1:7" x14ac:dyDescent="0.2">
      <c r="A11" s="27" t="s">
        <v>888</v>
      </c>
      <c r="B11" s="27" t="s">
        <v>889</v>
      </c>
      <c r="C11" s="27" t="s">
        <v>33</v>
      </c>
      <c r="D11" s="31">
        <v>36</v>
      </c>
      <c r="E11" s="29">
        <v>368.41572000000002</v>
      </c>
      <c r="F11" s="30">
        <v>9.3667759814691394</v>
      </c>
      <c r="G11" s="29">
        <v>3.9449999999999998</v>
      </c>
    </row>
    <row r="12" spans="1:7" x14ac:dyDescent="0.2">
      <c r="A12" s="27" t="s">
        <v>860</v>
      </c>
      <c r="B12" s="27" t="s">
        <v>861</v>
      </c>
      <c r="C12" s="27" t="s">
        <v>862</v>
      </c>
      <c r="D12" s="31">
        <v>33</v>
      </c>
      <c r="E12" s="29">
        <v>339.30963000000003</v>
      </c>
      <c r="F12" s="30">
        <v>8.6267689461382897</v>
      </c>
      <c r="G12" s="29">
        <v>5.4398</v>
      </c>
    </row>
    <row r="13" spans="1:7" x14ac:dyDescent="0.2">
      <c r="A13" s="27" t="s">
        <v>912</v>
      </c>
      <c r="B13" s="27" t="s">
        <v>913</v>
      </c>
      <c r="C13" s="27" t="s">
        <v>33</v>
      </c>
      <c r="D13" s="31">
        <v>27</v>
      </c>
      <c r="E13" s="29">
        <v>279.86201999999997</v>
      </c>
      <c r="F13" s="30">
        <v>7.1153447172705704</v>
      </c>
      <c r="G13" s="29">
        <v>4.0250000000000004</v>
      </c>
    </row>
    <row r="14" spans="1:7" x14ac:dyDescent="0.2">
      <c r="A14" s="27" t="s">
        <v>1290</v>
      </c>
      <c r="B14" s="27" t="s">
        <v>1291</v>
      </c>
      <c r="C14" s="27" t="s">
        <v>33</v>
      </c>
      <c r="D14" s="31">
        <v>21</v>
      </c>
      <c r="E14" s="29">
        <v>270.86367000000001</v>
      </c>
      <c r="F14" s="30">
        <v>6.88656639952438</v>
      </c>
      <c r="G14" s="29">
        <v>5.7443</v>
      </c>
    </row>
    <row r="15" spans="1:7" x14ac:dyDescent="0.2">
      <c r="A15" s="27" t="s">
        <v>924</v>
      </c>
      <c r="B15" s="27" t="s">
        <v>925</v>
      </c>
      <c r="C15" s="27" t="s">
        <v>885</v>
      </c>
      <c r="D15" s="31">
        <v>20</v>
      </c>
      <c r="E15" s="29">
        <v>207.5712</v>
      </c>
      <c r="F15" s="30">
        <v>5.2773886266436403</v>
      </c>
      <c r="G15" s="29">
        <v>3.9750000000000001</v>
      </c>
    </row>
    <row r="16" spans="1:7" x14ac:dyDescent="0.2">
      <c r="A16" s="27" t="s">
        <v>934</v>
      </c>
      <c r="B16" s="27" t="s">
        <v>935</v>
      </c>
      <c r="C16" s="27" t="s">
        <v>830</v>
      </c>
      <c r="D16" s="31">
        <v>12</v>
      </c>
      <c r="E16" s="29">
        <v>155.59824</v>
      </c>
      <c r="F16" s="30">
        <v>3.9560034441279299</v>
      </c>
      <c r="G16" s="29">
        <v>5.39</v>
      </c>
    </row>
    <row r="17" spans="1:9" x14ac:dyDescent="0.2">
      <c r="A17" s="27" t="s">
        <v>867</v>
      </c>
      <c r="B17" s="27" t="s">
        <v>868</v>
      </c>
      <c r="C17" s="27" t="s">
        <v>33</v>
      </c>
      <c r="D17" s="31">
        <v>10</v>
      </c>
      <c r="E17" s="29">
        <v>103.5962</v>
      </c>
      <c r="F17" s="30">
        <v>2.6338789179014199</v>
      </c>
      <c r="G17" s="29">
        <v>4.3049999999999997</v>
      </c>
    </row>
    <row r="18" spans="1:9" x14ac:dyDescent="0.2">
      <c r="A18" s="27" t="s">
        <v>930</v>
      </c>
      <c r="B18" s="27" t="s">
        <v>931</v>
      </c>
      <c r="C18" s="27" t="s">
        <v>33</v>
      </c>
      <c r="D18" s="31">
        <v>8</v>
      </c>
      <c r="E18" s="29">
        <v>102.47344</v>
      </c>
      <c r="F18" s="30">
        <v>2.60533333520763</v>
      </c>
      <c r="G18" s="29">
        <v>4.4048999999999996</v>
      </c>
    </row>
    <row r="19" spans="1:9" x14ac:dyDescent="0.2">
      <c r="A19" s="27" t="s">
        <v>1261</v>
      </c>
      <c r="B19" s="27" t="s">
        <v>1262</v>
      </c>
      <c r="C19" s="27" t="s">
        <v>33</v>
      </c>
      <c r="D19" s="31">
        <v>3</v>
      </c>
      <c r="E19" s="29">
        <v>39.069629999999997</v>
      </c>
      <c r="F19" s="30">
        <v>0.99332480136538703</v>
      </c>
      <c r="G19" s="29">
        <v>4.6749999999999998</v>
      </c>
    </row>
    <row r="20" spans="1:9" x14ac:dyDescent="0.2">
      <c r="A20" s="27" t="s">
        <v>1277</v>
      </c>
      <c r="B20" s="27" t="s">
        <v>1278</v>
      </c>
      <c r="C20" s="27" t="s">
        <v>962</v>
      </c>
      <c r="D20" s="31">
        <v>3</v>
      </c>
      <c r="E20" s="29">
        <v>38.17221</v>
      </c>
      <c r="F20" s="30">
        <v>0.97050836969604903</v>
      </c>
      <c r="G20" s="29">
        <v>5.5795000000000003</v>
      </c>
    </row>
    <row r="21" spans="1:9" x14ac:dyDescent="0.2">
      <c r="A21" s="27" t="s">
        <v>1292</v>
      </c>
      <c r="B21" s="27" t="s">
        <v>1293</v>
      </c>
      <c r="C21" s="27" t="s">
        <v>830</v>
      </c>
      <c r="D21" s="31">
        <v>3</v>
      </c>
      <c r="E21" s="29">
        <v>31.418489999999998</v>
      </c>
      <c r="F21" s="30">
        <v>0.79879858955537597</v>
      </c>
      <c r="G21" s="29">
        <v>5.1245000000000003</v>
      </c>
    </row>
    <row r="22" spans="1:9" x14ac:dyDescent="0.2">
      <c r="A22" s="27" t="s">
        <v>871</v>
      </c>
      <c r="B22" s="27" t="s">
        <v>872</v>
      </c>
      <c r="C22" s="27" t="s">
        <v>33</v>
      </c>
      <c r="D22" s="31">
        <v>3</v>
      </c>
      <c r="E22" s="29">
        <v>30.997319999999998</v>
      </c>
      <c r="F22" s="30">
        <v>0.78809056374118103</v>
      </c>
      <c r="G22" s="29">
        <v>4</v>
      </c>
    </row>
    <row r="23" spans="1:9" x14ac:dyDescent="0.2">
      <c r="A23" s="27" t="s">
        <v>1265</v>
      </c>
      <c r="B23" s="27" t="s">
        <v>1266</v>
      </c>
      <c r="C23" s="27" t="s">
        <v>33</v>
      </c>
      <c r="D23" s="31">
        <v>2</v>
      </c>
      <c r="E23" s="29">
        <v>25.61018</v>
      </c>
      <c r="F23" s="30">
        <v>0.651125361602652</v>
      </c>
      <c r="G23" s="29">
        <v>4.7999000000000001</v>
      </c>
    </row>
    <row r="24" spans="1:9" x14ac:dyDescent="0.2">
      <c r="A24" s="26" t="s">
        <v>34</v>
      </c>
      <c r="B24" s="26"/>
      <c r="C24" s="26"/>
      <c r="D24" s="32"/>
      <c r="E24" s="33">
        <f>SUM(E6:E23)</f>
        <v>3609.2497300000005</v>
      </c>
      <c r="F24" s="34">
        <f>SUM(F6:F23)</f>
        <v>91.763276773553429</v>
      </c>
      <c r="G24" s="33"/>
      <c r="H24" s="18"/>
      <c r="I24" s="18"/>
    </row>
    <row r="25" spans="1:9" x14ac:dyDescent="0.2">
      <c r="A25" s="27"/>
      <c r="B25" s="27"/>
      <c r="C25" s="27"/>
      <c r="D25" s="28"/>
      <c r="E25" s="29"/>
      <c r="F25" s="30"/>
      <c r="G25" s="29"/>
    </row>
    <row r="26" spans="1:9" x14ac:dyDescent="0.2">
      <c r="A26" s="26" t="s">
        <v>36</v>
      </c>
      <c r="B26" s="26"/>
      <c r="C26" s="26"/>
      <c r="D26" s="32"/>
      <c r="E26" s="33">
        <f>E24</f>
        <v>3609.2497300000005</v>
      </c>
      <c r="F26" s="34">
        <f>F24</f>
        <v>91.763276773553429</v>
      </c>
      <c r="G26" s="33"/>
      <c r="H26" s="18"/>
      <c r="I26" s="18"/>
    </row>
    <row r="27" spans="1:9" x14ac:dyDescent="0.2">
      <c r="A27" s="26"/>
      <c r="B27" s="26"/>
      <c r="C27" s="26"/>
      <c r="D27" s="32"/>
      <c r="E27" s="33"/>
      <c r="F27" s="34"/>
      <c r="G27" s="33"/>
      <c r="H27" s="18"/>
      <c r="I27" s="18"/>
    </row>
    <row r="28" spans="1:9" x14ac:dyDescent="0.2">
      <c r="A28" s="26" t="s">
        <v>38</v>
      </c>
      <c r="B28" s="26"/>
      <c r="C28" s="26"/>
      <c r="D28" s="32"/>
      <c r="E28" s="33">
        <f>E30-(E24)</f>
        <v>323.96828149999965</v>
      </c>
      <c r="F28" s="34">
        <f>F30-(F24)</f>
        <v>8.2367232264465713</v>
      </c>
      <c r="G28" s="33"/>
      <c r="H28" s="18"/>
      <c r="I28" s="18"/>
    </row>
    <row r="29" spans="1:9" x14ac:dyDescent="0.2">
      <c r="A29" s="26"/>
      <c r="B29" s="26"/>
      <c r="C29" s="26"/>
      <c r="D29" s="32"/>
      <c r="E29" s="33"/>
      <c r="F29" s="34"/>
      <c r="G29" s="33"/>
      <c r="H29" s="18"/>
      <c r="I29" s="18"/>
    </row>
    <row r="30" spans="1:9" x14ac:dyDescent="0.2">
      <c r="A30" s="35" t="s">
        <v>37</v>
      </c>
      <c r="B30" s="35"/>
      <c r="C30" s="35"/>
      <c r="D30" s="36"/>
      <c r="E30" s="37">
        <v>3933.2180115000001</v>
      </c>
      <c r="F30" s="38">
        <v>100</v>
      </c>
      <c r="G30" s="37"/>
      <c r="H30" s="18"/>
      <c r="I30" s="18"/>
    </row>
    <row r="32" spans="1:9" x14ac:dyDescent="0.2">
      <c r="A32" s="18" t="s">
        <v>39</v>
      </c>
    </row>
    <row r="34" spans="1:4" x14ac:dyDescent="0.2">
      <c r="A34" s="18" t="s">
        <v>40</v>
      </c>
    </row>
    <row r="35" spans="1:4" x14ac:dyDescent="0.2">
      <c r="A35" s="18" t="s">
        <v>41</v>
      </c>
    </row>
    <row r="36" spans="1:4" x14ac:dyDescent="0.2">
      <c r="A36" s="18" t="s">
        <v>42</v>
      </c>
      <c r="B36" s="18"/>
      <c r="C36" s="39" t="s">
        <v>44</v>
      </c>
      <c r="D36" s="19" t="s">
        <v>43</v>
      </c>
    </row>
    <row r="37" spans="1:4" x14ac:dyDescent="0.2">
      <c r="A37" s="9" t="s">
        <v>65</v>
      </c>
      <c r="C37" s="40">
        <v>12.038</v>
      </c>
      <c r="D37" s="40">
        <v>12.3706</v>
      </c>
    </row>
    <row r="38" spans="1:4" x14ac:dyDescent="0.2">
      <c r="A38" s="9" t="s">
        <v>1003</v>
      </c>
      <c r="C38" s="40">
        <v>11.1693</v>
      </c>
      <c r="D38" s="40">
        <v>10.6485</v>
      </c>
    </row>
    <row r="39" spans="1:4" x14ac:dyDescent="0.2">
      <c r="A39" s="9" t="s">
        <v>948</v>
      </c>
      <c r="C39" s="40">
        <v>10.543799999999999</v>
      </c>
      <c r="D39" s="40">
        <v>10.437200000000001</v>
      </c>
    </row>
    <row r="40" spans="1:4" x14ac:dyDescent="0.2">
      <c r="A40" s="9" t="s">
        <v>66</v>
      </c>
      <c r="C40" s="40">
        <v>12.091699999999999</v>
      </c>
      <c r="D40" s="40">
        <v>12.4413</v>
      </c>
    </row>
    <row r="41" spans="1:4" x14ac:dyDescent="0.2">
      <c r="A41" s="9" t="s">
        <v>1004</v>
      </c>
      <c r="C41" s="40">
        <v>11.2217</v>
      </c>
      <c r="D41" s="40">
        <v>10.7163</v>
      </c>
    </row>
    <row r="42" spans="1:4" x14ac:dyDescent="0.2">
      <c r="A42" s="9" t="s">
        <v>952</v>
      </c>
      <c r="C42" s="40">
        <v>10.5976</v>
      </c>
      <c r="D42" s="40">
        <v>10.507</v>
      </c>
    </row>
    <row r="43" spans="1:4" x14ac:dyDescent="0.2">
      <c r="C43" s="40"/>
      <c r="D43" s="40"/>
    </row>
    <row r="44" spans="1:4" x14ac:dyDescent="0.2">
      <c r="A44" s="18" t="s">
        <v>1560</v>
      </c>
    </row>
    <row r="45" spans="1:4" x14ac:dyDescent="0.2">
      <c r="A45" s="94" t="s">
        <v>64</v>
      </c>
      <c r="B45" s="95"/>
      <c r="C45" s="44" t="s">
        <v>1544</v>
      </c>
    </row>
    <row r="46" spans="1:4" x14ac:dyDescent="0.2">
      <c r="A46" s="88" t="s">
        <v>1271</v>
      </c>
      <c r="B46" s="89"/>
      <c r="C46" s="45">
        <v>0.82</v>
      </c>
    </row>
    <row r="47" spans="1:4" x14ac:dyDescent="0.2">
      <c r="A47" s="88" t="s">
        <v>948</v>
      </c>
      <c r="B47" s="89"/>
      <c r="C47" s="45">
        <v>0.39500000000000002</v>
      </c>
    </row>
    <row r="48" spans="1:4" x14ac:dyDescent="0.2">
      <c r="A48" s="88" t="s">
        <v>1004</v>
      </c>
      <c r="B48" s="89"/>
      <c r="C48" s="45">
        <v>0.82</v>
      </c>
    </row>
    <row r="49" spans="1:7" x14ac:dyDescent="0.2">
      <c r="A49" s="88" t="s">
        <v>952</v>
      </c>
      <c r="B49" s="89"/>
      <c r="C49" s="45">
        <v>0.39500000000000002</v>
      </c>
    </row>
    <row r="50" spans="1:7" x14ac:dyDescent="0.2">
      <c r="A50" s="9" t="s">
        <v>1545</v>
      </c>
    </row>
    <row r="51" spans="1:7" x14ac:dyDescent="0.2">
      <c r="A51" s="9" t="s">
        <v>782</v>
      </c>
    </row>
    <row r="53" spans="1:7" x14ac:dyDescent="0.2">
      <c r="A53" s="18" t="s">
        <v>783</v>
      </c>
      <c r="D53" s="42">
        <v>0.809978946547945</v>
      </c>
      <c r="E53" s="13" t="s">
        <v>46</v>
      </c>
    </row>
    <row r="55" spans="1:7" x14ac:dyDescent="0.2">
      <c r="A55" s="18" t="s">
        <v>717</v>
      </c>
      <c r="D55" s="41" t="s">
        <v>45</v>
      </c>
    </row>
    <row r="57" spans="1:7" ht="14.4" x14ac:dyDescent="0.2">
      <c r="A57" s="90" t="s">
        <v>784</v>
      </c>
      <c r="B57" s="91"/>
      <c r="C57" s="91"/>
      <c r="D57" s="91"/>
      <c r="E57" s="91"/>
      <c r="F57" s="91"/>
      <c r="G57" s="91"/>
    </row>
    <row r="58" spans="1:7" x14ac:dyDescent="0.2">
      <c r="A58" s="50" t="s">
        <v>47</v>
      </c>
    </row>
    <row r="59" spans="1:7" x14ac:dyDescent="0.2">
      <c r="A59" s="50"/>
    </row>
  </sheetData>
  <mergeCells count="7">
    <mergeCell ref="A57:G57"/>
    <mergeCell ref="A1:G1"/>
    <mergeCell ref="A45:B45"/>
    <mergeCell ref="A46:B46"/>
    <mergeCell ref="A47:B47"/>
    <mergeCell ref="A48:B48"/>
    <mergeCell ref="A49:B49"/>
  </mergeCells>
  <conditionalFormatting sqref="F2:F3 F59:F65536 F5:F56">
    <cfRule type="cellIs" dxfId="158" priority="3" stopIfTrue="1" operator="between">
      <formula>0.009</formula>
      <formula>-0.009</formula>
    </cfRule>
  </conditionalFormatting>
  <conditionalFormatting sqref="F58">
    <cfRule type="cellIs" dxfId="157" priority="1" stopIfTrue="1" operator="between">
      <formula>0.009</formula>
      <formula>-0.009</formula>
    </cfRule>
  </conditionalFormatting>
  <hyperlinks>
    <hyperlink ref="A58" r:id="rId1" xr:uid="{00000000-0004-0000-0B00-000000000000}"/>
  </hyperlinks>
  <pageMargins left="0.7" right="0.7" top="0.75" bottom="0.75" header="0.3" footer="0.3"/>
  <pageSetup paperSize="9" scale="48" orientation="portrait" r:id="rId2"/>
  <headerFooter>
    <oddFooter>&amp;R&amp;1#&amp;"Calibri"&amp;10&amp;KFF0000|PUBLIC|</oddFooter>
    <evenFooter>&amp;LPUBLIC</evenFooter>
    <firstFooter>&amp;LPUBLIC</firstFooter>
  </headerFooter>
  <colBreaks count="1" manualBreakCount="1">
    <brk id="7"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55"/>
  <sheetViews>
    <sheetView view="pageBreakPreview" zoomScaleNormal="100" zoomScaleSheetLayoutView="100" workbookViewId="0">
      <selection sqref="A1:G1"/>
    </sheetView>
  </sheetViews>
  <sheetFormatPr defaultColWidth="9.21875" defaultRowHeight="10.199999999999999" x14ac:dyDescent="0.2"/>
  <cols>
    <col min="1" max="1" width="38.77734375" style="9" bestFit="1" customWidth="1"/>
    <col min="2" max="2" width="54" style="9" bestFit="1" customWidth="1"/>
    <col min="3" max="3" width="22.5546875" style="9" customWidth="1"/>
    <col min="4" max="4" width="15.44140625" style="10" bestFit="1" customWidth="1"/>
    <col min="5" max="5" width="23" style="13" bestFit="1" customWidth="1"/>
    <col min="6" max="6" width="13.5546875" style="14" bestFit="1" customWidth="1"/>
    <col min="7" max="7" width="14.21875" style="13" customWidth="1"/>
    <col min="8" max="16384" width="9.21875" style="9"/>
  </cols>
  <sheetData>
    <row r="1" spans="1:7" s="1" customFormat="1" ht="13.8" x14ac:dyDescent="0.2">
      <c r="A1" s="92" t="s">
        <v>1294</v>
      </c>
      <c r="B1" s="93"/>
      <c r="C1" s="93"/>
      <c r="D1" s="93"/>
      <c r="E1" s="93"/>
      <c r="F1" s="93"/>
      <c r="G1" s="93"/>
    </row>
    <row r="2" spans="1:7" s="1" customFormat="1" ht="11.4" x14ac:dyDescent="0.2">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727</v>
      </c>
      <c r="D4" s="16" t="s">
        <v>1</v>
      </c>
      <c r="E4" s="15" t="s">
        <v>3</v>
      </c>
      <c r="F4" s="15" t="s">
        <v>4</v>
      </c>
      <c r="G4" s="15" t="s">
        <v>6</v>
      </c>
    </row>
    <row r="5" spans="1:7" x14ac:dyDescent="0.2">
      <c r="A5" s="21" t="s">
        <v>26</v>
      </c>
      <c r="B5" s="22"/>
      <c r="C5" s="22"/>
      <c r="D5" s="23"/>
      <c r="E5" s="24"/>
      <c r="F5" s="25"/>
      <c r="G5" s="24"/>
    </row>
    <row r="6" spans="1:7" x14ac:dyDescent="0.2">
      <c r="A6" s="26" t="s">
        <v>27</v>
      </c>
      <c r="B6" s="27"/>
      <c r="C6" s="27"/>
      <c r="D6" s="28"/>
      <c r="E6" s="29"/>
      <c r="F6" s="30"/>
      <c r="G6" s="29"/>
    </row>
    <row r="7" spans="1:7" x14ac:dyDescent="0.2">
      <c r="A7" s="27" t="s">
        <v>881</v>
      </c>
      <c r="B7" s="27" t="s">
        <v>882</v>
      </c>
      <c r="C7" s="27" t="s">
        <v>33</v>
      </c>
      <c r="D7" s="31">
        <v>47</v>
      </c>
      <c r="E7" s="29">
        <v>600.78925000000004</v>
      </c>
      <c r="F7" s="30">
        <v>12.053118202969401</v>
      </c>
      <c r="G7" s="29">
        <v>4.2249999999999996</v>
      </c>
    </row>
    <row r="8" spans="1:7" x14ac:dyDescent="0.2">
      <c r="A8" s="27" t="s">
        <v>934</v>
      </c>
      <c r="B8" s="27" t="s">
        <v>935</v>
      </c>
      <c r="C8" s="27" t="s">
        <v>830</v>
      </c>
      <c r="D8" s="31">
        <v>38</v>
      </c>
      <c r="E8" s="29">
        <v>492.72775999999999</v>
      </c>
      <c r="F8" s="30">
        <v>9.88517343338677</v>
      </c>
      <c r="G8" s="29">
        <v>5.39</v>
      </c>
    </row>
    <row r="9" spans="1:7" x14ac:dyDescent="0.2">
      <c r="A9" s="27" t="s">
        <v>997</v>
      </c>
      <c r="B9" s="27" t="s">
        <v>998</v>
      </c>
      <c r="C9" s="27" t="s">
        <v>885</v>
      </c>
      <c r="D9" s="31">
        <v>47</v>
      </c>
      <c r="E9" s="29">
        <v>488.27172000000002</v>
      </c>
      <c r="F9" s="30">
        <v>9.7957757338820599</v>
      </c>
      <c r="G9" s="29">
        <v>4.05</v>
      </c>
    </row>
    <row r="10" spans="1:7" x14ac:dyDescent="0.2">
      <c r="A10" s="27" t="s">
        <v>938</v>
      </c>
      <c r="B10" s="27" t="s">
        <v>939</v>
      </c>
      <c r="C10" s="27" t="s">
        <v>33</v>
      </c>
      <c r="D10" s="31">
        <v>47</v>
      </c>
      <c r="E10" s="29">
        <v>478.17189000000002</v>
      </c>
      <c r="F10" s="30">
        <v>9.5931515277733492</v>
      </c>
      <c r="G10" s="29">
        <v>3.9049999999999998</v>
      </c>
    </row>
    <row r="11" spans="1:7" x14ac:dyDescent="0.2">
      <c r="A11" s="27" t="s">
        <v>888</v>
      </c>
      <c r="B11" s="27" t="s">
        <v>889</v>
      </c>
      <c r="C11" s="27" t="s">
        <v>33</v>
      </c>
      <c r="D11" s="31">
        <v>46</v>
      </c>
      <c r="E11" s="29">
        <v>470.75342000000001</v>
      </c>
      <c r="F11" s="30">
        <v>9.4443211420845508</v>
      </c>
      <c r="G11" s="29">
        <v>3.9449999999999998</v>
      </c>
    </row>
    <row r="12" spans="1:7" x14ac:dyDescent="0.2">
      <c r="A12" s="27" t="s">
        <v>871</v>
      </c>
      <c r="B12" s="27" t="s">
        <v>872</v>
      </c>
      <c r="C12" s="27" t="s">
        <v>33</v>
      </c>
      <c r="D12" s="31">
        <v>45</v>
      </c>
      <c r="E12" s="29">
        <v>464.95979999999997</v>
      </c>
      <c r="F12" s="30">
        <v>9.3280887250047098</v>
      </c>
      <c r="G12" s="29">
        <v>4</v>
      </c>
    </row>
    <row r="13" spans="1:7" x14ac:dyDescent="0.2">
      <c r="A13" s="27" t="s">
        <v>1290</v>
      </c>
      <c r="B13" s="27" t="s">
        <v>1291</v>
      </c>
      <c r="C13" s="27" t="s">
        <v>33</v>
      </c>
      <c r="D13" s="31">
        <v>29</v>
      </c>
      <c r="E13" s="29">
        <v>374.04982999999999</v>
      </c>
      <c r="F13" s="30">
        <v>7.5042401554132798</v>
      </c>
      <c r="G13" s="29">
        <v>5.7443</v>
      </c>
    </row>
    <row r="14" spans="1:7" x14ac:dyDescent="0.2">
      <c r="A14" s="27" t="s">
        <v>1295</v>
      </c>
      <c r="B14" s="27" t="s">
        <v>1296</v>
      </c>
      <c r="C14" s="27" t="s">
        <v>33</v>
      </c>
      <c r="D14" s="31">
        <v>35</v>
      </c>
      <c r="E14" s="29">
        <v>368.14890000000003</v>
      </c>
      <c r="F14" s="30">
        <v>7.3858548700616398</v>
      </c>
      <c r="G14" s="29">
        <v>4.8771000000000004</v>
      </c>
    </row>
    <row r="15" spans="1:7" x14ac:dyDescent="0.2">
      <c r="A15" s="27" t="s">
        <v>912</v>
      </c>
      <c r="B15" s="27" t="s">
        <v>913</v>
      </c>
      <c r="C15" s="27" t="s">
        <v>33</v>
      </c>
      <c r="D15" s="31">
        <v>24</v>
      </c>
      <c r="E15" s="29">
        <v>248.76624000000001</v>
      </c>
      <c r="F15" s="30">
        <v>4.9907831999794698</v>
      </c>
      <c r="G15" s="29">
        <v>4.0250000000000004</v>
      </c>
    </row>
    <row r="16" spans="1:7" x14ac:dyDescent="0.2">
      <c r="A16" s="27" t="s">
        <v>833</v>
      </c>
      <c r="B16" s="27" t="s">
        <v>834</v>
      </c>
      <c r="C16" s="27" t="s">
        <v>835</v>
      </c>
      <c r="D16" s="31">
        <v>22</v>
      </c>
      <c r="E16" s="29">
        <v>231.70158000000001</v>
      </c>
      <c r="F16" s="30">
        <v>4.6484295974916003</v>
      </c>
      <c r="G16" s="29">
        <v>4</v>
      </c>
    </row>
    <row r="17" spans="1:9" x14ac:dyDescent="0.2">
      <c r="A17" s="27" t="s">
        <v>936</v>
      </c>
      <c r="B17" s="27" t="s">
        <v>937</v>
      </c>
      <c r="C17" s="27" t="s">
        <v>33</v>
      </c>
      <c r="D17" s="31">
        <v>10</v>
      </c>
      <c r="E17" s="29">
        <v>102.6039</v>
      </c>
      <c r="F17" s="30">
        <v>2.0584538334959501</v>
      </c>
      <c r="G17" s="29">
        <v>4.5349000000000004</v>
      </c>
    </row>
    <row r="18" spans="1:9" x14ac:dyDescent="0.2">
      <c r="A18" s="27" t="s">
        <v>867</v>
      </c>
      <c r="B18" s="27" t="s">
        <v>868</v>
      </c>
      <c r="C18" s="27" t="s">
        <v>33</v>
      </c>
      <c r="D18" s="31">
        <v>8</v>
      </c>
      <c r="E18" s="29">
        <v>82.876959999999997</v>
      </c>
      <c r="F18" s="30">
        <v>1.6626891962244199</v>
      </c>
      <c r="G18" s="29">
        <v>4.3049999999999997</v>
      </c>
    </row>
    <row r="19" spans="1:9" x14ac:dyDescent="0.2">
      <c r="A19" s="27" t="s">
        <v>1277</v>
      </c>
      <c r="B19" s="27" t="s">
        <v>1278</v>
      </c>
      <c r="C19" s="27" t="s">
        <v>962</v>
      </c>
      <c r="D19" s="31">
        <v>5</v>
      </c>
      <c r="E19" s="29">
        <v>63.620350000000002</v>
      </c>
      <c r="F19" s="30">
        <v>1.2763603853835399</v>
      </c>
      <c r="G19" s="29">
        <v>5.5795000000000003</v>
      </c>
    </row>
    <row r="20" spans="1:9" x14ac:dyDescent="0.2">
      <c r="A20" s="27" t="s">
        <v>860</v>
      </c>
      <c r="B20" s="27" t="s">
        <v>861</v>
      </c>
      <c r="C20" s="27" t="s">
        <v>862</v>
      </c>
      <c r="D20" s="31">
        <v>6</v>
      </c>
      <c r="E20" s="29">
        <v>61.692659999999997</v>
      </c>
      <c r="F20" s="30">
        <v>1.23768679821685</v>
      </c>
      <c r="G20" s="29">
        <v>5.4398</v>
      </c>
    </row>
    <row r="21" spans="1:9" x14ac:dyDescent="0.2">
      <c r="A21" s="27" t="s">
        <v>1284</v>
      </c>
      <c r="B21" s="27" t="s">
        <v>1285</v>
      </c>
      <c r="C21" s="27" t="s">
        <v>830</v>
      </c>
      <c r="D21" s="31">
        <v>4</v>
      </c>
      <c r="E21" s="29">
        <v>42.145719999999997</v>
      </c>
      <c r="F21" s="30">
        <v>0.84553334619295095</v>
      </c>
      <c r="G21" s="29">
        <v>5.0498000000000003</v>
      </c>
    </row>
    <row r="22" spans="1:9" x14ac:dyDescent="0.2">
      <c r="A22" s="27" t="s">
        <v>1265</v>
      </c>
      <c r="B22" s="27" t="s">
        <v>1266</v>
      </c>
      <c r="C22" s="27" t="s">
        <v>33</v>
      </c>
      <c r="D22" s="31">
        <v>1</v>
      </c>
      <c r="E22" s="29">
        <v>12.80509</v>
      </c>
      <c r="F22" s="30">
        <v>0.25689751168094599</v>
      </c>
      <c r="G22" s="29">
        <v>4.7999000000000001</v>
      </c>
    </row>
    <row r="23" spans="1:9" x14ac:dyDescent="0.2">
      <c r="A23" s="27" t="s">
        <v>863</v>
      </c>
      <c r="B23" s="27" t="s">
        <v>864</v>
      </c>
      <c r="C23" s="27" t="s">
        <v>855</v>
      </c>
      <c r="D23" s="31">
        <v>1</v>
      </c>
      <c r="E23" s="29">
        <v>10.3</v>
      </c>
      <c r="F23" s="30">
        <v>0.20664004472547601</v>
      </c>
      <c r="G23" s="29">
        <v>5.83</v>
      </c>
    </row>
    <row r="24" spans="1:9" x14ac:dyDescent="0.2">
      <c r="A24" s="26" t="s">
        <v>34</v>
      </c>
      <c r="B24" s="26"/>
      <c r="C24" s="26"/>
      <c r="D24" s="32"/>
      <c r="E24" s="33">
        <f>SUM(E6:E23)</f>
        <v>4594.3850700000003</v>
      </c>
      <c r="F24" s="34">
        <f>SUM(F6:F23)</f>
        <v>92.173197703966963</v>
      </c>
      <c r="G24" s="33"/>
      <c r="H24" s="18"/>
      <c r="I24" s="18"/>
    </row>
    <row r="25" spans="1:9" x14ac:dyDescent="0.2">
      <c r="A25" s="27"/>
      <c r="B25" s="27"/>
      <c r="C25" s="27"/>
      <c r="D25" s="28"/>
      <c r="E25" s="29"/>
      <c r="F25" s="30"/>
      <c r="G25" s="29"/>
    </row>
    <row r="26" spans="1:9" x14ac:dyDescent="0.2">
      <c r="A26" s="26" t="s">
        <v>36</v>
      </c>
      <c r="B26" s="26"/>
      <c r="C26" s="26"/>
      <c r="D26" s="32"/>
      <c r="E26" s="33">
        <f>E24</f>
        <v>4594.3850700000003</v>
      </c>
      <c r="F26" s="34">
        <f>F24</f>
        <v>92.173197703966963</v>
      </c>
      <c r="G26" s="33"/>
      <c r="H26" s="18"/>
      <c r="I26" s="18"/>
    </row>
    <row r="27" spans="1:9" x14ac:dyDescent="0.2">
      <c r="A27" s="26"/>
      <c r="B27" s="26"/>
      <c r="C27" s="26"/>
      <c r="D27" s="32"/>
      <c r="E27" s="33"/>
      <c r="F27" s="34"/>
      <c r="G27" s="33"/>
      <c r="H27" s="18"/>
      <c r="I27" s="18"/>
    </row>
    <row r="28" spans="1:9" x14ac:dyDescent="0.2">
      <c r="A28" s="26" t="s">
        <v>38</v>
      </c>
      <c r="B28" s="26"/>
      <c r="C28" s="26"/>
      <c r="D28" s="32"/>
      <c r="E28" s="33">
        <f>E30-(E24)</f>
        <v>390.12798199999997</v>
      </c>
      <c r="F28" s="34">
        <f>F30-(F24)</f>
        <v>7.826802296033037</v>
      </c>
      <c r="G28" s="33"/>
      <c r="H28" s="18"/>
      <c r="I28" s="18"/>
    </row>
    <row r="29" spans="1:9" x14ac:dyDescent="0.2">
      <c r="A29" s="26"/>
      <c r="B29" s="26"/>
      <c r="C29" s="26"/>
      <c r="D29" s="32"/>
      <c r="E29" s="33"/>
      <c r="F29" s="34"/>
      <c r="G29" s="33"/>
      <c r="H29" s="18"/>
      <c r="I29" s="18"/>
    </row>
    <row r="30" spans="1:9" x14ac:dyDescent="0.2">
      <c r="A30" s="35" t="s">
        <v>37</v>
      </c>
      <c r="B30" s="35"/>
      <c r="C30" s="35"/>
      <c r="D30" s="36"/>
      <c r="E30" s="37">
        <v>4984.5130520000002</v>
      </c>
      <c r="F30" s="38">
        <v>100</v>
      </c>
      <c r="G30" s="37"/>
      <c r="H30" s="18"/>
      <c r="I30" s="18"/>
    </row>
    <row r="32" spans="1:9" x14ac:dyDescent="0.2">
      <c r="A32" s="18" t="s">
        <v>39</v>
      </c>
    </row>
    <row r="34" spans="1:4" x14ac:dyDescent="0.2">
      <c r="A34" s="18" t="s">
        <v>40</v>
      </c>
    </row>
    <row r="35" spans="1:4" x14ac:dyDescent="0.2">
      <c r="A35" s="18" t="s">
        <v>41</v>
      </c>
    </row>
    <row r="36" spans="1:4" x14ac:dyDescent="0.2">
      <c r="A36" s="18" t="s">
        <v>42</v>
      </c>
      <c r="B36" s="18"/>
      <c r="C36" s="39" t="s">
        <v>44</v>
      </c>
      <c r="D36" s="19" t="s">
        <v>43</v>
      </c>
    </row>
    <row r="37" spans="1:4" x14ac:dyDescent="0.2">
      <c r="A37" s="9" t="s">
        <v>65</v>
      </c>
      <c r="C37" s="40">
        <v>12.126099999999999</v>
      </c>
      <c r="D37" s="40">
        <v>12.4534</v>
      </c>
    </row>
    <row r="38" spans="1:4" x14ac:dyDescent="0.2">
      <c r="A38" s="9" t="s">
        <v>1271</v>
      </c>
      <c r="C38" s="40">
        <v>11.2822</v>
      </c>
      <c r="D38" s="40">
        <v>10.735099999999999</v>
      </c>
    </row>
    <row r="39" spans="1:4" x14ac:dyDescent="0.2">
      <c r="A39" s="9" t="s">
        <v>948</v>
      </c>
      <c r="C39" s="40">
        <v>10.6281</v>
      </c>
      <c r="D39" s="40">
        <v>10.5062</v>
      </c>
    </row>
    <row r="40" spans="1:4" x14ac:dyDescent="0.2">
      <c r="A40" s="9" t="s">
        <v>66</v>
      </c>
      <c r="C40" s="40">
        <v>12.1928</v>
      </c>
      <c r="D40" s="40">
        <v>12.5406</v>
      </c>
    </row>
    <row r="41" spans="1:4" x14ac:dyDescent="0.2">
      <c r="C41" s="40"/>
      <c r="D41" s="40"/>
    </row>
    <row r="42" spans="1:4" x14ac:dyDescent="0.2">
      <c r="A42" s="18" t="s">
        <v>1560</v>
      </c>
    </row>
    <row r="43" spans="1:4" x14ac:dyDescent="0.2">
      <c r="A43" s="94" t="s">
        <v>64</v>
      </c>
      <c r="B43" s="95"/>
      <c r="C43" s="44" t="s">
        <v>1544</v>
      </c>
    </row>
    <row r="44" spans="1:4" x14ac:dyDescent="0.2">
      <c r="A44" s="88" t="s">
        <v>1271</v>
      </c>
      <c r="B44" s="89"/>
      <c r="C44" s="45">
        <v>0.84</v>
      </c>
    </row>
    <row r="45" spans="1:4" x14ac:dyDescent="0.2">
      <c r="A45" s="88" t="s">
        <v>948</v>
      </c>
      <c r="B45" s="89"/>
      <c r="C45" s="45">
        <v>0.40500000000000003</v>
      </c>
    </row>
    <row r="46" spans="1:4" x14ac:dyDescent="0.2">
      <c r="A46" s="9" t="s">
        <v>1545</v>
      </c>
    </row>
    <row r="47" spans="1:4" x14ac:dyDescent="0.2">
      <c r="A47" s="9" t="s">
        <v>782</v>
      </c>
    </row>
    <row r="49" spans="1:7" x14ac:dyDescent="0.2">
      <c r="A49" s="18" t="s">
        <v>783</v>
      </c>
      <c r="D49" s="42">
        <v>0.80857204383561598</v>
      </c>
      <c r="E49" s="13" t="s">
        <v>46</v>
      </c>
    </row>
    <row r="51" spans="1:7" x14ac:dyDescent="0.2">
      <c r="A51" s="18" t="s">
        <v>717</v>
      </c>
      <c r="D51" s="41" t="s">
        <v>45</v>
      </c>
    </row>
    <row r="53" spans="1:7" ht="14.4" x14ac:dyDescent="0.2">
      <c r="A53" s="90" t="s">
        <v>784</v>
      </c>
      <c r="B53" s="91"/>
      <c r="C53" s="91"/>
      <c r="D53" s="91"/>
      <c r="E53" s="91"/>
      <c r="F53" s="91"/>
      <c r="G53" s="91"/>
    </row>
    <row r="54" spans="1:7" x14ac:dyDescent="0.2">
      <c r="A54" s="50" t="s">
        <v>47</v>
      </c>
    </row>
    <row r="55" spans="1:7" x14ac:dyDescent="0.2">
      <c r="A55" s="50"/>
    </row>
  </sheetData>
  <mergeCells count="5">
    <mergeCell ref="A1:G1"/>
    <mergeCell ref="A43:B43"/>
    <mergeCell ref="A44:B44"/>
    <mergeCell ref="A45:B45"/>
    <mergeCell ref="A53:G53"/>
  </mergeCells>
  <conditionalFormatting sqref="F2:F3 F55:F65536 F5:F52">
    <cfRule type="cellIs" dxfId="156" priority="3" stopIfTrue="1" operator="between">
      <formula>0.009</formula>
      <formula>-0.009</formula>
    </cfRule>
  </conditionalFormatting>
  <conditionalFormatting sqref="F54">
    <cfRule type="cellIs" dxfId="155" priority="1" stopIfTrue="1" operator="between">
      <formula>0.009</formula>
      <formula>-0.009</formula>
    </cfRule>
  </conditionalFormatting>
  <hyperlinks>
    <hyperlink ref="A54" r:id="rId1" xr:uid="{00000000-0004-0000-0C00-000000000000}"/>
  </hyperlinks>
  <pageMargins left="0.7" right="0.7" top="0.75" bottom="0.75" header="0.3" footer="0.3"/>
  <pageSetup paperSize="9" scale="48" orientation="portrait" r:id="rId2"/>
  <headerFooter>
    <oddFooter>&amp;R&amp;1#&amp;"Calibri"&amp;10&amp;KFF0000|PUBLIC|</oddFooter>
    <evenFooter>&amp;LPUBLIC</evenFooter>
    <firstFooter>&amp;LPUBLIC</firstFooter>
  </headerFooter>
  <colBreaks count="1" manualBreakCount="1">
    <brk id="7" max="1048575"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54"/>
  <sheetViews>
    <sheetView view="pageBreakPreview" zoomScaleNormal="100" zoomScaleSheetLayoutView="100" workbookViewId="0">
      <selection sqref="A1:G1"/>
    </sheetView>
  </sheetViews>
  <sheetFormatPr defaultColWidth="9.21875" defaultRowHeight="10.199999999999999" x14ac:dyDescent="0.2"/>
  <cols>
    <col min="1" max="1" width="38.77734375" style="9" bestFit="1" customWidth="1"/>
    <col min="2" max="2" width="53.77734375" style="9" bestFit="1" customWidth="1"/>
    <col min="3" max="3" width="22.5546875" style="9" customWidth="1"/>
    <col min="4" max="4" width="15.44140625" style="10" bestFit="1" customWidth="1"/>
    <col min="5" max="5" width="23" style="13" bestFit="1" customWidth="1"/>
    <col min="6" max="6" width="13.5546875" style="14" bestFit="1" customWidth="1"/>
    <col min="7" max="7" width="14.21875" style="13" customWidth="1"/>
    <col min="8" max="16384" width="9.21875" style="9"/>
  </cols>
  <sheetData>
    <row r="1" spans="1:7" s="1" customFormat="1" ht="13.8" x14ac:dyDescent="0.2">
      <c r="A1" s="92" t="s">
        <v>1297</v>
      </c>
      <c r="B1" s="93"/>
      <c r="C1" s="93"/>
      <c r="D1" s="93"/>
      <c r="E1" s="93"/>
      <c r="F1" s="93"/>
      <c r="G1" s="93"/>
    </row>
    <row r="2" spans="1:7" s="1" customFormat="1" ht="11.4" x14ac:dyDescent="0.2">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727</v>
      </c>
      <c r="D4" s="16" t="s">
        <v>1</v>
      </c>
      <c r="E4" s="15" t="s">
        <v>3</v>
      </c>
      <c r="F4" s="15" t="s">
        <v>4</v>
      </c>
      <c r="G4" s="15" t="s">
        <v>6</v>
      </c>
    </row>
    <row r="5" spans="1:7" x14ac:dyDescent="0.2">
      <c r="A5" s="21" t="s">
        <v>26</v>
      </c>
      <c r="B5" s="22"/>
      <c r="C5" s="22"/>
      <c r="D5" s="23"/>
      <c r="E5" s="24"/>
      <c r="F5" s="25"/>
      <c r="G5" s="24"/>
    </row>
    <row r="6" spans="1:7" x14ac:dyDescent="0.2">
      <c r="A6" s="26" t="s">
        <v>27</v>
      </c>
      <c r="B6" s="27"/>
      <c r="C6" s="27"/>
      <c r="D6" s="28"/>
      <c r="E6" s="29"/>
      <c r="F6" s="30"/>
      <c r="G6" s="29"/>
    </row>
    <row r="7" spans="1:7" x14ac:dyDescent="0.2">
      <c r="A7" s="27" t="s">
        <v>934</v>
      </c>
      <c r="B7" s="27" t="s">
        <v>935</v>
      </c>
      <c r="C7" s="27" t="s">
        <v>830</v>
      </c>
      <c r="D7" s="31">
        <v>26</v>
      </c>
      <c r="E7" s="29">
        <v>337.12952000000001</v>
      </c>
      <c r="F7" s="30">
        <v>11.977344071909799</v>
      </c>
      <c r="G7" s="29">
        <v>5.39</v>
      </c>
    </row>
    <row r="8" spans="1:7" x14ac:dyDescent="0.2">
      <c r="A8" s="27" t="s">
        <v>938</v>
      </c>
      <c r="B8" s="27" t="s">
        <v>939</v>
      </c>
      <c r="C8" s="27" t="s">
        <v>33</v>
      </c>
      <c r="D8" s="31">
        <v>28</v>
      </c>
      <c r="E8" s="29">
        <v>284.86836</v>
      </c>
      <c r="F8" s="30">
        <v>10.120639577693099</v>
      </c>
      <c r="G8" s="29">
        <v>3.9049999999999998</v>
      </c>
    </row>
    <row r="9" spans="1:7" x14ac:dyDescent="0.2">
      <c r="A9" s="27" t="s">
        <v>997</v>
      </c>
      <c r="B9" s="27" t="s">
        <v>998</v>
      </c>
      <c r="C9" s="27" t="s">
        <v>885</v>
      </c>
      <c r="D9" s="31">
        <v>27</v>
      </c>
      <c r="E9" s="29">
        <v>280.49651999999998</v>
      </c>
      <c r="F9" s="30">
        <v>9.9653193556391404</v>
      </c>
      <c r="G9" s="29">
        <v>4.05</v>
      </c>
    </row>
    <row r="10" spans="1:7" x14ac:dyDescent="0.2">
      <c r="A10" s="27" t="s">
        <v>1292</v>
      </c>
      <c r="B10" s="27" t="s">
        <v>1293</v>
      </c>
      <c r="C10" s="27" t="s">
        <v>830</v>
      </c>
      <c r="D10" s="31">
        <v>26</v>
      </c>
      <c r="E10" s="29">
        <v>272.29358000000002</v>
      </c>
      <c r="F10" s="30">
        <v>9.6738900118628006</v>
      </c>
      <c r="G10" s="29">
        <v>5.1245000000000003</v>
      </c>
    </row>
    <row r="11" spans="1:7" x14ac:dyDescent="0.2">
      <c r="A11" s="27" t="s">
        <v>924</v>
      </c>
      <c r="B11" s="27" t="s">
        <v>925</v>
      </c>
      <c r="C11" s="27" t="s">
        <v>885</v>
      </c>
      <c r="D11" s="31">
        <v>26</v>
      </c>
      <c r="E11" s="29">
        <v>269.84255999999999</v>
      </c>
      <c r="F11" s="30">
        <v>9.5868115802050493</v>
      </c>
      <c r="G11" s="29">
        <v>3.9750000000000001</v>
      </c>
    </row>
    <row r="12" spans="1:7" x14ac:dyDescent="0.2">
      <c r="A12" s="27" t="s">
        <v>912</v>
      </c>
      <c r="B12" s="27" t="s">
        <v>913</v>
      </c>
      <c r="C12" s="27" t="s">
        <v>33</v>
      </c>
      <c r="D12" s="31">
        <v>26</v>
      </c>
      <c r="E12" s="29">
        <v>269.49675999999999</v>
      </c>
      <c r="F12" s="30">
        <v>9.5745261962966097</v>
      </c>
      <c r="G12" s="29">
        <v>4.0250000000000004</v>
      </c>
    </row>
    <row r="13" spans="1:7" x14ac:dyDescent="0.2">
      <c r="A13" s="27" t="s">
        <v>888</v>
      </c>
      <c r="B13" s="27" t="s">
        <v>889</v>
      </c>
      <c r="C13" s="27" t="s">
        <v>33</v>
      </c>
      <c r="D13" s="31">
        <v>26</v>
      </c>
      <c r="E13" s="29">
        <v>266.07801999999998</v>
      </c>
      <c r="F13" s="30">
        <v>9.4530671639567494</v>
      </c>
      <c r="G13" s="29">
        <v>3.9449999999999998</v>
      </c>
    </row>
    <row r="14" spans="1:7" x14ac:dyDescent="0.2">
      <c r="A14" s="27" t="s">
        <v>863</v>
      </c>
      <c r="B14" s="27" t="s">
        <v>864</v>
      </c>
      <c r="C14" s="27" t="s">
        <v>855</v>
      </c>
      <c r="D14" s="31">
        <v>24</v>
      </c>
      <c r="E14" s="29">
        <v>247.2</v>
      </c>
      <c r="F14" s="30">
        <v>8.7823797055093404</v>
      </c>
      <c r="G14" s="29">
        <v>5.83</v>
      </c>
    </row>
    <row r="15" spans="1:7" x14ac:dyDescent="0.2">
      <c r="A15" s="27" t="s">
        <v>1290</v>
      </c>
      <c r="B15" s="27" t="s">
        <v>1291</v>
      </c>
      <c r="C15" s="27" t="s">
        <v>33</v>
      </c>
      <c r="D15" s="31">
        <v>10</v>
      </c>
      <c r="E15" s="29">
        <v>128.98269999999999</v>
      </c>
      <c r="F15" s="30">
        <v>4.5824233286480602</v>
      </c>
      <c r="G15" s="29">
        <v>5.7443</v>
      </c>
    </row>
    <row r="16" spans="1:7" x14ac:dyDescent="0.2">
      <c r="A16" s="27" t="s">
        <v>1275</v>
      </c>
      <c r="B16" s="27" t="s">
        <v>1276</v>
      </c>
      <c r="C16" s="27" t="s">
        <v>33</v>
      </c>
      <c r="D16" s="31">
        <v>12</v>
      </c>
      <c r="E16" s="29">
        <v>123.5958</v>
      </c>
      <c r="F16" s="30">
        <v>4.3910406375655002</v>
      </c>
      <c r="G16" s="29">
        <v>3.9849999999999999</v>
      </c>
    </row>
    <row r="17" spans="1:9" x14ac:dyDescent="0.2">
      <c r="A17" s="27" t="s">
        <v>1265</v>
      </c>
      <c r="B17" s="27" t="s">
        <v>1266</v>
      </c>
      <c r="C17" s="27" t="s">
        <v>33</v>
      </c>
      <c r="D17" s="31">
        <v>2</v>
      </c>
      <c r="E17" s="29">
        <v>25.61018</v>
      </c>
      <c r="F17" s="30">
        <v>0.90986377462152601</v>
      </c>
      <c r="G17" s="29">
        <v>4.7999000000000001</v>
      </c>
    </row>
    <row r="18" spans="1:9" x14ac:dyDescent="0.2">
      <c r="A18" s="27" t="s">
        <v>1284</v>
      </c>
      <c r="B18" s="27" t="s">
        <v>1285</v>
      </c>
      <c r="C18" s="27" t="s">
        <v>830</v>
      </c>
      <c r="D18" s="31">
        <v>2</v>
      </c>
      <c r="E18" s="29">
        <v>21.072859999999999</v>
      </c>
      <c r="F18" s="30">
        <v>0.74866447411423798</v>
      </c>
      <c r="G18" s="29">
        <v>5.0498000000000003</v>
      </c>
    </row>
    <row r="19" spans="1:9" x14ac:dyDescent="0.2">
      <c r="A19" s="26" t="s">
        <v>34</v>
      </c>
      <c r="B19" s="26"/>
      <c r="C19" s="26"/>
      <c r="D19" s="32"/>
      <c r="E19" s="33">
        <f>SUM(E6:E18)</f>
        <v>2526.6668600000003</v>
      </c>
      <c r="F19" s="34">
        <f>SUM(F6:F18)</f>
        <v>89.76596987802192</v>
      </c>
      <c r="G19" s="33"/>
      <c r="H19" s="18"/>
      <c r="I19" s="18"/>
    </row>
    <row r="20" spans="1:9" x14ac:dyDescent="0.2">
      <c r="A20" s="27"/>
      <c r="B20" s="27"/>
      <c r="C20" s="27"/>
      <c r="D20" s="28"/>
      <c r="E20" s="29"/>
      <c r="F20" s="30"/>
      <c r="G20" s="29"/>
    </row>
    <row r="21" spans="1:9" x14ac:dyDescent="0.2">
      <c r="A21" s="26" t="s">
        <v>36</v>
      </c>
      <c r="B21" s="26"/>
      <c r="C21" s="26"/>
      <c r="D21" s="32"/>
      <c r="E21" s="33">
        <f>E19</f>
        <v>2526.6668600000003</v>
      </c>
      <c r="F21" s="34">
        <f>F19</f>
        <v>89.76596987802192</v>
      </c>
      <c r="G21" s="33"/>
      <c r="H21" s="18"/>
      <c r="I21" s="18"/>
    </row>
    <row r="22" spans="1:9" x14ac:dyDescent="0.2">
      <c r="A22" s="26"/>
      <c r="B22" s="26"/>
      <c r="C22" s="26"/>
      <c r="D22" s="32"/>
      <c r="E22" s="33"/>
      <c r="F22" s="34"/>
      <c r="G22" s="33"/>
      <c r="H22" s="18"/>
      <c r="I22" s="18"/>
    </row>
    <row r="23" spans="1:9" x14ac:dyDescent="0.2">
      <c r="A23" s="26" t="s">
        <v>38</v>
      </c>
      <c r="B23" s="26"/>
      <c r="C23" s="26"/>
      <c r="D23" s="32"/>
      <c r="E23" s="33">
        <f>E25-(E19)</f>
        <v>288.05999409999959</v>
      </c>
      <c r="F23" s="34">
        <f>F25-(F19)</f>
        <v>10.23403012197808</v>
      </c>
      <c r="G23" s="33"/>
      <c r="H23" s="18"/>
      <c r="I23" s="18"/>
    </row>
    <row r="24" spans="1:9" x14ac:dyDescent="0.2">
      <c r="A24" s="26"/>
      <c r="B24" s="26"/>
      <c r="C24" s="26"/>
      <c r="D24" s="32"/>
      <c r="E24" s="33"/>
      <c r="F24" s="34"/>
      <c r="G24" s="33"/>
      <c r="H24" s="18"/>
      <c r="I24" s="18"/>
    </row>
    <row r="25" spans="1:9" x14ac:dyDescent="0.2">
      <c r="A25" s="35" t="s">
        <v>37</v>
      </c>
      <c r="B25" s="35"/>
      <c r="C25" s="35"/>
      <c r="D25" s="36"/>
      <c r="E25" s="37">
        <v>2814.7268540999999</v>
      </c>
      <c r="F25" s="38">
        <v>100</v>
      </c>
      <c r="G25" s="37"/>
      <c r="H25" s="18"/>
      <c r="I25" s="18"/>
    </row>
    <row r="27" spans="1:9" x14ac:dyDescent="0.2">
      <c r="A27" s="18" t="s">
        <v>39</v>
      </c>
    </row>
    <row r="29" spans="1:9" x14ac:dyDescent="0.2">
      <c r="A29" s="18" t="s">
        <v>40</v>
      </c>
    </row>
    <row r="30" spans="1:9" x14ac:dyDescent="0.2">
      <c r="A30" s="18" t="s">
        <v>41</v>
      </c>
    </row>
    <row r="31" spans="1:9" x14ac:dyDescent="0.2">
      <c r="A31" s="18" t="s">
        <v>42</v>
      </c>
      <c r="B31" s="18"/>
      <c r="C31" s="39" t="s">
        <v>44</v>
      </c>
      <c r="D31" s="19" t="s">
        <v>43</v>
      </c>
    </row>
    <row r="32" spans="1:9" x14ac:dyDescent="0.2">
      <c r="A32" s="9" t="s">
        <v>65</v>
      </c>
      <c r="C32" s="40">
        <v>12.251899999999999</v>
      </c>
      <c r="D32" s="40">
        <v>12.6075</v>
      </c>
    </row>
    <row r="33" spans="1:5" x14ac:dyDescent="0.2">
      <c r="A33" s="9" t="s">
        <v>1271</v>
      </c>
      <c r="C33" s="40">
        <v>11.386900000000001</v>
      </c>
      <c r="D33" s="40">
        <v>10.780099999999999</v>
      </c>
    </row>
    <row r="34" spans="1:5" x14ac:dyDescent="0.2">
      <c r="A34" s="9" t="s">
        <v>948</v>
      </c>
      <c r="C34" s="40">
        <v>10.6511</v>
      </c>
      <c r="D34" s="40">
        <v>10.549099999999999</v>
      </c>
    </row>
    <row r="35" spans="1:5" x14ac:dyDescent="0.2">
      <c r="A35" s="9" t="s">
        <v>66</v>
      </c>
      <c r="C35" s="40">
        <v>12.3226</v>
      </c>
      <c r="D35" s="40">
        <v>12.699199999999999</v>
      </c>
    </row>
    <row r="36" spans="1:5" x14ac:dyDescent="0.2">
      <c r="A36" s="9" t="s">
        <v>1004</v>
      </c>
      <c r="C36" s="40">
        <v>11.4518</v>
      </c>
      <c r="D36" s="40">
        <v>10.860799999999999</v>
      </c>
    </row>
    <row r="37" spans="1:5" x14ac:dyDescent="0.2">
      <c r="A37" s="9" t="s">
        <v>952</v>
      </c>
      <c r="C37" s="40">
        <v>10.717599999999999</v>
      </c>
      <c r="D37" s="40">
        <v>10.633599999999999</v>
      </c>
    </row>
    <row r="38" spans="1:5" x14ac:dyDescent="0.2">
      <c r="C38" s="40"/>
      <c r="D38" s="40"/>
    </row>
    <row r="39" spans="1:5" x14ac:dyDescent="0.2">
      <c r="A39" s="18" t="s">
        <v>1560</v>
      </c>
    </row>
    <row r="40" spans="1:5" x14ac:dyDescent="0.2">
      <c r="A40" s="94" t="s">
        <v>64</v>
      </c>
      <c r="B40" s="95"/>
      <c r="C40" s="44" t="s">
        <v>1544</v>
      </c>
    </row>
    <row r="41" spans="1:5" x14ac:dyDescent="0.2">
      <c r="A41" s="88" t="s">
        <v>1271</v>
      </c>
      <c r="B41" s="89"/>
      <c r="C41" s="45">
        <v>0.92</v>
      </c>
    </row>
    <row r="42" spans="1:5" x14ac:dyDescent="0.2">
      <c r="A42" s="88" t="s">
        <v>948</v>
      </c>
      <c r="B42" s="89"/>
      <c r="C42" s="45">
        <v>0.40500000000000003</v>
      </c>
    </row>
    <row r="43" spans="1:5" x14ac:dyDescent="0.2">
      <c r="A43" s="88" t="s">
        <v>1004</v>
      </c>
      <c r="B43" s="89"/>
      <c r="C43" s="45">
        <v>0.92</v>
      </c>
    </row>
    <row r="44" spans="1:5" x14ac:dyDescent="0.2">
      <c r="A44" s="88" t="s">
        <v>952</v>
      </c>
      <c r="B44" s="89"/>
      <c r="C44" s="45">
        <v>0.40500000000000003</v>
      </c>
    </row>
    <row r="45" spans="1:5" x14ac:dyDescent="0.2">
      <c r="A45" s="9" t="s">
        <v>1545</v>
      </c>
    </row>
    <row r="46" spans="1:5" x14ac:dyDescent="0.2">
      <c r="A46" s="9" t="s">
        <v>782</v>
      </c>
    </row>
    <row r="48" spans="1:5" x14ac:dyDescent="0.2">
      <c r="A48" s="18" t="s">
        <v>783</v>
      </c>
      <c r="D48" s="42">
        <v>0.75829583610958895</v>
      </c>
      <c r="E48" s="13" t="s">
        <v>46</v>
      </c>
    </row>
    <row r="50" spans="1:7" x14ac:dyDescent="0.2">
      <c r="A50" s="18" t="s">
        <v>717</v>
      </c>
      <c r="D50" s="41" t="s">
        <v>45</v>
      </c>
    </row>
    <row r="52" spans="1:7" ht="14.4" x14ac:dyDescent="0.2">
      <c r="A52" s="90" t="s">
        <v>784</v>
      </c>
      <c r="B52" s="91"/>
      <c r="C52" s="91"/>
      <c r="D52" s="91"/>
      <c r="E52" s="91"/>
      <c r="F52" s="91"/>
      <c r="G52" s="91"/>
    </row>
    <row r="53" spans="1:7" x14ac:dyDescent="0.2">
      <c r="A53" s="50" t="s">
        <v>47</v>
      </c>
    </row>
    <row r="54" spans="1:7" x14ac:dyDescent="0.2">
      <c r="A54" s="50"/>
    </row>
  </sheetData>
  <mergeCells count="7">
    <mergeCell ref="A52:G52"/>
    <mergeCell ref="A1:G1"/>
    <mergeCell ref="A40:B40"/>
    <mergeCell ref="A41:B41"/>
    <mergeCell ref="A42:B42"/>
    <mergeCell ref="A43:B43"/>
    <mergeCell ref="A44:B44"/>
  </mergeCells>
  <conditionalFormatting sqref="F2:F3 F54:F65536 F5:F51">
    <cfRule type="cellIs" dxfId="154" priority="3" stopIfTrue="1" operator="between">
      <formula>0.009</formula>
      <formula>-0.009</formula>
    </cfRule>
  </conditionalFormatting>
  <conditionalFormatting sqref="F53">
    <cfRule type="cellIs" dxfId="153" priority="1" stopIfTrue="1" operator="between">
      <formula>0.009</formula>
      <formula>-0.009</formula>
    </cfRule>
  </conditionalFormatting>
  <hyperlinks>
    <hyperlink ref="A53" r:id="rId1" xr:uid="{00000000-0004-0000-0D00-000000000000}"/>
  </hyperlinks>
  <pageMargins left="0.7" right="0.7" top="0.75" bottom="0.75" header="0.3" footer="0.3"/>
  <pageSetup paperSize="9" scale="48" orientation="portrait" r:id="rId2"/>
  <headerFooter>
    <oddFooter>&amp;R&amp;1#&amp;"Calibri"&amp;10&amp;KFF0000|PUBLIC|</oddFooter>
    <evenFooter>&amp;LPUBLIC</evenFooter>
    <firstFooter>&amp;LPUBLIC</firstFooter>
  </headerFooter>
  <colBreaks count="1" manualBreakCount="1">
    <brk id="7" max="1048575"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61"/>
  <sheetViews>
    <sheetView view="pageBreakPreview" zoomScaleNormal="100" zoomScaleSheetLayoutView="100" workbookViewId="0">
      <selection sqref="A1:G1"/>
    </sheetView>
  </sheetViews>
  <sheetFormatPr defaultColWidth="9.21875" defaultRowHeight="10.199999999999999" x14ac:dyDescent="0.2"/>
  <cols>
    <col min="1" max="1" width="38.77734375" style="9" bestFit="1" customWidth="1"/>
    <col min="2" max="2" width="53.77734375" style="9" bestFit="1" customWidth="1"/>
    <col min="3" max="3" width="22.77734375" style="9" customWidth="1"/>
    <col min="4" max="4" width="15.44140625" style="10" bestFit="1" customWidth="1"/>
    <col min="5" max="5" width="23" style="13" bestFit="1" customWidth="1"/>
    <col min="6" max="6" width="13.5546875" style="14" bestFit="1" customWidth="1"/>
    <col min="7" max="7" width="14.21875" style="13" customWidth="1"/>
    <col min="8" max="16384" width="9.21875" style="9"/>
  </cols>
  <sheetData>
    <row r="1" spans="1:7" s="1" customFormat="1" ht="13.8" x14ac:dyDescent="0.2">
      <c r="A1" s="92" t="s">
        <v>1298</v>
      </c>
      <c r="B1" s="93"/>
      <c r="C1" s="93"/>
      <c r="D1" s="93"/>
      <c r="E1" s="93"/>
      <c r="F1" s="93"/>
      <c r="G1" s="93"/>
    </row>
    <row r="2" spans="1:7" s="1" customFormat="1" ht="11.4" x14ac:dyDescent="0.2">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727</v>
      </c>
      <c r="D4" s="16" t="s">
        <v>1</v>
      </c>
      <c r="E4" s="15" t="s">
        <v>3</v>
      </c>
      <c r="F4" s="15" t="s">
        <v>4</v>
      </c>
      <c r="G4" s="15" t="s">
        <v>6</v>
      </c>
    </row>
    <row r="5" spans="1:7" x14ac:dyDescent="0.2">
      <c r="A5" s="21" t="s">
        <v>26</v>
      </c>
      <c r="B5" s="22"/>
      <c r="C5" s="22"/>
      <c r="D5" s="23"/>
      <c r="E5" s="24"/>
      <c r="F5" s="25"/>
      <c r="G5" s="24"/>
    </row>
    <row r="6" spans="1:7" x14ac:dyDescent="0.2">
      <c r="A6" s="26" t="s">
        <v>27</v>
      </c>
      <c r="B6" s="27"/>
      <c r="C6" s="27"/>
      <c r="D6" s="28"/>
      <c r="E6" s="29"/>
      <c r="F6" s="30"/>
      <c r="G6" s="29"/>
    </row>
    <row r="7" spans="1:7" x14ac:dyDescent="0.2">
      <c r="A7" s="27" t="s">
        <v>934</v>
      </c>
      <c r="B7" s="27" t="s">
        <v>935</v>
      </c>
      <c r="C7" s="27" t="s">
        <v>830</v>
      </c>
      <c r="D7" s="31">
        <v>50</v>
      </c>
      <c r="E7" s="29">
        <v>648.32600000000002</v>
      </c>
      <c r="F7" s="30">
        <v>12.0459352713176</v>
      </c>
      <c r="G7" s="29">
        <v>5.39</v>
      </c>
    </row>
    <row r="8" spans="1:7" x14ac:dyDescent="0.2">
      <c r="A8" s="27" t="s">
        <v>997</v>
      </c>
      <c r="B8" s="27" t="s">
        <v>998</v>
      </c>
      <c r="C8" s="27" t="s">
        <v>885</v>
      </c>
      <c r="D8" s="31">
        <v>50</v>
      </c>
      <c r="E8" s="29">
        <v>519.43799999999999</v>
      </c>
      <c r="F8" s="30">
        <v>9.6511886388370502</v>
      </c>
      <c r="G8" s="29">
        <v>4.05</v>
      </c>
    </row>
    <row r="9" spans="1:7" x14ac:dyDescent="0.2">
      <c r="A9" s="27" t="s">
        <v>912</v>
      </c>
      <c r="B9" s="27" t="s">
        <v>913</v>
      </c>
      <c r="C9" s="27" t="s">
        <v>33</v>
      </c>
      <c r="D9" s="31">
        <v>50</v>
      </c>
      <c r="E9" s="29">
        <v>518.26300000000003</v>
      </c>
      <c r="F9" s="30">
        <v>9.6293570696206405</v>
      </c>
      <c r="G9" s="29">
        <v>4.0250000000000004</v>
      </c>
    </row>
    <row r="10" spans="1:7" x14ac:dyDescent="0.2">
      <c r="A10" s="27" t="s">
        <v>1299</v>
      </c>
      <c r="B10" s="27" t="s">
        <v>1300</v>
      </c>
      <c r="C10" s="27" t="s">
        <v>33</v>
      </c>
      <c r="D10" s="31">
        <v>50</v>
      </c>
      <c r="E10" s="29">
        <v>517.45950000000005</v>
      </c>
      <c r="F10" s="30">
        <v>9.6144279922883999</v>
      </c>
      <c r="G10" s="29">
        <v>4.2249999999999996</v>
      </c>
    </row>
    <row r="11" spans="1:7" x14ac:dyDescent="0.2">
      <c r="A11" s="27" t="s">
        <v>1301</v>
      </c>
      <c r="B11" s="27" t="s">
        <v>1302</v>
      </c>
      <c r="C11" s="27" t="s">
        <v>33</v>
      </c>
      <c r="D11" s="31">
        <v>50</v>
      </c>
      <c r="E11" s="29">
        <v>511.31</v>
      </c>
      <c r="F11" s="30">
        <v>9.5001699200362193</v>
      </c>
      <c r="G11" s="29">
        <v>3.9849999999999999</v>
      </c>
    </row>
    <row r="12" spans="1:7" x14ac:dyDescent="0.2">
      <c r="A12" s="27" t="s">
        <v>833</v>
      </c>
      <c r="B12" s="27" t="s">
        <v>834</v>
      </c>
      <c r="C12" s="27" t="s">
        <v>835</v>
      </c>
      <c r="D12" s="31">
        <v>48</v>
      </c>
      <c r="E12" s="29">
        <v>505.53071999999997</v>
      </c>
      <c r="F12" s="30">
        <v>9.3927905571928001</v>
      </c>
      <c r="G12" s="29">
        <v>4</v>
      </c>
    </row>
    <row r="13" spans="1:7" x14ac:dyDescent="0.2">
      <c r="A13" s="27" t="s">
        <v>888</v>
      </c>
      <c r="B13" s="27" t="s">
        <v>889</v>
      </c>
      <c r="C13" s="27" t="s">
        <v>33</v>
      </c>
      <c r="D13" s="31">
        <v>49</v>
      </c>
      <c r="E13" s="29">
        <v>501.45472999999998</v>
      </c>
      <c r="F13" s="30">
        <v>9.3170584228860793</v>
      </c>
      <c r="G13" s="29">
        <v>3.9449999999999998</v>
      </c>
    </row>
    <row r="14" spans="1:7" x14ac:dyDescent="0.2">
      <c r="A14" s="27" t="s">
        <v>924</v>
      </c>
      <c r="B14" s="27" t="s">
        <v>925</v>
      </c>
      <c r="C14" s="27" t="s">
        <v>885</v>
      </c>
      <c r="D14" s="31">
        <v>20</v>
      </c>
      <c r="E14" s="29">
        <v>207.5712</v>
      </c>
      <c r="F14" s="30">
        <v>3.85668512351767</v>
      </c>
      <c r="G14" s="29">
        <v>3.9750000000000001</v>
      </c>
    </row>
    <row r="15" spans="1:7" x14ac:dyDescent="0.2">
      <c r="A15" s="27" t="s">
        <v>1292</v>
      </c>
      <c r="B15" s="27" t="s">
        <v>1293</v>
      </c>
      <c r="C15" s="27" t="s">
        <v>830</v>
      </c>
      <c r="D15" s="31">
        <v>15</v>
      </c>
      <c r="E15" s="29">
        <v>157.09245000000001</v>
      </c>
      <c r="F15" s="30">
        <v>2.9187869749365198</v>
      </c>
      <c r="G15" s="29">
        <v>5.1245000000000003</v>
      </c>
    </row>
    <row r="16" spans="1:7" x14ac:dyDescent="0.2">
      <c r="A16" s="27" t="s">
        <v>1284</v>
      </c>
      <c r="B16" s="27" t="s">
        <v>1285</v>
      </c>
      <c r="C16" s="27" t="s">
        <v>830</v>
      </c>
      <c r="D16" s="31">
        <v>6</v>
      </c>
      <c r="E16" s="29">
        <v>63.218580000000003</v>
      </c>
      <c r="F16" s="30">
        <v>1.17460494045374</v>
      </c>
      <c r="G16" s="29">
        <v>5.0498000000000003</v>
      </c>
    </row>
    <row r="17" spans="1:9" x14ac:dyDescent="0.2">
      <c r="A17" s="27" t="s">
        <v>1275</v>
      </c>
      <c r="B17" s="27" t="s">
        <v>1276</v>
      </c>
      <c r="C17" s="27" t="s">
        <v>33</v>
      </c>
      <c r="D17" s="31">
        <v>4</v>
      </c>
      <c r="E17" s="29">
        <v>41.198599999999999</v>
      </c>
      <c r="F17" s="30">
        <v>0.765472414909945</v>
      </c>
      <c r="G17" s="29">
        <v>3.9849999999999999</v>
      </c>
    </row>
    <row r="18" spans="1:9" x14ac:dyDescent="0.2">
      <c r="A18" s="27" t="s">
        <v>1261</v>
      </c>
      <c r="B18" s="27" t="s">
        <v>1262</v>
      </c>
      <c r="C18" s="27" t="s">
        <v>33</v>
      </c>
      <c r="D18" s="31">
        <v>3</v>
      </c>
      <c r="E18" s="29">
        <v>39.069629999999997</v>
      </c>
      <c r="F18" s="30">
        <v>0.72591602689746804</v>
      </c>
      <c r="G18" s="29">
        <v>4.6749999999999998</v>
      </c>
    </row>
    <row r="19" spans="1:9" x14ac:dyDescent="0.2">
      <c r="A19" s="27" t="s">
        <v>1265</v>
      </c>
      <c r="B19" s="27" t="s">
        <v>1266</v>
      </c>
      <c r="C19" s="27" t="s">
        <v>33</v>
      </c>
      <c r="D19" s="31">
        <v>3</v>
      </c>
      <c r="E19" s="29">
        <v>38.41527</v>
      </c>
      <c r="F19" s="30">
        <v>0.71375797955070197</v>
      </c>
      <c r="G19" s="29">
        <v>4.7999000000000001</v>
      </c>
    </row>
    <row r="20" spans="1:9" x14ac:dyDescent="0.2">
      <c r="A20" s="27" t="s">
        <v>1277</v>
      </c>
      <c r="B20" s="27" t="s">
        <v>1278</v>
      </c>
      <c r="C20" s="27" t="s">
        <v>962</v>
      </c>
      <c r="D20" s="31">
        <v>3</v>
      </c>
      <c r="E20" s="29">
        <v>38.17221</v>
      </c>
      <c r="F20" s="30">
        <v>0.70924191043262497</v>
      </c>
      <c r="G20" s="29">
        <v>5.5795000000000003</v>
      </c>
    </row>
    <row r="21" spans="1:9" x14ac:dyDescent="0.2">
      <c r="A21" s="27" t="s">
        <v>918</v>
      </c>
      <c r="B21" s="27" t="s">
        <v>919</v>
      </c>
      <c r="C21" s="27" t="s">
        <v>885</v>
      </c>
      <c r="D21" s="31">
        <v>2</v>
      </c>
      <c r="E21" s="29">
        <v>20.3658</v>
      </c>
      <c r="F21" s="30">
        <v>0.37839776370005201</v>
      </c>
      <c r="G21" s="29">
        <v>3.8649</v>
      </c>
    </row>
    <row r="22" spans="1:9" x14ac:dyDescent="0.2">
      <c r="A22" s="27" t="s">
        <v>860</v>
      </c>
      <c r="B22" s="27" t="s">
        <v>861</v>
      </c>
      <c r="C22" s="27" t="s">
        <v>862</v>
      </c>
      <c r="D22" s="31">
        <v>1</v>
      </c>
      <c r="E22" s="29">
        <v>10.282109999999999</v>
      </c>
      <c r="F22" s="30">
        <v>0.191042209494247</v>
      </c>
      <c r="G22" s="29">
        <v>5.4398</v>
      </c>
    </row>
    <row r="23" spans="1:9" x14ac:dyDescent="0.2">
      <c r="A23" s="26" t="s">
        <v>34</v>
      </c>
      <c r="B23" s="26"/>
      <c r="C23" s="26"/>
      <c r="D23" s="32"/>
      <c r="E23" s="33">
        <f>SUM(E6:E22)</f>
        <v>4337.1677999999993</v>
      </c>
      <c r="F23" s="34">
        <f>SUM(F6:F22)</f>
        <v>80.584833216071743</v>
      </c>
      <c r="G23" s="33"/>
      <c r="H23" s="18"/>
      <c r="I23" s="18"/>
    </row>
    <row r="24" spans="1:9" x14ac:dyDescent="0.2">
      <c r="A24" s="27"/>
      <c r="B24" s="27"/>
      <c r="C24" s="27"/>
      <c r="D24" s="28"/>
      <c r="E24" s="29"/>
      <c r="F24" s="30"/>
      <c r="G24" s="29"/>
    </row>
    <row r="25" spans="1:9" x14ac:dyDescent="0.2">
      <c r="A25" s="26" t="s">
        <v>942</v>
      </c>
      <c r="B25" s="27"/>
      <c r="C25" s="27"/>
      <c r="D25" s="28"/>
      <c r="E25" s="29"/>
      <c r="F25" s="30"/>
      <c r="G25" s="29"/>
    </row>
    <row r="26" spans="1:9" x14ac:dyDescent="0.2">
      <c r="A26" s="27" t="s">
        <v>1303</v>
      </c>
      <c r="B26" s="27" t="s">
        <v>1304</v>
      </c>
      <c r="C26" s="27" t="s">
        <v>33</v>
      </c>
      <c r="D26" s="31">
        <v>50</v>
      </c>
      <c r="E26" s="29">
        <v>515.39149999999995</v>
      </c>
      <c r="F26" s="30">
        <v>9.5760044304675205</v>
      </c>
      <c r="G26" s="29">
        <v>4.9349999999999996</v>
      </c>
    </row>
    <row r="27" spans="1:9" x14ac:dyDescent="0.2">
      <c r="A27" s="26" t="s">
        <v>34</v>
      </c>
      <c r="B27" s="26"/>
      <c r="C27" s="26"/>
      <c r="D27" s="32"/>
      <c r="E27" s="33">
        <f>SUM(E25:E26)</f>
        <v>515.39149999999995</v>
      </c>
      <c r="F27" s="34">
        <f>SUM(F25:F26)</f>
        <v>9.5760044304675205</v>
      </c>
      <c r="G27" s="33"/>
      <c r="H27" s="18"/>
      <c r="I27" s="18"/>
    </row>
    <row r="28" spans="1:9" x14ac:dyDescent="0.2">
      <c r="A28" s="27"/>
      <c r="B28" s="27"/>
      <c r="C28" s="27"/>
      <c r="D28" s="28"/>
      <c r="E28" s="29"/>
      <c r="F28" s="30"/>
      <c r="G28" s="29"/>
    </row>
    <row r="29" spans="1:9" x14ac:dyDescent="0.2">
      <c r="A29" s="26" t="s">
        <v>36</v>
      </c>
      <c r="B29" s="26"/>
      <c r="C29" s="26"/>
      <c r="D29" s="32"/>
      <c r="E29" s="33">
        <f>E23+E27</f>
        <v>4852.559299999999</v>
      </c>
      <c r="F29" s="34">
        <f>F23+F27</f>
        <v>90.160837646539264</v>
      </c>
      <c r="G29" s="33"/>
      <c r="H29" s="18"/>
      <c r="I29" s="18"/>
    </row>
    <row r="30" spans="1:9" x14ac:dyDescent="0.2">
      <c r="A30" s="26"/>
      <c r="B30" s="26"/>
      <c r="C30" s="26"/>
      <c r="D30" s="32"/>
      <c r="E30" s="33"/>
      <c r="F30" s="34"/>
      <c r="G30" s="33"/>
      <c r="H30" s="18"/>
      <c r="I30" s="18"/>
    </row>
    <row r="31" spans="1:9" x14ac:dyDescent="0.2">
      <c r="A31" s="26" t="s">
        <v>38</v>
      </c>
      <c r="B31" s="26"/>
      <c r="C31" s="26"/>
      <c r="D31" s="32"/>
      <c r="E31" s="33">
        <f>E33-(E23+E27)</f>
        <v>529.55496010000115</v>
      </c>
      <c r="F31" s="34">
        <f>F33-(F23+F27)</f>
        <v>9.8391623534607362</v>
      </c>
      <c r="G31" s="33"/>
      <c r="H31" s="18"/>
      <c r="I31" s="18"/>
    </row>
    <row r="32" spans="1:9" x14ac:dyDescent="0.2">
      <c r="A32" s="26"/>
      <c r="B32" s="26"/>
      <c r="C32" s="26"/>
      <c r="D32" s="32"/>
      <c r="E32" s="33"/>
      <c r="F32" s="34"/>
      <c r="G32" s="33"/>
      <c r="H32" s="18"/>
      <c r="I32" s="18"/>
    </row>
    <row r="33" spans="1:9" x14ac:dyDescent="0.2">
      <c r="A33" s="35" t="s">
        <v>37</v>
      </c>
      <c r="B33" s="35"/>
      <c r="C33" s="35"/>
      <c r="D33" s="36"/>
      <c r="E33" s="37">
        <v>5382.1142601000001</v>
      </c>
      <c r="F33" s="38">
        <v>100</v>
      </c>
      <c r="G33" s="37"/>
      <c r="H33" s="18"/>
      <c r="I33" s="18"/>
    </row>
    <row r="35" spans="1:9" x14ac:dyDescent="0.2">
      <c r="A35" s="18" t="s">
        <v>39</v>
      </c>
    </row>
    <row r="37" spans="1:9" x14ac:dyDescent="0.2">
      <c r="A37" s="18" t="s">
        <v>40</v>
      </c>
    </row>
    <row r="38" spans="1:9" x14ac:dyDescent="0.2">
      <c r="A38" s="18" t="s">
        <v>41</v>
      </c>
    </row>
    <row r="39" spans="1:9" x14ac:dyDescent="0.2">
      <c r="A39" s="18" t="s">
        <v>42</v>
      </c>
      <c r="B39" s="18"/>
      <c r="C39" s="39" t="s">
        <v>44</v>
      </c>
      <c r="D39" s="19" t="s">
        <v>43</v>
      </c>
    </row>
    <row r="40" spans="1:9" x14ac:dyDescent="0.2">
      <c r="A40" s="9" t="s">
        <v>65</v>
      </c>
      <c r="C40" s="40">
        <v>12.2461</v>
      </c>
      <c r="D40" s="40">
        <v>12.595700000000001</v>
      </c>
    </row>
    <row r="41" spans="1:9" x14ac:dyDescent="0.2">
      <c r="A41" s="9" t="s">
        <v>1271</v>
      </c>
      <c r="C41" s="40">
        <v>11.4125</v>
      </c>
      <c r="D41" s="40">
        <v>10.8329</v>
      </c>
    </row>
    <row r="42" spans="1:9" x14ac:dyDescent="0.2">
      <c r="A42" s="9" t="s">
        <v>948</v>
      </c>
      <c r="C42" s="40">
        <v>10.7171</v>
      </c>
      <c r="D42" s="40">
        <v>10.588699999999999</v>
      </c>
    </row>
    <row r="43" spans="1:9" x14ac:dyDescent="0.2">
      <c r="A43" s="9" t="s">
        <v>66</v>
      </c>
      <c r="C43" s="40">
        <v>12.375500000000001</v>
      </c>
      <c r="D43" s="40">
        <v>12.7288</v>
      </c>
    </row>
    <row r="44" spans="1:9" x14ac:dyDescent="0.2">
      <c r="A44" s="9" t="s">
        <v>1004</v>
      </c>
      <c r="C44" s="40">
        <v>11.4284</v>
      </c>
      <c r="D44" s="40">
        <v>10.8466</v>
      </c>
    </row>
    <row r="45" spans="1:9" x14ac:dyDescent="0.2">
      <c r="A45" s="9" t="s">
        <v>952</v>
      </c>
      <c r="C45" s="40">
        <v>10.744</v>
      </c>
      <c r="D45" s="40">
        <v>10.615399999999999</v>
      </c>
    </row>
    <row r="46" spans="1:9" x14ac:dyDescent="0.2">
      <c r="C46" s="40"/>
      <c r="D46" s="40"/>
    </row>
    <row r="47" spans="1:9" x14ac:dyDescent="0.2">
      <c r="A47" s="18" t="s">
        <v>1560</v>
      </c>
    </row>
    <row r="48" spans="1:9" x14ac:dyDescent="0.2">
      <c r="A48" s="94" t="s">
        <v>64</v>
      </c>
      <c r="B48" s="95"/>
      <c r="C48" s="44" t="s">
        <v>1544</v>
      </c>
    </row>
    <row r="49" spans="1:7" x14ac:dyDescent="0.2">
      <c r="A49" s="88" t="s">
        <v>1271</v>
      </c>
      <c r="B49" s="89"/>
      <c r="C49" s="45">
        <v>0.89</v>
      </c>
    </row>
    <row r="50" spans="1:7" x14ac:dyDescent="0.2">
      <c r="A50" s="88" t="s">
        <v>948</v>
      </c>
      <c r="B50" s="89"/>
      <c r="C50" s="45">
        <v>0.43</v>
      </c>
    </row>
    <row r="51" spans="1:7" x14ac:dyDescent="0.2">
      <c r="A51" s="88" t="s">
        <v>1004</v>
      </c>
      <c r="B51" s="89"/>
      <c r="C51" s="45">
        <v>0.89</v>
      </c>
    </row>
    <row r="52" spans="1:7" x14ac:dyDescent="0.2">
      <c r="A52" s="88" t="s">
        <v>952</v>
      </c>
      <c r="B52" s="89"/>
      <c r="C52" s="45">
        <v>0.43</v>
      </c>
    </row>
    <row r="53" spans="1:7" x14ac:dyDescent="0.2">
      <c r="A53" s="9" t="s">
        <v>1545</v>
      </c>
    </row>
    <row r="54" spans="1:7" x14ac:dyDescent="0.2">
      <c r="A54" s="9" t="s">
        <v>782</v>
      </c>
    </row>
    <row r="56" spans="1:7" x14ac:dyDescent="0.2">
      <c r="A56" s="18" t="s">
        <v>783</v>
      </c>
      <c r="D56" s="42">
        <v>0.77822810906849305</v>
      </c>
      <c r="E56" s="13" t="s">
        <v>46</v>
      </c>
    </row>
    <row r="58" spans="1:7" x14ac:dyDescent="0.2">
      <c r="A58" s="18" t="s">
        <v>717</v>
      </c>
      <c r="D58" s="41" t="s">
        <v>45</v>
      </c>
    </row>
    <row r="60" spans="1:7" ht="14.4" x14ac:dyDescent="0.2">
      <c r="A60" s="90" t="s">
        <v>784</v>
      </c>
      <c r="B60" s="91"/>
      <c r="C60" s="91"/>
      <c r="D60" s="91"/>
      <c r="E60" s="91"/>
      <c r="F60" s="91"/>
      <c r="G60" s="91"/>
    </row>
    <row r="61" spans="1:7" x14ac:dyDescent="0.2">
      <c r="A61" s="50" t="s">
        <v>47</v>
      </c>
    </row>
  </sheetData>
  <mergeCells count="7">
    <mergeCell ref="A60:G60"/>
    <mergeCell ref="A1:G1"/>
    <mergeCell ref="A48:B48"/>
    <mergeCell ref="A49:B49"/>
    <mergeCell ref="A50:B50"/>
    <mergeCell ref="A51:B51"/>
    <mergeCell ref="A52:B52"/>
  </mergeCells>
  <conditionalFormatting sqref="F2:F3 F63:F65536 F5:F59">
    <cfRule type="cellIs" dxfId="152" priority="3" stopIfTrue="1" operator="between">
      <formula>0.009</formula>
      <formula>-0.009</formula>
    </cfRule>
  </conditionalFormatting>
  <conditionalFormatting sqref="F62">
    <cfRule type="cellIs" dxfId="151" priority="2" stopIfTrue="1" operator="between">
      <formula>0.009</formula>
      <formula>-0.009</formula>
    </cfRule>
  </conditionalFormatting>
  <conditionalFormatting sqref="F61">
    <cfRule type="cellIs" dxfId="150" priority="1" stopIfTrue="1" operator="between">
      <formula>0.009</formula>
      <formula>-0.009</formula>
    </cfRule>
  </conditionalFormatting>
  <hyperlinks>
    <hyperlink ref="A61" r:id="rId1" xr:uid="{00000000-0004-0000-0E00-000000000000}"/>
  </hyperlinks>
  <pageMargins left="0.7" right="0.7" top="0.75" bottom="0.75" header="0.3" footer="0.3"/>
  <pageSetup paperSize="9" scale="48" orientation="portrait" r:id="rId2"/>
  <headerFooter>
    <oddFooter>&amp;R&amp;1#&amp;"Calibri"&amp;10&amp;KFF0000|PUBLIC|</oddFooter>
    <evenFooter>&amp;LPUBLIC</evenFooter>
    <firstFooter>&amp;LPUBLIC</firstFooter>
  </headerFooter>
  <colBreaks count="1" manualBreakCount="1">
    <brk id="7" max="1048575" man="1"/>
  </col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54"/>
  <sheetViews>
    <sheetView view="pageBreakPreview" zoomScaleNormal="100" zoomScaleSheetLayoutView="100" workbookViewId="0">
      <selection sqref="A1:G1"/>
    </sheetView>
  </sheetViews>
  <sheetFormatPr defaultColWidth="9.21875" defaultRowHeight="10.199999999999999" x14ac:dyDescent="0.2"/>
  <cols>
    <col min="1" max="1" width="38.77734375" style="9" bestFit="1" customWidth="1"/>
    <col min="2" max="2" width="54.21875" style="9" bestFit="1" customWidth="1"/>
    <col min="3" max="3" width="23" style="9" customWidth="1"/>
    <col min="4" max="4" width="15.44140625" style="10" bestFit="1" customWidth="1"/>
    <col min="5" max="5" width="23" style="13" bestFit="1" customWidth="1"/>
    <col min="6" max="6" width="13.5546875" style="14" bestFit="1" customWidth="1"/>
    <col min="7" max="7" width="14.21875" style="13" customWidth="1"/>
    <col min="8" max="16384" width="9.21875" style="9"/>
  </cols>
  <sheetData>
    <row r="1" spans="1:7" s="1" customFormat="1" ht="13.8" x14ac:dyDescent="0.2">
      <c r="A1" s="92" t="s">
        <v>1305</v>
      </c>
      <c r="B1" s="93"/>
      <c r="C1" s="93"/>
      <c r="D1" s="93"/>
      <c r="E1" s="93"/>
      <c r="F1" s="93"/>
      <c r="G1" s="93"/>
    </row>
    <row r="2" spans="1:7" s="1" customFormat="1" ht="11.4" x14ac:dyDescent="0.2">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727</v>
      </c>
      <c r="D4" s="16" t="s">
        <v>1</v>
      </c>
      <c r="E4" s="15" t="s">
        <v>3</v>
      </c>
      <c r="F4" s="15" t="s">
        <v>4</v>
      </c>
      <c r="G4" s="15" t="s">
        <v>6</v>
      </c>
    </row>
    <row r="5" spans="1:7" x14ac:dyDescent="0.2">
      <c r="A5" s="21" t="s">
        <v>26</v>
      </c>
      <c r="B5" s="22"/>
      <c r="C5" s="22"/>
      <c r="D5" s="23"/>
      <c r="E5" s="24"/>
      <c r="F5" s="25"/>
      <c r="G5" s="24"/>
    </row>
    <row r="6" spans="1:7" x14ac:dyDescent="0.2">
      <c r="A6" s="26" t="s">
        <v>27</v>
      </c>
      <c r="B6" s="27"/>
      <c r="C6" s="27"/>
      <c r="D6" s="28"/>
      <c r="E6" s="29"/>
      <c r="F6" s="30"/>
      <c r="G6" s="29"/>
    </row>
    <row r="7" spans="1:7" x14ac:dyDescent="0.2">
      <c r="A7" s="27" t="s">
        <v>928</v>
      </c>
      <c r="B7" s="27" t="s">
        <v>929</v>
      </c>
      <c r="C7" s="27" t="s">
        <v>885</v>
      </c>
      <c r="D7" s="31">
        <v>31</v>
      </c>
      <c r="E7" s="29">
        <v>316.58501999999999</v>
      </c>
      <c r="F7" s="30">
        <v>9.6482396325505597</v>
      </c>
      <c r="G7" s="29">
        <v>3.4950000000000001</v>
      </c>
    </row>
    <row r="8" spans="1:7" x14ac:dyDescent="0.2">
      <c r="A8" s="27" t="s">
        <v>926</v>
      </c>
      <c r="B8" s="27" t="s">
        <v>927</v>
      </c>
      <c r="C8" s="27" t="s">
        <v>33</v>
      </c>
      <c r="D8" s="31">
        <v>31</v>
      </c>
      <c r="E8" s="29">
        <v>314.19337000000002</v>
      </c>
      <c r="F8" s="30">
        <v>9.5753517482242891</v>
      </c>
      <c r="G8" s="29">
        <v>3.6749999999999998</v>
      </c>
    </row>
    <row r="9" spans="1:7" x14ac:dyDescent="0.2">
      <c r="A9" s="27" t="s">
        <v>1306</v>
      </c>
      <c r="B9" s="27" t="s">
        <v>1307</v>
      </c>
      <c r="C9" s="27" t="s">
        <v>33</v>
      </c>
      <c r="D9" s="31">
        <v>31</v>
      </c>
      <c r="E9" s="29">
        <v>312.64274999999998</v>
      </c>
      <c r="F9" s="30">
        <v>9.5280950797343404</v>
      </c>
      <c r="G9" s="29">
        <v>3.4931999999999999</v>
      </c>
    </row>
    <row r="10" spans="1:7" x14ac:dyDescent="0.2">
      <c r="A10" s="27" t="s">
        <v>888</v>
      </c>
      <c r="B10" s="27" t="s">
        <v>889</v>
      </c>
      <c r="C10" s="27" t="s">
        <v>33</v>
      </c>
      <c r="D10" s="31">
        <v>30</v>
      </c>
      <c r="E10" s="29">
        <v>307.01310000000001</v>
      </c>
      <c r="F10" s="30">
        <v>9.3565259630168498</v>
      </c>
      <c r="G10" s="29">
        <v>3.9449999999999998</v>
      </c>
    </row>
    <row r="11" spans="1:7" x14ac:dyDescent="0.2">
      <c r="A11" s="27" t="s">
        <v>1251</v>
      </c>
      <c r="B11" s="27" t="s">
        <v>1252</v>
      </c>
      <c r="C11" s="27" t="s">
        <v>885</v>
      </c>
      <c r="D11" s="31">
        <v>26</v>
      </c>
      <c r="E11" s="29">
        <v>265.14280000000002</v>
      </c>
      <c r="F11" s="30">
        <v>8.08048741928922</v>
      </c>
      <c r="G11" s="29">
        <v>4.3250000000000002</v>
      </c>
    </row>
    <row r="12" spans="1:7" x14ac:dyDescent="0.2">
      <c r="A12" s="27" t="s">
        <v>1205</v>
      </c>
      <c r="B12" s="27" t="s">
        <v>1206</v>
      </c>
      <c r="C12" s="27" t="s">
        <v>33</v>
      </c>
      <c r="D12" s="31">
        <v>22</v>
      </c>
      <c r="E12" s="29">
        <v>222.60172</v>
      </c>
      <c r="F12" s="30">
        <v>6.7840061958014397</v>
      </c>
      <c r="G12" s="29">
        <v>3.6501000000000001</v>
      </c>
    </row>
    <row r="13" spans="1:7" x14ac:dyDescent="0.2">
      <c r="A13" s="27" t="s">
        <v>916</v>
      </c>
      <c r="B13" s="27" t="s">
        <v>917</v>
      </c>
      <c r="C13" s="27" t="s">
        <v>885</v>
      </c>
      <c r="D13" s="31">
        <v>16</v>
      </c>
      <c r="E13" s="29">
        <v>204.76895999999999</v>
      </c>
      <c r="F13" s="30">
        <v>6.2405353082977904</v>
      </c>
      <c r="G13" s="29">
        <v>4.54</v>
      </c>
    </row>
    <row r="14" spans="1:7" x14ac:dyDescent="0.2">
      <c r="A14" s="27" t="s">
        <v>1308</v>
      </c>
      <c r="B14" s="27" t="s">
        <v>1309</v>
      </c>
      <c r="C14" s="27" t="s">
        <v>33</v>
      </c>
      <c r="D14" s="31">
        <v>20</v>
      </c>
      <c r="E14" s="29">
        <v>196.6628</v>
      </c>
      <c r="F14" s="30">
        <v>5.9934921153514003</v>
      </c>
      <c r="G14" s="29">
        <v>4.0750000000000002</v>
      </c>
    </row>
    <row r="15" spans="1:7" x14ac:dyDescent="0.2">
      <c r="A15" s="27" t="s">
        <v>1310</v>
      </c>
      <c r="B15" s="27" t="s">
        <v>1311</v>
      </c>
      <c r="C15" s="27" t="s">
        <v>885</v>
      </c>
      <c r="D15" s="31">
        <v>19</v>
      </c>
      <c r="E15" s="29">
        <v>193.173</v>
      </c>
      <c r="F15" s="30">
        <v>5.8871370304845403</v>
      </c>
      <c r="G15" s="29">
        <v>3.5</v>
      </c>
    </row>
    <row r="16" spans="1:7" x14ac:dyDescent="0.2">
      <c r="A16" s="27" t="s">
        <v>1312</v>
      </c>
      <c r="B16" s="27" t="s">
        <v>1313</v>
      </c>
      <c r="C16" s="27" t="s">
        <v>33</v>
      </c>
      <c r="D16" s="31">
        <v>19</v>
      </c>
      <c r="E16" s="29">
        <v>192.91156000000001</v>
      </c>
      <c r="F16" s="30">
        <v>5.8791693895344599</v>
      </c>
      <c r="G16" s="29">
        <v>3.605</v>
      </c>
    </row>
    <row r="17" spans="1:9" x14ac:dyDescent="0.2">
      <c r="A17" s="27" t="s">
        <v>1314</v>
      </c>
      <c r="B17" s="27" t="s">
        <v>1315</v>
      </c>
      <c r="C17" s="27" t="s">
        <v>33</v>
      </c>
      <c r="D17" s="31">
        <v>16</v>
      </c>
      <c r="E17" s="29">
        <v>160.7928</v>
      </c>
      <c r="F17" s="30">
        <v>4.9003186113757904</v>
      </c>
      <c r="G17" s="29">
        <v>3.3397000000000001</v>
      </c>
    </row>
    <row r="18" spans="1:9" x14ac:dyDescent="0.2">
      <c r="A18" s="27" t="s">
        <v>1316</v>
      </c>
      <c r="B18" s="27" t="s">
        <v>1317</v>
      </c>
      <c r="C18" s="27" t="s">
        <v>962</v>
      </c>
      <c r="D18" s="31">
        <v>7</v>
      </c>
      <c r="E18" s="29">
        <v>88.778760000000005</v>
      </c>
      <c r="F18" s="30">
        <v>2.7056199650908801</v>
      </c>
      <c r="G18" s="29">
        <v>4.4448999999999996</v>
      </c>
    </row>
    <row r="19" spans="1:9" x14ac:dyDescent="0.2">
      <c r="A19" s="26" t="s">
        <v>34</v>
      </c>
      <c r="B19" s="26"/>
      <c r="C19" s="26"/>
      <c r="D19" s="32"/>
      <c r="E19" s="33">
        <f>SUM(E6:E18)</f>
        <v>2775.2666400000003</v>
      </c>
      <c r="F19" s="34">
        <f>SUM(F6:F18)</f>
        <v>84.57897845875155</v>
      </c>
      <c r="G19" s="33"/>
      <c r="H19" s="18"/>
      <c r="I19" s="18"/>
    </row>
    <row r="20" spans="1:9" x14ac:dyDescent="0.2">
      <c r="A20" s="27"/>
      <c r="B20" s="27"/>
      <c r="C20" s="27"/>
      <c r="D20" s="28"/>
      <c r="E20" s="29"/>
      <c r="F20" s="30"/>
      <c r="G20" s="29"/>
    </row>
    <row r="21" spans="1:9" x14ac:dyDescent="0.2">
      <c r="A21" s="26" t="s">
        <v>942</v>
      </c>
      <c r="B21" s="27"/>
      <c r="C21" s="27"/>
      <c r="D21" s="28"/>
      <c r="E21" s="29"/>
      <c r="F21" s="30"/>
      <c r="G21" s="29"/>
    </row>
    <row r="22" spans="1:9" x14ac:dyDescent="0.2">
      <c r="A22" s="27" t="s">
        <v>1209</v>
      </c>
      <c r="B22" s="27" t="s">
        <v>1210</v>
      </c>
      <c r="C22" s="27" t="s">
        <v>33</v>
      </c>
      <c r="D22" s="31">
        <v>3</v>
      </c>
      <c r="E22" s="29">
        <v>30.44088</v>
      </c>
      <c r="F22" s="30">
        <v>0.92771573609425895</v>
      </c>
      <c r="G22" s="29">
        <v>4.4450000000000003</v>
      </c>
    </row>
    <row r="23" spans="1:9" x14ac:dyDescent="0.2">
      <c r="A23" s="26" t="s">
        <v>34</v>
      </c>
      <c r="B23" s="26"/>
      <c r="C23" s="26"/>
      <c r="D23" s="32"/>
      <c r="E23" s="33">
        <f>SUM(E21:E22)</f>
        <v>30.44088</v>
      </c>
      <c r="F23" s="34">
        <f>SUM(F21:F22)</f>
        <v>0.92771573609425895</v>
      </c>
      <c r="G23" s="33"/>
      <c r="H23" s="18"/>
      <c r="I23" s="18"/>
    </row>
    <row r="24" spans="1:9" x14ac:dyDescent="0.2">
      <c r="A24" s="27"/>
      <c r="B24" s="27"/>
      <c r="C24" s="27"/>
      <c r="D24" s="28"/>
      <c r="E24" s="29"/>
      <c r="F24" s="30"/>
      <c r="G24" s="29"/>
    </row>
    <row r="25" spans="1:9" x14ac:dyDescent="0.2">
      <c r="A25" s="26" t="s">
        <v>36</v>
      </c>
      <c r="B25" s="26"/>
      <c r="C25" s="26"/>
      <c r="D25" s="32"/>
      <c r="E25" s="33">
        <f>E19+E23</f>
        <v>2805.7075200000004</v>
      </c>
      <c r="F25" s="34">
        <f>F19+F23</f>
        <v>85.506694194845807</v>
      </c>
      <c r="G25" s="33"/>
      <c r="H25" s="18"/>
      <c r="I25" s="18"/>
    </row>
    <row r="26" spans="1:9" x14ac:dyDescent="0.2">
      <c r="A26" s="26"/>
      <c r="B26" s="26"/>
      <c r="C26" s="26"/>
      <c r="D26" s="32"/>
      <c r="E26" s="33"/>
      <c r="F26" s="34"/>
      <c r="G26" s="33"/>
      <c r="H26" s="18"/>
      <c r="I26" s="18"/>
    </row>
    <row r="27" spans="1:9" x14ac:dyDescent="0.2">
      <c r="A27" s="26" t="s">
        <v>38</v>
      </c>
      <c r="B27" s="26"/>
      <c r="C27" s="26"/>
      <c r="D27" s="32"/>
      <c r="E27" s="33">
        <f>E29-(E19+E23)</f>
        <v>475.56483699999944</v>
      </c>
      <c r="F27" s="34">
        <f>F29-(F19+F23)</f>
        <v>14.493305805154193</v>
      </c>
      <c r="G27" s="33"/>
      <c r="H27" s="18"/>
      <c r="I27" s="18"/>
    </row>
    <row r="28" spans="1:9" x14ac:dyDescent="0.2">
      <c r="A28" s="26"/>
      <c r="B28" s="26"/>
      <c r="C28" s="26"/>
      <c r="D28" s="32"/>
      <c r="E28" s="33"/>
      <c r="F28" s="34"/>
      <c r="G28" s="33"/>
      <c r="H28" s="18"/>
      <c r="I28" s="18"/>
    </row>
    <row r="29" spans="1:9" x14ac:dyDescent="0.2">
      <c r="A29" s="35" t="s">
        <v>37</v>
      </c>
      <c r="B29" s="35"/>
      <c r="C29" s="35"/>
      <c r="D29" s="36"/>
      <c r="E29" s="37">
        <v>3281.2723569999998</v>
      </c>
      <c r="F29" s="38">
        <v>100</v>
      </c>
      <c r="G29" s="37"/>
      <c r="H29" s="18"/>
      <c r="I29" s="18"/>
    </row>
    <row r="31" spans="1:9" x14ac:dyDescent="0.2">
      <c r="A31" s="18" t="s">
        <v>39</v>
      </c>
    </row>
    <row r="33" spans="1:4" x14ac:dyDescent="0.2">
      <c r="A33" s="18" t="s">
        <v>40</v>
      </c>
    </row>
    <row r="34" spans="1:4" x14ac:dyDescent="0.2">
      <c r="A34" s="18" t="s">
        <v>41</v>
      </c>
    </row>
    <row r="35" spans="1:4" x14ac:dyDescent="0.2">
      <c r="A35" s="18" t="s">
        <v>42</v>
      </c>
      <c r="B35" s="18"/>
      <c r="C35" s="39" t="s">
        <v>44</v>
      </c>
      <c r="D35" s="19" t="s">
        <v>43</v>
      </c>
    </row>
    <row r="36" spans="1:4" x14ac:dyDescent="0.2">
      <c r="A36" s="9" t="s">
        <v>65</v>
      </c>
      <c r="C36" s="40">
        <v>12.1553</v>
      </c>
      <c r="D36" s="40">
        <v>12.443099999999999</v>
      </c>
    </row>
    <row r="37" spans="1:4" x14ac:dyDescent="0.2">
      <c r="A37" s="9" t="s">
        <v>1271</v>
      </c>
      <c r="C37" s="40">
        <v>10.460800000000001</v>
      </c>
      <c r="D37" s="40">
        <v>10.708500000000001</v>
      </c>
    </row>
    <row r="38" spans="1:4" x14ac:dyDescent="0.2">
      <c r="A38" s="9" t="s">
        <v>948</v>
      </c>
      <c r="C38" s="40">
        <v>10.452</v>
      </c>
      <c r="D38" s="40">
        <v>10.271800000000001</v>
      </c>
    </row>
    <row r="39" spans="1:4" x14ac:dyDescent="0.2">
      <c r="A39" s="9" t="s">
        <v>66</v>
      </c>
      <c r="C39" s="40">
        <v>12.277100000000001</v>
      </c>
      <c r="D39" s="40">
        <v>12.5678</v>
      </c>
    </row>
    <row r="40" spans="1:4" x14ac:dyDescent="0.2">
      <c r="A40" s="9" t="s">
        <v>952</v>
      </c>
      <c r="C40" s="40">
        <v>10.5707</v>
      </c>
      <c r="D40" s="40">
        <v>10.3934</v>
      </c>
    </row>
    <row r="41" spans="1:4" x14ac:dyDescent="0.2">
      <c r="C41" s="40"/>
      <c r="D41" s="40"/>
    </row>
    <row r="42" spans="1:4" x14ac:dyDescent="0.2">
      <c r="A42" s="18" t="s">
        <v>1560</v>
      </c>
    </row>
    <row r="43" spans="1:4" x14ac:dyDescent="0.2">
      <c r="A43" s="94" t="s">
        <v>64</v>
      </c>
      <c r="B43" s="95"/>
      <c r="C43" s="44" t="s">
        <v>1544</v>
      </c>
    </row>
    <row r="44" spans="1:4" x14ac:dyDescent="0.2">
      <c r="A44" s="88" t="s">
        <v>948</v>
      </c>
      <c r="B44" s="89"/>
      <c r="C44" s="45">
        <v>0.42499999999999999</v>
      </c>
    </row>
    <row r="45" spans="1:4" x14ac:dyDescent="0.2">
      <c r="A45" s="88" t="s">
        <v>952</v>
      </c>
      <c r="B45" s="89"/>
      <c r="C45" s="45">
        <v>0.42499999999999999</v>
      </c>
    </row>
    <row r="46" spans="1:4" x14ac:dyDescent="0.2">
      <c r="A46" s="9" t="s">
        <v>1545</v>
      </c>
    </row>
    <row r="47" spans="1:4" x14ac:dyDescent="0.2">
      <c r="A47" s="9" t="s">
        <v>782</v>
      </c>
    </row>
    <row r="49" spans="1:7" x14ac:dyDescent="0.2">
      <c r="A49" s="18" t="s">
        <v>783</v>
      </c>
      <c r="D49" s="42">
        <v>0.27133767709589002</v>
      </c>
      <c r="E49" s="13" t="s">
        <v>46</v>
      </c>
    </row>
    <row r="51" spans="1:7" x14ac:dyDescent="0.2">
      <c r="A51" s="18" t="s">
        <v>717</v>
      </c>
      <c r="D51" s="41" t="s">
        <v>45</v>
      </c>
    </row>
    <row r="53" spans="1:7" ht="14.4" x14ac:dyDescent="0.2">
      <c r="A53" s="90" t="s">
        <v>784</v>
      </c>
      <c r="B53" s="91"/>
      <c r="C53" s="91"/>
      <c r="D53" s="91"/>
      <c r="E53" s="91"/>
      <c r="F53" s="91"/>
      <c r="G53" s="91"/>
    </row>
    <row r="54" spans="1:7" x14ac:dyDescent="0.2">
      <c r="A54" s="50" t="s">
        <v>47</v>
      </c>
    </row>
  </sheetData>
  <mergeCells count="5">
    <mergeCell ref="A1:G1"/>
    <mergeCell ref="A43:B43"/>
    <mergeCell ref="A44:B44"/>
    <mergeCell ref="A45:B45"/>
    <mergeCell ref="A53:G53"/>
  </mergeCells>
  <conditionalFormatting sqref="F2:F3 F56:F65536 F5:F52">
    <cfRule type="cellIs" dxfId="149" priority="3" stopIfTrue="1" operator="between">
      <formula>0.009</formula>
      <formula>-0.009</formula>
    </cfRule>
  </conditionalFormatting>
  <conditionalFormatting sqref="F55">
    <cfRule type="cellIs" dxfId="148" priority="2" stopIfTrue="1" operator="between">
      <formula>0.009</formula>
      <formula>-0.009</formula>
    </cfRule>
  </conditionalFormatting>
  <conditionalFormatting sqref="F54">
    <cfRule type="cellIs" dxfId="147" priority="1" stopIfTrue="1" operator="between">
      <formula>0.009</formula>
      <formula>-0.009</formula>
    </cfRule>
  </conditionalFormatting>
  <hyperlinks>
    <hyperlink ref="A54" r:id="rId1" xr:uid="{00000000-0004-0000-0F00-000000000000}"/>
  </hyperlinks>
  <pageMargins left="0.7" right="0.7" top="0.75" bottom="0.75" header="0.3" footer="0.3"/>
  <pageSetup paperSize="9" scale="48" orientation="portrait" r:id="rId2"/>
  <headerFooter>
    <oddFooter>&amp;R&amp;1#&amp;"Calibri"&amp;10&amp;KFF0000|PUBLIC|</oddFooter>
    <evenFooter>&amp;LPUBLIC</evenFooter>
    <firstFooter>&amp;LPUBLIC</firstFooter>
  </headerFooter>
  <colBreaks count="1" manualBreakCount="1">
    <brk id="7" max="1048575"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51"/>
  <sheetViews>
    <sheetView view="pageBreakPreview" zoomScaleNormal="100" zoomScaleSheetLayoutView="100" workbookViewId="0">
      <selection sqref="A1:G1"/>
    </sheetView>
  </sheetViews>
  <sheetFormatPr defaultColWidth="9.21875" defaultRowHeight="10.199999999999999" x14ac:dyDescent="0.2"/>
  <cols>
    <col min="1" max="1" width="38.77734375" style="9" bestFit="1" customWidth="1"/>
    <col min="2" max="2" width="54.21875" style="9" bestFit="1" customWidth="1"/>
    <col min="3" max="3" width="22.77734375" style="9" customWidth="1"/>
    <col min="4" max="4" width="15.44140625" style="10" bestFit="1" customWidth="1"/>
    <col min="5" max="5" width="23" style="13" bestFit="1" customWidth="1"/>
    <col min="6" max="6" width="13.5546875" style="14" bestFit="1" customWidth="1"/>
    <col min="7" max="7" width="14.21875" style="13" customWidth="1"/>
    <col min="8" max="16384" width="9.21875" style="9"/>
  </cols>
  <sheetData>
    <row r="1" spans="1:9" s="1" customFormat="1" ht="13.8" x14ac:dyDescent="0.2">
      <c r="A1" s="92" t="s">
        <v>1318</v>
      </c>
      <c r="B1" s="93"/>
      <c r="C1" s="93"/>
      <c r="D1" s="93"/>
      <c r="E1" s="93"/>
      <c r="F1" s="93"/>
      <c r="G1" s="93"/>
    </row>
    <row r="2" spans="1:9" s="1" customFormat="1" ht="11.4" x14ac:dyDescent="0.2">
      <c r="D2" s="6"/>
      <c r="E2" s="7"/>
      <c r="F2" s="12"/>
      <c r="G2" s="13"/>
    </row>
    <row r="3" spans="1:9" s="1" customFormat="1" ht="12" x14ac:dyDescent="0.2">
      <c r="A3" s="11" t="s">
        <v>7</v>
      </c>
      <c r="B3" s="2"/>
      <c r="C3" s="3"/>
      <c r="D3" s="4"/>
      <c r="E3" s="5"/>
      <c r="F3" s="12"/>
      <c r="G3" s="13"/>
    </row>
    <row r="4" spans="1:9" s="1" customFormat="1" ht="17.55" customHeight="1" x14ac:dyDescent="0.2">
      <c r="A4" s="8" t="s">
        <v>2</v>
      </c>
      <c r="B4" s="8" t="s">
        <v>0</v>
      </c>
      <c r="C4" s="17" t="s">
        <v>727</v>
      </c>
      <c r="D4" s="16" t="s">
        <v>1</v>
      </c>
      <c r="E4" s="15" t="s">
        <v>3</v>
      </c>
      <c r="F4" s="15" t="s">
        <v>4</v>
      </c>
      <c r="G4" s="15" t="s">
        <v>6</v>
      </c>
    </row>
    <row r="5" spans="1:9" x14ac:dyDescent="0.2">
      <c r="A5" s="21" t="s">
        <v>26</v>
      </c>
      <c r="B5" s="22"/>
      <c r="C5" s="22"/>
      <c r="D5" s="23"/>
      <c r="E5" s="24"/>
      <c r="F5" s="25"/>
      <c r="G5" s="24"/>
    </row>
    <row r="6" spans="1:9" x14ac:dyDescent="0.2">
      <c r="A6" s="26" t="s">
        <v>27</v>
      </c>
      <c r="B6" s="27"/>
      <c r="C6" s="27"/>
      <c r="D6" s="28"/>
      <c r="E6" s="29"/>
      <c r="F6" s="30"/>
      <c r="G6" s="29"/>
    </row>
    <row r="7" spans="1:9" x14ac:dyDescent="0.2">
      <c r="A7" s="27" t="s">
        <v>926</v>
      </c>
      <c r="B7" s="27" t="s">
        <v>927</v>
      </c>
      <c r="C7" s="27" t="s">
        <v>33</v>
      </c>
      <c r="D7" s="31">
        <v>44</v>
      </c>
      <c r="E7" s="29">
        <v>445.95188000000002</v>
      </c>
      <c r="F7" s="30">
        <v>10.897588083098</v>
      </c>
      <c r="G7" s="29">
        <v>3.6749999999999998</v>
      </c>
    </row>
    <row r="8" spans="1:9" x14ac:dyDescent="0.2">
      <c r="A8" s="27" t="s">
        <v>1310</v>
      </c>
      <c r="B8" s="27" t="s">
        <v>1311</v>
      </c>
      <c r="C8" s="27" t="s">
        <v>885</v>
      </c>
      <c r="D8" s="31">
        <v>41</v>
      </c>
      <c r="E8" s="29">
        <v>416.84699999999998</v>
      </c>
      <c r="F8" s="30">
        <v>10.1863611376078</v>
      </c>
      <c r="G8" s="29">
        <v>3.5</v>
      </c>
    </row>
    <row r="9" spans="1:9" x14ac:dyDescent="0.2">
      <c r="A9" s="27" t="s">
        <v>1312</v>
      </c>
      <c r="B9" s="27" t="s">
        <v>1313</v>
      </c>
      <c r="C9" s="27" t="s">
        <v>33</v>
      </c>
      <c r="D9" s="31">
        <v>41</v>
      </c>
      <c r="E9" s="29">
        <v>416.28284000000002</v>
      </c>
      <c r="F9" s="30">
        <v>10.172574934278099</v>
      </c>
      <c r="G9" s="29">
        <v>3.605</v>
      </c>
    </row>
    <row r="10" spans="1:9" x14ac:dyDescent="0.2">
      <c r="A10" s="27" t="s">
        <v>888</v>
      </c>
      <c r="B10" s="27" t="s">
        <v>889</v>
      </c>
      <c r="C10" s="27" t="s">
        <v>33</v>
      </c>
      <c r="D10" s="31">
        <v>40</v>
      </c>
      <c r="E10" s="29">
        <v>409.35079999999999</v>
      </c>
      <c r="F10" s="30">
        <v>10.003178818052399</v>
      </c>
      <c r="G10" s="29">
        <v>3.9449999999999998</v>
      </c>
    </row>
    <row r="11" spans="1:9" x14ac:dyDescent="0.2">
      <c r="A11" s="27" t="s">
        <v>1308</v>
      </c>
      <c r="B11" s="27" t="s">
        <v>1309</v>
      </c>
      <c r="C11" s="27" t="s">
        <v>33</v>
      </c>
      <c r="D11" s="31">
        <v>33</v>
      </c>
      <c r="E11" s="29">
        <v>324.49362000000002</v>
      </c>
      <c r="F11" s="30">
        <v>7.9295501710931999</v>
      </c>
      <c r="G11" s="29">
        <v>4.0750000000000002</v>
      </c>
    </row>
    <row r="12" spans="1:9" x14ac:dyDescent="0.2">
      <c r="A12" s="27" t="s">
        <v>1205</v>
      </c>
      <c r="B12" s="27" t="s">
        <v>1206</v>
      </c>
      <c r="C12" s="27" t="s">
        <v>33</v>
      </c>
      <c r="D12" s="31">
        <v>30</v>
      </c>
      <c r="E12" s="29">
        <v>303.5478</v>
      </c>
      <c r="F12" s="30">
        <v>7.4177036498436104</v>
      </c>
      <c r="G12" s="29">
        <v>3.6501000000000001</v>
      </c>
    </row>
    <row r="13" spans="1:9" x14ac:dyDescent="0.2">
      <c r="A13" s="27" t="s">
        <v>1319</v>
      </c>
      <c r="B13" s="27" t="s">
        <v>1320</v>
      </c>
      <c r="C13" s="27" t="s">
        <v>33</v>
      </c>
      <c r="D13" s="31">
        <v>26</v>
      </c>
      <c r="E13" s="29">
        <v>261.85275999999999</v>
      </c>
      <c r="F13" s="30">
        <v>6.39881486070274</v>
      </c>
      <c r="G13" s="29">
        <v>3.7902</v>
      </c>
    </row>
    <row r="14" spans="1:9" x14ac:dyDescent="0.2">
      <c r="A14" s="27" t="s">
        <v>1158</v>
      </c>
      <c r="B14" s="27" t="s">
        <v>1159</v>
      </c>
      <c r="C14" s="27" t="s">
        <v>911</v>
      </c>
      <c r="D14" s="31">
        <v>26000</v>
      </c>
      <c r="E14" s="29">
        <v>261.45600000000002</v>
      </c>
      <c r="F14" s="30">
        <v>6.3891193593678199</v>
      </c>
      <c r="G14" s="29">
        <v>6.6246</v>
      </c>
    </row>
    <row r="15" spans="1:9" x14ac:dyDescent="0.2">
      <c r="A15" s="27" t="s">
        <v>932</v>
      </c>
      <c r="B15" s="27" t="s">
        <v>933</v>
      </c>
      <c r="C15" s="27" t="s">
        <v>885</v>
      </c>
      <c r="D15" s="31">
        <v>150</v>
      </c>
      <c r="E15" s="29">
        <v>152.05095</v>
      </c>
      <c r="F15" s="30">
        <v>3.7156220100333099</v>
      </c>
      <c r="G15" s="29">
        <v>3.4449999999999998</v>
      </c>
    </row>
    <row r="16" spans="1:9" x14ac:dyDescent="0.2">
      <c r="A16" s="26" t="s">
        <v>34</v>
      </c>
      <c r="B16" s="26"/>
      <c r="C16" s="26"/>
      <c r="D16" s="32"/>
      <c r="E16" s="33">
        <f>SUM(E6:E15)</f>
        <v>2991.8336499999996</v>
      </c>
      <c r="F16" s="34">
        <f>SUM(F6:F15)</f>
        <v>73.11051302407698</v>
      </c>
      <c r="G16" s="33"/>
      <c r="H16" s="18"/>
      <c r="I16" s="18"/>
    </row>
    <row r="17" spans="1:9" x14ac:dyDescent="0.2">
      <c r="A17" s="27"/>
      <c r="B17" s="27"/>
      <c r="C17" s="27"/>
      <c r="D17" s="28"/>
      <c r="E17" s="29"/>
      <c r="F17" s="30"/>
      <c r="G17" s="29"/>
    </row>
    <row r="18" spans="1:9" x14ac:dyDescent="0.2">
      <c r="A18" s="26" t="s">
        <v>942</v>
      </c>
      <c r="B18" s="27"/>
      <c r="C18" s="27"/>
      <c r="D18" s="28"/>
      <c r="E18" s="29"/>
      <c r="F18" s="30"/>
      <c r="G18" s="29"/>
    </row>
    <row r="19" spans="1:9" x14ac:dyDescent="0.2">
      <c r="A19" s="27" t="s">
        <v>1209</v>
      </c>
      <c r="B19" s="27" t="s">
        <v>1210</v>
      </c>
      <c r="C19" s="27" t="s">
        <v>33</v>
      </c>
      <c r="D19" s="31">
        <v>34</v>
      </c>
      <c r="E19" s="29">
        <v>344.99664000000001</v>
      </c>
      <c r="F19" s="30">
        <v>8.4305761257758398</v>
      </c>
      <c r="G19" s="29">
        <v>4.4450000000000003</v>
      </c>
    </row>
    <row r="20" spans="1:9" x14ac:dyDescent="0.2">
      <c r="A20" s="27" t="s">
        <v>943</v>
      </c>
      <c r="B20" s="27" t="s">
        <v>944</v>
      </c>
      <c r="C20" s="27" t="s">
        <v>33</v>
      </c>
      <c r="D20" s="31">
        <v>7</v>
      </c>
      <c r="E20" s="29">
        <v>70.181510000000003</v>
      </c>
      <c r="F20" s="30">
        <v>1.7150038408400099</v>
      </c>
      <c r="G20" s="29">
        <v>3.4466000000000001</v>
      </c>
    </row>
    <row r="21" spans="1:9" x14ac:dyDescent="0.2">
      <c r="A21" s="26" t="s">
        <v>34</v>
      </c>
      <c r="B21" s="26"/>
      <c r="C21" s="26"/>
      <c r="D21" s="32"/>
      <c r="E21" s="33">
        <f>SUM(E18:E20)</f>
        <v>415.17815000000002</v>
      </c>
      <c r="F21" s="34">
        <f>SUM(F18:F20)</f>
        <v>10.14557996661585</v>
      </c>
      <c r="G21" s="33"/>
      <c r="H21" s="18"/>
      <c r="I21" s="18"/>
    </row>
    <row r="22" spans="1:9" x14ac:dyDescent="0.2">
      <c r="A22" s="27"/>
      <c r="B22" s="27"/>
      <c r="C22" s="27"/>
      <c r="D22" s="28"/>
      <c r="E22" s="29"/>
      <c r="F22" s="30"/>
      <c r="G22" s="29"/>
    </row>
    <row r="23" spans="1:9" x14ac:dyDescent="0.2">
      <c r="A23" s="26" t="s">
        <v>36</v>
      </c>
      <c r="B23" s="26"/>
      <c r="C23" s="26"/>
      <c r="D23" s="32"/>
      <c r="E23" s="33">
        <f>E16+E21</f>
        <v>3407.0117999999998</v>
      </c>
      <c r="F23" s="34">
        <f>F16+F21</f>
        <v>83.256092990692835</v>
      </c>
      <c r="G23" s="33"/>
      <c r="H23" s="18"/>
      <c r="I23" s="18"/>
    </row>
    <row r="24" spans="1:9" x14ac:dyDescent="0.2">
      <c r="A24" s="26"/>
      <c r="B24" s="26"/>
      <c r="C24" s="26"/>
      <c r="D24" s="32"/>
      <c r="E24" s="33"/>
      <c r="F24" s="34"/>
      <c r="G24" s="33"/>
      <c r="H24" s="18"/>
      <c r="I24" s="18"/>
    </row>
    <row r="25" spans="1:9" x14ac:dyDescent="0.2">
      <c r="A25" s="26" t="s">
        <v>38</v>
      </c>
      <c r="B25" s="26"/>
      <c r="C25" s="26"/>
      <c r="D25" s="32"/>
      <c r="E25" s="33">
        <f>E27-(E16+E21)</f>
        <v>685.19536180000023</v>
      </c>
      <c r="F25" s="34">
        <f>F27-(F16+F21)</f>
        <v>16.743907009307165</v>
      </c>
      <c r="G25" s="33"/>
      <c r="H25" s="18"/>
      <c r="I25" s="18"/>
    </row>
    <row r="26" spans="1:9" x14ac:dyDescent="0.2">
      <c r="A26" s="26"/>
      <c r="B26" s="26"/>
      <c r="C26" s="26"/>
      <c r="D26" s="32"/>
      <c r="E26" s="33"/>
      <c r="F26" s="34"/>
      <c r="G26" s="33"/>
      <c r="H26" s="18"/>
      <c r="I26" s="18"/>
    </row>
    <row r="27" spans="1:9" x14ac:dyDescent="0.2">
      <c r="A27" s="35" t="s">
        <v>37</v>
      </c>
      <c r="B27" s="35"/>
      <c r="C27" s="35"/>
      <c r="D27" s="36"/>
      <c r="E27" s="37">
        <v>4092.2071618</v>
      </c>
      <c r="F27" s="38">
        <v>100</v>
      </c>
      <c r="G27" s="37"/>
      <c r="H27" s="18"/>
      <c r="I27" s="18"/>
    </row>
    <row r="29" spans="1:9" x14ac:dyDescent="0.2">
      <c r="A29" s="18" t="s">
        <v>39</v>
      </c>
    </row>
    <row r="31" spans="1:9" x14ac:dyDescent="0.2">
      <c r="A31" s="18" t="s">
        <v>40</v>
      </c>
    </row>
    <row r="32" spans="1:9" x14ac:dyDescent="0.2">
      <c r="A32" s="18" t="s">
        <v>41</v>
      </c>
    </row>
    <row r="33" spans="1:5" x14ac:dyDescent="0.2">
      <c r="A33" s="18" t="s">
        <v>42</v>
      </c>
      <c r="B33" s="18"/>
      <c r="C33" s="39" t="s">
        <v>44</v>
      </c>
      <c r="D33" s="19" t="s">
        <v>43</v>
      </c>
    </row>
    <row r="34" spans="1:5" x14ac:dyDescent="0.2">
      <c r="A34" s="9" t="s">
        <v>65</v>
      </c>
      <c r="C34" s="40">
        <v>11.5373</v>
      </c>
      <c r="D34" s="40">
        <v>11.8287</v>
      </c>
    </row>
    <row r="35" spans="1:5" x14ac:dyDescent="0.2">
      <c r="A35" s="9" t="s">
        <v>1271</v>
      </c>
      <c r="C35" s="40">
        <v>10.412699999999999</v>
      </c>
      <c r="D35" s="40">
        <v>10.675700000000001</v>
      </c>
    </row>
    <row r="36" spans="1:5" x14ac:dyDescent="0.2">
      <c r="A36" s="9" t="s">
        <v>948</v>
      </c>
      <c r="C36" s="40">
        <v>10.3931</v>
      </c>
      <c r="D36" s="40">
        <v>10.242900000000001</v>
      </c>
    </row>
    <row r="37" spans="1:5" x14ac:dyDescent="0.2">
      <c r="A37" s="9" t="s">
        <v>66</v>
      </c>
      <c r="C37" s="40">
        <v>11.6525</v>
      </c>
      <c r="D37" s="40">
        <v>11.9468</v>
      </c>
    </row>
    <row r="38" spans="1:5" x14ac:dyDescent="0.2">
      <c r="C38" s="40"/>
      <c r="D38" s="40"/>
    </row>
    <row r="39" spans="1:5" x14ac:dyDescent="0.2">
      <c r="A39" s="18" t="s">
        <v>1560</v>
      </c>
    </row>
    <row r="40" spans="1:5" x14ac:dyDescent="0.2">
      <c r="A40" s="94" t="s">
        <v>64</v>
      </c>
      <c r="B40" s="95"/>
      <c r="C40" s="44" t="s">
        <v>1544</v>
      </c>
    </row>
    <row r="41" spans="1:5" x14ac:dyDescent="0.2">
      <c r="A41" s="88" t="s">
        <v>948</v>
      </c>
      <c r="B41" s="89"/>
      <c r="C41" s="45">
        <v>0.41</v>
      </c>
    </row>
    <row r="42" spans="1:5" x14ac:dyDescent="0.2">
      <c r="A42" s="9" t="s">
        <v>1545</v>
      </c>
    </row>
    <row r="43" spans="1:5" x14ac:dyDescent="0.2">
      <c r="A43" s="9" t="s">
        <v>782</v>
      </c>
    </row>
    <row r="45" spans="1:5" x14ac:dyDescent="0.2">
      <c r="A45" s="18" t="s">
        <v>783</v>
      </c>
      <c r="D45" s="42">
        <v>0.28283677312328798</v>
      </c>
      <c r="E45" s="13" t="s">
        <v>46</v>
      </c>
    </row>
    <row r="47" spans="1:5" x14ac:dyDescent="0.2">
      <c r="A47" s="18" t="s">
        <v>717</v>
      </c>
      <c r="D47" s="41" t="s">
        <v>45</v>
      </c>
    </row>
    <row r="49" spans="1:7" ht="14.4" x14ac:dyDescent="0.2">
      <c r="A49" s="90" t="s">
        <v>784</v>
      </c>
      <c r="B49" s="91"/>
      <c r="C49" s="91"/>
      <c r="D49" s="91"/>
      <c r="E49" s="91"/>
      <c r="F49" s="91"/>
      <c r="G49" s="91"/>
    </row>
    <row r="50" spans="1:7" x14ac:dyDescent="0.2">
      <c r="A50" s="50" t="s">
        <v>47</v>
      </c>
    </row>
    <row r="51" spans="1:7" x14ac:dyDescent="0.2">
      <c r="A51" s="50"/>
    </row>
  </sheetData>
  <mergeCells count="4">
    <mergeCell ref="A1:G1"/>
    <mergeCell ref="A40:B40"/>
    <mergeCell ref="A41:B41"/>
    <mergeCell ref="A49:G49"/>
  </mergeCells>
  <conditionalFormatting sqref="F2:F3 F51:F65536 F5:F48">
    <cfRule type="cellIs" dxfId="146" priority="3" stopIfTrue="1" operator="between">
      <formula>0.009</formula>
      <formula>-0.009</formula>
    </cfRule>
  </conditionalFormatting>
  <conditionalFormatting sqref="F50">
    <cfRule type="cellIs" dxfId="145" priority="1" stopIfTrue="1" operator="between">
      <formula>0.009</formula>
      <formula>-0.009</formula>
    </cfRule>
  </conditionalFormatting>
  <hyperlinks>
    <hyperlink ref="A50" r:id="rId1" xr:uid="{00000000-0004-0000-1000-000000000000}"/>
  </hyperlinks>
  <pageMargins left="0.7" right="0.7" top="0.75" bottom="0.75" header="0.3" footer="0.3"/>
  <pageSetup paperSize="9" scale="48" orientation="portrait" r:id="rId2"/>
  <headerFooter>
    <oddFooter>&amp;R&amp;1#&amp;"Calibri"&amp;10&amp;KFF0000|PUBLIC|</oddFooter>
    <evenFooter>&amp;LPUBLIC</evenFooter>
    <firstFooter>&amp;LPUBLIC</firstFooter>
  </headerFooter>
  <colBreaks count="1" manualBreakCount="1">
    <brk id="7" max="1048575" man="1"/>
  </col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52"/>
  <sheetViews>
    <sheetView view="pageBreakPreview" zoomScaleNormal="100" zoomScaleSheetLayoutView="100" workbookViewId="0">
      <selection sqref="A1:G1"/>
    </sheetView>
  </sheetViews>
  <sheetFormatPr defaultColWidth="9.21875" defaultRowHeight="10.199999999999999" x14ac:dyDescent="0.2"/>
  <cols>
    <col min="1" max="1" width="38.77734375" style="9" bestFit="1" customWidth="1"/>
    <col min="2" max="2" width="54.21875" style="9" bestFit="1" customWidth="1"/>
    <col min="3" max="3" width="22.5546875" style="9" customWidth="1"/>
    <col min="4" max="4" width="15.44140625" style="10" bestFit="1" customWidth="1"/>
    <col min="5" max="5" width="23" style="13" bestFit="1" customWidth="1"/>
    <col min="6" max="6" width="13.5546875" style="14" bestFit="1" customWidth="1"/>
    <col min="7" max="7" width="14.21875" style="13" customWidth="1"/>
    <col min="8" max="16384" width="9.21875" style="9"/>
  </cols>
  <sheetData>
    <row r="1" spans="1:7" s="1" customFormat="1" ht="13.8" x14ac:dyDescent="0.2">
      <c r="A1" s="92" t="s">
        <v>1321</v>
      </c>
      <c r="B1" s="93"/>
      <c r="C1" s="93"/>
      <c r="D1" s="93"/>
      <c r="E1" s="93"/>
      <c r="F1" s="93"/>
      <c r="G1" s="93"/>
    </row>
    <row r="2" spans="1:7" s="1" customFormat="1" ht="11.4" x14ac:dyDescent="0.2">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727</v>
      </c>
      <c r="D4" s="16" t="s">
        <v>1</v>
      </c>
      <c r="E4" s="15" t="s">
        <v>3</v>
      </c>
      <c r="F4" s="15" t="s">
        <v>4</v>
      </c>
      <c r="G4" s="15" t="s">
        <v>6</v>
      </c>
    </row>
    <row r="5" spans="1:7" x14ac:dyDescent="0.2">
      <c r="A5" s="21" t="s">
        <v>26</v>
      </c>
      <c r="B5" s="22"/>
      <c r="C5" s="22"/>
      <c r="D5" s="23"/>
      <c r="E5" s="24"/>
      <c r="F5" s="25"/>
      <c r="G5" s="24"/>
    </row>
    <row r="6" spans="1:7" x14ac:dyDescent="0.2">
      <c r="A6" s="26" t="s">
        <v>27</v>
      </c>
      <c r="B6" s="27"/>
      <c r="C6" s="27"/>
      <c r="D6" s="28"/>
      <c r="E6" s="29"/>
      <c r="F6" s="30"/>
      <c r="G6" s="29"/>
    </row>
    <row r="7" spans="1:7" x14ac:dyDescent="0.2">
      <c r="A7" s="27" t="s">
        <v>888</v>
      </c>
      <c r="B7" s="27" t="s">
        <v>889</v>
      </c>
      <c r="C7" s="27" t="s">
        <v>33</v>
      </c>
      <c r="D7" s="31">
        <v>98</v>
      </c>
      <c r="E7" s="29">
        <v>1002.90946</v>
      </c>
      <c r="F7" s="30">
        <v>10.394047499932</v>
      </c>
      <c r="G7" s="29">
        <v>3.9449999999999998</v>
      </c>
    </row>
    <row r="8" spans="1:7" x14ac:dyDescent="0.2">
      <c r="A8" s="27" t="s">
        <v>926</v>
      </c>
      <c r="B8" s="27" t="s">
        <v>927</v>
      </c>
      <c r="C8" s="27" t="s">
        <v>33</v>
      </c>
      <c r="D8" s="31">
        <v>92</v>
      </c>
      <c r="E8" s="29">
        <v>932.44484</v>
      </c>
      <c r="F8" s="30">
        <v>9.6637596359162199</v>
      </c>
      <c r="G8" s="29">
        <v>3.6749999999999998</v>
      </c>
    </row>
    <row r="9" spans="1:7" x14ac:dyDescent="0.2">
      <c r="A9" s="27" t="s">
        <v>1310</v>
      </c>
      <c r="B9" s="27" t="s">
        <v>1311</v>
      </c>
      <c r="C9" s="27" t="s">
        <v>885</v>
      </c>
      <c r="D9" s="31">
        <v>90</v>
      </c>
      <c r="E9" s="29">
        <v>915.03</v>
      </c>
      <c r="F9" s="30">
        <v>9.4832740772659694</v>
      </c>
      <c r="G9" s="29">
        <v>3.5</v>
      </c>
    </row>
    <row r="10" spans="1:7" x14ac:dyDescent="0.2">
      <c r="A10" s="27" t="s">
        <v>1312</v>
      </c>
      <c r="B10" s="27" t="s">
        <v>1313</v>
      </c>
      <c r="C10" s="27" t="s">
        <v>33</v>
      </c>
      <c r="D10" s="31">
        <v>90</v>
      </c>
      <c r="E10" s="29">
        <v>913.79160000000002</v>
      </c>
      <c r="F10" s="30">
        <v>9.4704394307327604</v>
      </c>
      <c r="G10" s="29">
        <v>3.605</v>
      </c>
    </row>
    <row r="11" spans="1:7" x14ac:dyDescent="0.2">
      <c r="A11" s="27" t="s">
        <v>1322</v>
      </c>
      <c r="B11" s="27" t="s">
        <v>1323</v>
      </c>
      <c r="C11" s="27" t="s">
        <v>33</v>
      </c>
      <c r="D11" s="31">
        <v>60</v>
      </c>
      <c r="E11" s="29">
        <v>757.27560000000005</v>
      </c>
      <c r="F11" s="30">
        <v>7.8483241716949603</v>
      </c>
      <c r="G11" s="29">
        <v>4.3998999999999997</v>
      </c>
    </row>
    <row r="12" spans="1:7" x14ac:dyDescent="0.2">
      <c r="A12" s="27" t="s">
        <v>1308</v>
      </c>
      <c r="B12" s="27" t="s">
        <v>1309</v>
      </c>
      <c r="C12" s="27" t="s">
        <v>33</v>
      </c>
      <c r="D12" s="31">
        <v>75</v>
      </c>
      <c r="E12" s="29">
        <v>737.4855</v>
      </c>
      <c r="F12" s="30">
        <v>7.6432216697917399</v>
      </c>
      <c r="G12" s="29">
        <v>4.0750000000000002</v>
      </c>
    </row>
    <row r="13" spans="1:7" x14ac:dyDescent="0.2">
      <c r="A13" s="27" t="s">
        <v>1316</v>
      </c>
      <c r="B13" s="27" t="s">
        <v>1317</v>
      </c>
      <c r="C13" s="27" t="s">
        <v>962</v>
      </c>
      <c r="D13" s="31">
        <v>58</v>
      </c>
      <c r="E13" s="29">
        <v>735.59544000000005</v>
      </c>
      <c r="F13" s="30">
        <v>7.6236332879873396</v>
      </c>
      <c r="G13" s="29">
        <v>4.4448999999999996</v>
      </c>
    </row>
    <row r="14" spans="1:7" x14ac:dyDescent="0.2">
      <c r="A14" s="27" t="s">
        <v>1205</v>
      </c>
      <c r="B14" s="27" t="s">
        <v>1206</v>
      </c>
      <c r="C14" s="27" t="s">
        <v>33</v>
      </c>
      <c r="D14" s="31">
        <v>71</v>
      </c>
      <c r="E14" s="29">
        <v>718.39646000000005</v>
      </c>
      <c r="F14" s="30">
        <v>7.4453848795314297</v>
      </c>
      <c r="G14" s="29">
        <v>3.6501000000000001</v>
      </c>
    </row>
    <row r="15" spans="1:7" x14ac:dyDescent="0.2">
      <c r="A15" s="27" t="s">
        <v>932</v>
      </c>
      <c r="B15" s="27" t="s">
        <v>933</v>
      </c>
      <c r="C15" s="27" t="s">
        <v>885</v>
      </c>
      <c r="D15" s="31">
        <v>470</v>
      </c>
      <c r="E15" s="29">
        <v>476.42631</v>
      </c>
      <c r="F15" s="30">
        <v>4.9376318539834596</v>
      </c>
      <c r="G15" s="29">
        <v>3.4449999999999998</v>
      </c>
    </row>
    <row r="16" spans="1:7" x14ac:dyDescent="0.2">
      <c r="A16" s="27" t="s">
        <v>1324</v>
      </c>
      <c r="B16" s="27" t="s">
        <v>1325</v>
      </c>
      <c r="C16" s="27" t="s">
        <v>962</v>
      </c>
      <c r="D16" s="31">
        <v>10</v>
      </c>
      <c r="E16" s="29">
        <v>126.9462</v>
      </c>
      <c r="F16" s="30">
        <v>1.31565698137484</v>
      </c>
      <c r="G16" s="29">
        <v>4.7496</v>
      </c>
    </row>
    <row r="17" spans="1:9" x14ac:dyDescent="0.2">
      <c r="A17" s="27" t="s">
        <v>901</v>
      </c>
      <c r="B17" s="27" t="s">
        <v>902</v>
      </c>
      <c r="C17" s="27" t="s">
        <v>33</v>
      </c>
      <c r="D17" s="31">
        <v>8</v>
      </c>
      <c r="E17" s="29">
        <v>81.089759999999998</v>
      </c>
      <c r="F17" s="30">
        <v>0.84040569045792901</v>
      </c>
      <c r="G17" s="29">
        <v>3.57</v>
      </c>
    </row>
    <row r="18" spans="1:9" x14ac:dyDescent="0.2">
      <c r="A18" s="27" t="s">
        <v>916</v>
      </c>
      <c r="B18" s="27" t="s">
        <v>917</v>
      </c>
      <c r="C18" s="27" t="s">
        <v>885</v>
      </c>
      <c r="D18" s="31">
        <v>6</v>
      </c>
      <c r="E18" s="29">
        <v>76.788359999999997</v>
      </c>
      <c r="F18" s="30">
        <v>0.79582643609910897</v>
      </c>
      <c r="G18" s="29">
        <v>4.54</v>
      </c>
    </row>
    <row r="19" spans="1:9" x14ac:dyDescent="0.2">
      <c r="A19" s="27" t="s">
        <v>1319</v>
      </c>
      <c r="B19" s="27" t="s">
        <v>1320</v>
      </c>
      <c r="C19" s="27" t="s">
        <v>33</v>
      </c>
      <c r="D19" s="31">
        <v>4</v>
      </c>
      <c r="E19" s="29">
        <v>40.285040000000002</v>
      </c>
      <c r="F19" s="30">
        <v>0.41750989096928298</v>
      </c>
      <c r="G19" s="29">
        <v>3.7902</v>
      </c>
    </row>
    <row r="20" spans="1:9" x14ac:dyDescent="0.2">
      <c r="A20" s="26" t="s">
        <v>34</v>
      </c>
      <c r="B20" s="26"/>
      <c r="C20" s="26"/>
      <c r="D20" s="32"/>
      <c r="E20" s="33">
        <f>SUM(E6:E19)</f>
        <v>7514.4645699999992</v>
      </c>
      <c r="F20" s="34">
        <f>SUM(F6:F19)</f>
        <v>77.879115505737047</v>
      </c>
      <c r="G20" s="33"/>
      <c r="H20" s="18"/>
      <c r="I20" s="18"/>
    </row>
    <row r="21" spans="1:9" x14ac:dyDescent="0.2">
      <c r="A21" s="27"/>
      <c r="B21" s="27"/>
      <c r="C21" s="27"/>
      <c r="D21" s="28"/>
      <c r="E21" s="29"/>
      <c r="F21" s="30"/>
      <c r="G21" s="29"/>
    </row>
    <row r="22" spans="1:9" x14ac:dyDescent="0.2">
      <c r="A22" s="26" t="s">
        <v>36</v>
      </c>
      <c r="B22" s="26"/>
      <c r="C22" s="26"/>
      <c r="D22" s="32"/>
      <c r="E22" s="33">
        <f>E20</f>
        <v>7514.4645699999992</v>
      </c>
      <c r="F22" s="34">
        <f>F20</f>
        <v>77.879115505737047</v>
      </c>
      <c r="G22" s="33"/>
      <c r="H22" s="18"/>
      <c r="I22" s="18"/>
    </row>
    <row r="23" spans="1:9" x14ac:dyDescent="0.2">
      <c r="A23" s="26"/>
      <c r="B23" s="26"/>
      <c r="C23" s="26"/>
      <c r="D23" s="32"/>
      <c r="E23" s="33"/>
      <c r="F23" s="34"/>
      <c r="G23" s="33"/>
      <c r="H23" s="18"/>
      <c r="I23" s="18"/>
    </row>
    <row r="24" spans="1:9" x14ac:dyDescent="0.2">
      <c r="A24" s="26" t="s">
        <v>38</v>
      </c>
      <c r="B24" s="26"/>
      <c r="C24" s="26"/>
      <c r="D24" s="32"/>
      <c r="E24" s="33">
        <f>E26-(E20)</f>
        <v>2134.4182161000017</v>
      </c>
      <c r="F24" s="34">
        <f>F26-(F20)</f>
        <v>22.120884494262953</v>
      </c>
      <c r="G24" s="33"/>
      <c r="H24" s="18"/>
      <c r="I24" s="18"/>
    </row>
    <row r="25" spans="1:9" x14ac:dyDescent="0.2">
      <c r="A25" s="26"/>
      <c r="B25" s="26"/>
      <c r="C25" s="26"/>
      <c r="D25" s="32"/>
      <c r="E25" s="33"/>
      <c r="F25" s="34"/>
      <c r="G25" s="33"/>
      <c r="H25" s="18"/>
      <c r="I25" s="18"/>
    </row>
    <row r="26" spans="1:9" x14ac:dyDescent="0.2">
      <c r="A26" s="35" t="s">
        <v>37</v>
      </c>
      <c r="B26" s="35"/>
      <c r="C26" s="35"/>
      <c r="D26" s="36"/>
      <c r="E26" s="37">
        <v>9648.8827861000009</v>
      </c>
      <c r="F26" s="38">
        <v>100</v>
      </c>
      <c r="G26" s="37"/>
      <c r="H26" s="18"/>
      <c r="I26" s="18"/>
    </row>
    <row r="28" spans="1:9" x14ac:dyDescent="0.2">
      <c r="A28" s="18" t="s">
        <v>39</v>
      </c>
    </row>
    <row r="30" spans="1:9" x14ac:dyDescent="0.2">
      <c r="A30" s="18" t="s">
        <v>40</v>
      </c>
    </row>
    <row r="31" spans="1:9" x14ac:dyDescent="0.2">
      <c r="A31" s="18" t="s">
        <v>41</v>
      </c>
    </row>
    <row r="32" spans="1:9" x14ac:dyDescent="0.2">
      <c r="A32" s="18" t="s">
        <v>42</v>
      </c>
      <c r="B32" s="18"/>
      <c r="C32" s="39" t="s">
        <v>44</v>
      </c>
      <c r="D32" s="19" t="s">
        <v>43</v>
      </c>
    </row>
    <row r="33" spans="1:5" x14ac:dyDescent="0.2">
      <c r="A33" s="9" t="s">
        <v>65</v>
      </c>
      <c r="C33" s="40">
        <v>12.114699999999999</v>
      </c>
      <c r="D33" s="40">
        <v>12.395200000000001</v>
      </c>
    </row>
    <row r="34" spans="1:5" x14ac:dyDescent="0.2">
      <c r="A34" s="9" t="s">
        <v>1271</v>
      </c>
      <c r="C34" s="40">
        <v>10.474500000000001</v>
      </c>
      <c r="D34" s="40">
        <v>10.7171</v>
      </c>
    </row>
    <row r="35" spans="1:5" x14ac:dyDescent="0.2">
      <c r="A35" s="9" t="s">
        <v>948</v>
      </c>
      <c r="C35" s="40">
        <v>10.458</v>
      </c>
      <c r="D35" s="40">
        <v>10.286899999999999</v>
      </c>
    </row>
    <row r="36" spans="1:5" x14ac:dyDescent="0.2">
      <c r="A36" s="9" t="s">
        <v>66</v>
      </c>
      <c r="C36" s="40">
        <v>12.2241</v>
      </c>
      <c r="D36" s="40">
        <v>12.507199999999999</v>
      </c>
    </row>
    <row r="37" spans="1:5" x14ac:dyDescent="0.2">
      <c r="A37" s="9" t="s">
        <v>952</v>
      </c>
      <c r="C37" s="40">
        <v>10.466200000000001</v>
      </c>
      <c r="D37" s="40">
        <v>10.2956</v>
      </c>
    </row>
    <row r="38" spans="1:5" x14ac:dyDescent="0.2">
      <c r="C38" s="40"/>
      <c r="D38" s="40"/>
    </row>
    <row r="39" spans="1:5" x14ac:dyDescent="0.2">
      <c r="A39" s="18" t="s">
        <v>1560</v>
      </c>
    </row>
    <row r="40" spans="1:5" x14ac:dyDescent="0.2">
      <c r="A40" s="94" t="s">
        <v>64</v>
      </c>
      <c r="B40" s="95"/>
      <c r="C40" s="44" t="s">
        <v>1544</v>
      </c>
    </row>
    <row r="41" spans="1:5" x14ac:dyDescent="0.2">
      <c r="A41" s="88" t="s">
        <v>948</v>
      </c>
      <c r="B41" s="89"/>
      <c r="C41" s="45">
        <v>0.41</v>
      </c>
    </row>
    <row r="42" spans="1:5" x14ac:dyDescent="0.2">
      <c r="A42" s="88" t="s">
        <v>952</v>
      </c>
      <c r="B42" s="89"/>
      <c r="C42" s="45">
        <v>0.41</v>
      </c>
    </row>
    <row r="43" spans="1:5" x14ac:dyDescent="0.2">
      <c r="A43" s="9" t="s">
        <v>1545</v>
      </c>
    </row>
    <row r="44" spans="1:5" x14ac:dyDescent="0.2">
      <c r="A44" s="9" t="s">
        <v>782</v>
      </c>
    </row>
    <row r="46" spans="1:5" x14ac:dyDescent="0.2">
      <c r="A46" s="18" t="s">
        <v>783</v>
      </c>
      <c r="D46" s="42">
        <v>0.27571331649315101</v>
      </c>
      <c r="E46" s="13" t="s">
        <v>46</v>
      </c>
    </row>
    <row r="48" spans="1:5" x14ac:dyDescent="0.2">
      <c r="A48" s="18" t="s">
        <v>717</v>
      </c>
      <c r="D48" s="41" t="s">
        <v>45</v>
      </c>
    </row>
    <row r="50" spans="1:7" ht="14.4" x14ac:dyDescent="0.2">
      <c r="A50" s="90" t="s">
        <v>784</v>
      </c>
      <c r="B50" s="91"/>
      <c r="C50" s="91"/>
      <c r="D50" s="91"/>
      <c r="E50" s="91"/>
      <c r="F50" s="91"/>
      <c r="G50" s="91"/>
    </row>
    <row r="51" spans="1:7" x14ac:dyDescent="0.2">
      <c r="A51" s="50" t="s">
        <v>47</v>
      </c>
    </row>
    <row r="52" spans="1:7" x14ac:dyDescent="0.2">
      <c r="A52" s="50"/>
    </row>
  </sheetData>
  <mergeCells count="5">
    <mergeCell ref="A1:G1"/>
    <mergeCell ref="A40:B40"/>
    <mergeCell ref="A41:B41"/>
    <mergeCell ref="A42:B42"/>
    <mergeCell ref="A50:G50"/>
  </mergeCells>
  <conditionalFormatting sqref="F2:F3 F52:F65536 F5:F49">
    <cfRule type="cellIs" dxfId="144" priority="3" stopIfTrue="1" operator="between">
      <formula>0.009</formula>
      <formula>-0.009</formula>
    </cfRule>
  </conditionalFormatting>
  <conditionalFormatting sqref="F51">
    <cfRule type="cellIs" dxfId="143" priority="1" stopIfTrue="1" operator="between">
      <formula>0.009</formula>
      <formula>-0.009</formula>
    </cfRule>
  </conditionalFormatting>
  <hyperlinks>
    <hyperlink ref="A51" r:id="rId1" xr:uid="{00000000-0004-0000-1100-000000000000}"/>
  </hyperlinks>
  <pageMargins left="0.7" right="0.7" top="0.75" bottom="0.75" header="0.3" footer="0.3"/>
  <pageSetup paperSize="9" scale="48" orientation="portrait" r:id="rId2"/>
  <headerFooter>
    <oddFooter>&amp;R&amp;1#&amp;"Calibri"&amp;10&amp;KFF0000|PUBLIC|</oddFooter>
    <evenFooter>&amp;LPUBLIC</evenFooter>
    <firstFooter>&amp;LPUBLIC</firstFooter>
  </headerFooter>
  <colBreaks count="1" manualBreakCount="1">
    <brk id="7" max="1048575"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57"/>
  <sheetViews>
    <sheetView view="pageBreakPreview" zoomScale="106" zoomScaleNormal="100" zoomScaleSheetLayoutView="106" workbookViewId="0">
      <selection sqref="A1:G1"/>
    </sheetView>
  </sheetViews>
  <sheetFormatPr defaultColWidth="9.21875" defaultRowHeight="10.199999999999999" x14ac:dyDescent="0.2"/>
  <cols>
    <col min="1" max="1" width="38.77734375" style="9" bestFit="1" customWidth="1"/>
    <col min="2" max="2" width="53.21875" style="9" bestFit="1" customWidth="1"/>
    <col min="3" max="3" width="21.21875" style="9" bestFit="1" customWidth="1"/>
    <col min="4" max="4" width="15.44140625" style="10" bestFit="1" customWidth="1"/>
    <col min="5" max="5" width="23" style="13" bestFit="1" customWidth="1"/>
    <col min="6" max="6" width="13.5546875" style="14" bestFit="1" customWidth="1"/>
    <col min="7" max="7" width="14.21875" style="13" customWidth="1"/>
    <col min="8" max="16384" width="9.21875" style="9"/>
  </cols>
  <sheetData>
    <row r="1" spans="1:7" s="1" customFormat="1" ht="13.8" x14ac:dyDescent="0.2">
      <c r="A1" s="92" t="s">
        <v>1326</v>
      </c>
      <c r="B1" s="93"/>
      <c r="C1" s="93"/>
      <c r="D1" s="93"/>
      <c r="E1" s="93"/>
      <c r="F1" s="93"/>
      <c r="G1" s="93"/>
    </row>
    <row r="2" spans="1:7" s="1" customFormat="1" ht="11.4" x14ac:dyDescent="0.2">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727</v>
      </c>
      <c r="D4" s="16" t="s">
        <v>1</v>
      </c>
      <c r="E4" s="15" t="s">
        <v>3</v>
      </c>
      <c r="F4" s="15" t="s">
        <v>4</v>
      </c>
      <c r="G4" s="15" t="s">
        <v>6</v>
      </c>
    </row>
    <row r="5" spans="1:7" x14ac:dyDescent="0.2">
      <c r="A5" s="21" t="s">
        <v>26</v>
      </c>
      <c r="B5" s="22"/>
      <c r="C5" s="22"/>
      <c r="D5" s="23"/>
      <c r="E5" s="24"/>
      <c r="F5" s="25"/>
      <c r="G5" s="24"/>
    </row>
    <row r="6" spans="1:7" x14ac:dyDescent="0.2">
      <c r="A6" s="26" t="s">
        <v>27</v>
      </c>
      <c r="B6" s="27"/>
      <c r="C6" s="27"/>
      <c r="D6" s="28"/>
      <c r="E6" s="29"/>
      <c r="F6" s="30"/>
      <c r="G6" s="29"/>
    </row>
    <row r="7" spans="1:7" x14ac:dyDescent="0.2">
      <c r="A7" s="27" t="s">
        <v>1324</v>
      </c>
      <c r="B7" s="27" t="s">
        <v>1325</v>
      </c>
      <c r="C7" s="27" t="s">
        <v>962</v>
      </c>
      <c r="D7" s="31">
        <v>103</v>
      </c>
      <c r="E7" s="29">
        <v>1307.5458599999999</v>
      </c>
      <c r="F7" s="30">
        <v>11.104155774263401</v>
      </c>
      <c r="G7" s="29">
        <v>4.7496</v>
      </c>
    </row>
    <row r="8" spans="1:7" x14ac:dyDescent="0.2">
      <c r="A8" s="27" t="s">
        <v>1205</v>
      </c>
      <c r="B8" s="27" t="s">
        <v>1206</v>
      </c>
      <c r="C8" s="27" t="s">
        <v>33</v>
      </c>
      <c r="D8" s="31">
        <v>115</v>
      </c>
      <c r="E8" s="29">
        <v>1163.5998999999999</v>
      </c>
      <c r="F8" s="30">
        <v>9.8817142432903804</v>
      </c>
      <c r="G8" s="29">
        <v>3.6501000000000001</v>
      </c>
    </row>
    <row r="9" spans="1:7" x14ac:dyDescent="0.2">
      <c r="A9" s="27" t="s">
        <v>901</v>
      </c>
      <c r="B9" s="27" t="s">
        <v>902</v>
      </c>
      <c r="C9" s="27" t="s">
        <v>33</v>
      </c>
      <c r="D9" s="31">
        <v>112</v>
      </c>
      <c r="E9" s="29">
        <v>1135.2566400000001</v>
      </c>
      <c r="F9" s="30">
        <v>9.6410129540901295</v>
      </c>
      <c r="G9" s="29">
        <v>3.57</v>
      </c>
    </row>
    <row r="10" spans="1:7" x14ac:dyDescent="0.2">
      <c r="A10" s="27" t="s">
        <v>1316</v>
      </c>
      <c r="B10" s="27" t="s">
        <v>1317</v>
      </c>
      <c r="C10" s="27" t="s">
        <v>962</v>
      </c>
      <c r="D10" s="31">
        <v>85</v>
      </c>
      <c r="E10" s="29">
        <v>1078.0278000000001</v>
      </c>
      <c r="F10" s="30">
        <v>9.1550047966856898</v>
      </c>
      <c r="G10" s="29">
        <v>4.4448999999999996</v>
      </c>
    </row>
    <row r="11" spans="1:7" x14ac:dyDescent="0.2">
      <c r="A11" s="27" t="s">
        <v>1327</v>
      </c>
      <c r="B11" s="27" t="s">
        <v>1328</v>
      </c>
      <c r="C11" s="27" t="s">
        <v>33</v>
      </c>
      <c r="D11" s="31">
        <v>100</v>
      </c>
      <c r="E11" s="29">
        <v>1015.9589999999999</v>
      </c>
      <c r="F11" s="30">
        <v>8.6278939357927502</v>
      </c>
      <c r="G11" s="29">
        <v>3.6549</v>
      </c>
    </row>
    <row r="12" spans="1:7" x14ac:dyDescent="0.2">
      <c r="A12" s="27" t="s">
        <v>1329</v>
      </c>
      <c r="B12" s="27" t="s">
        <v>1330</v>
      </c>
      <c r="C12" s="27" t="s">
        <v>33</v>
      </c>
      <c r="D12" s="31">
        <v>70</v>
      </c>
      <c r="E12" s="29">
        <v>896.63210000000004</v>
      </c>
      <c r="F12" s="30">
        <v>7.61452643091613</v>
      </c>
      <c r="G12" s="29">
        <v>4.9149000000000003</v>
      </c>
    </row>
    <row r="13" spans="1:7" x14ac:dyDescent="0.2">
      <c r="A13" s="27" t="s">
        <v>1331</v>
      </c>
      <c r="B13" s="27" t="s">
        <v>1332</v>
      </c>
      <c r="C13" s="27" t="s">
        <v>33</v>
      </c>
      <c r="D13" s="31">
        <v>77</v>
      </c>
      <c r="E13" s="29">
        <v>778.80417999999997</v>
      </c>
      <c r="F13" s="30">
        <v>6.6138888102689597</v>
      </c>
      <c r="G13" s="29">
        <v>3.3498000000000001</v>
      </c>
    </row>
    <row r="14" spans="1:7" x14ac:dyDescent="0.2">
      <c r="A14" s="27" t="s">
        <v>918</v>
      </c>
      <c r="B14" s="27" t="s">
        <v>919</v>
      </c>
      <c r="C14" s="27" t="s">
        <v>885</v>
      </c>
      <c r="D14" s="31">
        <v>75</v>
      </c>
      <c r="E14" s="29">
        <v>763.71749999999997</v>
      </c>
      <c r="F14" s="30">
        <v>6.4857672277215901</v>
      </c>
      <c r="G14" s="29">
        <v>3.8649</v>
      </c>
    </row>
    <row r="15" spans="1:7" x14ac:dyDescent="0.2">
      <c r="A15" s="27" t="s">
        <v>1333</v>
      </c>
      <c r="B15" s="27" t="s">
        <v>1334</v>
      </c>
      <c r="C15" s="27" t="s">
        <v>885</v>
      </c>
      <c r="D15" s="31">
        <v>21</v>
      </c>
      <c r="E15" s="29">
        <v>529.88670000000002</v>
      </c>
      <c r="F15" s="30">
        <v>4.4999908909584301</v>
      </c>
      <c r="G15" s="29">
        <v>4.0148999999999999</v>
      </c>
    </row>
    <row r="16" spans="1:7" x14ac:dyDescent="0.2">
      <c r="A16" s="27" t="s">
        <v>1335</v>
      </c>
      <c r="B16" s="27" t="s">
        <v>1336</v>
      </c>
      <c r="C16" s="27" t="s">
        <v>33</v>
      </c>
      <c r="D16" s="31">
        <v>33</v>
      </c>
      <c r="E16" s="29">
        <v>331.04610000000002</v>
      </c>
      <c r="F16" s="30">
        <v>2.8113640793160402</v>
      </c>
      <c r="G16" s="29">
        <v>3.3401999999999998</v>
      </c>
    </row>
    <row r="17" spans="1:9" x14ac:dyDescent="0.2">
      <c r="A17" s="27" t="s">
        <v>1337</v>
      </c>
      <c r="B17" s="27" t="s">
        <v>1338</v>
      </c>
      <c r="C17" s="27" t="s">
        <v>33</v>
      </c>
      <c r="D17" s="31">
        <v>32</v>
      </c>
      <c r="E17" s="29">
        <v>322.35840000000002</v>
      </c>
      <c r="F17" s="30">
        <v>2.7375849660388401</v>
      </c>
      <c r="G17" s="29">
        <v>3.3349000000000002</v>
      </c>
    </row>
    <row r="18" spans="1:9" x14ac:dyDescent="0.2">
      <c r="A18" s="27" t="s">
        <v>1339</v>
      </c>
      <c r="B18" s="27" t="s">
        <v>1340</v>
      </c>
      <c r="C18" s="27" t="s">
        <v>830</v>
      </c>
      <c r="D18" s="31">
        <v>32</v>
      </c>
      <c r="E18" s="29">
        <v>317.65024</v>
      </c>
      <c r="F18" s="30">
        <v>2.6976015561642899</v>
      </c>
      <c r="G18" s="29">
        <v>3.6</v>
      </c>
    </row>
    <row r="19" spans="1:9" x14ac:dyDescent="0.2">
      <c r="A19" s="27" t="s">
        <v>932</v>
      </c>
      <c r="B19" s="27" t="s">
        <v>933</v>
      </c>
      <c r="C19" s="27" t="s">
        <v>885</v>
      </c>
      <c r="D19" s="31">
        <v>310</v>
      </c>
      <c r="E19" s="29">
        <v>314.23863</v>
      </c>
      <c r="F19" s="30">
        <v>2.6686289212151499</v>
      </c>
      <c r="G19" s="29">
        <v>3.4449999999999998</v>
      </c>
    </row>
    <row r="20" spans="1:9" x14ac:dyDescent="0.2">
      <c r="A20" s="27" t="s">
        <v>1341</v>
      </c>
      <c r="B20" s="27" t="s">
        <v>1342</v>
      </c>
      <c r="C20" s="27" t="s">
        <v>830</v>
      </c>
      <c r="D20" s="31">
        <v>26</v>
      </c>
      <c r="E20" s="29">
        <v>130.88439</v>
      </c>
      <c r="F20" s="30">
        <v>1.11151792028117</v>
      </c>
      <c r="G20" s="29">
        <v>3.7503000000000002</v>
      </c>
    </row>
    <row r="21" spans="1:9" x14ac:dyDescent="0.2">
      <c r="A21" s="27" t="s">
        <v>1343</v>
      </c>
      <c r="B21" s="27" t="s">
        <v>1344</v>
      </c>
      <c r="C21" s="27" t="s">
        <v>33</v>
      </c>
      <c r="D21" s="31">
        <v>2</v>
      </c>
      <c r="E21" s="29">
        <v>25.614899999999999</v>
      </c>
      <c r="F21" s="30">
        <v>0.21753106215500601</v>
      </c>
      <c r="G21" s="29">
        <v>3.7904</v>
      </c>
    </row>
    <row r="22" spans="1:9" x14ac:dyDescent="0.2">
      <c r="A22" s="27" t="s">
        <v>1203</v>
      </c>
      <c r="B22" s="27" t="s">
        <v>1204</v>
      </c>
      <c r="C22" s="27" t="s">
        <v>962</v>
      </c>
      <c r="D22" s="31">
        <v>2</v>
      </c>
      <c r="E22" s="29">
        <v>25.37086</v>
      </c>
      <c r="F22" s="30">
        <v>0.21545858557269201</v>
      </c>
      <c r="G22" s="29">
        <v>3.7261000000000002</v>
      </c>
    </row>
    <row r="23" spans="1:9" x14ac:dyDescent="0.2">
      <c r="A23" s="26" t="s">
        <v>34</v>
      </c>
      <c r="B23" s="26"/>
      <c r="C23" s="26"/>
      <c r="D23" s="32"/>
      <c r="E23" s="33">
        <f>SUM(E6:E22)</f>
        <v>10136.593199999999</v>
      </c>
      <c r="F23" s="34">
        <f>SUM(F6:F22)</f>
        <v>86.083642154730626</v>
      </c>
      <c r="G23" s="33"/>
      <c r="H23" s="18"/>
      <c r="I23" s="18"/>
    </row>
    <row r="24" spans="1:9" x14ac:dyDescent="0.2">
      <c r="A24" s="27"/>
      <c r="B24" s="27"/>
      <c r="C24" s="27"/>
      <c r="D24" s="28"/>
      <c r="E24" s="29"/>
      <c r="F24" s="30"/>
      <c r="G24" s="29"/>
    </row>
    <row r="25" spans="1:9" x14ac:dyDescent="0.2">
      <c r="A25" s="26" t="s">
        <v>942</v>
      </c>
      <c r="B25" s="27"/>
      <c r="C25" s="27"/>
      <c r="D25" s="28"/>
      <c r="E25" s="29"/>
      <c r="F25" s="30"/>
      <c r="G25" s="29"/>
    </row>
    <row r="26" spans="1:9" x14ac:dyDescent="0.2">
      <c r="A26" s="27" t="s">
        <v>943</v>
      </c>
      <c r="B26" s="27" t="s">
        <v>944</v>
      </c>
      <c r="C26" s="27" t="s">
        <v>33</v>
      </c>
      <c r="D26" s="31">
        <v>29</v>
      </c>
      <c r="E26" s="29">
        <v>290.75196999999997</v>
      </c>
      <c r="F26" s="30">
        <v>2.4691716484452599</v>
      </c>
      <c r="G26" s="29">
        <v>3.4466000000000001</v>
      </c>
    </row>
    <row r="27" spans="1:9" x14ac:dyDescent="0.2">
      <c r="A27" s="26" t="s">
        <v>34</v>
      </c>
      <c r="B27" s="26"/>
      <c r="C27" s="26"/>
      <c r="D27" s="32"/>
      <c r="E27" s="33">
        <f>SUM(E25:E26)</f>
        <v>290.75196999999997</v>
      </c>
      <c r="F27" s="34">
        <f>SUM(F25:F26)</f>
        <v>2.4691716484452599</v>
      </c>
      <c r="G27" s="33"/>
      <c r="H27" s="18"/>
      <c r="I27" s="18"/>
    </row>
    <row r="28" spans="1:9" x14ac:dyDescent="0.2">
      <c r="A28" s="27"/>
      <c r="B28" s="27"/>
      <c r="C28" s="27"/>
      <c r="D28" s="28"/>
      <c r="E28" s="29"/>
      <c r="F28" s="30"/>
      <c r="G28" s="29"/>
    </row>
    <row r="29" spans="1:9" x14ac:dyDescent="0.2">
      <c r="A29" s="26" t="s">
        <v>36</v>
      </c>
      <c r="B29" s="26"/>
      <c r="C29" s="26"/>
      <c r="D29" s="32"/>
      <c r="E29" s="33">
        <f>E23+E27</f>
        <v>10427.345169999999</v>
      </c>
      <c r="F29" s="34">
        <f>F23+F27</f>
        <v>88.55281380317588</v>
      </c>
      <c r="G29" s="33"/>
      <c r="H29" s="18"/>
      <c r="I29" s="18"/>
    </row>
    <row r="30" spans="1:9" x14ac:dyDescent="0.2">
      <c r="A30" s="26"/>
      <c r="B30" s="26"/>
      <c r="C30" s="26"/>
      <c r="D30" s="32"/>
      <c r="E30" s="33"/>
      <c r="F30" s="34"/>
      <c r="G30" s="33"/>
      <c r="H30" s="18"/>
      <c r="I30" s="18"/>
    </row>
    <row r="31" spans="1:9" x14ac:dyDescent="0.2">
      <c r="A31" s="26" t="s">
        <v>38</v>
      </c>
      <c r="B31" s="26"/>
      <c r="C31" s="26"/>
      <c r="D31" s="32"/>
      <c r="E31" s="33">
        <f>E33-(E23+E27)</f>
        <v>1347.9386659000011</v>
      </c>
      <c r="F31" s="34">
        <f>F33-(F23+F27)</f>
        <v>11.44718619682412</v>
      </c>
      <c r="G31" s="33"/>
      <c r="H31" s="18"/>
      <c r="I31" s="18"/>
    </row>
    <row r="32" spans="1:9" x14ac:dyDescent="0.2">
      <c r="A32" s="26"/>
      <c r="B32" s="26"/>
      <c r="C32" s="26"/>
      <c r="D32" s="32"/>
      <c r="E32" s="33"/>
      <c r="F32" s="34"/>
      <c r="G32" s="33"/>
      <c r="H32" s="18"/>
      <c r="I32" s="18"/>
    </row>
    <row r="33" spans="1:9" x14ac:dyDescent="0.2">
      <c r="A33" s="35" t="s">
        <v>37</v>
      </c>
      <c r="B33" s="35"/>
      <c r="C33" s="35"/>
      <c r="D33" s="36"/>
      <c r="E33" s="37">
        <v>11775.2838359</v>
      </c>
      <c r="F33" s="38">
        <v>100</v>
      </c>
      <c r="G33" s="37"/>
      <c r="H33" s="18"/>
      <c r="I33" s="18"/>
    </row>
    <row r="35" spans="1:9" x14ac:dyDescent="0.2">
      <c r="A35" s="18" t="s">
        <v>39</v>
      </c>
    </row>
    <row r="37" spans="1:9" x14ac:dyDescent="0.2">
      <c r="A37" s="18" t="s">
        <v>40</v>
      </c>
    </row>
    <row r="38" spans="1:9" x14ac:dyDescent="0.2">
      <c r="A38" s="18" t="s">
        <v>41</v>
      </c>
    </row>
    <row r="39" spans="1:9" x14ac:dyDescent="0.2">
      <c r="A39" s="18" t="s">
        <v>42</v>
      </c>
      <c r="B39" s="18"/>
      <c r="C39" s="39" t="s">
        <v>44</v>
      </c>
      <c r="D39" s="41" t="s">
        <v>43</v>
      </c>
    </row>
    <row r="40" spans="1:9" x14ac:dyDescent="0.2">
      <c r="A40" s="9" t="s">
        <v>65</v>
      </c>
      <c r="C40" s="40">
        <v>12.1235</v>
      </c>
      <c r="D40" s="40">
        <v>12.423299999999999</v>
      </c>
    </row>
    <row r="41" spans="1:9" x14ac:dyDescent="0.2">
      <c r="A41" s="9" t="s">
        <v>1271</v>
      </c>
      <c r="C41" s="40">
        <v>10.4734</v>
      </c>
      <c r="D41" s="40">
        <v>10.7324</v>
      </c>
    </row>
    <row r="42" spans="1:9" x14ac:dyDescent="0.2">
      <c r="A42" s="9" t="s">
        <v>948</v>
      </c>
      <c r="C42" s="40">
        <v>10.4564</v>
      </c>
      <c r="D42" s="40">
        <v>10.304399999999999</v>
      </c>
    </row>
    <row r="43" spans="1:9" x14ac:dyDescent="0.2">
      <c r="A43" s="9" t="s">
        <v>66</v>
      </c>
      <c r="C43" s="40">
        <v>12.2454</v>
      </c>
      <c r="D43" s="40">
        <v>12.5482</v>
      </c>
    </row>
    <row r="44" spans="1:9" x14ac:dyDescent="0.2">
      <c r="A44" s="9" t="s">
        <v>1004</v>
      </c>
      <c r="C44" s="40">
        <v>10.597300000000001</v>
      </c>
      <c r="D44" s="40">
        <v>10.861000000000001</v>
      </c>
    </row>
    <row r="45" spans="1:9" x14ac:dyDescent="0.2">
      <c r="C45" s="40"/>
      <c r="D45" s="40"/>
    </row>
    <row r="46" spans="1:9" x14ac:dyDescent="0.2">
      <c r="A46" s="18" t="s">
        <v>1560</v>
      </c>
    </row>
    <row r="47" spans="1:9" x14ac:dyDescent="0.2">
      <c r="A47" s="94" t="s">
        <v>64</v>
      </c>
      <c r="B47" s="95"/>
      <c r="C47" s="44" t="s">
        <v>1544</v>
      </c>
    </row>
    <row r="48" spans="1:9" x14ac:dyDescent="0.2">
      <c r="A48" s="88" t="s">
        <v>948</v>
      </c>
      <c r="B48" s="89"/>
      <c r="C48" s="45">
        <v>0.40500000000000003</v>
      </c>
    </row>
    <row r="49" spans="1:7" x14ac:dyDescent="0.2">
      <c r="A49" s="9" t="s">
        <v>1545</v>
      </c>
    </row>
    <row r="50" spans="1:7" x14ac:dyDescent="0.2">
      <c r="A50" s="9" t="s">
        <v>782</v>
      </c>
    </row>
    <row r="52" spans="1:7" x14ac:dyDescent="0.2">
      <c r="A52" s="18" t="s">
        <v>783</v>
      </c>
      <c r="D52" s="42">
        <v>0.23382292391780801</v>
      </c>
      <c r="E52" s="13" t="s">
        <v>46</v>
      </c>
    </row>
    <row r="54" spans="1:7" x14ac:dyDescent="0.2">
      <c r="A54" s="18" t="s">
        <v>717</v>
      </c>
      <c r="D54" s="41" t="s">
        <v>45</v>
      </c>
    </row>
    <row r="56" spans="1:7" ht="14.4" x14ac:dyDescent="0.2">
      <c r="A56" s="90" t="s">
        <v>784</v>
      </c>
      <c r="B56" s="91"/>
      <c r="C56" s="91"/>
      <c r="D56" s="91"/>
      <c r="E56" s="91"/>
      <c r="F56" s="91"/>
      <c r="G56" s="91"/>
    </row>
    <row r="57" spans="1:7" x14ac:dyDescent="0.2">
      <c r="A57" s="50" t="s">
        <v>47</v>
      </c>
    </row>
  </sheetData>
  <mergeCells count="4">
    <mergeCell ref="A1:G1"/>
    <mergeCell ref="A47:B47"/>
    <mergeCell ref="A48:B48"/>
    <mergeCell ref="A56:G56"/>
  </mergeCells>
  <conditionalFormatting sqref="F2:F3 F59:F65536 F5:F55">
    <cfRule type="cellIs" dxfId="142" priority="3" stopIfTrue="1" operator="between">
      <formula>0.009</formula>
      <formula>-0.009</formula>
    </cfRule>
  </conditionalFormatting>
  <conditionalFormatting sqref="F58">
    <cfRule type="cellIs" dxfId="141" priority="2" stopIfTrue="1" operator="between">
      <formula>0.009</formula>
      <formula>-0.009</formula>
    </cfRule>
  </conditionalFormatting>
  <conditionalFormatting sqref="F57">
    <cfRule type="cellIs" dxfId="140" priority="1" stopIfTrue="1" operator="between">
      <formula>0.009</formula>
      <formula>-0.009</formula>
    </cfRule>
  </conditionalFormatting>
  <hyperlinks>
    <hyperlink ref="A57" r:id="rId1" xr:uid="{00000000-0004-0000-1200-000000000000}"/>
  </hyperlinks>
  <pageMargins left="0.7" right="0.7" top="0.75" bottom="0.75" header="0.3" footer="0.3"/>
  <pageSetup paperSize="9" scale="48" orientation="portrait" r:id="rId2"/>
  <headerFooter>
    <oddFooter>&amp;R&amp;1#&amp;"Calibri"&amp;10&amp;KFF0000|PUBLIC|</oddFooter>
    <evenFooter>&amp;LPUBLIC</evenFooter>
    <firstFooter>&amp;LPUBLIC</firstFooter>
  </headerFooter>
  <colBreaks count="1" manualBreakCount="1">
    <brk id="7" max="1048575" man="1"/>
  </col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59"/>
  <sheetViews>
    <sheetView view="pageBreakPreview" zoomScaleNormal="100" zoomScaleSheetLayoutView="100" workbookViewId="0">
      <selection sqref="A1:G1"/>
    </sheetView>
  </sheetViews>
  <sheetFormatPr defaultColWidth="9.21875" defaultRowHeight="10.199999999999999" x14ac:dyDescent="0.2"/>
  <cols>
    <col min="1" max="1" width="38.77734375" style="9" bestFit="1" customWidth="1"/>
    <col min="2" max="2" width="49.21875" style="9" bestFit="1" customWidth="1"/>
    <col min="3" max="3" width="22.77734375" style="9" customWidth="1"/>
    <col min="4" max="4" width="15.44140625" style="10" bestFit="1" customWidth="1"/>
    <col min="5" max="5" width="23" style="13" bestFit="1" customWidth="1"/>
    <col min="6" max="6" width="13.5546875" style="14" bestFit="1" customWidth="1"/>
    <col min="7" max="7" width="14.21875" style="13" customWidth="1"/>
    <col min="8" max="16384" width="9.21875" style="9"/>
  </cols>
  <sheetData>
    <row r="1" spans="1:7" s="1" customFormat="1" ht="13.8" x14ac:dyDescent="0.2">
      <c r="A1" s="92" t="s">
        <v>1345</v>
      </c>
      <c r="B1" s="93"/>
      <c r="C1" s="93"/>
      <c r="D1" s="93"/>
      <c r="E1" s="93"/>
      <c r="F1" s="93"/>
      <c r="G1" s="93"/>
    </row>
    <row r="2" spans="1:7" s="1" customFormat="1" ht="11.4" x14ac:dyDescent="0.2">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727</v>
      </c>
      <c r="D4" s="16" t="s">
        <v>1</v>
      </c>
      <c r="E4" s="15" t="s">
        <v>3</v>
      </c>
      <c r="F4" s="15" t="s">
        <v>4</v>
      </c>
      <c r="G4" s="15" t="s">
        <v>6</v>
      </c>
    </row>
    <row r="5" spans="1:7" x14ac:dyDescent="0.2">
      <c r="A5" s="21" t="s">
        <v>26</v>
      </c>
      <c r="B5" s="22"/>
      <c r="C5" s="22"/>
      <c r="D5" s="23"/>
      <c r="E5" s="24"/>
      <c r="F5" s="25"/>
      <c r="G5" s="24"/>
    </row>
    <row r="6" spans="1:7" x14ac:dyDescent="0.2">
      <c r="A6" s="26" t="s">
        <v>27</v>
      </c>
      <c r="B6" s="27"/>
      <c r="C6" s="27"/>
      <c r="D6" s="28"/>
      <c r="E6" s="29"/>
      <c r="F6" s="30"/>
      <c r="G6" s="29"/>
    </row>
    <row r="7" spans="1:7" x14ac:dyDescent="0.2">
      <c r="A7" s="27" t="s">
        <v>1346</v>
      </c>
      <c r="B7" s="27" t="s">
        <v>1347</v>
      </c>
      <c r="C7" s="27" t="s">
        <v>33</v>
      </c>
      <c r="D7" s="31">
        <v>99</v>
      </c>
      <c r="E7" s="29">
        <v>1264.77846</v>
      </c>
      <c r="F7" s="30">
        <v>10.080470975321999</v>
      </c>
      <c r="G7" s="29">
        <v>3.9498000000000002</v>
      </c>
    </row>
    <row r="8" spans="1:7" x14ac:dyDescent="0.2">
      <c r="A8" s="27" t="s">
        <v>1348</v>
      </c>
      <c r="B8" s="27" t="s">
        <v>1349</v>
      </c>
      <c r="C8" s="27" t="s">
        <v>33</v>
      </c>
      <c r="D8" s="31">
        <v>119</v>
      </c>
      <c r="E8" s="29">
        <v>1202.1023</v>
      </c>
      <c r="F8" s="30">
        <v>9.5809327307153698</v>
      </c>
      <c r="G8" s="29">
        <v>3.4750999999999999</v>
      </c>
    </row>
    <row r="9" spans="1:7" x14ac:dyDescent="0.2">
      <c r="A9" s="27" t="s">
        <v>1306</v>
      </c>
      <c r="B9" s="27" t="s">
        <v>1307</v>
      </c>
      <c r="C9" s="27" t="s">
        <v>33</v>
      </c>
      <c r="D9" s="31">
        <v>119</v>
      </c>
      <c r="E9" s="29">
        <v>1200.1447499999999</v>
      </c>
      <c r="F9" s="30">
        <v>9.5653307683307904</v>
      </c>
      <c r="G9" s="29">
        <v>3.4931999999999999</v>
      </c>
    </row>
    <row r="10" spans="1:7" x14ac:dyDescent="0.2">
      <c r="A10" s="27" t="s">
        <v>1350</v>
      </c>
      <c r="B10" s="27" t="s">
        <v>1351</v>
      </c>
      <c r="C10" s="27" t="s">
        <v>885</v>
      </c>
      <c r="D10" s="31">
        <v>100</v>
      </c>
      <c r="E10" s="29">
        <v>1010.88</v>
      </c>
      <c r="F10" s="30">
        <v>8.0568627801690003</v>
      </c>
      <c r="G10" s="29">
        <v>3.34</v>
      </c>
    </row>
    <row r="11" spans="1:7" x14ac:dyDescent="0.2">
      <c r="A11" s="27" t="s">
        <v>1352</v>
      </c>
      <c r="B11" s="27" t="s">
        <v>1353</v>
      </c>
      <c r="C11" s="27" t="s">
        <v>885</v>
      </c>
      <c r="D11" s="31">
        <v>100</v>
      </c>
      <c r="E11" s="29">
        <v>1009.772</v>
      </c>
      <c r="F11" s="30">
        <v>8.0480318566563902</v>
      </c>
      <c r="G11" s="29">
        <v>4.1900000000000004</v>
      </c>
    </row>
    <row r="12" spans="1:7" x14ac:dyDescent="0.2">
      <c r="A12" s="27" t="s">
        <v>1354</v>
      </c>
      <c r="B12" s="27" t="s">
        <v>1355</v>
      </c>
      <c r="C12" s="27" t="s">
        <v>33</v>
      </c>
      <c r="D12" s="31">
        <v>100</v>
      </c>
      <c r="E12" s="29">
        <v>1008.519</v>
      </c>
      <c r="F12" s="30">
        <v>8.0380452617454701</v>
      </c>
      <c r="G12" s="29">
        <v>3.3498000000000001</v>
      </c>
    </row>
    <row r="13" spans="1:7" x14ac:dyDescent="0.2">
      <c r="A13" s="27" t="s">
        <v>1339</v>
      </c>
      <c r="B13" s="27" t="s">
        <v>1340</v>
      </c>
      <c r="C13" s="27" t="s">
        <v>830</v>
      </c>
      <c r="D13" s="31">
        <v>96</v>
      </c>
      <c r="E13" s="29">
        <v>952.95072000000005</v>
      </c>
      <c r="F13" s="30">
        <v>7.5951578696811204</v>
      </c>
      <c r="G13" s="29">
        <v>3.6</v>
      </c>
    </row>
    <row r="14" spans="1:7" x14ac:dyDescent="0.2">
      <c r="A14" s="27" t="s">
        <v>916</v>
      </c>
      <c r="B14" s="27" t="s">
        <v>917</v>
      </c>
      <c r="C14" s="27" t="s">
        <v>885</v>
      </c>
      <c r="D14" s="31">
        <v>74</v>
      </c>
      <c r="E14" s="29">
        <v>947.05643999999995</v>
      </c>
      <c r="F14" s="30">
        <v>7.5481795882353602</v>
      </c>
      <c r="G14" s="29">
        <v>4.54</v>
      </c>
    </row>
    <row r="15" spans="1:7" x14ac:dyDescent="0.2">
      <c r="A15" s="27" t="s">
        <v>1337</v>
      </c>
      <c r="B15" s="27" t="s">
        <v>1338</v>
      </c>
      <c r="C15" s="27" t="s">
        <v>33</v>
      </c>
      <c r="D15" s="31">
        <v>67</v>
      </c>
      <c r="E15" s="29">
        <v>674.93790000000001</v>
      </c>
      <c r="F15" s="30">
        <v>5.3793546666621399</v>
      </c>
      <c r="G15" s="29">
        <v>3.3349000000000002</v>
      </c>
    </row>
    <row r="16" spans="1:7" x14ac:dyDescent="0.2">
      <c r="A16" s="27" t="s">
        <v>940</v>
      </c>
      <c r="B16" s="27" t="s">
        <v>941</v>
      </c>
      <c r="C16" s="27" t="s">
        <v>33</v>
      </c>
      <c r="D16" s="31">
        <v>46</v>
      </c>
      <c r="E16" s="29">
        <v>464.76513999999997</v>
      </c>
      <c r="F16" s="30">
        <v>3.7042467533100201</v>
      </c>
      <c r="G16" s="29">
        <v>3.3351999999999999</v>
      </c>
    </row>
    <row r="17" spans="1:9" x14ac:dyDescent="0.2">
      <c r="A17" s="27" t="s">
        <v>1331</v>
      </c>
      <c r="B17" s="27" t="s">
        <v>1332</v>
      </c>
      <c r="C17" s="27" t="s">
        <v>33</v>
      </c>
      <c r="D17" s="31">
        <v>23</v>
      </c>
      <c r="E17" s="29">
        <v>232.62982</v>
      </c>
      <c r="F17" s="30">
        <v>1.85409399564282</v>
      </c>
      <c r="G17" s="29">
        <v>3.3498000000000001</v>
      </c>
    </row>
    <row r="18" spans="1:9" x14ac:dyDescent="0.2">
      <c r="A18" s="27" t="s">
        <v>1314</v>
      </c>
      <c r="B18" s="27" t="s">
        <v>1315</v>
      </c>
      <c r="C18" s="27" t="s">
        <v>33</v>
      </c>
      <c r="D18" s="31">
        <v>20</v>
      </c>
      <c r="E18" s="29">
        <v>200.99100000000001</v>
      </c>
      <c r="F18" s="30">
        <v>1.60192793115795</v>
      </c>
      <c r="G18" s="29">
        <v>3.3397000000000001</v>
      </c>
    </row>
    <row r="19" spans="1:9" x14ac:dyDescent="0.2">
      <c r="A19" s="27" t="s">
        <v>1335</v>
      </c>
      <c r="B19" s="27" t="s">
        <v>1336</v>
      </c>
      <c r="C19" s="27" t="s">
        <v>33</v>
      </c>
      <c r="D19" s="31">
        <v>17</v>
      </c>
      <c r="E19" s="29">
        <v>170.53890000000001</v>
      </c>
      <c r="F19" s="30">
        <v>1.35922020020276</v>
      </c>
      <c r="G19" s="29">
        <v>3.3401999999999998</v>
      </c>
    </row>
    <row r="20" spans="1:9" x14ac:dyDescent="0.2">
      <c r="A20" s="27" t="s">
        <v>1203</v>
      </c>
      <c r="B20" s="27" t="s">
        <v>1204</v>
      </c>
      <c r="C20" s="27" t="s">
        <v>962</v>
      </c>
      <c r="D20" s="31">
        <v>2</v>
      </c>
      <c r="E20" s="29">
        <v>25.37086</v>
      </c>
      <c r="F20" s="30">
        <v>0.20220949829344601</v>
      </c>
      <c r="G20" s="29">
        <v>3.7261000000000002</v>
      </c>
    </row>
    <row r="21" spans="1:9" x14ac:dyDescent="0.2">
      <c r="A21" s="27" t="s">
        <v>1341</v>
      </c>
      <c r="B21" s="27" t="s">
        <v>1342</v>
      </c>
      <c r="C21" s="27" t="s">
        <v>830</v>
      </c>
      <c r="D21" s="31">
        <v>4</v>
      </c>
      <c r="E21" s="29">
        <v>20.136060000000001</v>
      </c>
      <c r="F21" s="30">
        <v>0.16048736977015099</v>
      </c>
      <c r="G21" s="29">
        <v>3.7503000000000002</v>
      </c>
    </row>
    <row r="22" spans="1:9" x14ac:dyDescent="0.2">
      <c r="A22" s="27" t="s">
        <v>1343</v>
      </c>
      <c r="B22" s="27" t="s">
        <v>1344</v>
      </c>
      <c r="C22" s="27" t="s">
        <v>33</v>
      </c>
      <c r="D22" s="31">
        <v>1</v>
      </c>
      <c r="E22" s="29">
        <v>12.807449999999999</v>
      </c>
      <c r="F22" s="30">
        <v>0.10207726655377</v>
      </c>
      <c r="G22" s="29">
        <v>3.7904</v>
      </c>
    </row>
    <row r="23" spans="1:9" x14ac:dyDescent="0.2">
      <c r="A23" s="26" t="s">
        <v>34</v>
      </c>
      <c r="B23" s="26"/>
      <c r="C23" s="26"/>
      <c r="D23" s="32"/>
      <c r="E23" s="33">
        <f>SUM(E6:E22)</f>
        <v>10398.380800000001</v>
      </c>
      <c r="F23" s="34">
        <f>SUM(F6:F22)</f>
        <v>82.876629512448517</v>
      </c>
      <c r="G23" s="33"/>
      <c r="H23" s="18"/>
      <c r="I23" s="18"/>
    </row>
    <row r="24" spans="1:9" x14ac:dyDescent="0.2">
      <c r="A24" s="27"/>
      <c r="B24" s="27"/>
      <c r="C24" s="27"/>
      <c r="D24" s="28"/>
      <c r="E24" s="29"/>
      <c r="F24" s="30"/>
      <c r="G24" s="29"/>
    </row>
    <row r="25" spans="1:9" x14ac:dyDescent="0.2">
      <c r="A25" s="26" t="s">
        <v>942</v>
      </c>
      <c r="B25" s="27"/>
      <c r="C25" s="27"/>
      <c r="D25" s="28"/>
      <c r="E25" s="29"/>
      <c r="F25" s="30"/>
      <c r="G25" s="29"/>
    </row>
    <row r="26" spans="1:9" x14ac:dyDescent="0.2">
      <c r="A26" s="27" t="s">
        <v>943</v>
      </c>
      <c r="B26" s="27" t="s">
        <v>944</v>
      </c>
      <c r="C26" s="27" t="s">
        <v>33</v>
      </c>
      <c r="D26" s="31">
        <v>37</v>
      </c>
      <c r="E26" s="29">
        <v>370.95940999999999</v>
      </c>
      <c r="F26" s="30">
        <v>2.9566012418708998</v>
      </c>
      <c r="G26" s="29">
        <v>3.4466000000000001</v>
      </c>
    </row>
    <row r="27" spans="1:9" x14ac:dyDescent="0.2">
      <c r="A27" s="26" t="s">
        <v>34</v>
      </c>
      <c r="B27" s="26"/>
      <c r="C27" s="26"/>
      <c r="D27" s="32"/>
      <c r="E27" s="33">
        <f>SUM(E25:E26)</f>
        <v>370.95940999999999</v>
      </c>
      <c r="F27" s="34">
        <f>SUM(F25:F26)</f>
        <v>2.9566012418708998</v>
      </c>
      <c r="G27" s="33"/>
      <c r="H27" s="18"/>
      <c r="I27" s="18"/>
    </row>
    <row r="28" spans="1:9" x14ac:dyDescent="0.2">
      <c r="A28" s="27"/>
      <c r="B28" s="27"/>
      <c r="C28" s="27"/>
      <c r="D28" s="28"/>
      <c r="E28" s="29"/>
      <c r="F28" s="30"/>
      <c r="G28" s="29"/>
    </row>
    <row r="29" spans="1:9" x14ac:dyDescent="0.2">
      <c r="A29" s="26" t="s">
        <v>36</v>
      </c>
      <c r="B29" s="26"/>
      <c r="C29" s="26"/>
      <c r="D29" s="32"/>
      <c r="E29" s="33">
        <f>E23+E27</f>
        <v>10769.34021</v>
      </c>
      <c r="F29" s="34">
        <f>F23+F27</f>
        <v>85.833230754319416</v>
      </c>
      <c r="G29" s="33"/>
      <c r="H29" s="18"/>
      <c r="I29" s="18"/>
    </row>
    <row r="30" spans="1:9" x14ac:dyDescent="0.2">
      <c r="A30" s="26"/>
      <c r="B30" s="26"/>
      <c r="C30" s="26"/>
      <c r="D30" s="32"/>
      <c r="E30" s="33"/>
      <c r="F30" s="34"/>
      <c r="G30" s="33"/>
      <c r="H30" s="18"/>
      <c r="I30" s="18"/>
    </row>
    <row r="31" spans="1:9" x14ac:dyDescent="0.2">
      <c r="A31" s="26" t="s">
        <v>38</v>
      </c>
      <c r="B31" s="26"/>
      <c r="C31" s="26"/>
      <c r="D31" s="32"/>
      <c r="E31" s="33">
        <f>E33-(E23+E27)</f>
        <v>1777.4789127999993</v>
      </c>
      <c r="F31" s="34">
        <f>F33-(F23+F27)</f>
        <v>14.166769245680584</v>
      </c>
      <c r="G31" s="33"/>
      <c r="H31" s="18"/>
      <c r="I31" s="18"/>
    </row>
    <row r="32" spans="1:9" x14ac:dyDescent="0.2">
      <c r="A32" s="26"/>
      <c r="B32" s="26"/>
      <c r="C32" s="26"/>
      <c r="D32" s="32"/>
      <c r="E32" s="33"/>
      <c r="F32" s="34"/>
      <c r="G32" s="33"/>
      <c r="H32" s="18"/>
      <c r="I32" s="18"/>
    </row>
    <row r="33" spans="1:9" x14ac:dyDescent="0.2">
      <c r="A33" s="35" t="s">
        <v>37</v>
      </c>
      <c r="B33" s="35"/>
      <c r="C33" s="35"/>
      <c r="D33" s="36"/>
      <c r="E33" s="37">
        <v>12546.8191228</v>
      </c>
      <c r="F33" s="38">
        <v>100</v>
      </c>
      <c r="G33" s="37"/>
      <c r="H33" s="18"/>
      <c r="I33" s="18"/>
    </row>
    <row r="35" spans="1:9" x14ac:dyDescent="0.2">
      <c r="A35" s="18" t="s">
        <v>39</v>
      </c>
    </row>
    <row r="37" spans="1:9" x14ac:dyDescent="0.2">
      <c r="A37" s="18" t="s">
        <v>40</v>
      </c>
    </row>
    <row r="38" spans="1:9" x14ac:dyDescent="0.2">
      <c r="A38" s="18" t="s">
        <v>41</v>
      </c>
    </row>
    <row r="39" spans="1:9" x14ac:dyDescent="0.2">
      <c r="A39" s="18" t="s">
        <v>42</v>
      </c>
      <c r="B39" s="18"/>
      <c r="C39" s="39" t="s">
        <v>44</v>
      </c>
      <c r="D39" s="19" t="s">
        <v>43</v>
      </c>
    </row>
    <row r="40" spans="1:9" x14ac:dyDescent="0.2">
      <c r="A40" s="9" t="s">
        <v>65</v>
      </c>
      <c r="C40" s="40">
        <v>12.169499999999999</v>
      </c>
      <c r="D40" s="40">
        <v>12.4437</v>
      </c>
    </row>
    <row r="41" spans="1:9" x14ac:dyDescent="0.2">
      <c r="A41" s="9" t="s">
        <v>1271</v>
      </c>
      <c r="C41" s="40">
        <v>10.546799999999999</v>
      </c>
      <c r="D41" s="40">
        <v>10.784700000000001</v>
      </c>
    </row>
    <row r="42" spans="1:9" x14ac:dyDescent="0.2">
      <c r="A42" s="9" t="s">
        <v>948</v>
      </c>
      <c r="C42" s="40">
        <v>10.343299999999999</v>
      </c>
      <c r="D42" s="40">
        <v>10.179</v>
      </c>
    </row>
    <row r="43" spans="1:9" x14ac:dyDescent="0.2">
      <c r="A43" s="9" t="s">
        <v>66</v>
      </c>
      <c r="C43" s="40">
        <v>12.291499999999999</v>
      </c>
      <c r="D43" s="40">
        <v>12.5685</v>
      </c>
    </row>
    <row r="44" spans="1:9" x14ac:dyDescent="0.2">
      <c r="A44" s="9" t="s">
        <v>1004</v>
      </c>
      <c r="C44" s="40">
        <v>10.669600000000001</v>
      </c>
      <c r="D44" s="40">
        <v>10.911199999999999</v>
      </c>
    </row>
    <row r="45" spans="1:9" x14ac:dyDescent="0.2">
      <c r="A45" s="9" t="s">
        <v>952</v>
      </c>
      <c r="C45" s="40">
        <v>10.414099999999999</v>
      </c>
      <c r="D45" s="40">
        <v>10.250500000000001</v>
      </c>
    </row>
    <row r="46" spans="1:9" x14ac:dyDescent="0.2">
      <c r="C46" s="40"/>
      <c r="D46" s="40"/>
    </row>
    <row r="47" spans="1:9" x14ac:dyDescent="0.2">
      <c r="A47" s="18" t="s">
        <v>1560</v>
      </c>
    </row>
    <row r="48" spans="1:9" x14ac:dyDescent="0.2">
      <c r="A48" s="94" t="s">
        <v>64</v>
      </c>
      <c r="B48" s="95"/>
      <c r="C48" s="44" t="s">
        <v>1544</v>
      </c>
    </row>
    <row r="49" spans="1:7" x14ac:dyDescent="0.2">
      <c r="A49" s="88" t="s">
        <v>948</v>
      </c>
      <c r="B49" s="89"/>
      <c r="C49" s="45">
        <v>0.39500000000000002</v>
      </c>
    </row>
    <row r="50" spans="1:7" x14ac:dyDescent="0.2">
      <c r="A50" s="88" t="s">
        <v>952</v>
      </c>
      <c r="B50" s="89"/>
      <c r="C50" s="45">
        <v>0.39500000000000002</v>
      </c>
    </row>
    <row r="51" spans="1:7" x14ac:dyDescent="0.2">
      <c r="A51" s="9" t="s">
        <v>1545</v>
      </c>
    </row>
    <row r="52" spans="1:7" x14ac:dyDescent="0.2">
      <c r="A52" s="9" t="s">
        <v>782</v>
      </c>
    </row>
    <row r="54" spans="1:7" x14ac:dyDescent="0.2">
      <c r="A54" s="18" t="s">
        <v>783</v>
      </c>
      <c r="D54" s="42">
        <v>0.15311365816438399</v>
      </c>
      <c r="E54" s="13" t="s">
        <v>46</v>
      </c>
    </row>
    <row r="56" spans="1:7" x14ac:dyDescent="0.2">
      <c r="A56" s="18" t="s">
        <v>717</v>
      </c>
      <c r="D56" s="41" t="s">
        <v>45</v>
      </c>
    </row>
    <row r="58" spans="1:7" ht="14.4" x14ac:dyDescent="0.2">
      <c r="A58" s="90" t="s">
        <v>784</v>
      </c>
      <c r="B58" s="91"/>
      <c r="C58" s="91"/>
      <c r="D58" s="91"/>
      <c r="E58" s="91"/>
      <c r="F58" s="91"/>
      <c r="G58" s="91"/>
    </row>
    <row r="59" spans="1:7" x14ac:dyDescent="0.2">
      <c r="A59" s="50" t="s">
        <v>47</v>
      </c>
    </row>
  </sheetData>
  <mergeCells count="5">
    <mergeCell ref="A1:G1"/>
    <mergeCell ref="A48:B48"/>
    <mergeCell ref="A49:B49"/>
    <mergeCell ref="A50:B50"/>
    <mergeCell ref="A58:G58"/>
  </mergeCells>
  <conditionalFormatting sqref="F2:F3 F61:F65536 F5:F57">
    <cfRule type="cellIs" dxfId="139" priority="3" stopIfTrue="1" operator="between">
      <formula>0.009</formula>
      <formula>-0.009</formula>
    </cfRule>
  </conditionalFormatting>
  <conditionalFormatting sqref="F60">
    <cfRule type="cellIs" dxfId="138" priority="2" stopIfTrue="1" operator="between">
      <formula>0.009</formula>
      <formula>-0.009</formula>
    </cfRule>
  </conditionalFormatting>
  <conditionalFormatting sqref="F59">
    <cfRule type="cellIs" dxfId="137" priority="1" stopIfTrue="1" operator="between">
      <formula>0.009</formula>
      <formula>-0.009</formula>
    </cfRule>
  </conditionalFormatting>
  <hyperlinks>
    <hyperlink ref="A59" r:id="rId1" xr:uid="{00000000-0004-0000-1300-000000000000}"/>
  </hyperlinks>
  <pageMargins left="0.7" right="0.7" top="0.75" bottom="0.75" header="0.3" footer="0.3"/>
  <pageSetup paperSize="9" scale="49" orientation="portrait" r:id="rId2"/>
  <headerFooter>
    <oddFooter>&amp;R&amp;1#&amp;"Calibri"&amp;10&amp;KFF0000|PUBLIC|</oddFooter>
    <evenFooter>&amp;LPUBLIC</evenFooter>
    <firstFooter>&amp;LPUBLIC</firstFooter>
  </headerFooter>
  <colBreaks count="1" manualBreakCount="1">
    <brk id="7"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58"/>
  <sheetViews>
    <sheetView view="pageBreakPreview" zoomScaleNormal="100" zoomScaleSheetLayoutView="100" workbookViewId="0">
      <selection sqref="A1:G1"/>
    </sheetView>
  </sheetViews>
  <sheetFormatPr defaultColWidth="9.21875" defaultRowHeight="10.199999999999999" x14ac:dyDescent="0.2"/>
  <cols>
    <col min="1" max="1" width="38.77734375" style="9" bestFit="1" customWidth="1"/>
    <col min="2" max="2" width="51.21875" style="9" bestFit="1" customWidth="1"/>
    <col min="3" max="3" width="15.44140625" style="9" bestFit="1" customWidth="1"/>
    <col min="4" max="4" width="15.44140625" style="10" bestFit="1" customWidth="1"/>
    <col min="5" max="5" width="23" style="13" bestFit="1" customWidth="1"/>
    <col min="6" max="6" width="13.5546875" style="14" bestFit="1" customWidth="1"/>
    <col min="7" max="7" width="14.21875" style="13" customWidth="1"/>
    <col min="8" max="16384" width="9.21875" style="9"/>
  </cols>
  <sheetData>
    <row r="1" spans="1:7" s="1" customFormat="1" ht="13.8" x14ac:dyDescent="0.2">
      <c r="A1" s="92" t="s">
        <v>1356</v>
      </c>
      <c r="B1" s="93"/>
      <c r="C1" s="93"/>
      <c r="D1" s="93"/>
      <c r="E1" s="93"/>
      <c r="F1" s="93"/>
      <c r="G1" s="93"/>
    </row>
    <row r="2" spans="1:7" s="1" customFormat="1" ht="11.4" x14ac:dyDescent="0.2">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727</v>
      </c>
      <c r="D4" s="16" t="s">
        <v>1</v>
      </c>
      <c r="E4" s="15" t="s">
        <v>3</v>
      </c>
      <c r="F4" s="15" t="s">
        <v>4</v>
      </c>
      <c r="G4" s="15" t="s">
        <v>6</v>
      </c>
    </row>
    <row r="5" spans="1:7" x14ac:dyDescent="0.2">
      <c r="A5" s="21" t="s">
        <v>26</v>
      </c>
      <c r="B5" s="22"/>
      <c r="C5" s="22"/>
      <c r="D5" s="23"/>
      <c r="E5" s="24"/>
      <c r="F5" s="25"/>
      <c r="G5" s="24"/>
    </row>
    <row r="6" spans="1:7" x14ac:dyDescent="0.2">
      <c r="A6" s="26" t="s">
        <v>27</v>
      </c>
      <c r="B6" s="27"/>
      <c r="C6" s="27"/>
      <c r="D6" s="28"/>
      <c r="E6" s="29"/>
      <c r="F6" s="30"/>
      <c r="G6" s="29"/>
    </row>
    <row r="7" spans="1:7" x14ac:dyDescent="0.2">
      <c r="A7" s="27" t="s">
        <v>1314</v>
      </c>
      <c r="B7" s="27" t="s">
        <v>1315</v>
      </c>
      <c r="C7" s="27" t="s">
        <v>33</v>
      </c>
      <c r="D7" s="31">
        <v>105</v>
      </c>
      <c r="E7" s="29">
        <v>1055.2027499999999</v>
      </c>
      <c r="F7" s="30">
        <v>9.8427029727750401</v>
      </c>
      <c r="G7" s="29">
        <v>3.3397000000000001</v>
      </c>
    </row>
    <row r="8" spans="1:7" x14ac:dyDescent="0.2">
      <c r="A8" s="27" t="s">
        <v>1357</v>
      </c>
      <c r="B8" s="27" t="s">
        <v>1358</v>
      </c>
      <c r="C8" s="27" t="s">
        <v>885</v>
      </c>
      <c r="D8" s="31">
        <v>100</v>
      </c>
      <c r="E8" s="29">
        <v>1002.085</v>
      </c>
      <c r="F8" s="30">
        <v>9.3472320921010503</v>
      </c>
      <c r="G8" s="29">
        <v>3.3500999999999999</v>
      </c>
    </row>
    <row r="9" spans="1:7" x14ac:dyDescent="0.2">
      <c r="A9" s="27" t="s">
        <v>1341</v>
      </c>
      <c r="B9" s="27" t="s">
        <v>1342</v>
      </c>
      <c r="C9" s="27" t="s">
        <v>830</v>
      </c>
      <c r="D9" s="31">
        <v>170</v>
      </c>
      <c r="E9" s="29">
        <v>855.78255000000001</v>
      </c>
      <c r="F9" s="30">
        <v>7.98255448911027</v>
      </c>
      <c r="G9" s="29">
        <v>3.7503000000000002</v>
      </c>
    </row>
    <row r="10" spans="1:7" x14ac:dyDescent="0.2">
      <c r="A10" s="27" t="s">
        <v>916</v>
      </c>
      <c r="B10" s="27" t="s">
        <v>917</v>
      </c>
      <c r="C10" s="27" t="s">
        <v>885</v>
      </c>
      <c r="D10" s="31">
        <v>63</v>
      </c>
      <c r="E10" s="29">
        <v>806.27778000000001</v>
      </c>
      <c r="F10" s="30">
        <v>7.5207847042556102</v>
      </c>
      <c r="G10" s="29">
        <v>4.54</v>
      </c>
    </row>
    <row r="11" spans="1:7" x14ac:dyDescent="0.2">
      <c r="A11" s="27" t="s">
        <v>1359</v>
      </c>
      <c r="B11" s="27" t="s">
        <v>1360</v>
      </c>
      <c r="C11" s="27" t="s">
        <v>830</v>
      </c>
      <c r="D11" s="31">
        <v>78</v>
      </c>
      <c r="E11" s="29">
        <v>781.57014000000004</v>
      </c>
      <c r="F11" s="30">
        <v>7.2903171835082903</v>
      </c>
      <c r="G11" s="29">
        <v>3.7248000000000001</v>
      </c>
    </row>
    <row r="12" spans="1:7" x14ac:dyDescent="0.2">
      <c r="A12" s="27" t="s">
        <v>1346</v>
      </c>
      <c r="B12" s="27" t="s">
        <v>1347</v>
      </c>
      <c r="C12" s="27" t="s">
        <v>33</v>
      </c>
      <c r="D12" s="31">
        <v>50</v>
      </c>
      <c r="E12" s="29">
        <v>638.77700000000004</v>
      </c>
      <c r="F12" s="30">
        <v>5.9583736650044896</v>
      </c>
      <c r="G12" s="29">
        <v>3.9498000000000002</v>
      </c>
    </row>
    <row r="13" spans="1:7" x14ac:dyDescent="0.2">
      <c r="A13" s="27" t="s">
        <v>1361</v>
      </c>
      <c r="B13" s="27" t="s">
        <v>1362</v>
      </c>
      <c r="C13" s="27" t="s">
        <v>885</v>
      </c>
      <c r="D13" s="31">
        <v>52</v>
      </c>
      <c r="E13" s="29">
        <v>520.82263999999998</v>
      </c>
      <c r="F13" s="30">
        <v>4.8581209127976104</v>
      </c>
      <c r="G13" s="29">
        <v>3.2791000000000001</v>
      </c>
    </row>
    <row r="14" spans="1:7" x14ac:dyDescent="0.2">
      <c r="A14" s="27" t="s">
        <v>1363</v>
      </c>
      <c r="B14" s="27" t="s">
        <v>1364</v>
      </c>
      <c r="C14" s="27" t="s">
        <v>885</v>
      </c>
      <c r="D14" s="31">
        <v>50</v>
      </c>
      <c r="E14" s="29">
        <v>504.52050000000003</v>
      </c>
      <c r="F14" s="30">
        <v>4.7060580776309999</v>
      </c>
      <c r="G14" s="29">
        <v>3.835</v>
      </c>
    </row>
    <row r="15" spans="1:7" x14ac:dyDescent="0.2">
      <c r="A15" s="27" t="s">
        <v>1335</v>
      </c>
      <c r="B15" s="27" t="s">
        <v>1336</v>
      </c>
      <c r="C15" s="27" t="s">
        <v>33</v>
      </c>
      <c r="D15" s="31">
        <v>50</v>
      </c>
      <c r="E15" s="29">
        <v>501.58499999999998</v>
      </c>
      <c r="F15" s="30">
        <v>4.6786763686877899</v>
      </c>
      <c r="G15" s="29">
        <v>3.3401999999999998</v>
      </c>
    </row>
    <row r="16" spans="1:7" x14ac:dyDescent="0.2">
      <c r="A16" s="27" t="s">
        <v>1343</v>
      </c>
      <c r="B16" s="27" t="s">
        <v>1344</v>
      </c>
      <c r="C16" s="27" t="s">
        <v>33</v>
      </c>
      <c r="D16" s="31">
        <v>39</v>
      </c>
      <c r="E16" s="29">
        <v>499.49054999999998</v>
      </c>
      <c r="F16" s="30">
        <v>4.6591397921944804</v>
      </c>
      <c r="G16" s="29">
        <v>3.7904</v>
      </c>
    </row>
    <row r="17" spans="1:9" x14ac:dyDescent="0.2">
      <c r="A17" s="27" t="s">
        <v>1348</v>
      </c>
      <c r="B17" s="27" t="s">
        <v>1349</v>
      </c>
      <c r="C17" s="27" t="s">
        <v>33</v>
      </c>
      <c r="D17" s="31">
        <v>31</v>
      </c>
      <c r="E17" s="29">
        <v>313.15269999999998</v>
      </c>
      <c r="F17" s="30">
        <v>2.9210206391354898</v>
      </c>
      <c r="G17" s="29">
        <v>3.4750999999999999</v>
      </c>
    </row>
    <row r="18" spans="1:9" x14ac:dyDescent="0.2">
      <c r="A18" s="27" t="s">
        <v>1365</v>
      </c>
      <c r="B18" s="27" t="s">
        <v>1366</v>
      </c>
      <c r="C18" s="27" t="s">
        <v>33</v>
      </c>
      <c r="D18" s="31">
        <v>21</v>
      </c>
      <c r="E18" s="29">
        <v>267.07128</v>
      </c>
      <c r="F18" s="30">
        <v>2.4911831224841201</v>
      </c>
      <c r="G18" s="29">
        <v>3.5990000000000002</v>
      </c>
    </row>
    <row r="19" spans="1:9" x14ac:dyDescent="0.2">
      <c r="A19" s="27" t="s">
        <v>1367</v>
      </c>
      <c r="B19" s="27" t="s">
        <v>1368</v>
      </c>
      <c r="C19" s="27" t="s">
        <v>33</v>
      </c>
      <c r="D19" s="31">
        <v>26</v>
      </c>
      <c r="E19" s="29">
        <v>260.55405999999999</v>
      </c>
      <c r="F19" s="30">
        <v>2.43039190423888</v>
      </c>
      <c r="G19" s="29">
        <v>3.3249</v>
      </c>
    </row>
    <row r="20" spans="1:9" x14ac:dyDescent="0.2">
      <c r="A20" s="27" t="s">
        <v>1203</v>
      </c>
      <c r="B20" s="27" t="s">
        <v>1204</v>
      </c>
      <c r="C20" s="27" t="s">
        <v>962</v>
      </c>
      <c r="D20" s="31">
        <v>6</v>
      </c>
      <c r="E20" s="29">
        <v>76.112579999999994</v>
      </c>
      <c r="F20" s="30">
        <v>0.709961680285213</v>
      </c>
      <c r="G20" s="29">
        <v>3.7261000000000002</v>
      </c>
    </row>
    <row r="21" spans="1:9" x14ac:dyDescent="0.2">
      <c r="A21" s="27" t="s">
        <v>940</v>
      </c>
      <c r="B21" s="27" t="s">
        <v>941</v>
      </c>
      <c r="C21" s="27" t="s">
        <v>33</v>
      </c>
      <c r="D21" s="31">
        <v>2</v>
      </c>
      <c r="E21" s="29">
        <v>20.207180000000001</v>
      </c>
      <c r="F21" s="30">
        <v>0.18848820348260101</v>
      </c>
      <c r="G21" s="29">
        <v>3.3351999999999999</v>
      </c>
    </row>
    <row r="22" spans="1:9" x14ac:dyDescent="0.2">
      <c r="A22" s="26" t="s">
        <v>34</v>
      </c>
      <c r="B22" s="26"/>
      <c r="C22" s="26"/>
      <c r="D22" s="32"/>
      <c r="E22" s="33">
        <f>SUM(E6:E21)</f>
        <v>8103.2117100000005</v>
      </c>
      <c r="F22" s="34">
        <f>SUM(F6:F21)</f>
        <v>75.585005807691942</v>
      </c>
      <c r="G22" s="33"/>
      <c r="H22" s="18"/>
      <c r="I22" s="18"/>
    </row>
    <row r="23" spans="1:9" x14ac:dyDescent="0.2">
      <c r="A23" s="27"/>
      <c r="B23" s="27"/>
      <c r="C23" s="27"/>
      <c r="D23" s="28"/>
      <c r="E23" s="29"/>
      <c r="F23" s="30"/>
      <c r="G23" s="29"/>
    </row>
    <row r="24" spans="1:9" x14ac:dyDescent="0.2">
      <c r="A24" s="26" t="s">
        <v>942</v>
      </c>
      <c r="B24" s="27"/>
      <c r="C24" s="27"/>
      <c r="D24" s="28"/>
      <c r="E24" s="29"/>
      <c r="F24" s="30"/>
      <c r="G24" s="29"/>
    </row>
    <row r="25" spans="1:9" x14ac:dyDescent="0.2">
      <c r="A25" s="27" t="s">
        <v>943</v>
      </c>
      <c r="B25" s="27" t="s">
        <v>944</v>
      </c>
      <c r="C25" s="27" t="s">
        <v>33</v>
      </c>
      <c r="D25" s="31">
        <v>3</v>
      </c>
      <c r="E25" s="29">
        <v>30.07779</v>
      </c>
      <c r="F25" s="30">
        <v>0.280559118186058</v>
      </c>
      <c r="G25" s="29">
        <v>3.4466000000000001</v>
      </c>
    </row>
    <row r="26" spans="1:9" x14ac:dyDescent="0.2">
      <c r="A26" s="26" t="s">
        <v>34</v>
      </c>
      <c r="B26" s="26"/>
      <c r="C26" s="26"/>
      <c r="D26" s="32"/>
      <c r="E26" s="33">
        <f>SUM(E24:E25)</f>
        <v>30.07779</v>
      </c>
      <c r="F26" s="34">
        <f>SUM(F24:F25)</f>
        <v>0.280559118186058</v>
      </c>
      <c r="G26" s="33"/>
      <c r="H26" s="18"/>
      <c r="I26" s="18"/>
    </row>
    <row r="27" spans="1:9" x14ac:dyDescent="0.2">
      <c r="A27" s="27"/>
      <c r="B27" s="27"/>
      <c r="C27" s="27"/>
      <c r="D27" s="28"/>
      <c r="E27" s="29"/>
      <c r="F27" s="30"/>
      <c r="G27" s="29"/>
    </row>
    <row r="28" spans="1:9" x14ac:dyDescent="0.2">
      <c r="A28" s="26" t="s">
        <v>48</v>
      </c>
      <c r="B28" s="27"/>
      <c r="C28" s="27"/>
      <c r="D28" s="28"/>
      <c r="E28" s="29"/>
      <c r="F28" s="30"/>
      <c r="G28" s="29"/>
    </row>
    <row r="29" spans="1:9" x14ac:dyDescent="0.2">
      <c r="A29" s="26" t="s">
        <v>58</v>
      </c>
      <c r="B29" s="27"/>
      <c r="C29" s="27"/>
      <c r="D29" s="28"/>
      <c r="E29" s="29"/>
      <c r="F29" s="30"/>
      <c r="G29" s="29"/>
    </row>
    <row r="30" spans="1:9" x14ac:dyDescent="0.2">
      <c r="A30" s="27" t="s">
        <v>1369</v>
      </c>
      <c r="B30" s="27" t="s">
        <v>1370</v>
      </c>
      <c r="C30" s="27" t="s">
        <v>62</v>
      </c>
      <c r="D30" s="31">
        <v>2000000</v>
      </c>
      <c r="E30" s="29">
        <v>1989.0139999999999</v>
      </c>
      <c r="F30" s="30">
        <v>18.5530922950032</v>
      </c>
      <c r="G30" s="29">
        <v>3.2</v>
      </c>
    </row>
    <row r="31" spans="1:9" x14ac:dyDescent="0.2">
      <c r="A31" s="26" t="s">
        <v>34</v>
      </c>
      <c r="B31" s="26"/>
      <c r="C31" s="26"/>
      <c r="D31" s="32"/>
      <c r="E31" s="33">
        <f>SUM(E29:E30)</f>
        <v>1989.0139999999999</v>
      </c>
      <c r="F31" s="34">
        <f>SUM(F29:F30)</f>
        <v>18.5530922950032</v>
      </c>
      <c r="G31" s="33"/>
      <c r="H31" s="18"/>
      <c r="I31" s="18"/>
    </row>
    <row r="32" spans="1:9" x14ac:dyDescent="0.2">
      <c r="A32" s="27"/>
      <c r="B32" s="27"/>
      <c r="C32" s="27"/>
      <c r="D32" s="28"/>
      <c r="E32" s="29"/>
      <c r="F32" s="30"/>
      <c r="G32" s="29"/>
    </row>
    <row r="33" spans="1:9" x14ac:dyDescent="0.2">
      <c r="A33" s="26" t="s">
        <v>36</v>
      </c>
      <c r="B33" s="26"/>
      <c r="C33" s="26"/>
      <c r="D33" s="32"/>
      <c r="E33" s="33">
        <f>E22+E26+E31</f>
        <v>10122.3035</v>
      </c>
      <c r="F33" s="34">
        <f>F22+F26+F31</f>
        <v>94.418657220881201</v>
      </c>
      <c r="G33" s="33"/>
      <c r="H33" s="18"/>
      <c r="I33" s="18"/>
    </row>
    <row r="34" spans="1:9" x14ac:dyDescent="0.2">
      <c r="A34" s="26"/>
      <c r="B34" s="26"/>
      <c r="C34" s="26"/>
      <c r="D34" s="32"/>
      <c r="E34" s="33"/>
      <c r="F34" s="34"/>
      <c r="G34" s="33"/>
      <c r="H34" s="18"/>
      <c r="I34" s="18"/>
    </row>
    <row r="35" spans="1:9" x14ac:dyDescent="0.2">
      <c r="A35" s="26" t="s">
        <v>38</v>
      </c>
      <c r="B35" s="26"/>
      <c r="C35" s="26"/>
      <c r="D35" s="32"/>
      <c r="E35" s="33">
        <f>E37-(E22+E26+E31)</f>
        <v>598.3567994999994</v>
      </c>
      <c r="F35" s="34">
        <f>F37-(F22+F26+F31)</f>
        <v>5.5813427791187991</v>
      </c>
      <c r="G35" s="33"/>
      <c r="H35" s="18"/>
      <c r="I35" s="18"/>
    </row>
    <row r="36" spans="1:9" x14ac:dyDescent="0.2">
      <c r="A36" s="26"/>
      <c r="B36" s="26"/>
      <c r="C36" s="26"/>
      <c r="D36" s="32"/>
      <c r="E36" s="33"/>
      <c r="F36" s="34"/>
      <c r="G36" s="33"/>
      <c r="H36" s="18"/>
      <c r="I36" s="18"/>
    </row>
    <row r="37" spans="1:9" x14ac:dyDescent="0.2">
      <c r="A37" s="35" t="s">
        <v>37</v>
      </c>
      <c r="B37" s="35"/>
      <c r="C37" s="35"/>
      <c r="D37" s="36"/>
      <c r="E37" s="37">
        <v>10720.660299499999</v>
      </c>
      <c r="F37" s="38">
        <v>100</v>
      </c>
      <c r="G37" s="37"/>
      <c r="H37" s="18"/>
      <c r="I37" s="18"/>
    </row>
    <row r="39" spans="1:9" x14ac:dyDescent="0.2">
      <c r="A39" s="18" t="s">
        <v>39</v>
      </c>
    </row>
    <row r="41" spans="1:9" x14ac:dyDescent="0.2">
      <c r="A41" s="18" t="s">
        <v>40</v>
      </c>
    </row>
    <row r="42" spans="1:9" x14ac:dyDescent="0.2">
      <c r="A42" s="18" t="s">
        <v>41</v>
      </c>
    </row>
    <row r="43" spans="1:9" x14ac:dyDescent="0.2">
      <c r="A43" s="18" t="s">
        <v>42</v>
      </c>
      <c r="B43" s="18"/>
      <c r="C43" s="39" t="s">
        <v>44</v>
      </c>
      <c r="D43" s="19" t="s">
        <v>43</v>
      </c>
    </row>
    <row r="44" spans="1:9" x14ac:dyDescent="0.2">
      <c r="A44" s="9" t="s">
        <v>65</v>
      </c>
      <c r="C44" s="40">
        <v>12.248900000000001</v>
      </c>
      <c r="D44" s="40">
        <v>12.5159</v>
      </c>
    </row>
    <row r="45" spans="1:9" x14ac:dyDescent="0.2">
      <c r="A45" s="9" t="s">
        <v>1271</v>
      </c>
      <c r="C45" s="40">
        <v>10.523899999999999</v>
      </c>
      <c r="D45" s="40">
        <v>10.753399999999999</v>
      </c>
    </row>
    <row r="46" spans="1:9" x14ac:dyDescent="0.2">
      <c r="A46" s="9" t="s">
        <v>66</v>
      </c>
      <c r="C46" s="40">
        <v>12.341100000000001</v>
      </c>
      <c r="D46" s="40">
        <v>12.61</v>
      </c>
    </row>
    <row r="47" spans="1:9" x14ac:dyDescent="0.2">
      <c r="C47" s="40"/>
      <c r="D47" s="40"/>
    </row>
    <row r="48" spans="1:9" x14ac:dyDescent="0.2">
      <c r="A48" s="9" t="s">
        <v>782</v>
      </c>
    </row>
    <row r="50" spans="1:7" x14ac:dyDescent="0.2">
      <c r="A50" s="18" t="s">
        <v>1560</v>
      </c>
      <c r="D50" s="41" t="s">
        <v>45</v>
      </c>
    </row>
    <row r="52" spans="1:7" x14ac:dyDescent="0.2">
      <c r="A52" s="18" t="s">
        <v>783</v>
      </c>
      <c r="D52" s="42">
        <v>0.101992026712329</v>
      </c>
      <c r="E52" s="13" t="s">
        <v>46</v>
      </c>
    </row>
    <row r="54" spans="1:7" x14ac:dyDescent="0.2">
      <c r="A54" s="18" t="s">
        <v>717</v>
      </c>
      <c r="D54" s="41" t="s">
        <v>45</v>
      </c>
    </row>
    <row r="56" spans="1:7" ht="14.4" x14ac:dyDescent="0.2">
      <c r="A56" s="90" t="s">
        <v>784</v>
      </c>
      <c r="B56" s="91"/>
      <c r="C56" s="91"/>
      <c r="D56" s="91"/>
      <c r="E56" s="91"/>
      <c r="F56" s="91"/>
      <c r="G56" s="91"/>
    </row>
    <row r="57" spans="1:7" x14ac:dyDescent="0.2">
      <c r="A57" s="50" t="s">
        <v>47</v>
      </c>
    </row>
    <row r="58" spans="1:7" x14ac:dyDescent="0.2">
      <c r="A58" s="50"/>
    </row>
  </sheetData>
  <mergeCells count="2">
    <mergeCell ref="A1:G1"/>
    <mergeCell ref="A56:G56"/>
  </mergeCells>
  <conditionalFormatting sqref="F2:F3 F5:F55 F58:F65537">
    <cfRule type="cellIs" dxfId="136" priority="3" stopIfTrue="1" operator="between">
      <formula>0.009</formula>
      <formula>-0.009</formula>
    </cfRule>
  </conditionalFormatting>
  <conditionalFormatting sqref="F57">
    <cfRule type="cellIs" dxfId="135" priority="1" stopIfTrue="1" operator="between">
      <formula>0.009</formula>
      <formula>-0.009</formula>
    </cfRule>
  </conditionalFormatting>
  <hyperlinks>
    <hyperlink ref="A57" r:id="rId1" xr:uid="{00000000-0004-0000-1400-000000000000}"/>
  </hyperlinks>
  <pageMargins left="0.7" right="0.7" top="0.75" bottom="0.75" header="0.3" footer="0.3"/>
  <pageSetup paperSize="9" scale="50" orientation="portrait" r:id="rId2"/>
  <headerFooter>
    <oddFooter>&amp;R&amp;1#&amp;"Calibri"&amp;10&amp;KFF0000|PUBLIC|</oddFooter>
    <evenFooter>&amp;LPUBLIC</evenFooter>
    <firstFooter>&amp;LPUBLIC</firstFooter>
  </headerFooter>
  <colBreaks count="1" manualBreakCount="1">
    <brk id="7" max="1048575" man="1"/>
  </col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I57"/>
  <sheetViews>
    <sheetView view="pageBreakPreview" zoomScaleNormal="100" zoomScaleSheetLayoutView="100" workbookViewId="0">
      <selection sqref="A1:G1"/>
    </sheetView>
  </sheetViews>
  <sheetFormatPr defaultColWidth="9.21875" defaultRowHeight="10.199999999999999" x14ac:dyDescent="0.2"/>
  <cols>
    <col min="1" max="1" width="38.77734375" style="9" bestFit="1" customWidth="1"/>
    <col min="2" max="2" width="50" style="9" customWidth="1"/>
    <col min="3" max="3" width="22.44140625" style="9" customWidth="1"/>
    <col min="4" max="4" width="15.44140625" style="10" bestFit="1" customWidth="1"/>
    <col min="5" max="5" width="23" style="13" bestFit="1" customWidth="1"/>
    <col min="6" max="6" width="13.5546875" style="14" bestFit="1" customWidth="1"/>
    <col min="7" max="7" width="14.21875" style="13" customWidth="1"/>
    <col min="8" max="16384" width="9.21875" style="9"/>
  </cols>
  <sheetData>
    <row r="1" spans="1:7" s="1" customFormat="1" ht="13.8" x14ac:dyDescent="0.2">
      <c r="A1" s="92" t="s">
        <v>1371</v>
      </c>
      <c r="B1" s="93"/>
      <c r="C1" s="93"/>
      <c r="D1" s="93"/>
      <c r="E1" s="93"/>
      <c r="F1" s="93"/>
      <c r="G1" s="93"/>
    </row>
    <row r="2" spans="1:7" s="1" customFormat="1" ht="11.4" x14ac:dyDescent="0.2">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727</v>
      </c>
      <c r="D4" s="16" t="s">
        <v>1</v>
      </c>
      <c r="E4" s="15" t="s">
        <v>3</v>
      </c>
      <c r="F4" s="15" t="s">
        <v>4</v>
      </c>
      <c r="G4" s="15" t="s">
        <v>6</v>
      </c>
    </row>
    <row r="5" spans="1:7" x14ac:dyDescent="0.2">
      <c r="A5" s="21" t="s">
        <v>26</v>
      </c>
      <c r="B5" s="22"/>
      <c r="C5" s="22"/>
      <c r="D5" s="23"/>
      <c r="E5" s="24"/>
      <c r="F5" s="25"/>
      <c r="G5" s="24"/>
    </row>
    <row r="6" spans="1:7" x14ac:dyDescent="0.2">
      <c r="A6" s="26" t="s">
        <v>27</v>
      </c>
      <c r="B6" s="27"/>
      <c r="C6" s="27"/>
      <c r="D6" s="28"/>
      <c r="E6" s="29"/>
      <c r="F6" s="30"/>
      <c r="G6" s="29"/>
    </row>
    <row r="7" spans="1:7" x14ac:dyDescent="0.2">
      <c r="A7" s="27" t="s">
        <v>1372</v>
      </c>
      <c r="B7" s="27" t="s">
        <v>1373</v>
      </c>
      <c r="C7" s="27" t="s">
        <v>33</v>
      </c>
      <c r="D7" s="31">
        <v>173</v>
      </c>
      <c r="E7" s="29">
        <v>1732.92543</v>
      </c>
      <c r="F7" s="30">
        <v>9.1103962241586895</v>
      </c>
      <c r="G7" s="29">
        <v>3.3250000000000002</v>
      </c>
    </row>
    <row r="8" spans="1:7" x14ac:dyDescent="0.2">
      <c r="A8" s="27" t="s">
        <v>1341</v>
      </c>
      <c r="B8" s="27" t="s">
        <v>1342</v>
      </c>
      <c r="C8" s="27" t="s">
        <v>830</v>
      </c>
      <c r="D8" s="31">
        <v>300</v>
      </c>
      <c r="E8" s="29">
        <v>1510.2045000000001</v>
      </c>
      <c r="F8" s="30">
        <v>7.9394999555794303</v>
      </c>
      <c r="G8" s="29">
        <v>3.7503000000000002</v>
      </c>
    </row>
    <row r="9" spans="1:7" x14ac:dyDescent="0.2">
      <c r="A9" s="27" t="s">
        <v>1361</v>
      </c>
      <c r="B9" s="27" t="s">
        <v>1362</v>
      </c>
      <c r="C9" s="27" t="s">
        <v>885</v>
      </c>
      <c r="D9" s="31">
        <v>150</v>
      </c>
      <c r="E9" s="29">
        <v>1502.373</v>
      </c>
      <c r="F9" s="30">
        <v>7.8983279196716296</v>
      </c>
      <c r="G9" s="29">
        <v>3.2791000000000001</v>
      </c>
    </row>
    <row r="10" spans="1:7" x14ac:dyDescent="0.2">
      <c r="A10" s="27" t="s">
        <v>1374</v>
      </c>
      <c r="B10" s="27" t="s">
        <v>1375</v>
      </c>
      <c r="C10" s="27" t="s">
        <v>830</v>
      </c>
      <c r="D10" s="31">
        <v>149</v>
      </c>
      <c r="E10" s="29">
        <v>1490.7062599999999</v>
      </c>
      <c r="F10" s="30">
        <v>7.8369931257998298</v>
      </c>
      <c r="G10" s="29">
        <v>3.3542000000000001</v>
      </c>
    </row>
    <row r="11" spans="1:7" x14ac:dyDescent="0.2">
      <c r="A11" s="27" t="s">
        <v>1376</v>
      </c>
      <c r="B11" s="27" t="s">
        <v>1377</v>
      </c>
      <c r="C11" s="27" t="s">
        <v>33</v>
      </c>
      <c r="D11" s="31">
        <v>128</v>
      </c>
      <c r="E11" s="29">
        <v>1272.9689599999999</v>
      </c>
      <c r="F11" s="30">
        <v>6.6922969712869902</v>
      </c>
      <c r="G11" s="29">
        <v>3.6</v>
      </c>
    </row>
    <row r="12" spans="1:7" x14ac:dyDescent="0.2">
      <c r="A12" s="27" t="s">
        <v>1365</v>
      </c>
      <c r="B12" s="27" t="s">
        <v>1366</v>
      </c>
      <c r="C12" s="27" t="s">
        <v>33</v>
      </c>
      <c r="D12" s="31">
        <v>89</v>
      </c>
      <c r="E12" s="29">
        <v>1131.8735200000001</v>
      </c>
      <c r="F12" s="30">
        <v>5.95052508568312</v>
      </c>
      <c r="G12" s="29">
        <v>3.5990000000000002</v>
      </c>
    </row>
    <row r="13" spans="1:7" x14ac:dyDescent="0.2">
      <c r="A13" s="27" t="s">
        <v>1343</v>
      </c>
      <c r="B13" s="27" t="s">
        <v>1344</v>
      </c>
      <c r="C13" s="27" t="s">
        <v>33</v>
      </c>
      <c r="D13" s="31">
        <v>84</v>
      </c>
      <c r="E13" s="29">
        <v>1075.8258000000001</v>
      </c>
      <c r="F13" s="30">
        <v>5.6558690503909901</v>
      </c>
      <c r="G13" s="29">
        <v>3.7904</v>
      </c>
    </row>
    <row r="14" spans="1:7" x14ac:dyDescent="0.2">
      <c r="A14" s="27" t="s">
        <v>1337</v>
      </c>
      <c r="B14" s="27" t="s">
        <v>1338</v>
      </c>
      <c r="C14" s="27" t="s">
        <v>33</v>
      </c>
      <c r="D14" s="31">
        <v>101</v>
      </c>
      <c r="E14" s="29">
        <v>1017.4437</v>
      </c>
      <c r="F14" s="30">
        <v>5.3489406308579799</v>
      </c>
      <c r="G14" s="29">
        <v>3.3349000000000002</v>
      </c>
    </row>
    <row r="15" spans="1:7" x14ac:dyDescent="0.2">
      <c r="A15" s="27" t="s">
        <v>1359</v>
      </c>
      <c r="B15" s="27" t="s">
        <v>1360</v>
      </c>
      <c r="C15" s="27" t="s">
        <v>830</v>
      </c>
      <c r="D15" s="31">
        <v>22</v>
      </c>
      <c r="E15" s="29">
        <v>220.44286</v>
      </c>
      <c r="F15" s="30">
        <v>1.15891991924127</v>
      </c>
      <c r="G15" s="29">
        <v>3.7248000000000001</v>
      </c>
    </row>
    <row r="16" spans="1:7" x14ac:dyDescent="0.2">
      <c r="A16" s="27" t="s">
        <v>1314</v>
      </c>
      <c r="B16" s="27" t="s">
        <v>1315</v>
      </c>
      <c r="C16" s="27" t="s">
        <v>33</v>
      </c>
      <c r="D16" s="31">
        <v>9</v>
      </c>
      <c r="E16" s="29">
        <v>90.445949999999996</v>
      </c>
      <c r="F16" s="30">
        <v>0.475495614009453</v>
      </c>
      <c r="G16" s="29">
        <v>3.3397000000000001</v>
      </c>
    </row>
    <row r="17" spans="1:9" x14ac:dyDescent="0.2">
      <c r="A17" s="26" t="s">
        <v>34</v>
      </c>
      <c r="B17" s="26"/>
      <c r="C17" s="26"/>
      <c r="D17" s="32"/>
      <c r="E17" s="33">
        <f>SUM(E6:E16)</f>
        <v>11045.20998</v>
      </c>
      <c r="F17" s="34">
        <f>SUM(F6:F16)</f>
        <v>58.067264496679385</v>
      </c>
      <c r="G17" s="33"/>
      <c r="H17" s="18"/>
      <c r="I17" s="18"/>
    </row>
    <row r="18" spans="1:9" x14ac:dyDescent="0.2">
      <c r="A18" s="27"/>
      <c r="B18" s="27"/>
      <c r="C18" s="27"/>
      <c r="D18" s="28"/>
      <c r="E18" s="29"/>
      <c r="F18" s="30"/>
      <c r="G18" s="29"/>
    </row>
    <row r="19" spans="1:9" x14ac:dyDescent="0.2">
      <c r="A19" s="26" t="s">
        <v>942</v>
      </c>
      <c r="B19" s="27"/>
      <c r="C19" s="27"/>
      <c r="D19" s="28"/>
      <c r="E19" s="29"/>
      <c r="F19" s="30"/>
      <c r="G19" s="29"/>
    </row>
    <row r="20" spans="1:9" x14ac:dyDescent="0.2">
      <c r="A20" s="27" t="s">
        <v>943</v>
      </c>
      <c r="B20" s="27" t="s">
        <v>944</v>
      </c>
      <c r="C20" s="27" t="s">
        <v>33</v>
      </c>
      <c r="D20" s="31">
        <v>2</v>
      </c>
      <c r="E20" s="29">
        <v>20.051860000000001</v>
      </c>
      <c r="F20" s="30">
        <v>0.105417340220669</v>
      </c>
      <c r="G20" s="29">
        <v>3.4466000000000001</v>
      </c>
    </row>
    <row r="21" spans="1:9" x14ac:dyDescent="0.2">
      <c r="A21" s="26" t="s">
        <v>34</v>
      </c>
      <c r="B21" s="26"/>
      <c r="C21" s="26"/>
      <c r="D21" s="32"/>
      <c r="E21" s="33">
        <f>SUM(E19:E20)</f>
        <v>20.051860000000001</v>
      </c>
      <c r="F21" s="34">
        <f>SUM(F19:F20)</f>
        <v>0.105417340220669</v>
      </c>
      <c r="G21" s="33"/>
      <c r="H21" s="18"/>
      <c r="I21" s="18"/>
    </row>
    <row r="22" spans="1:9" x14ac:dyDescent="0.2">
      <c r="A22" s="27"/>
      <c r="B22" s="27"/>
      <c r="C22" s="27"/>
      <c r="D22" s="28"/>
      <c r="E22" s="29"/>
      <c r="F22" s="30"/>
      <c r="G22" s="29"/>
    </row>
    <row r="23" spans="1:9" x14ac:dyDescent="0.2">
      <c r="A23" s="26" t="s">
        <v>59</v>
      </c>
      <c r="B23" s="27"/>
      <c r="C23" s="27"/>
      <c r="D23" s="28"/>
      <c r="E23" s="29"/>
      <c r="F23" s="30"/>
      <c r="G23" s="29"/>
    </row>
    <row r="24" spans="1:9" x14ac:dyDescent="0.2">
      <c r="A24" s="27" t="s">
        <v>1378</v>
      </c>
      <c r="B24" s="27" t="s">
        <v>1379</v>
      </c>
      <c r="C24" s="27" t="s">
        <v>62</v>
      </c>
      <c r="D24" s="31">
        <v>7000000</v>
      </c>
      <c r="E24" s="29">
        <v>7047.768</v>
      </c>
      <c r="F24" s="30">
        <v>37.051772606249102</v>
      </c>
      <c r="G24" s="29">
        <v>3.2383000000000002</v>
      </c>
    </row>
    <row r="25" spans="1:9" x14ac:dyDescent="0.2">
      <c r="A25" s="26" t="s">
        <v>34</v>
      </c>
      <c r="B25" s="26"/>
      <c r="C25" s="26"/>
      <c r="D25" s="32"/>
      <c r="E25" s="33">
        <f>SUM(E24:E24)</f>
        <v>7047.768</v>
      </c>
      <c r="F25" s="34">
        <f>SUM(F24:F24)</f>
        <v>37.051772606249102</v>
      </c>
      <c r="G25" s="33"/>
      <c r="H25" s="18"/>
      <c r="I25" s="18"/>
    </row>
    <row r="26" spans="1:9" x14ac:dyDescent="0.2">
      <c r="A26" s="27"/>
      <c r="B26" s="27"/>
      <c r="C26" s="27"/>
      <c r="D26" s="28"/>
      <c r="E26" s="29"/>
      <c r="F26" s="30"/>
      <c r="G26" s="29"/>
    </row>
    <row r="27" spans="1:9" x14ac:dyDescent="0.2">
      <c r="A27" s="26" t="s">
        <v>36</v>
      </c>
      <c r="B27" s="26"/>
      <c r="C27" s="26"/>
      <c r="D27" s="32"/>
      <c r="E27" s="33">
        <f>E17+E21+E25</f>
        <v>18113.029839999999</v>
      </c>
      <c r="F27" s="34">
        <f>F17+F21+F25</f>
        <v>95.224454443149156</v>
      </c>
      <c r="G27" s="33"/>
      <c r="H27" s="18"/>
      <c r="I27" s="18"/>
    </row>
    <row r="28" spans="1:9" x14ac:dyDescent="0.2">
      <c r="A28" s="26"/>
      <c r="B28" s="26"/>
      <c r="C28" s="26"/>
      <c r="D28" s="32"/>
      <c r="E28" s="33"/>
      <c r="F28" s="34"/>
      <c r="G28" s="33"/>
      <c r="H28" s="18"/>
      <c r="I28" s="18"/>
    </row>
    <row r="29" spans="1:9" x14ac:dyDescent="0.2">
      <c r="A29" s="26" t="s">
        <v>38</v>
      </c>
      <c r="B29" s="26"/>
      <c r="C29" s="26"/>
      <c r="D29" s="32"/>
      <c r="E29" s="33">
        <f>E31-(E17+E21+E25)</f>
        <v>908.37589650000155</v>
      </c>
      <c r="F29" s="34">
        <f>F31-(F17+F21+F25)</f>
        <v>4.7755455568508438</v>
      </c>
      <c r="G29" s="33"/>
      <c r="H29" s="18"/>
      <c r="I29" s="18"/>
    </row>
    <row r="30" spans="1:9" x14ac:dyDescent="0.2">
      <c r="A30" s="26"/>
      <c r="B30" s="26"/>
      <c r="C30" s="26"/>
      <c r="D30" s="32"/>
      <c r="E30" s="33"/>
      <c r="F30" s="34"/>
      <c r="G30" s="33"/>
      <c r="H30" s="18"/>
      <c r="I30" s="18"/>
    </row>
    <row r="31" spans="1:9" x14ac:dyDescent="0.2">
      <c r="A31" s="35" t="s">
        <v>37</v>
      </c>
      <c r="B31" s="35"/>
      <c r="C31" s="35"/>
      <c r="D31" s="36"/>
      <c r="E31" s="37">
        <v>19021.405736500001</v>
      </c>
      <c r="F31" s="38">
        <v>100</v>
      </c>
      <c r="G31" s="37"/>
      <c r="H31" s="18"/>
      <c r="I31" s="18"/>
    </row>
    <row r="33" spans="1:4" x14ac:dyDescent="0.2">
      <c r="A33" s="18" t="s">
        <v>39</v>
      </c>
    </row>
    <row r="35" spans="1:4" x14ac:dyDescent="0.2">
      <c r="A35" s="18" t="s">
        <v>40</v>
      </c>
    </row>
    <row r="36" spans="1:4" x14ac:dyDescent="0.2">
      <c r="A36" s="18" t="s">
        <v>41</v>
      </c>
    </row>
    <row r="37" spans="1:4" x14ac:dyDescent="0.2">
      <c r="A37" s="18" t="s">
        <v>42</v>
      </c>
      <c r="B37" s="18"/>
      <c r="C37" s="39" t="s">
        <v>44</v>
      </c>
      <c r="D37" s="41" t="s">
        <v>43</v>
      </c>
    </row>
    <row r="38" spans="1:4" x14ac:dyDescent="0.2">
      <c r="A38" s="9" t="s">
        <v>65</v>
      </c>
      <c r="C38" s="40">
        <v>12.2834</v>
      </c>
      <c r="D38" s="40">
        <v>12.5336</v>
      </c>
    </row>
    <row r="39" spans="1:4" x14ac:dyDescent="0.2">
      <c r="A39" s="9" t="s">
        <v>1271</v>
      </c>
      <c r="C39" s="40">
        <v>10.5153</v>
      </c>
      <c r="D39" s="40">
        <v>10.7295</v>
      </c>
    </row>
    <row r="40" spans="1:4" x14ac:dyDescent="0.2">
      <c r="A40" s="9" t="s">
        <v>948</v>
      </c>
      <c r="C40" s="40">
        <v>10.308</v>
      </c>
      <c r="D40" s="40">
        <v>10.120799999999999</v>
      </c>
    </row>
    <row r="41" spans="1:4" x14ac:dyDescent="0.2">
      <c r="A41" s="9" t="s">
        <v>66</v>
      </c>
      <c r="C41" s="40">
        <v>12.357200000000001</v>
      </c>
      <c r="D41" s="40">
        <v>12.609</v>
      </c>
    </row>
    <row r="42" spans="1:4" x14ac:dyDescent="0.2">
      <c r="A42" s="9" t="s">
        <v>1004</v>
      </c>
      <c r="C42" s="40">
        <v>10.5916</v>
      </c>
      <c r="D42" s="40">
        <v>10.808999999999999</v>
      </c>
    </row>
    <row r="43" spans="1:4" x14ac:dyDescent="0.2">
      <c r="A43" s="9" t="s">
        <v>952</v>
      </c>
      <c r="C43" s="40">
        <v>10.371</v>
      </c>
      <c r="D43" s="40">
        <v>10.1859</v>
      </c>
    </row>
    <row r="44" spans="1:4" x14ac:dyDescent="0.2">
      <c r="C44" s="40"/>
      <c r="D44" s="40"/>
    </row>
    <row r="45" spans="1:4" x14ac:dyDescent="0.2">
      <c r="A45" s="18" t="s">
        <v>1560</v>
      </c>
    </row>
    <row r="46" spans="1:4" x14ac:dyDescent="0.2">
      <c r="A46" s="94" t="s">
        <v>64</v>
      </c>
      <c r="B46" s="95"/>
      <c r="C46" s="44" t="s">
        <v>1544</v>
      </c>
    </row>
    <row r="47" spans="1:4" x14ac:dyDescent="0.2">
      <c r="A47" s="88" t="s">
        <v>948</v>
      </c>
      <c r="B47" s="89"/>
      <c r="C47" s="45">
        <v>0.39500000000000002</v>
      </c>
    </row>
    <row r="48" spans="1:4" x14ac:dyDescent="0.2">
      <c r="A48" s="88" t="s">
        <v>952</v>
      </c>
      <c r="B48" s="89"/>
      <c r="C48" s="45">
        <v>0.39500000000000002</v>
      </c>
    </row>
    <row r="49" spans="1:7" x14ac:dyDescent="0.2">
      <c r="A49" s="9" t="s">
        <v>1545</v>
      </c>
    </row>
    <row r="50" spans="1:7" x14ac:dyDescent="0.2">
      <c r="A50" s="9" t="s">
        <v>782</v>
      </c>
    </row>
    <row r="52" spans="1:7" x14ac:dyDescent="0.2">
      <c r="A52" s="18" t="s">
        <v>783</v>
      </c>
      <c r="D52" s="42">
        <v>9.7333222328767094E-2</v>
      </c>
      <c r="E52" s="13" t="s">
        <v>46</v>
      </c>
    </row>
    <row r="54" spans="1:7" x14ac:dyDescent="0.2">
      <c r="A54" s="18" t="s">
        <v>717</v>
      </c>
      <c r="D54" s="41" t="s">
        <v>45</v>
      </c>
    </row>
    <row r="56" spans="1:7" ht="14.4" x14ac:dyDescent="0.2">
      <c r="A56" s="90" t="s">
        <v>784</v>
      </c>
      <c r="B56" s="91"/>
      <c r="C56" s="91"/>
      <c r="D56" s="91"/>
      <c r="E56" s="91"/>
      <c r="F56" s="91"/>
      <c r="G56" s="91"/>
    </row>
    <row r="57" spans="1:7" x14ac:dyDescent="0.2">
      <c r="A57" s="50" t="s">
        <v>47</v>
      </c>
    </row>
  </sheetData>
  <mergeCells count="5">
    <mergeCell ref="A1:G1"/>
    <mergeCell ref="A46:B46"/>
    <mergeCell ref="A47:B47"/>
    <mergeCell ref="A48:B48"/>
    <mergeCell ref="A56:G56"/>
  </mergeCells>
  <conditionalFormatting sqref="F2:F3 F59:F65536 F5:F55">
    <cfRule type="cellIs" dxfId="134" priority="3" stopIfTrue="1" operator="between">
      <formula>0.009</formula>
      <formula>-0.009</formula>
    </cfRule>
  </conditionalFormatting>
  <conditionalFormatting sqref="F58">
    <cfRule type="cellIs" dxfId="133" priority="2" stopIfTrue="1" operator="between">
      <formula>0.009</formula>
      <formula>-0.009</formula>
    </cfRule>
  </conditionalFormatting>
  <conditionalFormatting sqref="F57">
    <cfRule type="cellIs" dxfId="132" priority="1" stopIfTrue="1" operator="between">
      <formula>0.009</formula>
      <formula>-0.009</formula>
    </cfRule>
  </conditionalFormatting>
  <hyperlinks>
    <hyperlink ref="A57" r:id="rId1" xr:uid="{00000000-0004-0000-1500-000000000000}"/>
  </hyperlinks>
  <pageMargins left="0.7" right="0.7" top="0.75" bottom="0.75" header="0.3" footer="0.3"/>
  <pageSetup paperSize="9" scale="49" orientation="portrait" r:id="rId2"/>
  <headerFooter>
    <oddFooter>&amp;R&amp;1#&amp;"Calibri"&amp;10&amp;KFF0000|PUBLIC|</oddFooter>
    <evenFooter>&amp;LPUBLIC</evenFooter>
    <firstFooter>&amp;LPUBLIC</firstFooter>
  </headerFooter>
  <colBreaks count="1" manualBreakCount="1">
    <brk id="7" max="1048575"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I65"/>
  <sheetViews>
    <sheetView view="pageBreakPreview" zoomScaleNormal="100" zoomScaleSheetLayoutView="100" workbookViewId="0">
      <selection sqref="A1:G1"/>
    </sheetView>
  </sheetViews>
  <sheetFormatPr defaultColWidth="9.21875" defaultRowHeight="10.199999999999999" x14ac:dyDescent="0.2"/>
  <cols>
    <col min="1" max="1" width="38.77734375" style="9" bestFit="1" customWidth="1"/>
    <col min="2" max="2" width="50.21875" style="9" customWidth="1"/>
    <col min="3" max="3" width="22.5546875" style="9" customWidth="1"/>
    <col min="4" max="4" width="15.44140625" style="10" bestFit="1" customWidth="1"/>
    <col min="5" max="5" width="23" style="13" bestFit="1" customWidth="1"/>
    <col min="6" max="6" width="13.5546875" style="14" bestFit="1" customWidth="1"/>
    <col min="7" max="7" width="14.21875" style="13" customWidth="1"/>
    <col min="8" max="16384" width="9.21875" style="9"/>
  </cols>
  <sheetData>
    <row r="1" spans="1:9" s="1" customFormat="1" ht="13.8" x14ac:dyDescent="0.2">
      <c r="A1" s="92" t="s">
        <v>1380</v>
      </c>
      <c r="B1" s="93"/>
      <c r="C1" s="93"/>
      <c r="D1" s="93"/>
      <c r="E1" s="93"/>
      <c r="F1" s="93"/>
      <c r="G1" s="93"/>
    </row>
    <row r="2" spans="1:9" s="1" customFormat="1" ht="11.4" x14ac:dyDescent="0.2">
      <c r="D2" s="6"/>
      <c r="E2" s="7"/>
      <c r="F2" s="12"/>
      <c r="G2" s="13"/>
    </row>
    <row r="3" spans="1:9" s="1" customFormat="1" ht="12" x14ac:dyDescent="0.2">
      <c r="A3" s="11" t="s">
        <v>7</v>
      </c>
      <c r="B3" s="2"/>
      <c r="C3" s="3"/>
      <c r="D3" s="4"/>
      <c r="E3" s="5"/>
      <c r="F3" s="12"/>
      <c r="G3" s="13"/>
    </row>
    <row r="4" spans="1:9" s="1" customFormat="1" ht="17.55" customHeight="1" x14ac:dyDescent="0.2">
      <c r="A4" s="8" t="s">
        <v>2</v>
      </c>
      <c r="B4" s="8" t="s">
        <v>0</v>
      </c>
      <c r="C4" s="17" t="s">
        <v>727</v>
      </c>
      <c r="D4" s="16" t="s">
        <v>1</v>
      </c>
      <c r="E4" s="15" t="s">
        <v>3</v>
      </c>
      <c r="F4" s="15" t="s">
        <v>4</v>
      </c>
      <c r="G4" s="15" t="s">
        <v>6</v>
      </c>
    </row>
    <row r="5" spans="1:9" x14ac:dyDescent="0.2">
      <c r="A5" s="21" t="s">
        <v>26</v>
      </c>
      <c r="B5" s="22"/>
      <c r="C5" s="22"/>
      <c r="D5" s="23"/>
      <c r="E5" s="24"/>
      <c r="F5" s="25"/>
      <c r="G5" s="24"/>
    </row>
    <row r="6" spans="1:9" x14ac:dyDescent="0.2">
      <c r="A6" s="26" t="s">
        <v>27</v>
      </c>
      <c r="B6" s="27"/>
      <c r="C6" s="27"/>
      <c r="D6" s="28"/>
      <c r="E6" s="29"/>
      <c r="F6" s="30"/>
      <c r="G6" s="29"/>
    </row>
    <row r="7" spans="1:9" x14ac:dyDescent="0.2">
      <c r="A7" s="27" t="s">
        <v>1343</v>
      </c>
      <c r="B7" s="27" t="s">
        <v>1344</v>
      </c>
      <c r="C7" s="27" t="s">
        <v>33</v>
      </c>
      <c r="D7" s="31">
        <v>45</v>
      </c>
      <c r="E7" s="29">
        <v>576.33524999999997</v>
      </c>
      <c r="F7" s="30">
        <v>9.8154959629414993</v>
      </c>
      <c r="G7" s="29">
        <v>3.7904</v>
      </c>
    </row>
    <row r="8" spans="1:9" x14ac:dyDescent="0.2">
      <c r="A8" s="27" t="s">
        <v>1365</v>
      </c>
      <c r="B8" s="27" t="s">
        <v>1366</v>
      </c>
      <c r="C8" s="27" t="s">
        <v>33</v>
      </c>
      <c r="D8" s="31">
        <v>45</v>
      </c>
      <c r="E8" s="29">
        <v>572.29560000000004</v>
      </c>
      <c r="F8" s="30">
        <v>9.7466971721913307</v>
      </c>
      <c r="G8" s="29">
        <v>3.5990000000000002</v>
      </c>
    </row>
    <row r="9" spans="1:9" x14ac:dyDescent="0.2">
      <c r="A9" s="27" t="s">
        <v>1361</v>
      </c>
      <c r="B9" s="27" t="s">
        <v>1362</v>
      </c>
      <c r="C9" s="27" t="s">
        <v>885</v>
      </c>
      <c r="D9" s="31">
        <v>46</v>
      </c>
      <c r="E9" s="29">
        <v>460.72771999999998</v>
      </c>
      <c r="F9" s="30">
        <v>7.8465980966377504</v>
      </c>
      <c r="G9" s="29">
        <v>3.2791000000000001</v>
      </c>
    </row>
    <row r="10" spans="1:9" x14ac:dyDescent="0.2">
      <c r="A10" s="27" t="s">
        <v>1372</v>
      </c>
      <c r="B10" s="27" t="s">
        <v>1373</v>
      </c>
      <c r="C10" s="27" t="s">
        <v>33</v>
      </c>
      <c r="D10" s="31">
        <v>45</v>
      </c>
      <c r="E10" s="29">
        <v>450.76094999999998</v>
      </c>
      <c r="F10" s="30">
        <v>7.6768552417654101</v>
      </c>
      <c r="G10" s="29">
        <v>3.3250000000000002</v>
      </c>
    </row>
    <row r="11" spans="1:9" x14ac:dyDescent="0.2">
      <c r="A11" s="27" t="s">
        <v>916</v>
      </c>
      <c r="B11" s="27" t="s">
        <v>917</v>
      </c>
      <c r="C11" s="27" t="s">
        <v>885</v>
      </c>
      <c r="D11" s="31">
        <v>34</v>
      </c>
      <c r="E11" s="29">
        <v>435.13404000000003</v>
      </c>
      <c r="F11" s="30">
        <v>7.4107152268726004</v>
      </c>
      <c r="G11" s="29">
        <v>4.54</v>
      </c>
    </row>
    <row r="12" spans="1:9" x14ac:dyDescent="0.2">
      <c r="A12" s="27" t="s">
        <v>1203</v>
      </c>
      <c r="B12" s="27" t="s">
        <v>1204</v>
      </c>
      <c r="C12" s="27" t="s">
        <v>962</v>
      </c>
      <c r="D12" s="31">
        <v>20</v>
      </c>
      <c r="E12" s="29">
        <v>253.70859999999999</v>
      </c>
      <c r="F12" s="30">
        <v>4.3208804928443003</v>
      </c>
      <c r="G12" s="29">
        <v>3.7261000000000002</v>
      </c>
    </row>
    <row r="13" spans="1:9" x14ac:dyDescent="0.2">
      <c r="A13" s="27" t="s">
        <v>1357</v>
      </c>
      <c r="B13" s="27" t="s">
        <v>1358</v>
      </c>
      <c r="C13" s="27" t="s">
        <v>885</v>
      </c>
      <c r="D13" s="31">
        <v>20</v>
      </c>
      <c r="E13" s="29">
        <v>200.417</v>
      </c>
      <c r="F13" s="30">
        <v>3.4132776962798101</v>
      </c>
      <c r="G13" s="29">
        <v>3.3500999999999999</v>
      </c>
    </row>
    <row r="14" spans="1:9" x14ac:dyDescent="0.2">
      <c r="A14" s="27" t="s">
        <v>1381</v>
      </c>
      <c r="B14" s="27" t="s">
        <v>1382</v>
      </c>
      <c r="C14" s="27" t="s">
        <v>33</v>
      </c>
      <c r="D14" s="31">
        <v>17</v>
      </c>
      <c r="E14" s="29">
        <v>169.58179999999999</v>
      </c>
      <c r="F14" s="30">
        <v>2.8881271331024001</v>
      </c>
      <c r="G14" s="29">
        <v>3.6004999999999998</v>
      </c>
    </row>
    <row r="15" spans="1:9" x14ac:dyDescent="0.2">
      <c r="A15" s="26" t="s">
        <v>34</v>
      </c>
      <c r="B15" s="26"/>
      <c r="C15" s="26"/>
      <c r="D15" s="32"/>
      <c r="E15" s="33">
        <f>SUM(E6:E14)</f>
        <v>3118.9609599999994</v>
      </c>
      <c r="F15" s="34">
        <f>SUM(F6:F14)</f>
        <v>53.118647022635102</v>
      </c>
      <c r="G15" s="33"/>
      <c r="H15" s="18"/>
      <c r="I15" s="18"/>
    </row>
    <row r="16" spans="1:9" x14ac:dyDescent="0.2">
      <c r="A16" s="27"/>
      <c r="B16" s="27"/>
      <c r="C16" s="27"/>
      <c r="D16" s="28"/>
      <c r="E16" s="29"/>
      <c r="F16" s="30"/>
      <c r="G16" s="29"/>
    </row>
    <row r="17" spans="1:9" x14ac:dyDescent="0.2">
      <c r="A17" s="26" t="s">
        <v>942</v>
      </c>
      <c r="B17" s="27"/>
      <c r="C17" s="27"/>
      <c r="D17" s="28"/>
      <c r="E17" s="29"/>
      <c r="F17" s="30"/>
      <c r="G17" s="29"/>
    </row>
    <row r="18" spans="1:9" x14ac:dyDescent="0.2">
      <c r="A18" s="27" t="s">
        <v>943</v>
      </c>
      <c r="B18" s="27" t="s">
        <v>944</v>
      </c>
      <c r="C18" s="27" t="s">
        <v>33</v>
      </c>
      <c r="D18" s="31">
        <v>6</v>
      </c>
      <c r="E18" s="29">
        <v>60.15558</v>
      </c>
      <c r="F18" s="30">
        <v>1.02450241007886</v>
      </c>
      <c r="G18" s="29">
        <v>3.4466000000000001</v>
      </c>
    </row>
    <row r="19" spans="1:9" x14ac:dyDescent="0.2">
      <c r="A19" s="26" t="s">
        <v>34</v>
      </c>
      <c r="B19" s="26"/>
      <c r="C19" s="26"/>
      <c r="D19" s="32"/>
      <c r="E19" s="33">
        <f>SUM(E17:E18)</f>
        <v>60.15558</v>
      </c>
      <c r="F19" s="34">
        <f>SUM(F17:F18)</f>
        <v>1.02450241007886</v>
      </c>
      <c r="G19" s="33"/>
      <c r="H19" s="18"/>
      <c r="I19" s="18"/>
    </row>
    <row r="20" spans="1:9" x14ac:dyDescent="0.2">
      <c r="A20" s="27"/>
      <c r="B20" s="27"/>
      <c r="C20" s="27"/>
      <c r="D20" s="28"/>
      <c r="E20" s="29"/>
      <c r="F20" s="30"/>
      <c r="G20" s="29"/>
    </row>
    <row r="21" spans="1:9" x14ac:dyDescent="0.2">
      <c r="A21" s="26" t="s">
        <v>48</v>
      </c>
      <c r="B21" s="27"/>
      <c r="C21" s="27"/>
      <c r="D21" s="28"/>
      <c r="E21" s="29"/>
      <c r="F21" s="30"/>
      <c r="G21" s="29"/>
    </row>
    <row r="22" spans="1:9" x14ac:dyDescent="0.2">
      <c r="A22" s="26" t="s">
        <v>49</v>
      </c>
      <c r="B22" s="27"/>
      <c r="C22" s="27"/>
      <c r="D22" s="28"/>
      <c r="E22" s="29"/>
      <c r="F22" s="30"/>
      <c r="G22" s="29"/>
    </row>
    <row r="23" spans="1:9" x14ac:dyDescent="0.2">
      <c r="A23" s="27" t="s">
        <v>1383</v>
      </c>
      <c r="B23" s="27" t="s">
        <v>1384</v>
      </c>
      <c r="C23" s="27" t="s">
        <v>50</v>
      </c>
      <c r="D23" s="31">
        <v>385</v>
      </c>
      <c r="E23" s="29">
        <v>384.27812499999999</v>
      </c>
      <c r="F23" s="30">
        <v>6.5445942870650899</v>
      </c>
      <c r="G23" s="29">
        <v>3.2650999999999999</v>
      </c>
    </row>
    <row r="24" spans="1:9" x14ac:dyDescent="0.2">
      <c r="A24" s="26" t="s">
        <v>34</v>
      </c>
      <c r="B24" s="26"/>
      <c r="C24" s="26"/>
      <c r="D24" s="32"/>
      <c r="E24" s="33">
        <f>SUM(E22:E23)</f>
        <v>384.27812499999999</v>
      </c>
      <c r="F24" s="34">
        <f>SUM(F22:F23)</f>
        <v>6.5445942870650899</v>
      </c>
      <c r="G24" s="33"/>
      <c r="H24" s="18"/>
      <c r="I24" s="18"/>
    </row>
    <row r="25" spans="1:9" x14ac:dyDescent="0.2">
      <c r="A25" s="27"/>
      <c r="B25" s="27"/>
      <c r="C25" s="27"/>
      <c r="D25" s="28"/>
      <c r="E25" s="29"/>
      <c r="F25" s="30"/>
      <c r="G25" s="29"/>
    </row>
    <row r="26" spans="1:9" x14ac:dyDescent="0.2">
      <c r="A26" s="26" t="s">
        <v>52</v>
      </c>
      <c r="B26" s="27"/>
      <c r="C26" s="27"/>
      <c r="D26" s="28"/>
      <c r="E26" s="29"/>
      <c r="F26" s="30"/>
      <c r="G26" s="29"/>
    </row>
    <row r="27" spans="1:9" x14ac:dyDescent="0.2">
      <c r="A27" s="27" t="s">
        <v>1385</v>
      </c>
      <c r="B27" s="27" t="s">
        <v>1386</v>
      </c>
      <c r="C27" s="27" t="s">
        <v>50</v>
      </c>
      <c r="D27" s="31">
        <v>110</v>
      </c>
      <c r="E27" s="29">
        <v>549.46209999999996</v>
      </c>
      <c r="F27" s="30">
        <v>9.3578225942962199</v>
      </c>
      <c r="G27" s="29">
        <v>3.2484000000000002</v>
      </c>
    </row>
    <row r="28" spans="1:9" x14ac:dyDescent="0.2">
      <c r="A28" s="27" t="s">
        <v>758</v>
      </c>
      <c r="B28" s="27" t="s">
        <v>759</v>
      </c>
      <c r="C28" s="27" t="s">
        <v>50</v>
      </c>
      <c r="D28" s="31">
        <v>110</v>
      </c>
      <c r="E28" s="29">
        <v>549.25750000000005</v>
      </c>
      <c r="F28" s="30">
        <v>9.3543380764326702</v>
      </c>
      <c r="G28" s="29">
        <v>3.2907000000000002</v>
      </c>
    </row>
    <row r="29" spans="1:9" x14ac:dyDescent="0.2">
      <c r="A29" s="27" t="s">
        <v>1387</v>
      </c>
      <c r="B29" s="27" t="s">
        <v>1388</v>
      </c>
      <c r="C29" s="27" t="s">
        <v>55</v>
      </c>
      <c r="D29" s="31">
        <v>62</v>
      </c>
      <c r="E29" s="29">
        <v>309.88902000000002</v>
      </c>
      <c r="F29" s="30">
        <v>5.2776824335660502</v>
      </c>
      <c r="G29" s="29">
        <v>3.2725</v>
      </c>
    </row>
    <row r="30" spans="1:9" x14ac:dyDescent="0.2">
      <c r="A30" s="27" t="s">
        <v>1389</v>
      </c>
      <c r="B30" s="27" t="s">
        <v>1390</v>
      </c>
      <c r="C30" s="27" t="s">
        <v>55</v>
      </c>
      <c r="D30" s="31">
        <v>46</v>
      </c>
      <c r="E30" s="29">
        <v>229.71158</v>
      </c>
      <c r="F30" s="30">
        <v>3.91219014650052</v>
      </c>
      <c r="G30" s="29">
        <v>3.2747999999999999</v>
      </c>
    </row>
    <row r="31" spans="1:9" x14ac:dyDescent="0.2">
      <c r="A31" s="27" t="s">
        <v>1391</v>
      </c>
      <c r="B31" s="27" t="s">
        <v>1392</v>
      </c>
      <c r="C31" s="27" t="s">
        <v>50</v>
      </c>
      <c r="D31" s="31">
        <v>35</v>
      </c>
      <c r="E31" s="29">
        <v>174.82570000000001</v>
      </c>
      <c r="F31" s="30">
        <v>2.9774353600069099</v>
      </c>
      <c r="G31" s="29">
        <v>3.3098999999999998</v>
      </c>
    </row>
    <row r="32" spans="1:9" x14ac:dyDescent="0.2">
      <c r="A32" s="26" t="s">
        <v>34</v>
      </c>
      <c r="B32" s="26"/>
      <c r="C32" s="26"/>
      <c r="D32" s="32"/>
      <c r="E32" s="33">
        <f>SUM(E26:E31)</f>
        <v>1813.1459</v>
      </c>
      <c r="F32" s="34">
        <f>SUM(F26:F31)</f>
        <v>30.879468610802373</v>
      </c>
      <c r="G32" s="33"/>
      <c r="H32" s="18"/>
      <c r="I32" s="18"/>
    </row>
    <row r="33" spans="1:9" x14ac:dyDescent="0.2">
      <c r="A33" s="27"/>
      <c r="B33" s="27"/>
      <c r="C33" s="27"/>
      <c r="D33" s="28"/>
      <c r="E33" s="29"/>
      <c r="F33" s="30"/>
      <c r="G33" s="29"/>
    </row>
    <row r="34" spans="1:9" x14ac:dyDescent="0.2">
      <c r="A34" s="26" t="s">
        <v>36</v>
      </c>
      <c r="B34" s="26"/>
      <c r="C34" s="26"/>
      <c r="D34" s="32"/>
      <c r="E34" s="33">
        <f>E15+E19+E24+E32</f>
        <v>5376.5405649999993</v>
      </c>
      <c r="F34" s="34">
        <f>F15+F19+F24+F32</f>
        <v>91.567212330581427</v>
      </c>
      <c r="G34" s="33"/>
      <c r="H34" s="18"/>
      <c r="I34" s="18"/>
    </row>
    <row r="35" spans="1:9" x14ac:dyDescent="0.2">
      <c r="A35" s="26"/>
      <c r="B35" s="26"/>
      <c r="C35" s="26"/>
      <c r="D35" s="32"/>
      <c r="E35" s="33"/>
      <c r="F35" s="34"/>
      <c r="G35" s="33"/>
      <c r="H35" s="18"/>
      <c r="I35" s="18"/>
    </row>
    <row r="36" spans="1:9" x14ac:dyDescent="0.2">
      <c r="A36" s="26" t="s">
        <v>38</v>
      </c>
      <c r="B36" s="26"/>
      <c r="C36" s="26"/>
      <c r="D36" s="32"/>
      <c r="E36" s="33">
        <f>E38-(E15+E19+E24+E32)</f>
        <v>495.14693990000069</v>
      </c>
      <c r="F36" s="34">
        <f>F38-(F15+F19+F24+F32)</f>
        <v>8.4327876694185733</v>
      </c>
      <c r="G36" s="33"/>
      <c r="H36" s="18"/>
      <c r="I36" s="18"/>
    </row>
    <row r="37" spans="1:9" x14ac:dyDescent="0.2">
      <c r="A37" s="26"/>
      <c r="B37" s="26"/>
      <c r="C37" s="26"/>
      <c r="D37" s="32"/>
      <c r="E37" s="33"/>
      <c r="F37" s="34"/>
      <c r="G37" s="33"/>
      <c r="H37" s="18"/>
      <c r="I37" s="18"/>
    </row>
    <row r="38" spans="1:9" x14ac:dyDescent="0.2">
      <c r="A38" s="35" t="s">
        <v>37</v>
      </c>
      <c r="B38" s="35"/>
      <c r="C38" s="35"/>
      <c r="D38" s="36"/>
      <c r="E38" s="37">
        <v>5871.6875049</v>
      </c>
      <c r="F38" s="38">
        <v>100</v>
      </c>
      <c r="G38" s="37"/>
      <c r="H38" s="18"/>
      <c r="I38" s="18"/>
    </row>
    <row r="40" spans="1:9" x14ac:dyDescent="0.2">
      <c r="A40" s="18" t="s">
        <v>63</v>
      </c>
    </row>
    <row r="41" spans="1:9" x14ac:dyDescent="0.2">
      <c r="A41" s="18" t="s">
        <v>39</v>
      </c>
    </row>
    <row r="43" spans="1:9" x14ac:dyDescent="0.2">
      <c r="A43" s="18" t="s">
        <v>40</v>
      </c>
    </row>
    <row r="44" spans="1:9" x14ac:dyDescent="0.2">
      <c r="A44" s="18" t="s">
        <v>41</v>
      </c>
    </row>
    <row r="45" spans="1:9" x14ac:dyDescent="0.2">
      <c r="A45" s="18" t="s">
        <v>42</v>
      </c>
      <c r="B45" s="18"/>
      <c r="C45" s="39" t="s">
        <v>44</v>
      </c>
      <c r="D45" s="19" t="s">
        <v>43</v>
      </c>
    </row>
    <row r="46" spans="1:9" x14ac:dyDescent="0.2">
      <c r="A46" s="9" t="s">
        <v>65</v>
      </c>
      <c r="C46" s="40">
        <v>12.212</v>
      </c>
      <c r="D46" s="40">
        <v>12.4627</v>
      </c>
    </row>
    <row r="47" spans="1:9" x14ac:dyDescent="0.2">
      <c r="A47" s="9" t="s">
        <v>1003</v>
      </c>
      <c r="C47" s="40">
        <v>10.617800000000001</v>
      </c>
      <c r="D47" s="40">
        <v>10.09</v>
      </c>
    </row>
    <row r="48" spans="1:9" x14ac:dyDescent="0.2">
      <c r="A48" s="9" t="s">
        <v>948</v>
      </c>
      <c r="C48" s="40">
        <v>10.236599999999999</v>
      </c>
      <c r="D48" s="40">
        <v>10.0847</v>
      </c>
    </row>
    <row r="49" spans="1:7" x14ac:dyDescent="0.2">
      <c r="A49" s="9" t="s">
        <v>66</v>
      </c>
      <c r="C49" s="40">
        <v>12.285500000000001</v>
      </c>
      <c r="D49" s="40">
        <v>12.537699999999999</v>
      </c>
    </row>
    <row r="50" spans="1:7" x14ac:dyDescent="0.2">
      <c r="A50" s="9" t="s">
        <v>952</v>
      </c>
      <c r="C50" s="40">
        <v>10.297800000000001</v>
      </c>
      <c r="D50" s="40">
        <v>10.1472</v>
      </c>
    </row>
    <row r="51" spans="1:7" x14ac:dyDescent="0.2">
      <c r="C51" s="40"/>
      <c r="D51" s="40"/>
    </row>
    <row r="52" spans="1:7" x14ac:dyDescent="0.2">
      <c r="A52" s="18" t="s">
        <v>1560</v>
      </c>
    </row>
    <row r="53" spans="1:7" x14ac:dyDescent="0.2">
      <c r="A53" s="94" t="s">
        <v>64</v>
      </c>
      <c r="B53" s="95"/>
      <c r="C53" s="44" t="s">
        <v>1544</v>
      </c>
    </row>
    <row r="54" spans="1:7" x14ac:dyDescent="0.2">
      <c r="A54" s="88" t="s">
        <v>1003</v>
      </c>
      <c r="B54" s="89"/>
      <c r="C54" s="45">
        <v>0.745</v>
      </c>
    </row>
    <row r="55" spans="1:7" x14ac:dyDescent="0.2">
      <c r="A55" s="88" t="s">
        <v>948</v>
      </c>
      <c r="B55" s="89"/>
      <c r="C55" s="45">
        <v>0.36</v>
      </c>
    </row>
    <row r="56" spans="1:7" x14ac:dyDescent="0.2">
      <c r="A56" s="88" t="s">
        <v>952</v>
      </c>
      <c r="B56" s="89"/>
      <c r="C56" s="45">
        <v>0.36</v>
      </c>
    </row>
    <row r="57" spans="1:7" x14ac:dyDescent="0.2">
      <c r="A57" s="9" t="s">
        <v>1545</v>
      </c>
    </row>
    <row r="58" spans="1:7" x14ac:dyDescent="0.2">
      <c r="A58" s="9" t="s">
        <v>782</v>
      </c>
    </row>
    <row r="60" spans="1:7" x14ac:dyDescent="0.2">
      <c r="A60" s="18" t="s">
        <v>783</v>
      </c>
      <c r="D60" s="42">
        <v>3.0669292849315102E-2</v>
      </c>
      <c r="E60" s="13" t="s">
        <v>46</v>
      </c>
    </row>
    <row r="62" spans="1:7" x14ac:dyDescent="0.2">
      <c r="A62" s="18" t="s">
        <v>717</v>
      </c>
      <c r="D62" s="41" t="s">
        <v>45</v>
      </c>
    </row>
    <row r="64" spans="1:7" ht="14.4" x14ac:dyDescent="0.2">
      <c r="A64" s="90" t="s">
        <v>784</v>
      </c>
      <c r="B64" s="91"/>
      <c r="C64" s="91"/>
      <c r="D64" s="91"/>
      <c r="E64" s="91"/>
      <c r="F64" s="91"/>
      <c r="G64" s="91"/>
    </row>
    <row r="65" spans="1:1" x14ac:dyDescent="0.2">
      <c r="A65" s="50" t="s">
        <v>47</v>
      </c>
    </row>
  </sheetData>
  <mergeCells count="6">
    <mergeCell ref="A64:G64"/>
    <mergeCell ref="A1:G1"/>
    <mergeCell ref="A53:B53"/>
    <mergeCell ref="A54:B54"/>
    <mergeCell ref="A55:B55"/>
    <mergeCell ref="A56:B56"/>
  </mergeCells>
  <conditionalFormatting sqref="F2:F3 F67:F65536 F5:F63">
    <cfRule type="cellIs" dxfId="131" priority="3" stopIfTrue="1" operator="between">
      <formula>0.009</formula>
      <formula>-0.009</formula>
    </cfRule>
  </conditionalFormatting>
  <conditionalFormatting sqref="F66">
    <cfRule type="cellIs" dxfId="130" priority="2" stopIfTrue="1" operator="between">
      <formula>0.009</formula>
      <formula>-0.009</formula>
    </cfRule>
  </conditionalFormatting>
  <conditionalFormatting sqref="F65">
    <cfRule type="cellIs" dxfId="129" priority="1" stopIfTrue="1" operator="between">
      <formula>0.009</formula>
      <formula>-0.009</formula>
    </cfRule>
  </conditionalFormatting>
  <hyperlinks>
    <hyperlink ref="A65" r:id="rId1" xr:uid="{00000000-0004-0000-1600-000000000000}"/>
  </hyperlinks>
  <pageMargins left="0.7" right="0.7" top="0.75" bottom="0.75" header="0.3" footer="0.3"/>
  <pageSetup paperSize="9" scale="49" orientation="portrait" r:id="rId2"/>
  <headerFooter>
    <oddFooter>&amp;R&amp;1#&amp;"Calibri"&amp;10&amp;KFF0000|PUBLIC|</oddFooter>
    <evenFooter>&amp;LPUBLIC</evenFooter>
    <firstFooter>&amp;LPUBLIC</firstFooter>
  </headerFooter>
  <colBreaks count="1" manualBreakCount="1">
    <brk id="7" max="1048575" man="1"/>
  </col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65"/>
  <sheetViews>
    <sheetView view="pageBreakPreview" zoomScaleNormal="100" zoomScaleSheetLayoutView="100" workbookViewId="0">
      <selection sqref="A1:G1"/>
    </sheetView>
  </sheetViews>
  <sheetFormatPr defaultColWidth="9.21875" defaultRowHeight="10.199999999999999" x14ac:dyDescent="0.2"/>
  <cols>
    <col min="1" max="1" width="38.77734375" style="9" bestFit="1" customWidth="1"/>
    <col min="2" max="2" width="50.5546875" style="9" customWidth="1"/>
    <col min="3" max="3" width="22.77734375" style="9" customWidth="1"/>
    <col min="4" max="4" width="15.44140625" style="10" bestFit="1" customWidth="1"/>
    <col min="5" max="5" width="23" style="13" bestFit="1" customWidth="1"/>
    <col min="6" max="6" width="13.5546875" style="14" bestFit="1" customWidth="1"/>
    <col min="7" max="7" width="14.21875" style="13" customWidth="1"/>
    <col min="8" max="16384" width="9.21875" style="9"/>
  </cols>
  <sheetData>
    <row r="1" spans="1:7" s="1" customFormat="1" ht="13.8" x14ac:dyDescent="0.2">
      <c r="A1" s="92" t="s">
        <v>1393</v>
      </c>
      <c r="B1" s="93"/>
      <c r="C1" s="93"/>
      <c r="D1" s="93"/>
      <c r="E1" s="93"/>
      <c r="F1" s="93"/>
      <c r="G1" s="93"/>
    </row>
    <row r="2" spans="1:7" s="1" customFormat="1" ht="11.4" x14ac:dyDescent="0.2">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727</v>
      </c>
      <c r="D4" s="16" t="s">
        <v>1</v>
      </c>
      <c r="E4" s="15" t="s">
        <v>3</v>
      </c>
      <c r="F4" s="15" t="s">
        <v>4</v>
      </c>
      <c r="G4" s="15" t="s">
        <v>6</v>
      </c>
    </row>
    <row r="5" spans="1:7" x14ac:dyDescent="0.2">
      <c r="A5" s="21" t="s">
        <v>26</v>
      </c>
      <c r="B5" s="22"/>
      <c r="C5" s="22"/>
      <c r="D5" s="23"/>
      <c r="E5" s="24"/>
      <c r="F5" s="25"/>
      <c r="G5" s="24"/>
    </row>
    <row r="6" spans="1:7" x14ac:dyDescent="0.2">
      <c r="A6" s="26" t="s">
        <v>27</v>
      </c>
      <c r="B6" s="27"/>
      <c r="C6" s="27"/>
      <c r="D6" s="28"/>
      <c r="E6" s="29"/>
      <c r="F6" s="30"/>
      <c r="G6" s="29"/>
    </row>
    <row r="7" spans="1:7" x14ac:dyDescent="0.2">
      <c r="A7" s="27" t="s">
        <v>1343</v>
      </c>
      <c r="B7" s="27" t="s">
        <v>1344</v>
      </c>
      <c r="C7" s="27" t="s">
        <v>33</v>
      </c>
      <c r="D7" s="31">
        <v>100</v>
      </c>
      <c r="E7" s="29">
        <v>1280.7449999999999</v>
      </c>
      <c r="F7" s="30">
        <v>9.9795338077032305</v>
      </c>
      <c r="G7" s="29">
        <v>3.7904</v>
      </c>
    </row>
    <row r="8" spans="1:7" x14ac:dyDescent="0.2">
      <c r="A8" s="27" t="s">
        <v>1365</v>
      </c>
      <c r="B8" s="27" t="s">
        <v>1366</v>
      </c>
      <c r="C8" s="27" t="s">
        <v>33</v>
      </c>
      <c r="D8" s="31">
        <v>84</v>
      </c>
      <c r="E8" s="29">
        <v>1068.28512</v>
      </c>
      <c r="F8" s="30">
        <v>8.3240516037980203</v>
      </c>
      <c r="G8" s="29">
        <v>3.5990000000000002</v>
      </c>
    </row>
    <row r="9" spans="1:7" x14ac:dyDescent="0.2">
      <c r="A9" s="27" t="s">
        <v>1357</v>
      </c>
      <c r="B9" s="27" t="s">
        <v>1358</v>
      </c>
      <c r="C9" s="27" t="s">
        <v>885</v>
      </c>
      <c r="D9" s="31">
        <v>101</v>
      </c>
      <c r="E9" s="29">
        <v>1012.10585</v>
      </c>
      <c r="F9" s="30">
        <v>7.8863041019478599</v>
      </c>
      <c r="G9" s="29">
        <v>3.3500999999999999</v>
      </c>
    </row>
    <row r="10" spans="1:7" x14ac:dyDescent="0.2">
      <c r="A10" s="27" t="s">
        <v>916</v>
      </c>
      <c r="B10" s="27" t="s">
        <v>917</v>
      </c>
      <c r="C10" s="27" t="s">
        <v>885</v>
      </c>
      <c r="D10" s="31">
        <v>70</v>
      </c>
      <c r="E10" s="29">
        <v>895.86419999999998</v>
      </c>
      <c r="F10" s="30">
        <v>6.9805519998212002</v>
      </c>
      <c r="G10" s="29">
        <v>4.54</v>
      </c>
    </row>
    <row r="11" spans="1:7" x14ac:dyDescent="0.2">
      <c r="A11" s="27" t="s">
        <v>1394</v>
      </c>
      <c r="B11" s="27" t="s">
        <v>1395</v>
      </c>
      <c r="C11" s="27" t="s">
        <v>33</v>
      </c>
      <c r="D11" s="31">
        <v>75</v>
      </c>
      <c r="E11" s="29">
        <v>750.35924999999997</v>
      </c>
      <c r="F11" s="30">
        <v>5.8467809777105</v>
      </c>
      <c r="G11" s="29">
        <v>3.3237000000000001</v>
      </c>
    </row>
    <row r="12" spans="1:7" x14ac:dyDescent="0.2">
      <c r="A12" s="27" t="s">
        <v>1372</v>
      </c>
      <c r="B12" s="27" t="s">
        <v>1373</v>
      </c>
      <c r="C12" s="27" t="s">
        <v>33</v>
      </c>
      <c r="D12" s="31">
        <v>27</v>
      </c>
      <c r="E12" s="29">
        <v>270.45657</v>
      </c>
      <c r="F12" s="30">
        <v>2.1073909980756902</v>
      </c>
      <c r="G12" s="29">
        <v>3.3250000000000002</v>
      </c>
    </row>
    <row r="13" spans="1:7" x14ac:dyDescent="0.2">
      <c r="A13" s="27" t="s">
        <v>1203</v>
      </c>
      <c r="B13" s="27" t="s">
        <v>1204</v>
      </c>
      <c r="C13" s="27" t="s">
        <v>962</v>
      </c>
      <c r="D13" s="31">
        <v>9</v>
      </c>
      <c r="E13" s="29">
        <v>114.16887</v>
      </c>
      <c r="F13" s="30">
        <v>0.88960105091355002</v>
      </c>
      <c r="G13" s="29">
        <v>3.7261000000000002</v>
      </c>
    </row>
    <row r="14" spans="1:7" x14ac:dyDescent="0.2">
      <c r="A14" s="27" t="s">
        <v>1367</v>
      </c>
      <c r="B14" s="27" t="s">
        <v>1368</v>
      </c>
      <c r="C14" s="27" t="s">
        <v>33</v>
      </c>
      <c r="D14" s="31">
        <v>11</v>
      </c>
      <c r="E14" s="29">
        <v>110.23441</v>
      </c>
      <c r="F14" s="30">
        <v>0.85894383453944301</v>
      </c>
      <c r="G14" s="29">
        <v>3.3249</v>
      </c>
    </row>
    <row r="15" spans="1:7" x14ac:dyDescent="0.2">
      <c r="A15" s="27" t="s">
        <v>1396</v>
      </c>
      <c r="B15" s="27" t="s">
        <v>1397</v>
      </c>
      <c r="C15" s="27" t="s">
        <v>33</v>
      </c>
      <c r="D15" s="31">
        <v>8</v>
      </c>
      <c r="E15" s="29">
        <v>80.140720000000002</v>
      </c>
      <c r="F15" s="30">
        <v>0.62445453592532296</v>
      </c>
      <c r="G15" s="29">
        <v>3.3397999999999999</v>
      </c>
    </row>
    <row r="16" spans="1:7" x14ac:dyDescent="0.2">
      <c r="A16" s="27" t="s">
        <v>1361</v>
      </c>
      <c r="B16" s="27" t="s">
        <v>1362</v>
      </c>
      <c r="C16" s="27" t="s">
        <v>885</v>
      </c>
      <c r="D16" s="31">
        <v>1</v>
      </c>
      <c r="E16" s="29">
        <v>10.01582</v>
      </c>
      <c r="F16" s="30">
        <v>7.8043025193828705E-2</v>
      </c>
      <c r="G16" s="29">
        <v>3.2791000000000001</v>
      </c>
    </row>
    <row r="17" spans="1:9" x14ac:dyDescent="0.2">
      <c r="A17" s="26" t="s">
        <v>34</v>
      </c>
      <c r="B17" s="26"/>
      <c r="C17" s="26"/>
      <c r="D17" s="32"/>
      <c r="E17" s="33">
        <f>SUM(E6:E16)</f>
        <v>5592.3758099999995</v>
      </c>
      <c r="F17" s="34">
        <f>SUM(F6:F16)</f>
        <v>43.575655935628646</v>
      </c>
      <c r="G17" s="33"/>
      <c r="H17" s="18"/>
      <c r="I17" s="18"/>
    </row>
    <row r="18" spans="1:9" x14ac:dyDescent="0.2">
      <c r="A18" s="27"/>
      <c r="B18" s="27"/>
      <c r="C18" s="27"/>
      <c r="D18" s="28"/>
      <c r="E18" s="29"/>
      <c r="F18" s="30"/>
      <c r="G18" s="29"/>
    </row>
    <row r="19" spans="1:9" x14ac:dyDescent="0.2">
      <c r="A19" s="26" t="s">
        <v>48</v>
      </c>
      <c r="B19" s="27"/>
      <c r="C19" s="27"/>
      <c r="D19" s="28"/>
      <c r="E19" s="29"/>
      <c r="F19" s="30"/>
      <c r="G19" s="29"/>
    </row>
    <row r="20" spans="1:9" x14ac:dyDescent="0.2">
      <c r="A20" s="26" t="s">
        <v>52</v>
      </c>
      <c r="B20" s="27"/>
      <c r="C20" s="27"/>
      <c r="D20" s="28"/>
      <c r="E20" s="29"/>
      <c r="F20" s="30"/>
      <c r="G20" s="29"/>
    </row>
    <row r="21" spans="1:9" x14ac:dyDescent="0.2">
      <c r="A21" s="27" t="s">
        <v>1391</v>
      </c>
      <c r="B21" s="27" t="s">
        <v>1392</v>
      </c>
      <c r="C21" s="27" t="s">
        <v>50</v>
      </c>
      <c r="D21" s="31">
        <v>254</v>
      </c>
      <c r="E21" s="29">
        <v>1268.7350799999999</v>
      </c>
      <c r="F21" s="30">
        <v>9.8859528039376006</v>
      </c>
      <c r="G21" s="29">
        <v>3.3098999999999998</v>
      </c>
    </row>
    <row r="22" spans="1:9" x14ac:dyDescent="0.2">
      <c r="A22" s="27" t="s">
        <v>1385</v>
      </c>
      <c r="B22" s="27" t="s">
        <v>1386</v>
      </c>
      <c r="C22" s="27" t="s">
        <v>50</v>
      </c>
      <c r="D22" s="31">
        <v>240</v>
      </c>
      <c r="E22" s="29">
        <v>1198.8263999999999</v>
      </c>
      <c r="F22" s="30">
        <v>9.3412260741733508</v>
      </c>
      <c r="G22" s="29">
        <v>3.2484000000000002</v>
      </c>
    </row>
    <row r="23" spans="1:9" x14ac:dyDescent="0.2">
      <c r="A23" s="27" t="s">
        <v>758</v>
      </c>
      <c r="B23" s="27" t="s">
        <v>759</v>
      </c>
      <c r="C23" s="27" t="s">
        <v>50</v>
      </c>
      <c r="D23" s="31">
        <v>240</v>
      </c>
      <c r="E23" s="29">
        <v>1198.3800000000001</v>
      </c>
      <c r="F23" s="30">
        <v>9.3377477362592796</v>
      </c>
      <c r="G23" s="29">
        <v>3.2907000000000002</v>
      </c>
    </row>
    <row r="24" spans="1:9" x14ac:dyDescent="0.2">
      <c r="A24" s="27" t="s">
        <v>1387</v>
      </c>
      <c r="B24" s="27" t="s">
        <v>1388</v>
      </c>
      <c r="C24" s="27" t="s">
        <v>55</v>
      </c>
      <c r="D24" s="31">
        <v>136</v>
      </c>
      <c r="E24" s="29">
        <v>679.75656000000004</v>
      </c>
      <c r="F24" s="30">
        <v>5.2966465389504096</v>
      </c>
      <c r="G24" s="29">
        <v>3.2725</v>
      </c>
    </row>
    <row r="25" spans="1:9" x14ac:dyDescent="0.2">
      <c r="A25" s="27" t="s">
        <v>1389</v>
      </c>
      <c r="B25" s="27" t="s">
        <v>1390</v>
      </c>
      <c r="C25" s="27" t="s">
        <v>55</v>
      </c>
      <c r="D25" s="31">
        <v>111</v>
      </c>
      <c r="E25" s="29">
        <v>554.30403000000001</v>
      </c>
      <c r="F25" s="30">
        <v>4.3191234844806301</v>
      </c>
      <c r="G25" s="29">
        <v>3.2747999999999999</v>
      </c>
    </row>
    <row r="26" spans="1:9" x14ac:dyDescent="0.2">
      <c r="A26" s="26" t="s">
        <v>34</v>
      </c>
      <c r="B26" s="26"/>
      <c r="C26" s="26"/>
      <c r="D26" s="32"/>
      <c r="E26" s="33">
        <f>SUM(E20:E25)</f>
        <v>4900.0020700000005</v>
      </c>
      <c r="F26" s="34">
        <f>SUM(F20:F25)</f>
        <v>38.180696637801269</v>
      </c>
      <c r="G26" s="33"/>
      <c r="H26" s="18"/>
      <c r="I26" s="18"/>
    </row>
    <row r="27" spans="1:9" x14ac:dyDescent="0.2">
      <c r="A27" s="27"/>
      <c r="B27" s="27"/>
      <c r="C27" s="27"/>
      <c r="D27" s="28"/>
      <c r="E27" s="29"/>
      <c r="F27" s="30"/>
      <c r="G27" s="29"/>
    </row>
    <row r="28" spans="1:9" x14ac:dyDescent="0.2">
      <c r="A28" s="26" t="s">
        <v>59</v>
      </c>
      <c r="B28" s="27"/>
      <c r="C28" s="27"/>
      <c r="D28" s="28"/>
      <c r="E28" s="29"/>
      <c r="F28" s="30"/>
      <c r="G28" s="29"/>
    </row>
    <row r="29" spans="1:9" x14ac:dyDescent="0.2">
      <c r="A29" s="27" t="s">
        <v>1398</v>
      </c>
      <c r="B29" s="27" t="s">
        <v>1399</v>
      </c>
      <c r="C29" s="27" t="s">
        <v>62</v>
      </c>
      <c r="D29" s="31">
        <v>874000</v>
      </c>
      <c r="E29" s="29">
        <v>875.12920799999995</v>
      </c>
      <c r="F29" s="30">
        <v>6.8189854478015102</v>
      </c>
      <c r="G29" s="29">
        <v>3.0752999999999999</v>
      </c>
    </row>
    <row r="30" spans="1:9" x14ac:dyDescent="0.2">
      <c r="A30" s="26" t="s">
        <v>34</v>
      </c>
      <c r="B30" s="26"/>
      <c r="C30" s="26"/>
      <c r="D30" s="32"/>
      <c r="E30" s="33">
        <f>SUM(E29:E29)</f>
        <v>875.12920799999995</v>
      </c>
      <c r="F30" s="34">
        <f>SUM(F29:F29)</f>
        <v>6.8189854478015102</v>
      </c>
      <c r="G30" s="33"/>
      <c r="H30" s="18"/>
      <c r="I30" s="18"/>
    </row>
    <row r="31" spans="1:9" x14ac:dyDescent="0.2">
      <c r="A31" s="27"/>
      <c r="B31" s="27"/>
      <c r="C31" s="27"/>
      <c r="D31" s="28"/>
      <c r="E31" s="29"/>
      <c r="F31" s="30"/>
      <c r="G31" s="29"/>
    </row>
    <row r="32" spans="1:9" x14ac:dyDescent="0.2">
      <c r="A32" s="26" t="s">
        <v>36</v>
      </c>
      <c r="B32" s="26"/>
      <c r="C32" s="26"/>
      <c r="D32" s="32"/>
      <c r="E32" s="33">
        <f>E17+E26+E30</f>
        <v>11367.507088</v>
      </c>
      <c r="F32" s="34">
        <f>F17+F26+F30</f>
        <v>88.575338021231431</v>
      </c>
      <c r="G32" s="33"/>
      <c r="H32" s="18"/>
      <c r="I32" s="18"/>
    </row>
    <row r="33" spans="1:9" x14ac:dyDescent="0.2">
      <c r="A33" s="26"/>
      <c r="B33" s="26"/>
      <c r="C33" s="26"/>
      <c r="D33" s="32"/>
      <c r="E33" s="33"/>
      <c r="F33" s="34"/>
      <c r="G33" s="33"/>
      <c r="H33" s="18"/>
      <c r="I33" s="18"/>
    </row>
    <row r="34" spans="1:9" x14ac:dyDescent="0.2">
      <c r="A34" s="26" t="s">
        <v>38</v>
      </c>
      <c r="B34" s="26"/>
      <c r="C34" s="26"/>
      <c r="D34" s="32"/>
      <c r="E34" s="33">
        <f>E36-(E17+E26+E30)</f>
        <v>1466.2086414000005</v>
      </c>
      <c r="F34" s="34">
        <f>F36-(F17+F26+F30)</f>
        <v>11.424661978768569</v>
      </c>
      <c r="G34" s="33"/>
      <c r="H34" s="18"/>
      <c r="I34" s="18"/>
    </row>
    <row r="35" spans="1:9" x14ac:dyDescent="0.2">
      <c r="A35" s="26"/>
      <c r="B35" s="26"/>
      <c r="C35" s="26"/>
      <c r="D35" s="32"/>
      <c r="E35" s="33"/>
      <c r="F35" s="34"/>
      <c r="G35" s="33"/>
      <c r="H35" s="18"/>
      <c r="I35" s="18"/>
    </row>
    <row r="36" spans="1:9" x14ac:dyDescent="0.2">
      <c r="A36" s="35" t="s">
        <v>37</v>
      </c>
      <c r="B36" s="35"/>
      <c r="C36" s="35"/>
      <c r="D36" s="36"/>
      <c r="E36" s="37">
        <v>12833.715729400001</v>
      </c>
      <c r="F36" s="38">
        <v>100</v>
      </c>
      <c r="G36" s="37"/>
      <c r="H36" s="18"/>
      <c r="I36" s="18"/>
    </row>
    <row r="38" spans="1:9" x14ac:dyDescent="0.2">
      <c r="A38" s="18" t="s">
        <v>63</v>
      </c>
    </row>
    <row r="39" spans="1:9" x14ac:dyDescent="0.2">
      <c r="A39" s="18" t="s">
        <v>39</v>
      </c>
    </row>
    <row r="41" spans="1:9" x14ac:dyDescent="0.2">
      <c r="A41" s="18" t="s">
        <v>40</v>
      </c>
    </row>
    <row r="42" spans="1:9" x14ac:dyDescent="0.2">
      <c r="A42" s="18" t="s">
        <v>41</v>
      </c>
    </row>
    <row r="43" spans="1:9" x14ac:dyDescent="0.2">
      <c r="A43" s="18" t="s">
        <v>42</v>
      </c>
      <c r="B43" s="18"/>
      <c r="C43" s="39" t="s">
        <v>44</v>
      </c>
      <c r="D43" s="41" t="s">
        <v>43</v>
      </c>
    </row>
    <row r="44" spans="1:9" x14ac:dyDescent="0.2">
      <c r="A44" s="9" t="s">
        <v>65</v>
      </c>
      <c r="C44" s="40">
        <v>12.2339</v>
      </c>
      <c r="D44" s="40">
        <v>12.4824</v>
      </c>
    </row>
    <row r="45" spans="1:9" x14ac:dyDescent="0.2">
      <c r="A45" s="9" t="s">
        <v>1271</v>
      </c>
      <c r="C45" s="40">
        <v>10.6136</v>
      </c>
      <c r="D45" s="40">
        <v>10.083600000000001</v>
      </c>
    </row>
    <row r="46" spans="1:9" x14ac:dyDescent="0.2">
      <c r="A46" s="9" t="s">
        <v>948</v>
      </c>
      <c r="C46" s="40">
        <v>10.235099999999999</v>
      </c>
      <c r="D46" s="40">
        <v>10.081</v>
      </c>
    </row>
    <row r="47" spans="1:9" x14ac:dyDescent="0.2">
      <c r="A47" s="9" t="s">
        <v>66</v>
      </c>
      <c r="C47" s="40">
        <v>12.307499999999999</v>
      </c>
      <c r="D47" s="40">
        <v>12.557499999999999</v>
      </c>
    </row>
    <row r="48" spans="1:9" x14ac:dyDescent="0.2">
      <c r="A48" s="9" t="s">
        <v>1004</v>
      </c>
      <c r="C48" s="40">
        <v>10.687799999999999</v>
      </c>
      <c r="D48" s="40">
        <v>10.1594</v>
      </c>
    </row>
    <row r="49" spans="1:7" x14ac:dyDescent="0.2">
      <c r="A49" s="9" t="s">
        <v>952</v>
      </c>
      <c r="C49" s="40">
        <v>10.2721</v>
      </c>
      <c r="D49" s="40">
        <v>10.1189</v>
      </c>
    </row>
    <row r="50" spans="1:7" x14ac:dyDescent="0.2">
      <c r="C50" s="40"/>
      <c r="D50" s="40"/>
    </row>
    <row r="51" spans="1:7" x14ac:dyDescent="0.2">
      <c r="A51" s="18" t="s">
        <v>1560</v>
      </c>
    </row>
    <row r="52" spans="1:7" x14ac:dyDescent="0.2">
      <c r="A52" s="94" t="s">
        <v>64</v>
      </c>
      <c r="B52" s="95"/>
      <c r="C52" s="44" t="s">
        <v>1544</v>
      </c>
    </row>
    <row r="53" spans="1:7" x14ac:dyDescent="0.2">
      <c r="A53" s="88" t="s">
        <v>1271</v>
      </c>
      <c r="B53" s="89"/>
      <c r="C53" s="45">
        <v>0.745</v>
      </c>
    </row>
    <row r="54" spans="1:7" x14ac:dyDescent="0.2">
      <c r="A54" s="88" t="s">
        <v>948</v>
      </c>
      <c r="B54" s="89"/>
      <c r="C54" s="45">
        <v>0.36</v>
      </c>
    </row>
    <row r="55" spans="1:7" x14ac:dyDescent="0.2">
      <c r="A55" s="88" t="s">
        <v>1004</v>
      </c>
      <c r="B55" s="89"/>
      <c r="C55" s="45">
        <v>0.745</v>
      </c>
    </row>
    <row r="56" spans="1:7" x14ac:dyDescent="0.2">
      <c r="A56" s="88" t="s">
        <v>952</v>
      </c>
      <c r="B56" s="89"/>
      <c r="C56" s="45">
        <v>0.36</v>
      </c>
    </row>
    <row r="57" spans="1:7" x14ac:dyDescent="0.2">
      <c r="A57" s="9" t="s">
        <v>1545</v>
      </c>
    </row>
    <row r="58" spans="1:7" x14ac:dyDescent="0.2">
      <c r="A58" s="9" t="s">
        <v>782</v>
      </c>
    </row>
    <row r="60" spans="1:7" x14ac:dyDescent="0.2">
      <c r="A60" s="18" t="s">
        <v>783</v>
      </c>
      <c r="D60" s="42">
        <v>2.5263343561643802E-2</v>
      </c>
      <c r="E60" s="13" t="s">
        <v>46</v>
      </c>
    </row>
    <row r="62" spans="1:7" x14ac:dyDescent="0.2">
      <c r="A62" s="18" t="s">
        <v>717</v>
      </c>
      <c r="D62" s="41" t="s">
        <v>45</v>
      </c>
    </row>
    <row r="64" spans="1:7" ht="14.4" x14ac:dyDescent="0.2">
      <c r="A64" s="90" t="s">
        <v>784</v>
      </c>
      <c r="B64" s="91"/>
      <c r="C64" s="91"/>
      <c r="D64" s="91"/>
      <c r="E64" s="91"/>
      <c r="F64" s="91"/>
      <c r="G64" s="91"/>
    </row>
    <row r="65" spans="1:1" x14ac:dyDescent="0.2">
      <c r="A65" s="50" t="s">
        <v>47</v>
      </c>
    </row>
  </sheetData>
  <mergeCells count="7">
    <mergeCell ref="A64:G64"/>
    <mergeCell ref="A1:G1"/>
    <mergeCell ref="A52:B52"/>
    <mergeCell ref="A53:B53"/>
    <mergeCell ref="A54:B54"/>
    <mergeCell ref="A55:B55"/>
    <mergeCell ref="A56:B56"/>
  </mergeCells>
  <conditionalFormatting sqref="F2:F3 F67:F65536 F5:F63">
    <cfRule type="cellIs" dxfId="128" priority="3" stopIfTrue="1" operator="between">
      <formula>0.009</formula>
      <formula>-0.009</formula>
    </cfRule>
  </conditionalFormatting>
  <conditionalFormatting sqref="F66">
    <cfRule type="cellIs" dxfId="127" priority="2" stopIfTrue="1" operator="between">
      <formula>0.009</formula>
      <formula>-0.009</formula>
    </cfRule>
  </conditionalFormatting>
  <conditionalFormatting sqref="F65">
    <cfRule type="cellIs" dxfId="126" priority="1" stopIfTrue="1" operator="between">
      <formula>0.009</formula>
      <formula>-0.009</formula>
    </cfRule>
  </conditionalFormatting>
  <hyperlinks>
    <hyperlink ref="A65" r:id="rId1" xr:uid="{00000000-0004-0000-1700-000000000000}"/>
  </hyperlinks>
  <pageMargins left="0.7" right="0.7" top="0.75" bottom="0.75" header="0.3" footer="0.3"/>
  <pageSetup paperSize="9" scale="49" orientation="portrait" r:id="rId2"/>
  <headerFooter>
    <oddFooter>&amp;R&amp;1#&amp;"Calibri"&amp;10&amp;KFF0000|PUBLIC|</oddFooter>
    <evenFooter>&amp;LPUBLIC</evenFooter>
    <firstFooter>&amp;LPUBLIC</firstFooter>
  </headerFooter>
  <colBreaks count="1" manualBreakCount="1">
    <brk id="7" max="1048575" man="1"/>
  </col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I61"/>
  <sheetViews>
    <sheetView view="pageBreakPreview" zoomScaleNormal="100" zoomScaleSheetLayoutView="100" workbookViewId="0">
      <selection sqref="A1:G1"/>
    </sheetView>
  </sheetViews>
  <sheetFormatPr defaultColWidth="9.21875" defaultRowHeight="10.199999999999999" x14ac:dyDescent="0.2"/>
  <cols>
    <col min="1" max="1" width="38.77734375" style="9" bestFit="1" customWidth="1"/>
    <col min="2" max="2" width="50.77734375" style="9" customWidth="1"/>
    <col min="3" max="3" width="22.5546875" style="9" customWidth="1"/>
    <col min="4" max="4" width="15.44140625" style="10" bestFit="1" customWidth="1"/>
    <col min="5" max="5" width="23" style="13" bestFit="1" customWidth="1"/>
    <col min="6" max="6" width="13.5546875" style="14" bestFit="1" customWidth="1"/>
    <col min="7" max="7" width="14.21875" style="13" customWidth="1"/>
    <col min="8" max="16384" width="9.21875" style="9"/>
  </cols>
  <sheetData>
    <row r="1" spans="1:9" s="1" customFormat="1" ht="13.8" x14ac:dyDescent="0.2">
      <c r="A1" s="92" t="s">
        <v>1400</v>
      </c>
      <c r="B1" s="93"/>
      <c r="C1" s="93"/>
      <c r="D1" s="93"/>
      <c r="E1" s="93"/>
      <c r="F1" s="93"/>
      <c r="G1" s="93"/>
    </row>
    <row r="2" spans="1:9" s="1" customFormat="1" ht="11.4" x14ac:dyDescent="0.2">
      <c r="D2" s="6"/>
      <c r="E2" s="7"/>
      <c r="F2" s="12"/>
      <c r="G2" s="13"/>
    </row>
    <row r="3" spans="1:9" s="1" customFormat="1" ht="12" x14ac:dyDescent="0.2">
      <c r="A3" s="11" t="s">
        <v>7</v>
      </c>
      <c r="B3" s="2"/>
      <c r="C3" s="3"/>
      <c r="D3" s="4"/>
      <c r="E3" s="5"/>
      <c r="F3" s="12"/>
      <c r="G3" s="13"/>
    </row>
    <row r="4" spans="1:9" s="1" customFormat="1" ht="17.55" customHeight="1" x14ac:dyDescent="0.2">
      <c r="A4" s="8" t="s">
        <v>2</v>
      </c>
      <c r="B4" s="8" t="s">
        <v>0</v>
      </c>
      <c r="C4" s="17" t="s">
        <v>727</v>
      </c>
      <c r="D4" s="16" t="s">
        <v>1</v>
      </c>
      <c r="E4" s="15" t="s">
        <v>3</v>
      </c>
      <c r="F4" s="15" t="s">
        <v>4</v>
      </c>
      <c r="G4" s="15" t="s">
        <v>6</v>
      </c>
    </row>
    <row r="5" spans="1:9" x14ac:dyDescent="0.2">
      <c r="A5" s="21" t="s">
        <v>26</v>
      </c>
      <c r="B5" s="22"/>
      <c r="C5" s="22"/>
      <c r="D5" s="23"/>
      <c r="E5" s="24"/>
      <c r="F5" s="25"/>
      <c r="G5" s="24"/>
    </row>
    <row r="6" spans="1:9" x14ac:dyDescent="0.2">
      <c r="A6" s="26" t="s">
        <v>27</v>
      </c>
      <c r="B6" s="27"/>
      <c r="C6" s="27"/>
      <c r="D6" s="28"/>
      <c r="E6" s="29"/>
      <c r="F6" s="30"/>
      <c r="G6" s="29"/>
    </row>
    <row r="7" spans="1:9" x14ac:dyDescent="0.2">
      <c r="A7" s="27" t="s">
        <v>1343</v>
      </c>
      <c r="B7" s="27" t="s">
        <v>1344</v>
      </c>
      <c r="C7" s="27" t="s">
        <v>33</v>
      </c>
      <c r="D7" s="31">
        <v>61</v>
      </c>
      <c r="E7" s="29">
        <v>781.25445000000002</v>
      </c>
      <c r="F7" s="30">
        <v>10.0246321988503</v>
      </c>
      <c r="G7" s="29">
        <v>3.7904</v>
      </c>
    </row>
    <row r="8" spans="1:9" x14ac:dyDescent="0.2">
      <c r="A8" s="27" t="s">
        <v>1357</v>
      </c>
      <c r="B8" s="27" t="s">
        <v>1358</v>
      </c>
      <c r="C8" s="27" t="s">
        <v>885</v>
      </c>
      <c r="D8" s="31">
        <v>61</v>
      </c>
      <c r="E8" s="29">
        <v>611.27184999999997</v>
      </c>
      <c r="F8" s="30">
        <v>7.8435079246726804</v>
      </c>
      <c r="G8" s="29">
        <v>3.3500999999999999</v>
      </c>
    </row>
    <row r="9" spans="1:9" x14ac:dyDescent="0.2">
      <c r="A9" s="27" t="s">
        <v>1396</v>
      </c>
      <c r="B9" s="27" t="s">
        <v>1397</v>
      </c>
      <c r="C9" s="27" t="s">
        <v>33</v>
      </c>
      <c r="D9" s="31">
        <v>61</v>
      </c>
      <c r="E9" s="29">
        <v>611.07299</v>
      </c>
      <c r="F9" s="30">
        <v>7.84095626130736</v>
      </c>
      <c r="G9" s="29">
        <v>3.3397999999999999</v>
      </c>
    </row>
    <row r="10" spans="1:9" x14ac:dyDescent="0.2">
      <c r="A10" s="27" t="s">
        <v>1394</v>
      </c>
      <c r="B10" s="27" t="s">
        <v>1395</v>
      </c>
      <c r="C10" s="27" t="s">
        <v>33</v>
      </c>
      <c r="D10" s="31">
        <v>61</v>
      </c>
      <c r="E10" s="29">
        <v>610.29219000000001</v>
      </c>
      <c r="F10" s="30">
        <v>7.8309374603637396</v>
      </c>
      <c r="G10" s="29">
        <v>3.3237000000000001</v>
      </c>
    </row>
    <row r="11" spans="1:9" x14ac:dyDescent="0.2">
      <c r="A11" s="27" t="s">
        <v>916</v>
      </c>
      <c r="B11" s="27" t="s">
        <v>917</v>
      </c>
      <c r="C11" s="27" t="s">
        <v>885</v>
      </c>
      <c r="D11" s="31">
        <v>40</v>
      </c>
      <c r="E11" s="29">
        <v>511.92239999999998</v>
      </c>
      <c r="F11" s="30">
        <v>6.5687098158003803</v>
      </c>
      <c r="G11" s="29">
        <v>4.54</v>
      </c>
    </row>
    <row r="12" spans="1:9" x14ac:dyDescent="0.2">
      <c r="A12" s="27" t="s">
        <v>1203</v>
      </c>
      <c r="B12" s="27" t="s">
        <v>1204</v>
      </c>
      <c r="C12" s="27" t="s">
        <v>962</v>
      </c>
      <c r="D12" s="31">
        <v>10</v>
      </c>
      <c r="E12" s="29">
        <v>126.85429999999999</v>
      </c>
      <c r="F12" s="30">
        <v>1.6277253849147599</v>
      </c>
      <c r="G12" s="29">
        <v>3.7261000000000002</v>
      </c>
    </row>
    <row r="13" spans="1:9" x14ac:dyDescent="0.2">
      <c r="A13" s="27" t="s">
        <v>1367</v>
      </c>
      <c r="B13" s="27" t="s">
        <v>1368</v>
      </c>
      <c r="C13" s="27" t="s">
        <v>33</v>
      </c>
      <c r="D13" s="31">
        <v>10</v>
      </c>
      <c r="E13" s="29">
        <v>100.2131</v>
      </c>
      <c r="F13" s="30">
        <v>1.2858799959560001</v>
      </c>
      <c r="G13" s="29">
        <v>3.3249</v>
      </c>
    </row>
    <row r="14" spans="1:9" x14ac:dyDescent="0.2">
      <c r="A14" s="27" t="s">
        <v>1365</v>
      </c>
      <c r="B14" s="27" t="s">
        <v>1366</v>
      </c>
      <c r="C14" s="27" t="s">
        <v>33</v>
      </c>
      <c r="D14" s="31">
        <v>1</v>
      </c>
      <c r="E14" s="29">
        <v>12.71768</v>
      </c>
      <c r="F14" s="30">
        <v>0.16318635295155701</v>
      </c>
      <c r="G14" s="29">
        <v>3.5990000000000002</v>
      </c>
    </row>
    <row r="15" spans="1:9" x14ac:dyDescent="0.2">
      <c r="A15" s="27" t="s">
        <v>1361</v>
      </c>
      <c r="B15" s="27" t="s">
        <v>1362</v>
      </c>
      <c r="C15" s="27" t="s">
        <v>885</v>
      </c>
      <c r="D15" s="31">
        <v>1</v>
      </c>
      <c r="E15" s="29">
        <v>10.01582</v>
      </c>
      <c r="F15" s="30">
        <v>0.12851755490146499</v>
      </c>
      <c r="G15" s="29">
        <v>3.2791000000000001</v>
      </c>
    </row>
    <row r="16" spans="1:9" x14ac:dyDescent="0.2">
      <c r="A16" s="26" t="s">
        <v>34</v>
      </c>
      <c r="B16" s="26"/>
      <c r="C16" s="26"/>
      <c r="D16" s="32"/>
      <c r="E16" s="33">
        <f>SUM(E6:E15)</f>
        <v>3375.6147800000003</v>
      </c>
      <c r="F16" s="34">
        <f>SUM(F6:F15)</f>
        <v>43.314052949718246</v>
      </c>
      <c r="G16" s="33"/>
      <c r="H16" s="18"/>
      <c r="I16" s="18"/>
    </row>
    <row r="17" spans="1:9" x14ac:dyDescent="0.2">
      <c r="A17" s="27"/>
      <c r="B17" s="27"/>
      <c r="C17" s="27"/>
      <c r="D17" s="28"/>
      <c r="E17" s="29"/>
      <c r="F17" s="30"/>
      <c r="G17" s="29"/>
    </row>
    <row r="18" spans="1:9" x14ac:dyDescent="0.2">
      <c r="A18" s="26" t="s">
        <v>48</v>
      </c>
      <c r="B18" s="27"/>
      <c r="C18" s="27"/>
      <c r="D18" s="28"/>
      <c r="E18" s="29"/>
      <c r="F18" s="30"/>
      <c r="G18" s="29"/>
    </row>
    <row r="19" spans="1:9" x14ac:dyDescent="0.2">
      <c r="A19" s="26" t="s">
        <v>52</v>
      </c>
      <c r="B19" s="27"/>
      <c r="C19" s="27"/>
      <c r="D19" s="28"/>
      <c r="E19" s="29"/>
      <c r="F19" s="30"/>
      <c r="G19" s="29"/>
    </row>
    <row r="20" spans="1:9" x14ac:dyDescent="0.2">
      <c r="A20" s="27" t="s">
        <v>1391</v>
      </c>
      <c r="B20" s="27" t="s">
        <v>1392</v>
      </c>
      <c r="C20" s="27" t="s">
        <v>50</v>
      </c>
      <c r="D20" s="31">
        <v>154</v>
      </c>
      <c r="E20" s="29">
        <v>769.23307999999997</v>
      </c>
      <c r="F20" s="30">
        <v>9.8703805171142402</v>
      </c>
      <c r="G20" s="29">
        <v>3.3098999999999998</v>
      </c>
    </row>
    <row r="21" spans="1:9" x14ac:dyDescent="0.2">
      <c r="A21" s="27" t="s">
        <v>1385</v>
      </c>
      <c r="B21" s="27" t="s">
        <v>1386</v>
      </c>
      <c r="C21" s="27" t="s">
        <v>50</v>
      </c>
      <c r="D21" s="31">
        <v>146</v>
      </c>
      <c r="E21" s="29">
        <v>729.28606000000002</v>
      </c>
      <c r="F21" s="30">
        <v>9.3578020825976491</v>
      </c>
      <c r="G21" s="29">
        <v>3.2484000000000002</v>
      </c>
    </row>
    <row r="22" spans="1:9" x14ac:dyDescent="0.2">
      <c r="A22" s="27" t="s">
        <v>758</v>
      </c>
      <c r="B22" s="27" t="s">
        <v>759</v>
      </c>
      <c r="C22" s="27" t="s">
        <v>50</v>
      </c>
      <c r="D22" s="31">
        <v>146</v>
      </c>
      <c r="E22" s="29">
        <v>729.0145</v>
      </c>
      <c r="F22" s="30">
        <v>9.3543175723719205</v>
      </c>
      <c r="G22" s="29">
        <v>3.2907000000000002</v>
      </c>
    </row>
    <row r="23" spans="1:9" x14ac:dyDescent="0.2">
      <c r="A23" s="27" t="s">
        <v>1387</v>
      </c>
      <c r="B23" s="27" t="s">
        <v>1388</v>
      </c>
      <c r="C23" s="27" t="s">
        <v>55</v>
      </c>
      <c r="D23" s="31">
        <v>86</v>
      </c>
      <c r="E23" s="29">
        <v>429.84606000000002</v>
      </c>
      <c r="F23" s="30">
        <v>5.5155508600622296</v>
      </c>
      <c r="G23" s="29">
        <v>3.2725</v>
      </c>
    </row>
    <row r="24" spans="1:9" x14ac:dyDescent="0.2">
      <c r="A24" s="27" t="s">
        <v>1389</v>
      </c>
      <c r="B24" s="27" t="s">
        <v>1390</v>
      </c>
      <c r="C24" s="27" t="s">
        <v>55</v>
      </c>
      <c r="D24" s="31">
        <v>65</v>
      </c>
      <c r="E24" s="29">
        <v>324.59244999999999</v>
      </c>
      <c r="F24" s="30">
        <v>4.1649937811857702</v>
      </c>
      <c r="G24" s="29">
        <v>3.2747999999999999</v>
      </c>
    </row>
    <row r="25" spans="1:9" x14ac:dyDescent="0.2">
      <c r="A25" s="26" t="s">
        <v>34</v>
      </c>
      <c r="B25" s="26"/>
      <c r="C25" s="26"/>
      <c r="D25" s="32"/>
      <c r="E25" s="33">
        <f>SUM(E19:E24)</f>
        <v>2981.9721499999996</v>
      </c>
      <c r="F25" s="34">
        <f>SUM(F19:F24)</f>
        <v>38.26304481333181</v>
      </c>
      <c r="G25" s="33"/>
      <c r="H25" s="18"/>
      <c r="I25" s="18"/>
    </row>
    <row r="26" spans="1:9" x14ac:dyDescent="0.2">
      <c r="A26" s="27"/>
      <c r="B26" s="27"/>
      <c r="C26" s="27"/>
      <c r="D26" s="28"/>
      <c r="E26" s="29"/>
      <c r="F26" s="30"/>
      <c r="G26" s="29"/>
    </row>
    <row r="27" spans="1:9" x14ac:dyDescent="0.2">
      <c r="A27" s="26" t="s">
        <v>59</v>
      </c>
      <c r="B27" s="27"/>
      <c r="C27" s="27"/>
      <c r="D27" s="28"/>
      <c r="E27" s="29"/>
      <c r="F27" s="30"/>
      <c r="G27" s="29"/>
    </row>
    <row r="28" spans="1:9" x14ac:dyDescent="0.2">
      <c r="A28" s="27" t="s">
        <v>1398</v>
      </c>
      <c r="B28" s="27" t="s">
        <v>1399</v>
      </c>
      <c r="C28" s="27" t="s">
        <v>62</v>
      </c>
      <c r="D28" s="31">
        <v>652000</v>
      </c>
      <c r="E28" s="29">
        <v>652.84238400000004</v>
      </c>
      <c r="F28" s="30">
        <v>8.3769184078511199</v>
      </c>
      <c r="G28" s="29">
        <v>3.0752999999999999</v>
      </c>
    </row>
    <row r="29" spans="1:9" x14ac:dyDescent="0.2">
      <c r="A29" s="26" t="s">
        <v>34</v>
      </c>
      <c r="B29" s="26"/>
      <c r="C29" s="26"/>
      <c r="D29" s="32"/>
      <c r="E29" s="33">
        <f>SUM(E28:E28)</f>
        <v>652.84238400000004</v>
      </c>
      <c r="F29" s="34">
        <f>SUM(F28:F28)</f>
        <v>8.3769184078511199</v>
      </c>
      <c r="G29" s="33"/>
      <c r="H29" s="18"/>
      <c r="I29" s="18"/>
    </row>
    <row r="30" spans="1:9" x14ac:dyDescent="0.2">
      <c r="A30" s="27"/>
      <c r="B30" s="27"/>
      <c r="C30" s="27"/>
      <c r="D30" s="28"/>
      <c r="E30" s="29"/>
      <c r="F30" s="30"/>
      <c r="G30" s="29"/>
    </row>
    <row r="31" spans="1:9" x14ac:dyDescent="0.2">
      <c r="A31" s="26" t="s">
        <v>36</v>
      </c>
      <c r="B31" s="26"/>
      <c r="C31" s="26"/>
      <c r="D31" s="32"/>
      <c r="E31" s="33">
        <f>E16+E25+E29</f>
        <v>7010.4293139999991</v>
      </c>
      <c r="F31" s="34">
        <f>F16+F25+F29</f>
        <v>89.954016170901184</v>
      </c>
      <c r="G31" s="33"/>
      <c r="H31" s="18"/>
      <c r="I31" s="18"/>
    </row>
    <row r="32" spans="1:9" x14ac:dyDescent="0.2">
      <c r="A32" s="26"/>
      <c r="B32" s="26"/>
      <c r="C32" s="26"/>
      <c r="D32" s="32"/>
      <c r="E32" s="33"/>
      <c r="F32" s="34"/>
      <c r="G32" s="33"/>
      <c r="H32" s="18"/>
      <c r="I32" s="18"/>
    </row>
    <row r="33" spans="1:9" x14ac:dyDescent="0.2">
      <c r="A33" s="26" t="s">
        <v>38</v>
      </c>
      <c r="B33" s="26"/>
      <c r="C33" s="26"/>
      <c r="D33" s="32"/>
      <c r="E33" s="33">
        <f>E35-(E16+E25+E29)</f>
        <v>782.91845680000097</v>
      </c>
      <c r="F33" s="34">
        <f>F35-(F16+F25+F29)</f>
        <v>10.045983829098816</v>
      </c>
      <c r="G33" s="33"/>
      <c r="H33" s="18"/>
      <c r="I33" s="18"/>
    </row>
    <row r="34" spans="1:9" x14ac:dyDescent="0.2">
      <c r="A34" s="26"/>
      <c r="B34" s="26"/>
      <c r="C34" s="26"/>
      <c r="D34" s="32"/>
      <c r="E34" s="33"/>
      <c r="F34" s="34"/>
      <c r="G34" s="33"/>
      <c r="H34" s="18"/>
      <c r="I34" s="18"/>
    </row>
    <row r="35" spans="1:9" x14ac:dyDescent="0.2">
      <c r="A35" s="35" t="s">
        <v>37</v>
      </c>
      <c r="B35" s="35"/>
      <c r="C35" s="35"/>
      <c r="D35" s="36"/>
      <c r="E35" s="37">
        <v>7793.3477708</v>
      </c>
      <c r="F35" s="38">
        <v>100</v>
      </c>
      <c r="G35" s="37"/>
      <c r="H35" s="18"/>
      <c r="I35" s="18"/>
    </row>
    <row r="37" spans="1:9" x14ac:dyDescent="0.2">
      <c r="A37" s="18" t="s">
        <v>63</v>
      </c>
    </row>
    <row r="38" spans="1:9" x14ac:dyDescent="0.2">
      <c r="A38" s="18" t="s">
        <v>39</v>
      </c>
    </row>
    <row r="40" spans="1:9" x14ac:dyDescent="0.2">
      <c r="A40" s="18" t="s">
        <v>40</v>
      </c>
    </row>
    <row r="41" spans="1:9" x14ac:dyDescent="0.2">
      <c r="A41" s="18" t="s">
        <v>41</v>
      </c>
    </row>
    <row r="42" spans="1:9" x14ac:dyDescent="0.2">
      <c r="A42" s="18" t="s">
        <v>42</v>
      </c>
      <c r="B42" s="18"/>
      <c r="C42" s="39" t="s">
        <v>44</v>
      </c>
      <c r="D42" s="19" t="s">
        <v>43</v>
      </c>
    </row>
    <row r="43" spans="1:9" x14ac:dyDescent="0.2">
      <c r="A43" s="9" t="s">
        <v>65</v>
      </c>
      <c r="C43" s="40">
        <v>12.306800000000001</v>
      </c>
      <c r="D43" s="40">
        <v>12.558</v>
      </c>
    </row>
    <row r="44" spans="1:9" x14ac:dyDescent="0.2">
      <c r="A44" s="9" t="s">
        <v>1271</v>
      </c>
      <c r="C44" s="40">
        <v>10.6234</v>
      </c>
      <c r="D44" s="40">
        <v>10.0853</v>
      </c>
    </row>
    <row r="45" spans="1:9" x14ac:dyDescent="0.2">
      <c r="A45" s="9" t="s">
        <v>948</v>
      </c>
      <c r="C45" s="40">
        <v>10.2378</v>
      </c>
      <c r="D45" s="40">
        <v>10.0808</v>
      </c>
    </row>
    <row r="46" spans="1:9" x14ac:dyDescent="0.2">
      <c r="A46" s="9" t="s">
        <v>66</v>
      </c>
      <c r="C46" s="40">
        <v>12.368499999999999</v>
      </c>
      <c r="D46" s="40">
        <v>12.620900000000001</v>
      </c>
    </row>
    <row r="47" spans="1:9" x14ac:dyDescent="0.2">
      <c r="C47" s="40"/>
      <c r="D47" s="40"/>
    </row>
    <row r="48" spans="1:9" x14ac:dyDescent="0.2">
      <c r="A48" s="18" t="s">
        <v>1560</v>
      </c>
    </row>
    <row r="49" spans="1:7" x14ac:dyDescent="0.2">
      <c r="A49" s="94" t="s">
        <v>64</v>
      </c>
      <c r="B49" s="95"/>
      <c r="C49" s="44" t="s">
        <v>1544</v>
      </c>
    </row>
    <row r="50" spans="1:7" x14ac:dyDescent="0.2">
      <c r="A50" s="88" t="s">
        <v>1271</v>
      </c>
      <c r="B50" s="89"/>
      <c r="C50" s="45">
        <v>0.755</v>
      </c>
    </row>
    <row r="51" spans="1:7" x14ac:dyDescent="0.2">
      <c r="A51" s="88" t="s">
        <v>948</v>
      </c>
      <c r="B51" s="89"/>
      <c r="C51" s="45">
        <v>0.36499999999999999</v>
      </c>
    </row>
    <row r="52" spans="1:7" x14ac:dyDescent="0.2">
      <c r="A52" s="9" t="s">
        <v>1545</v>
      </c>
    </row>
    <row r="53" spans="1:7" x14ac:dyDescent="0.2">
      <c r="A53" s="9" t="s">
        <v>782</v>
      </c>
    </row>
    <row r="55" spans="1:7" x14ac:dyDescent="0.2">
      <c r="A55" s="18" t="s">
        <v>783</v>
      </c>
      <c r="D55" s="42">
        <v>2.7369759917808201E-2</v>
      </c>
      <c r="E55" s="13" t="s">
        <v>46</v>
      </c>
    </row>
    <row r="57" spans="1:7" x14ac:dyDescent="0.2">
      <c r="A57" s="18" t="s">
        <v>717</v>
      </c>
      <c r="D57" s="41" t="s">
        <v>45</v>
      </c>
    </row>
    <row r="59" spans="1:7" ht="14.4" x14ac:dyDescent="0.2">
      <c r="A59" s="90" t="s">
        <v>784</v>
      </c>
      <c r="B59" s="91"/>
      <c r="C59" s="91"/>
      <c r="D59" s="91"/>
      <c r="E59" s="91"/>
      <c r="F59" s="91"/>
      <c r="G59" s="91"/>
    </row>
    <row r="60" spans="1:7" x14ac:dyDescent="0.2">
      <c r="A60" s="50" t="s">
        <v>47</v>
      </c>
    </row>
    <row r="61" spans="1:7" x14ac:dyDescent="0.2">
      <c r="A61" s="50"/>
    </row>
  </sheetData>
  <mergeCells count="5">
    <mergeCell ref="A1:G1"/>
    <mergeCell ref="A49:B49"/>
    <mergeCell ref="A50:B50"/>
    <mergeCell ref="A51:B51"/>
    <mergeCell ref="A59:G59"/>
  </mergeCells>
  <conditionalFormatting sqref="F2:F3 F61:F65536 F5:F58">
    <cfRule type="cellIs" dxfId="125" priority="3" stopIfTrue="1" operator="between">
      <formula>0.009</formula>
      <formula>-0.009</formula>
    </cfRule>
  </conditionalFormatting>
  <conditionalFormatting sqref="F60">
    <cfRule type="cellIs" dxfId="124" priority="1" stopIfTrue="1" operator="between">
      <formula>0.009</formula>
      <formula>-0.009</formula>
    </cfRule>
  </conditionalFormatting>
  <hyperlinks>
    <hyperlink ref="A60" r:id="rId1" xr:uid="{00000000-0004-0000-1800-000000000000}"/>
  </hyperlinks>
  <pageMargins left="0.7" right="0.7" top="0.75" bottom="0.75" header="0.3" footer="0.3"/>
  <pageSetup paperSize="9" scale="49" orientation="portrait" r:id="rId2"/>
  <headerFooter>
    <oddFooter>&amp;R&amp;1#&amp;"Calibri"&amp;10&amp;KFF0000|PUBLIC|</oddFooter>
    <evenFooter>&amp;LPUBLIC</evenFooter>
    <firstFooter>&amp;LPUBLIC</firstFooter>
  </headerFooter>
  <colBreaks count="1" manualBreakCount="1">
    <brk id="7" max="1048575" man="1"/>
  </col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I66"/>
  <sheetViews>
    <sheetView view="pageBreakPreview" zoomScaleNormal="100" zoomScaleSheetLayoutView="100" workbookViewId="0">
      <selection sqref="A1:G1"/>
    </sheetView>
  </sheetViews>
  <sheetFormatPr defaultColWidth="9.21875" defaultRowHeight="10.199999999999999" x14ac:dyDescent="0.2"/>
  <cols>
    <col min="1" max="1" width="38.77734375" style="9" bestFit="1" customWidth="1"/>
    <col min="2" max="2" width="50.77734375" style="9" customWidth="1"/>
    <col min="3" max="3" width="22.44140625" style="9" customWidth="1"/>
    <col min="4" max="4" width="15.44140625" style="10" bestFit="1" customWidth="1"/>
    <col min="5" max="5" width="23" style="13" bestFit="1" customWidth="1"/>
    <col min="6" max="6" width="13.5546875" style="14" bestFit="1" customWidth="1"/>
    <col min="7" max="7" width="14.21875" style="13" customWidth="1"/>
    <col min="8" max="16384" width="9.21875" style="9"/>
  </cols>
  <sheetData>
    <row r="1" spans="1:9" s="1" customFormat="1" ht="13.8" x14ac:dyDescent="0.2">
      <c r="A1" s="92" t="s">
        <v>1401</v>
      </c>
      <c r="B1" s="93"/>
      <c r="C1" s="93"/>
      <c r="D1" s="93"/>
      <c r="E1" s="93"/>
      <c r="F1" s="93"/>
      <c r="G1" s="93"/>
    </row>
    <row r="2" spans="1:9" s="1" customFormat="1" ht="11.4" x14ac:dyDescent="0.2">
      <c r="D2" s="6"/>
      <c r="E2" s="7"/>
      <c r="F2" s="12"/>
      <c r="G2" s="13"/>
    </row>
    <row r="3" spans="1:9" s="1" customFormat="1" ht="12" x14ac:dyDescent="0.2">
      <c r="A3" s="11" t="s">
        <v>7</v>
      </c>
      <c r="B3" s="2"/>
      <c r="C3" s="3"/>
      <c r="D3" s="4"/>
      <c r="E3" s="5"/>
      <c r="F3" s="12"/>
      <c r="G3" s="13"/>
    </row>
    <row r="4" spans="1:9" s="1" customFormat="1" ht="17.55" customHeight="1" x14ac:dyDescent="0.2">
      <c r="A4" s="8" t="s">
        <v>2</v>
      </c>
      <c r="B4" s="8" t="s">
        <v>0</v>
      </c>
      <c r="C4" s="17" t="s">
        <v>727</v>
      </c>
      <c r="D4" s="16" t="s">
        <v>1</v>
      </c>
      <c r="E4" s="15" t="s">
        <v>3</v>
      </c>
      <c r="F4" s="15" t="s">
        <v>4</v>
      </c>
      <c r="G4" s="15" t="s">
        <v>6</v>
      </c>
    </row>
    <row r="5" spans="1:9" x14ac:dyDescent="0.2">
      <c r="A5" s="21" t="s">
        <v>26</v>
      </c>
      <c r="B5" s="22"/>
      <c r="C5" s="22"/>
      <c r="D5" s="23"/>
      <c r="E5" s="24"/>
      <c r="F5" s="25"/>
      <c r="G5" s="24"/>
    </row>
    <row r="6" spans="1:9" x14ac:dyDescent="0.2">
      <c r="A6" s="26" t="s">
        <v>27</v>
      </c>
      <c r="B6" s="27"/>
      <c r="C6" s="27"/>
      <c r="D6" s="28"/>
      <c r="E6" s="29"/>
      <c r="F6" s="30"/>
      <c r="G6" s="29"/>
    </row>
    <row r="7" spans="1:9" x14ac:dyDescent="0.2">
      <c r="A7" s="27" t="s">
        <v>1343</v>
      </c>
      <c r="B7" s="27" t="s">
        <v>1344</v>
      </c>
      <c r="C7" s="27" t="s">
        <v>33</v>
      </c>
      <c r="D7" s="31">
        <v>67</v>
      </c>
      <c r="E7" s="29">
        <v>858.09915000000001</v>
      </c>
      <c r="F7" s="30">
        <v>9.9815221167654098</v>
      </c>
      <c r="G7" s="29">
        <v>3.7904</v>
      </c>
    </row>
    <row r="8" spans="1:9" x14ac:dyDescent="0.2">
      <c r="A8" s="27" t="s">
        <v>1381</v>
      </c>
      <c r="B8" s="27" t="s">
        <v>1382</v>
      </c>
      <c r="C8" s="27" t="s">
        <v>33</v>
      </c>
      <c r="D8" s="31">
        <v>86</v>
      </c>
      <c r="E8" s="29">
        <v>857.88440000000003</v>
      </c>
      <c r="F8" s="30">
        <v>9.9790241165348093</v>
      </c>
      <c r="G8" s="29">
        <v>3.6004999999999998</v>
      </c>
    </row>
    <row r="9" spans="1:9" x14ac:dyDescent="0.2">
      <c r="A9" s="27" t="s">
        <v>1357</v>
      </c>
      <c r="B9" s="27" t="s">
        <v>1358</v>
      </c>
      <c r="C9" s="27" t="s">
        <v>885</v>
      </c>
      <c r="D9" s="31">
        <v>68</v>
      </c>
      <c r="E9" s="29">
        <v>681.41780000000006</v>
      </c>
      <c r="F9" s="30">
        <v>7.9263414273952204</v>
      </c>
      <c r="G9" s="29">
        <v>3.3500999999999999</v>
      </c>
    </row>
    <row r="10" spans="1:9" x14ac:dyDescent="0.2">
      <c r="A10" s="27" t="s">
        <v>1396</v>
      </c>
      <c r="B10" s="27" t="s">
        <v>1397</v>
      </c>
      <c r="C10" s="27" t="s">
        <v>33</v>
      </c>
      <c r="D10" s="31">
        <v>68</v>
      </c>
      <c r="E10" s="29">
        <v>681.19611999999995</v>
      </c>
      <c r="F10" s="30">
        <v>7.9237628164936202</v>
      </c>
      <c r="G10" s="29">
        <v>3.3397999999999999</v>
      </c>
    </row>
    <row r="11" spans="1:9" x14ac:dyDescent="0.2">
      <c r="A11" s="27" t="s">
        <v>1394</v>
      </c>
      <c r="B11" s="27" t="s">
        <v>1395</v>
      </c>
      <c r="C11" s="27" t="s">
        <v>33</v>
      </c>
      <c r="D11" s="31">
        <v>68</v>
      </c>
      <c r="E11" s="29">
        <v>680.32572000000005</v>
      </c>
      <c r="F11" s="30">
        <v>7.9136382092726096</v>
      </c>
      <c r="G11" s="29">
        <v>3.3237000000000001</v>
      </c>
    </row>
    <row r="12" spans="1:9" x14ac:dyDescent="0.2">
      <c r="A12" s="27" t="s">
        <v>1365</v>
      </c>
      <c r="B12" s="27" t="s">
        <v>1366</v>
      </c>
      <c r="C12" s="27" t="s">
        <v>33</v>
      </c>
      <c r="D12" s="31">
        <v>4</v>
      </c>
      <c r="E12" s="29">
        <v>50.870719999999999</v>
      </c>
      <c r="F12" s="30">
        <v>0.59173490240117399</v>
      </c>
      <c r="G12" s="29">
        <v>3.5990000000000002</v>
      </c>
    </row>
    <row r="13" spans="1:9" x14ac:dyDescent="0.2">
      <c r="A13" s="27" t="s">
        <v>1203</v>
      </c>
      <c r="B13" s="27" t="s">
        <v>1204</v>
      </c>
      <c r="C13" s="27" t="s">
        <v>962</v>
      </c>
      <c r="D13" s="31">
        <v>3</v>
      </c>
      <c r="E13" s="29">
        <v>38.056289999999997</v>
      </c>
      <c r="F13" s="30">
        <v>0.44267576808232301</v>
      </c>
      <c r="G13" s="29">
        <v>3.7261000000000002</v>
      </c>
    </row>
    <row r="14" spans="1:9" x14ac:dyDescent="0.2">
      <c r="A14" s="27" t="s">
        <v>1367</v>
      </c>
      <c r="B14" s="27" t="s">
        <v>1368</v>
      </c>
      <c r="C14" s="27" t="s">
        <v>33</v>
      </c>
      <c r="D14" s="31">
        <v>3</v>
      </c>
      <c r="E14" s="29">
        <v>30.063929999999999</v>
      </c>
      <c r="F14" s="30">
        <v>0.34970758590296602</v>
      </c>
      <c r="G14" s="29">
        <v>3.3249</v>
      </c>
    </row>
    <row r="15" spans="1:9" x14ac:dyDescent="0.2">
      <c r="A15" s="26" t="s">
        <v>34</v>
      </c>
      <c r="B15" s="26"/>
      <c r="C15" s="26"/>
      <c r="D15" s="32"/>
      <c r="E15" s="33">
        <f>SUM(E6:E14)</f>
        <v>3877.9141300000001</v>
      </c>
      <c r="F15" s="34">
        <f>SUM(F6:F14)</f>
        <v>45.108406942848141</v>
      </c>
      <c r="G15" s="33"/>
      <c r="H15" s="18"/>
      <c r="I15" s="18"/>
    </row>
    <row r="16" spans="1:9" x14ac:dyDescent="0.2">
      <c r="A16" s="27"/>
      <c r="B16" s="27"/>
      <c r="C16" s="27"/>
      <c r="D16" s="28"/>
      <c r="E16" s="29"/>
      <c r="F16" s="30"/>
      <c r="G16" s="29"/>
    </row>
    <row r="17" spans="1:9" x14ac:dyDescent="0.2">
      <c r="A17" s="26" t="s">
        <v>942</v>
      </c>
      <c r="B17" s="27"/>
      <c r="C17" s="27"/>
      <c r="D17" s="28"/>
      <c r="E17" s="29"/>
      <c r="F17" s="30"/>
      <c r="G17" s="29"/>
    </row>
    <row r="18" spans="1:9" x14ac:dyDescent="0.2">
      <c r="A18" s="27" t="s">
        <v>943</v>
      </c>
      <c r="B18" s="27" t="s">
        <v>944</v>
      </c>
      <c r="C18" s="27" t="s">
        <v>33</v>
      </c>
      <c r="D18" s="31">
        <v>12</v>
      </c>
      <c r="E18" s="29">
        <v>120.31116</v>
      </c>
      <c r="F18" s="30">
        <v>1.39947522897989</v>
      </c>
      <c r="G18" s="29">
        <v>3.4466000000000001</v>
      </c>
    </row>
    <row r="19" spans="1:9" x14ac:dyDescent="0.2">
      <c r="A19" s="26" t="s">
        <v>34</v>
      </c>
      <c r="B19" s="26"/>
      <c r="C19" s="26"/>
      <c r="D19" s="32"/>
      <c r="E19" s="33">
        <f>SUM(E17:E18)</f>
        <v>120.31116</v>
      </c>
      <c r="F19" s="34">
        <f>SUM(F17:F18)</f>
        <v>1.39947522897989</v>
      </c>
      <c r="G19" s="33"/>
      <c r="H19" s="18"/>
      <c r="I19" s="18"/>
    </row>
    <row r="20" spans="1:9" x14ac:dyDescent="0.2">
      <c r="A20" s="27"/>
      <c r="B20" s="27"/>
      <c r="C20" s="27"/>
      <c r="D20" s="28"/>
      <c r="E20" s="29"/>
      <c r="F20" s="30"/>
      <c r="G20" s="29"/>
    </row>
    <row r="21" spans="1:9" x14ac:dyDescent="0.2">
      <c r="A21" s="26" t="s">
        <v>48</v>
      </c>
      <c r="B21" s="27"/>
      <c r="C21" s="27"/>
      <c r="D21" s="28"/>
      <c r="E21" s="29"/>
      <c r="F21" s="30"/>
      <c r="G21" s="29"/>
    </row>
    <row r="22" spans="1:9" x14ac:dyDescent="0.2">
      <c r="A22" s="26" t="s">
        <v>49</v>
      </c>
      <c r="B22" s="27"/>
      <c r="C22" s="27"/>
      <c r="D22" s="28"/>
      <c r="E22" s="29"/>
      <c r="F22" s="30"/>
      <c r="G22" s="29"/>
    </row>
    <row r="23" spans="1:9" x14ac:dyDescent="0.2">
      <c r="A23" s="27" t="s">
        <v>1383</v>
      </c>
      <c r="B23" s="27" t="s">
        <v>1384</v>
      </c>
      <c r="C23" s="27" t="s">
        <v>50</v>
      </c>
      <c r="D23" s="31">
        <v>565</v>
      </c>
      <c r="E23" s="29">
        <v>563.94062499999995</v>
      </c>
      <c r="F23" s="30">
        <v>6.5598314844852199</v>
      </c>
      <c r="G23" s="29">
        <v>3.2650999999999999</v>
      </c>
    </row>
    <row r="24" spans="1:9" x14ac:dyDescent="0.2">
      <c r="A24" s="26" t="s">
        <v>34</v>
      </c>
      <c r="B24" s="26"/>
      <c r="C24" s="26"/>
      <c r="D24" s="32"/>
      <c r="E24" s="33">
        <f>SUM(E22:E23)</f>
        <v>563.94062499999995</v>
      </c>
      <c r="F24" s="34">
        <f>SUM(F22:F23)</f>
        <v>6.5598314844852199</v>
      </c>
      <c r="G24" s="33"/>
      <c r="H24" s="18"/>
      <c r="I24" s="18"/>
    </row>
    <row r="25" spans="1:9" x14ac:dyDescent="0.2">
      <c r="A25" s="27"/>
      <c r="B25" s="27"/>
      <c r="C25" s="27"/>
      <c r="D25" s="28"/>
      <c r="E25" s="29"/>
      <c r="F25" s="30"/>
      <c r="G25" s="29"/>
    </row>
    <row r="26" spans="1:9" x14ac:dyDescent="0.2">
      <c r="A26" s="26" t="s">
        <v>52</v>
      </c>
      <c r="B26" s="27"/>
      <c r="C26" s="27"/>
      <c r="D26" s="28"/>
      <c r="E26" s="29"/>
      <c r="F26" s="30"/>
      <c r="G26" s="29"/>
    </row>
    <row r="27" spans="1:9" x14ac:dyDescent="0.2">
      <c r="A27" s="27" t="s">
        <v>758</v>
      </c>
      <c r="B27" s="27" t="s">
        <v>759</v>
      </c>
      <c r="C27" s="27" t="s">
        <v>50</v>
      </c>
      <c r="D27" s="31">
        <v>162</v>
      </c>
      <c r="E27" s="29">
        <v>808.90650000000005</v>
      </c>
      <c r="F27" s="30">
        <v>9.4093067451999008</v>
      </c>
      <c r="G27" s="29">
        <v>3.2907000000000002</v>
      </c>
    </row>
    <row r="28" spans="1:9" x14ac:dyDescent="0.2">
      <c r="A28" s="27" t="s">
        <v>1385</v>
      </c>
      <c r="B28" s="27" t="s">
        <v>1386</v>
      </c>
      <c r="C28" s="27" t="s">
        <v>50</v>
      </c>
      <c r="D28" s="31">
        <v>161</v>
      </c>
      <c r="E28" s="29">
        <v>804.21271000000002</v>
      </c>
      <c r="F28" s="30">
        <v>9.3547079628838308</v>
      </c>
      <c r="G28" s="29">
        <v>3.2484000000000002</v>
      </c>
    </row>
    <row r="29" spans="1:9" x14ac:dyDescent="0.2">
      <c r="A29" s="27" t="s">
        <v>1391</v>
      </c>
      <c r="B29" s="27" t="s">
        <v>1392</v>
      </c>
      <c r="C29" s="27" t="s">
        <v>50</v>
      </c>
      <c r="D29" s="31">
        <v>97</v>
      </c>
      <c r="E29" s="29">
        <v>484.51693999999998</v>
      </c>
      <c r="F29" s="30">
        <v>5.6359647396894603</v>
      </c>
      <c r="G29" s="29">
        <v>3.3098999999999998</v>
      </c>
    </row>
    <row r="30" spans="1:9" x14ac:dyDescent="0.2">
      <c r="A30" s="27" t="s">
        <v>1387</v>
      </c>
      <c r="B30" s="27" t="s">
        <v>1388</v>
      </c>
      <c r="C30" s="27" t="s">
        <v>55</v>
      </c>
      <c r="D30" s="31">
        <v>92</v>
      </c>
      <c r="E30" s="29">
        <v>459.83532000000002</v>
      </c>
      <c r="F30" s="30">
        <v>5.3488648912540002</v>
      </c>
      <c r="G30" s="29">
        <v>3.2725</v>
      </c>
    </row>
    <row r="31" spans="1:9" x14ac:dyDescent="0.2">
      <c r="A31" s="27" t="s">
        <v>1389</v>
      </c>
      <c r="B31" s="27" t="s">
        <v>1390</v>
      </c>
      <c r="C31" s="27" t="s">
        <v>55</v>
      </c>
      <c r="D31" s="31">
        <v>74</v>
      </c>
      <c r="E31" s="29">
        <v>369.53602000000001</v>
      </c>
      <c r="F31" s="30">
        <v>4.2984915630920604</v>
      </c>
      <c r="G31" s="29">
        <v>3.2747999999999999</v>
      </c>
    </row>
    <row r="32" spans="1:9" x14ac:dyDescent="0.2">
      <c r="A32" s="26" t="s">
        <v>34</v>
      </c>
      <c r="B32" s="26"/>
      <c r="C32" s="26"/>
      <c r="D32" s="32"/>
      <c r="E32" s="33">
        <f>SUM(E26:E31)</f>
        <v>2927.0074900000004</v>
      </c>
      <c r="F32" s="34">
        <f>SUM(F26:F31)</f>
        <v>34.047335902119251</v>
      </c>
      <c r="G32" s="33"/>
      <c r="H32" s="18"/>
      <c r="I32" s="18"/>
    </row>
    <row r="33" spans="1:9" x14ac:dyDescent="0.2">
      <c r="A33" s="27"/>
      <c r="B33" s="27"/>
      <c r="C33" s="27"/>
      <c r="D33" s="28"/>
      <c r="E33" s="29"/>
      <c r="F33" s="30"/>
      <c r="G33" s="29"/>
    </row>
    <row r="34" spans="1:9" x14ac:dyDescent="0.2">
      <c r="A34" s="26" t="s">
        <v>59</v>
      </c>
      <c r="B34" s="27"/>
      <c r="C34" s="27"/>
      <c r="D34" s="28"/>
      <c r="E34" s="29"/>
      <c r="F34" s="30"/>
      <c r="G34" s="29"/>
    </row>
    <row r="35" spans="1:9" x14ac:dyDescent="0.2">
      <c r="A35" s="27" t="s">
        <v>1398</v>
      </c>
      <c r="B35" s="27" t="s">
        <v>1399</v>
      </c>
      <c r="C35" s="27" t="s">
        <v>62</v>
      </c>
      <c r="D35" s="31">
        <v>679000</v>
      </c>
      <c r="E35" s="29">
        <v>679.87726799999996</v>
      </c>
      <c r="F35" s="30">
        <v>7.90842175665603</v>
      </c>
      <c r="G35" s="29">
        <v>3.0752999999999999</v>
      </c>
    </row>
    <row r="36" spans="1:9" x14ac:dyDescent="0.2">
      <c r="A36" s="26" t="s">
        <v>34</v>
      </c>
      <c r="B36" s="26"/>
      <c r="C36" s="26"/>
      <c r="D36" s="32"/>
      <c r="E36" s="33">
        <f>SUM(E35:E35)</f>
        <v>679.87726799999996</v>
      </c>
      <c r="F36" s="34">
        <f>SUM(F35:F35)</f>
        <v>7.90842175665603</v>
      </c>
      <c r="G36" s="33"/>
      <c r="H36" s="18"/>
      <c r="I36" s="18"/>
    </row>
    <row r="37" spans="1:9" x14ac:dyDescent="0.2">
      <c r="A37" s="27"/>
      <c r="B37" s="27"/>
      <c r="C37" s="27"/>
      <c r="D37" s="28"/>
      <c r="E37" s="29"/>
      <c r="F37" s="30"/>
      <c r="G37" s="29"/>
    </row>
    <row r="38" spans="1:9" x14ac:dyDescent="0.2">
      <c r="A38" s="26" t="s">
        <v>36</v>
      </c>
      <c r="B38" s="26"/>
      <c r="C38" s="26"/>
      <c r="D38" s="32"/>
      <c r="E38" s="33">
        <f>E15+E19+E24+E32+E36</f>
        <v>8169.0506730000016</v>
      </c>
      <c r="F38" s="34">
        <f>F15+F19+F24+F32+F36</f>
        <v>95.023471315088528</v>
      </c>
      <c r="G38" s="33"/>
      <c r="H38" s="18"/>
      <c r="I38" s="18"/>
    </row>
    <row r="39" spans="1:9" x14ac:dyDescent="0.2">
      <c r="A39" s="26"/>
      <c r="B39" s="26"/>
      <c r="C39" s="26"/>
      <c r="D39" s="32"/>
      <c r="E39" s="33"/>
      <c r="F39" s="34"/>
      <c r="G39" s="33"/>
      <c r="H39" s="18"/>
      <c r="I39" s="18"/>
    </row>
    <row r="40" spans="1:9" x14ac:dyDescent="0.2">
      <c r="A40" s="26" t="s">
        <v>38</v>
      </c>
      <c r="B40" s="26"/>
      <c r="C40" s="26"/>
      <c r="D40" s="32"/>
      <c r="E40" s="33">
        <f>E42-(E15+E19+E24+E32+E36)</f>
        <v>427.82603539999764</v>
      </c>
      <c r="F40" s="34">
        <f>F42-(F15+F19+F24+F32+F36)</f>
        <v>4.9765286849114716</v>
      </c>
      <c r="G40" s="33"/>
      <c r="H40" s="18"/>
      <c r="I40" s="18"/>
    </row>
    <row r="41" spans="1:9" x14ac:dyDescent="0.2">
      <c r="A41" s="26"/>
      <c r="B41" s="26"/>
      <c r="C41" s="26"/>
      <c r="D41" s="32"/>
      <c r="E41" s="33"/>
      <c r="F41" s="34"/>
      <c r="G41" s="33"/>
      <c r="H41" s="18"/>
      <c r="I41" s="18"/>
    </row>
    <row r="42" spans="1:9" x14ac:dyDescent="0.2">
      <c r="A42" s="35" t="s">
        <v>37</v>
      </c>
      <c r="B42" s="35"/>
      <c r="C42" s="35"/>
      <c r="D42" s="36"/>
      <c r="E42" s="37">
        <v>8596.8767083999992</v>
      </c>
      <c r="F42" s="38">
        <v>100</v>
      </c>
      <c r="G42" s="37"/>
      <c r="H42" s="18"/>
      <c r="I42" s="18"/>
    </row>
    <row r="44" spans="1:9" x14ac:dyDescent="0.2">
      <c r="A44" s="18" t="s">
        <v>63</v>
      </c>
    </row>
    <row r="45" spans="1:9" x14ac:dyDescent="0.2">
      <c r="A45" s="18" t="s">
        <v>39</v>
      </c>
    </row>
    <row r="47" spans="1:9" x14ac:dyDescent="0.2">
      <c r="A47" s="18" t="s">
        <v>40</v>
      </c>
    </row>
    <row r="48" spans="1:9" x14ac:dyDescent="0.2">
      <c r="A48" s="18" t="s">
        <v>41</v>
      </c>
    </row>
    <row r="49" spans="1:7" x14ac:dyDescent="0.2">
      <c r="A49" s="18" t="s">
        <v>42</v>
      </c>
      <c r="B49" s="18"/>
      <c r="C49" s="39" t="s">
        <v>44</v>
      </c>
      <c r="D49" s="19" t="s">
        <v>43</v>
      </c>
    </row>
    <row r="50" spans="1:7" x14ac:dyDescent="0.2">
      <c r="A50" s="9" t="s">
        <v>65</v>
      </c>
      <c r="C50" s="40">
        <v>12.3215</v>
      </c>
      <c r="D50" s="40">
        <v>12.5684</v>
      </c>
    </row>
    <row r="51" spans="1:7" x14ac:dyDescent="0.2">
      <c r="A51" s="9" t="s">
        <v>1271</v>
      </c>
      <c r="C51" s="40">
        <v>10.708600000000001</v>
      </c>
      <c r="D51" s="40">
        <v>10.1418</v>
      </c>
    </row>
    <row r="52" spans="1:7" x14ac:dyDescent="0.2">
      <c r="A52" s="9" t="s">
        <v>66</v>
      </c>
      <c r="C52" s="40">
        <v>12.387</v>
      </c>
      <c r="D52" s="40">
        <v>12.635199999999999</v>
      </c>
    </row>
    <row r="53" spans="1:7" x14ac:dyDescent="0.2">
      <c r="C53" s="40"/>
      <c r="D53" s="40"/>
    </row>
    <row r="54" spans="1:7" x14ac:dyDescent="0.2">
      <c r="A54" s="18" t="s">
        <v>1560</v>
      </c>
    </row>
    <row r="55" spans="1:7" x14ac:dyDescent="0.2">
      <c r="A55" s="94" t="s">
        <v>64</v>
      </c>
      <c r="B55" s="95"/>
      <c r="C55" s="44" t="s">
        <v>1544</v>
      </c>
    </row>
    <row r="56" spans="1:7" x14ac:dyDescent="0.2">
      <c r="A56" s="88" t="s">
        <v>1271</v>
      </c>
      <c r="B56" s="89"/>
      <c r="C56" s="45">
        <v>0.78</v>
      </c>
    </row>
    <row r="57" spans="1:7" x14ac:dyDescent="0.2">
      <c r="A57" s="9" t="s">
        <v>1545</v>
      </c>
    </row>
    <row r="58" spans="1:7" x14ac:dyDescent="0.2">
      <c r="A58" s="9" t="s">
        <v>782</v>
      </c>
    </row>
    <row r="60" spans="1:7" x14ac:dyDescent="0.2">
      <c r="A60" s="18" t="s">
        <v>783</v>
      </c>
      <c r="D60" s="42">
        <v>3.5993418109588997E-2</v>
      </c>
      <c r="E60" s="13" t="s">
        <v>46</v>
      </c>
    </row>
    <row r="62" spans="1:7" x14ac:dyDescent="0.2">
      <c r="A62" s="18" t="s">
        <v>717</v>
      </c>
      <c r="D62" s="41" t="s">
        <v>45</v>
      </c>
    </row>
    <row r="64" spans="1:7" ht="14.4" x14ac:dyDescent="0.2">
      <c r="A64" s="90" t="s">
        <v>784</v>
      </c>
      <c r="B64" s="91"/>
      <c r="C64" s="91"/>
      <c r="D64" s="91"/>
      <c r="E64" s="91"/>
      <c r="F64" s="91"/>
      <c r="G64" s="91"/>
    </row>
    <row r="65" spans="1:1" x14ac:dyDescent="0.2">
      <c r="A65" s="50" t="s">
        <v>47</v>
      </c>
    </row>
    <row r="66" spans="1:1" x14ac:dyDescent="0.2">
      <c r="A66" s="50"/>
    </row>
  </sheetData>
  <mergeCells count="4">
    <mergeCell ref="A1:G1"/>
    <mergeCell ref="A55:B55"/>
    <mergeCell ref="A56:B56"/>
    <mergeCell ref="A64:G64"/>
  </mergeCells>
  <conditionalFormatting sqref="F2:F3 F66:F65536 F5:F63">
    <cfRule type="cellIs" dxfId="123" priority="3" stopIfTrue="1" operator="between">
      <formula>0.009</formula>
      <formula>-0.009</formula>
    </cfRule>
  </conditionalFormatting>
  <conditionalFormatting sqref="F65">
    <cfRule type="cellIs" dxfId="122" priority="1" stopIfTrue="1" operator="between">
      <formula>0.009</formula>
      <formula>-0.009</formula>
    </cfRule>
  </conditionalFormatting>
  <hyperlinks>
    <hyperlink ref="A65" r:id="rId1" xr:uid="{00000000-0004-0000-1900-000000000000}"/>
  </hyperlinks>
  <pageMargins left="0.7" right="0.7" top="0.75" bottom="0.75" header="0.3" footer="0.3"/>
  <pageSetup paperSize="9" scale="49" orientation="portrait" r:id="rId2"/>
  <headerFooter>
    <oddFooter>&amp;R&amp;1#&amp;"Calibri"&amp;10&amp;KFF0000|PUBLIC|</oddFooter>
    <evenFooter>&amp;LPUBLIC</evenFooter>
    <firstFooter>&amp;LPUBLIC</firstFooter>
  </headerFooter>
  <colBreaks count="1" manualBreakCount="1">
    <brk id="7" max="1048575" man="1"/>
  </col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74"/>
  <sheetViews>
    <sheetView view="pageBreakPreview" zoomScale="106" zoomScaleNormal="100" zoomScaleSheetLayoutView="106" workbookViewId="0">
      <selection sqref="A1:G1"/>
    </sheetView>
  </sheetViews>
  <sheetFormatPr defaultColWidth="9.21875" defaultRowHeight="10.199999999999999" x14ac:dyDescent="0.2"/>
  <cols>
    <col min="1" max="1" width="38.77734375" style="9" bestFit="1" customWidth="1"/>
    <col min="2" max="2" width="50.77734375" style="9" bestFit="1" customWidth="1"/>
    <col min="3" max="3" width="21.21875" style="9" bestFit="1" customWidth="1"/>
    <col min="4" max="4" width="15.44140625" style="10" bestFit="1" customWidth="1"/>
    <col min="5" max="5" width="23" style="13" bestFit="1" customWidth="1"/>
    <col min="6" max="6" width="13.5546875" style="14" bestFit="1" customWidth="1"/>
    <col min="7" max="7" width="14.21875" style="13" customWidth="1"/>
    <col min="8" max="16384" width="9.21875" style="9"/>
  </cols>
  <sheetData>
    <row r="1" spans="1:9" s="1" customFormat="1" ht="13.8" x14ac:dyDescent="0.2">
      <c r="A1" s="92" t="s">
        <v>1402</v>
      </c>
      <c r="B1" s="93"/>
      <c r="C1" s="93"/>
      <c r="D1" s="93"/>
      <c r="E1" s="93"/>
      <c r="F1" s="93"/>
      <c r="G1" s="93"/>
    </row>
    <row r="2" spans="1:9" s="1" customFormat="1" ht="11.4" x14ac:dyDescent="0.2">
      <c r="D2" s="6"/>
      <c r="E2" s="7"/>
      <c r="F2" s="12"/>
      <c r="G2" s="13"/>
    </row>
    <row r="3" spans="1:9" s="1" customFormat="1" ht="12" x14ac:dyDescent="0.2">
      <c r="A3" s="11" t="s">
        <v>7</v>
      </c>
      <c r="B3" s="2"/>
      <c r="C3" s="3"/>
      <c r="D3" s="4"/>
      <c r="E3" s="5"/>
      <c r="F3" s="12"/>
      <c r="G3" s="13"/>
    </row>
    <row r="4" spans="1:9" s="1" customFormat="1" ht="17.55" customHeight="1" x14ac:dyDescent="0.2">
      <c r="A4" s="8" t="s">
        <v>2</v>
      </c>
      <c r="B4" s="8" t="s">
        <v>0</v>
      </c>
      <c r="C4" s="17" t="s">
        <v>727</v>
      </c>
      <c r="D4" s="16" t="s">
        <v>1</v>
      </c>
      <c r="E4" s="15" t="s">
        <v>3</v>
      </c>
      <c r="F4" s="15" t="s">
        <v>4</v>
      </c>
      <c r="G4" s="15" t="s">
        <v>6</v>
      </c>
    </row>
    <row r="5" spans="1:9" x14ac:dyDescent="0.2">
      <c r="A5" s="21" t="s">
        <v>26</v>
      </c>
      <c r="B5" s="22"/>
      <c r="C5" s="22"/>
      <c r="D5" s="23"/>
      <c r="E5" s="24"/>
      <c r="F5" s="25"/>
      <c r="G5" s="24"/>
    </row>
    <row r="6" spans="1:9" x14ac:dyDescent="0.2">
      <c r="A6" s="26" t="s">
        <v>27</v>
      </c>
      <c r="B6" s="27"/>
      <c r="C6" s="27"/>
      <c r="D6" s="28"/>
      <c r="E6" s="29"/>
      <c r="F6" s="30"/>
      <c r="G6" s="29"/>
    </row>
    <row r="7" spans="1:9" x14ac:dyDescent="0.2">
      <c r="A7" s="27" t="s">
        <v>1381</v>
      </c>
      <c r="B7" s="27" t="s">
        <v>1382</v>
      </c>
      <c r="C7" s="27" t="s">
        <v>33</v>
      </c>
      <c r="D7" s="31">
        <v>107</v>
      </c>
      <c r="E7" s="29">
        <v>1067.3678</v>
      </c>
      <c r="F7" s="30">
        <v>9.9966085262390507</v>
      </c>
      <c r="G7" s="29">
        <v>3.6004999999999998</v>
      </c>
    </row>
    <row r="8" spans="1:9" x14ac:dyDescent="0.2">
      <c r="A8" s="27" t="s">
        <v>1403</v>
      </c>
      <c r="B8" s="27" t="s">
        <v>1404</v>
      </c>
      <c r="C8" s="27" t="s">
        <v>33</v>
      </c>
      <c r="D8" s="31">
        <v>80</v>
      </c>
      <c r="E8" s="29">
        <v>801.31200000000001</v>
      </c>
      <c r="F8" s="30">
        <v>7.5048192116884804</v>
      </c>
      <c r="G8" s="29">
        <v>3.5996000000000001</v>
      </c>
    </row>
    <row r="9" spans="1:9" x14ac:dyDescent="0.2">
      <c r="A9" s="27" t="s">
        <v>1396</v>
      </c>
      <c r="B9" s="27" t="s">
        <v>1397</v>
      </c>
      <c r="C9" s="27" t="s">
        <v>33</v>
      </c>
      <c r="D9" s="31">
        <v>13</v>
      </c>
      <c r="E9" s="29">
        <v>130.22866999999999</v>
      </c>
      <c r="F9" s="30">
        <v>1.21967800872649</v>
      </c>
      <c r="G9" s="29">
        <v>3.3397999999999999</v>
      </c>
    </row>
    <row r="10" spans="1:9" x14ac:dyDescent="0.2">
      <c r="A10" s="27" t="s">
        <v>1394</v>
      </c>
      <c r="B10" s="27" t="s">
        <v>1395</v>
      </c>
      <c r="C10" s="27" t="s">
        <v>33</v>
      </c>
      <c r="D10" s="31">
        <v>8</v>
      </c>
      <c r="E10" s="29">
        <v>80.038319999999999</v>
      </c>
      <c r="F10" s="30">
        <v>0.74961203826633105</v>
      </c>
      <c r="G10" s="29">
        <v>3.3237000000000001</v>
      </c>
    </row>
    <row r="11" spans="1:9" x14ac:dyDescent="0.2">
      <c r="A11" s="27" t="s">
        <v>1203</v>
      </c>
      <c r="B11" s="27" t="s">
        <v>1204</v>
      </c>
      <c r="C11" s="27" t="s">
        <v>962</v>
      </c>
      <c r="D11" s="31">
        <v>6</v>
      </c>
      <c r="E11" s="29">
        <v>76.112579999999994</v>
      </c>
      <c r="F11" s="30">
        <v>0.71284487519864503</v>
      </c>
      <c r="G11" s="29">
        <v>3.7261000000000002</v>
      </c>
    </row>
    <row r="12" spans="1:9" x14ac:dyDescent="0.2">
      <c r="A12" s="27" t="s">
        <v>1372</v>
      </c>
      <c r="B12" s="27" t="s">
        <v>1373</v>
      </c>
      <c r="C12" s="27" t="s">
        <v>33</v>
      </c>
      <c r="D12" s="31">
        <v>5</v>
      </c>
      <c r="E12" s="29">
        <v>50.08455</v>
      </c>
      <c r="F12" s="30">
        <v>0.46907508317455898</v>
      </c>
      <c r="G12" s="29">
        <v>3.3250000000000002</v>
      </c>
    </row>
    <row r="13" spans="1:9" x14ac:dyDescent="0.2">
      <c r="A13" s="27" t="s">
        <v>1367</v>
      </c>
      <c r="B13" s="27" t="s">
        <v>1368</v>
      </c>
      <c r="C13" s="27" t="s">
        <v>33</v>
      </c>
      <c r="D13" s="31">
        <v>3</v>
      </c>
      <c r="E13" s="29">
        <v>30.063929999999999</v>
      </c>
      <c r="F13" s="30">
        <v>0.28156867667382701</v>
      </c>
      <c r="G13" s="29">
        <v>3.3249</v>
      </c>
    </row>
    <row r="14" spans="1:9" x14ac:dyDescent="0.2">
      <c r="A14" s="27" t="s">
        <v>1343</v>
      </c>
      <c r="B14" s="27" t="s">
        <v>1344</v>
      </c>
      <c r="C14" s="27" t="s">
        <v>33</v>
      </c>
      <c r="D14" s="31">
        <v>1</v>
      </c>
      <c r="E14" s="29">
        <v>12.807449999999999</v>
      </c>
      <c r="F14" s="30">
        <v>0.119950277560725</v>
      </c>
      <c r="G14" s="29">
        <v>3.7904</v>
      </c>
    </row>
    <row r="15" spans="1:9" x14ac:dyDescent="0.2">
      <c r="A15" s="26" t="s">
        <v>34</v>
      </c>
      <c r="B15" s="26"/>
      <c r="C15" s="26"/>
      <c r="D15" s="32"/>
      <c r="E15" s="33">
        <f>SUM(E6:E14)</f>
        <v>2248.0152999999996</v>
      </c>
      <c r="F15" s="34">
        <f>SUM(F6:F14)</f>
        <v>21.054156697528111</v>
      </c>
      <c r="G15" s="33"/>
      <c r="H15" s="18"/>
      <c r="I15" s="18"/>
    </row>
    <row r="16" spans="1:9" x14ac:dyDescent="0.2">
      <c r="A16" s="27"/>
      <c r="B16" s="27"/>
      <c r="C16" s="27"/>
      <c r="D16" s="28"/>
      <c r="E16" s="29"/>
      <c r="F16" s="30"/>
      <c r="G16" s="29"/>
    </row>
    <row r="17" spans="1:9" x14ac:dyDescent="0.2">
      <c r="A17" s="26" t="s">
        <v>942</v>
      </c>
      <c r="B17" s="27"/>
      <c r="C17" s="27"/>
      <c r="D17" s="28"/>
      <c r="E17" s="29"/>
      <c r="F17" s="30"/>
      <c r="G17" s="29"/>
    </row>
    <row r="18" spans="1:9" x14ac:dyDescent="0.2">
      <c r="A18" s="27" t="s">
        <v>943</v>
      </c>
      <c r="B18" s="27" t="s">
        <v>944</v>
      </c>
      <c r="C18" s="27" t="s">
        <v>33</v>
      </c>
      <c r="D18" s="31">
        <v>27</v>
      </c>
      <c r="E18" s="29">
        <v>270.70011</v>
      </c>
      <c r="F18" s="30">
        <v>2.5352863630323599</v>
      </c>
      <c r="G18" s="29">
        <v>3.4466000000000001</v>
      </c>
    </row>
    <row r="19" spans="1:9" x14ac:dyDescent="0.2">
      <c r="A19" s="26" t="s">
        <v>34</v>
      </c>
      <c r="B19" s="26"/>
      <c r="C19" s="26"/>
      <c r="D19" s="32"/>
      <c r="E19" s="33">
        <f>SUM(E17:E18)</f>
        <v>270.70011</v>
      </c>
      <c r="F19" s="34">
        <f>SUM(F17:F18)</f>
        <v>2.5352863630323599</v>
      </c>
      <c r="G19" s="33"/>
      <c r="H19" s="18"/>
      <c r="I19" s="18"/>
    </row>
    <row r="20" spans="1:9" x14ac:dyDescent="0.2">
      <c r="A20" s="27"/>
      <c r="B20" s="27"/>
      <c r="C20" s="27"/>
      <c r="D20" s="28"/>
      <c r="E20" s="29"/>
      <c r="F20" s="30"/>
      <c r="G20" s="29"/>
    </row>
    <row r="21" spans="1:9" x14ac:dyDescent="0.2">
      <c r="A21" s="26" t="s">
        <v>48</v>
      </c>
      <c r="B21" s="27"/>
      <c r="C21" s="27"/>
      <c r="D21" s="28"/>
      <c r="E21" s="29"/>
      <c r="F21" s="30"/>
      <c r="G21" s="29"/>
    </row>
    <row r="22" spans="1:9" x14ac:dyDescent="0.2">
      <c r="A22" s="26" t="s">
        <v>49</v>
      </c>
      <c r="B22" s="27"/>
      <c r="C22" s="27"/>
      <c r="D22" s="28"/>
      <c r="E22" s="29"/>
      <c r="F22" s="30"/>
      <c r="G22" s="29"/>
    </row>
    <row r="23" spans="1:9" x14ac:dyDescent="0.2">
      <c r="A23" s="27" t="s">
        <v>1383</v>
      </c>
      <c r="B23" s="27" t="s">
        <v>1384</v>
      </c>
      <c r="C23" s="27" t="s">
        <v>50</v>
      </c>
      <c r="D23" s="31">
        <v>700</v>
      </c>
      <c r="E23" s="29">
        <v>698.6875</v>
      </c>
      <c r="F23" s="30">
        <v>6.5436725931554696</v>
      </c>
      <c r="G23" s="29">
        <v>3.2650999999999999</v>
      </c>
    </row>
    <row r="24" spans="1:9" x14ac:dyDescent="0.2">
      <c r="A24" s="26" t="s">
        <v>34</v>
      </c>
      <c r="B24" s="26"/>
      <c r="C24" s="26"/>
      <c r="D24" s="32"/>
      <c r="E24" s="33">
        <f>SUM(E22:E23)</f>
        <v>698.6875</v>
      </c>
      <c r="F24" s="34">
        <f>SUM(F22:F23)</f>
        <v>6.5436725931554696</v>
      </c>
      <c r="G24" s="33"/>
      <c r="H24" s="18"/>
      <c r="I24" s="18"/>
    </row>
    <row r="25" spans="1:9" x14ac:dyDescent="0.2">
      <c r="A25" s="27"/>
      <c r="B25" s="27"/>
      <c r="C25" s="27"/>
      <c r="D25" s="28"/>
      <c r="E25" s="29"/>
      <c r="F25" s="30"/>
      <c r="G25" s="29"/>
    </row>
    <row r="26" spans="1:9" x14ac:dyDescent="0.2">
      <c r="A26" s="26" t="s">
        <v>52</v>
      </c>
      <c r="B26" s="27"/>
      <c r="C26" s="27"/>
      <c r="D26" s="28"/>
      <c r="E26" s="29"/>
      <c r="F26" s="30"/>
      <c r="G26" s="29"/>
    </row>
    <row r="27" spans="1:9" x14ac:dyDescent="0.2">
      <c r="A27" s="27" t="s">
        <v>1391</v>
      </c>
      <c r="B27" s="27" t="s">
        <v>1392</v>
      </c>
      <c r="C27" s="27" t="s">
        <v>50</v>
      </c>
      <c r="D27" s="31">
        <v>205</v>
      </c>
      <c r="E27" s="29">
        <v>1023.9791</v>
      </c>
      <c r="F27" s="30">
        <v>9.5902445265358303</v>
      </c>
      <c r="G27" s="29">
        <v>3.3098999999999998</v>
      </c>
    </row>
    <row r="28" spans="1:9" x14ac:dyDescent="0.2">
      <c r="A28" s="27" t="s">
        <v>1385</v>
      </c>
      <c r="B28" s="27" t="s">
        <v>1386</v>
      </c>
      <c r="C28" s="27" t="s">
        <v>50</v>
      </c>
      <c r="D28" s="31">
        <v>201</v>
      </c>
      <c r="E28" s="29">
        <v>1004.01711</v>
      </c>
      <c r="F28" s="30">
        <v>9.4032872289344809</v>
      </c>
      <c r="G28" s="29">
        <v>3.2484000000000002</v>
      </c>
    </row>
    <row r="29" spans="1:9" x14ac:dyDescent="0.2">
      <c r="A29" s="27" t="s">
        <v>758</v>
      </c>
      <c r="B29" s="27" t="s">
        <v>759</v>
      </c>
      <c r="C29" s="27" t="s">
        <v>50</v>
      </c>
      <c r="D29" s="31">
        <v>200</v>
      </c>
      <c r="E29" s="29">
        <v>998.65</v>
      </c>
      <c r="F29" s="30">
        <v>9.3530206782785008</v>
      </c>
      <c r="G29" s="29">
        <v>3.2907000000000002</v>
      </c>
    </row>
    <row r="30" spans="1:9" x14ac:dyDescent="0.2">
      <c r="A30" s="27" t="s">
        <v>1387</v>
      </c>
      <c r="B30" s="27" t="s">
        <v>1388</v>
      </c>
      <c r="C30" s="27" t="s">
        <v>55</v>
      </c>
      <c r="D30" s="31">
        <v>112</v>
      </c>
      <c r="E30" s="29">
        <v>559.79952000000003</v>
      </c>
      <c r="F30" s="30">
        <v>5.2428943936818504</v>
      </c>
      <c r="G30" s="29">
        <v>3.2725</v>
      </c>
    </row>
    <row r="31" spans="1:9" x14ac:dyDescent="0.2">
      <c r="A31" s="27" t="s">
        <v>1389</v>
      </c>
      <c r="B31" s="27" t="s">
        <v>1390</v>
      </c>
      <c r="C31" s="27" t="s">
        <v>55</v>
      </c>
      <c r="D31" s="31">
        <v>93</v>
      </c>
      <c r="E31" s="29">
        <v>464.41689000000002</v>
      </c>
      <c r="F31" s="30">
        <v>4.3495726986549696</v>
      </c>
      <c r="G31" s="29">
        <v>3.2747999999999999</v>
      </c>
    </row>
    <row r="32" spans="1:9" x14ac:dyDescent="0.2">
      <c r="A32" s="26" t="s">
        <v>34</v>
      </c>
      <c r="B32" s="26"/>
      <c r="C32" s="26"/>
      <c r="D32" s="32"/>
      <c r="E32" s="33">
        <f>SUM(E26:E31)</f>
        <v>4050.8626199999999</v>
      </c>
      <c r="F32" s="34">
        <f>SUM(F26:F31)</f>
        <v>37.93901952608563</v>
      </c>
      <c r="G32" s="33"/>
      <c r="H32" s="18"/>
      <c r="I32" s="18"/>
    </row>
    <row r="33" spans="1:9" x14ac:dyDescent="0.2">
      <c r="A33" s="27"/>
      <c r="B33" s="27"/>
      <c r="C33" s="27"/>
      <c r="D33" s="28"/>
      <c r="E33" s="29"/>
      <c r="F33" s="30"/>
      <c r="G33" s="29"/>
    </row>
    <row r="34" spans="1:9" x14ac:dyDescent="0.2">
      <c r="A34" s="26" t="s">
        <v>58</v>
      </c>
      <c r="B34" s="27"/>
      <c r="C34" s="27"/>
      <c r="D34" s="28"/>
      <c r="E34" s="29"/>
      <c r="F34" s="30"/>
      <c r="G34" s="29"/>
    </row>
    <row r="35" spans="1:9" x14ac:dyDescent="0.2">
      <c r="A35" s="27" t="s">
        <v>1405</v>
      </c>
      <c r="B35" s="27" t="s">
        <v>1406</v>
      </c>
      <c r="C35" s="27" t="s">
        <v>62</v>
      </c>
      <c r="D35" s="31">
        <v>1800000</v>
      </c>
      <c r="E35" s="29">
        <v>1797.9102</v>
      </c>
      <c r="F35" s="30">
        <v>16.8386234199047</v>
      </c>
      <c r="G35" s="29">
        <v>3.0304000000000002</v>
      </c>
    </row>
    <row r="36" spans="1:9" x14ac:dyDescent="0.2">
      <c r="A36" s="26" t="s">
        <v>34</v>
      </c>
      <c r="B36" s="26"/>
      <c r="C36" s="26"/>
      <c r="D36" s="32"/>
      <c r="E36" s="33">
        <f>SUM(E34:E35)</f>
        <v>1797.9102</v>
      </c>
      <c r="F36" s="34">
        <f>SUM(F34:F35)</f>
        <v>16.8386234199047</v>
      </c>
      <c r="G36" s="33"/>
      <c r="H36" s="18"/>
      <c r="I36" s="18"/>
    </row>
    <row r="37" spans="1:9" x14ac:dyDescent="0.2">
      <c r="A37" s="27"/>
      <c r="B37" s="27"/>
      <c r="C37" s="27"/>
      <c r="D37" s="28"/>
      <c r="E37" s="29"/>
      <c r="F37" s="30"/>
      <c r="G37" s="29"/>
    </row>
    <row r="38" spans="1:9" x14ac:dyDescent="0.2">
      <c r="A38" s="26" t="s">
        <v>59</v>
      </c>
      <c r="B38" s="27"/>
      <c r="C38" s="27"/>
      <c r="D38" s="28"/>
      <c r="E38" s="29"/>
      <c r="F38" s="30"/>
      <c r="G38" s="29"/>
    </row>
    <row r="39" spans="1:9" x14ac:dyDescent="0.2">
      <c r="A39" s="27" t="s">
        <v>1398</v>
      </c>
      <c r="B39" s="27" t="s">
        <v>1399</v>
      </c>
      <c r="C39" s="27" t="s">
        <v>62</v>
      </c>
      <c r="D39" s="31">
        <v>500000</v>
      </c>
      <c r="E39" s="29">
        <v>500.64600000000002</v>
      </c>
      <c r="F39" s="30">
        <v>4.6888823817127303</v>
      </c>
      <c r="G39" s="29">
        <v>3.0752999999999999</v>
      </c>
    </row>
    <row r="40" spans="1:9" x14ac:dyDescent="0.2">
      <c r="A40" s="26" t="s">
        <v>34</v>
      </c>
      <c r="B40" s="26"/>
      <c r="C40" s="26"/>
      <c r="D40" s="32"/>
      <c r="E40" s="33">
        <f>SUM(E39:E39)</f>
        <v>500.64600000000002</v>
      </c>
      <c r="F40" s="34">
        <f>SUM(F39:F39)</f>
        <v>4.6888823817127303</v>
      </c>
      <c r="G40" s="33"/>
      <c r="H40" s="18"/>
      <c r="I40" s="18"/>
    </row>
    <row r="41" spans="1:9" x14ac:dyDescent="0.2">
      <c r="A41" s="27"/>
      <c r="B41" s="27"/>
      <c r="C41" s="27"/>
      <c r="D41" s="28"/>
      <c r="E41" s="29"/>
      <c r="F41" s="30"/>
      <c r="G41" s="29"/>
    </row>
    <row r="42" spans="1:9" x14ac:dyDescent="0.2">
      <c r="A42" s="26" t="s">
        <v>36</v>
      </c>
      <c r="B42" s="26"/>
      <c r="C42" s="26"/>
      <c r="D42" s="32"/>
      <c r="E42" s="33">
        <f>E15+E19+E24+E32+E36+E40</f>
        <v>9566.8217299999997</v>
      </c>
      <c r="F42" s="34">
        <f>F15+F19+F24+F32+F36+F40</f>
        <v>89.599640981419</v>
      </c>
      <c r="G42" s="33"/>
      <c r="H42" s="18"/>
      <c r="I42" s="18"/>
    </row>
    <row r="43" spans="1:9" x14ac:dyDescent="0.2">
      <c r="A43" s="26"/>
      <c r="B43" s="26"/>
      <c r="C43" s="26"/>
      <c r="D43" s="32"/>
      <c r="E43" s="33"/>
      <c r="F43" s="34"/>
      <c r="G43" s="33"/>
      <c r="H43" s="18"/>
      <c r="I43" s="18"/>
    </row>
    <row r="44" spans="1:9" x14ac:dyDescent="0.2">
      <c r="A44" s="26" t="s">
        <v>38</v>
      </c>
      <c r="B44" s="26"/>
      <c r="C44" s="26"/>
      <c r="D44" s="32"/>
      <c r="E44" s="33">
        <f>E46-(E15+E19+E24+E32+E36+E40)</f>
        <v>1110.4774479999996</v>
      </c>
      <c r="F44" s="34">
        <f>F46-(F15+F19+F24+F32+F36+F40)</f>
        <v>10.400359018581</v>
      </c>
      <c r="G44" s="33"/>
      <c r="H44" s="18"/>
      <c r="I44" s="18"/>
    </row>
    <row r="45" spans="1:9" x14ac:dyDescent="0.2">
      <c r="A45" s="26"/>
      <c r="B45" s="26"/>
      <c r="C45" s="26"/>
      <c r="D45" s="32"/>
      <c r="E45" s="33"/>
      <c r="F45" s="34"/>
      <c r="G45" s="33"/>
      <c r="H45" s="18"/>
      <c r="I45" s="18"/>
    </row>
    <row r="46" spans="1:9" x14ac:dyDescent="0.2">
      <c r="A46" s="35" t="s">
        <v>37</v>
      </c>
      <c r="B46" s="35"/>
      <c r="C46" s="35"/>
      <c r="D46" s="36"/>
      <c r="E46" s="37">
        <v>10677.299177999999</v>
      </c>
      <c r="F46" s="38">
        <v>100</v>
      </c>
      <c r="G46" s="37"/>
      <c r="H46" s="18"/>
      <c r="I46" s="18"/>
    </row>
    <row r="48" spans="1:9" x14ac:dyDescent="0.2">
      <c r="A48" s="18" t="s">
        <v>63</v>
      </c>
    </row>
    <row r="49" spans="1:4" x14ac:dyDescent="0.2">
      <c r="A49" s="18" t="s">
        <v>39</v>
      </c>
    </row>
    <row r="51" spans="1:4" x14ac:dyDescent="0.2">
      <c r="A51" s="18" t="s">
        <v>40</v>
      </c>
    </row>
    <row r="52" spans="1:4" x14ac:dyDescent="0.2">
      <c r="A52" s="18" t="s">
        <v>41</v>
      </c>
    </row>
    <row r="53" spans="1:4" x14ac:dyDescent="0.2">
      <c r="A53" s="18" t="s">
        <v>42</v>
      </c>
      <c r="B53" s="18"/>
      <c r="C53" s="39" t="s">
        <v>44</v>
      </c>
      <c r="D53" s="19" t="s">
        <v>43</v>
      </c>
    </row>
    <row r="54" spans="1:4" x14ac:dyDescent="0.2">
      <c r="A54" s="9" t="s">
        <v>65</v>
      </c>
      <c r="C54" s="40">
        <v>12.34</v>
      </c>
      <c r="D54" s="40">
        <v>12.571</v>
      </c>
    </row>
    <row r="55" spans="1:4" x14ac:dyDescent="0.2">
      <c r="A55" s="9" t="s">
        <v>1271</v>
      </c>
      <c r="C55" s="40">
        <v>10.7493</v>
      </c>
      <c r="D55" s="40">
        <v>10.1557</v>
      </c>
    </row>
    <row r="56" spans="1:4" x14ac:dyDescent="0.2">
      <c r="A56" s="9" t="s">
        <v>948</v>
      </c>
      <c r="C56" s="40">
        <v>10.327</v>
      </c>
      <c r="D56" s="40">
        <v>10.1516</v>
      </c>
    </row>
    <row r="57" spans="1:4" x14ac:dyDescent="0.2">
      <c r="A57" s="9" t="s">
        <v>66</v>
      </c>
      <c r="C57" s="40">
        <v>12.4018</v>
      </c>
      <c r="D57" s="40">
        <v>12.634</v>
      </c>
    </row>
    <row r="58" spans="1:4" x14ac:dyDescent="0.2">
      <c r="A58" s="9" t="s">
        <v>1004</v>
      </c>
      <c r="C58" s="40">
        <v>10.811400000000001</v>
      </c>
      <c r="D58" s="40">
        <v>10.2188</v>
      </c>
    </row>
    <row r="59" spans="1:4" x14ac:dyDescent="0.2">
      <c r="C59" s="40"/>
      <c r="D59" s="40"/>
    </row>
    <row r="60" spans="1:4" x14ac:dyDescent="0.2">
      <c r="A60" s="18" t="s">
        <v>1560</v>
      </c>
    </row>
    <row r="61" spans="1:4" x14ac:dyDescent="0.2">
      <c r="A61" s="94" t="s">
        <v>64</v>
      </c>
      <c r="B61" s="95"/>
      <c r="C61" s="44" t="s">
        <v>1544</v>
      </c>
    </row>
    <row r="62" spans="1:4" x14ac:dyDescent="0.2">
      <c r="A62" s="88" t="s">
        <v>1271</v>
      </c>
      <c r="B62" s="89"/>
      <c r="C62" s="45">
        <v>0.79</v>
      </c>
    </row>
    <row r="63" spans="1:4" x14ac:dyDescent="0.2">
      <c r="A63" s="88" t="s">
        <v>948</v>
      </c>
      <c r="B63" s="89"/>
      <c r="C63" s="45">
        <v>0.36499999999999999</v>
      </c>
    </row>
    <row r="64" spans="1:4" x14ac:dyDescent="0.2">
      <c r="A64" s="88" t="s">
        <v>1004</v>
      </c>
      <c r="B64" s="89"/>
      <c r="C64" s="45">
        <v>0.79</v>
      </c>
    </row>
    <row r="65" spans="1:7" x14ac:dyDescent="0.2">
      <c r="A65" s="9" t="s">
        <v>1545</v>
      </c>
    </row>
    <row r="66" spans="1:7" x14ac:dyDescent="0.2">
      <c r="A66" s="9" t="s">
        <v>782</v>
      </c>
    </row>
    <row r="68" spans="1:7" x14ac:dyDescent="0.2">
      <c r="A68" s="18" t="s">
        <v>783</v>
      </c>
      <c r="D68" s="42">
        <v>3.8273974082191797E-2</v>
      </c>
      <c r="E68" s="13" t="s">
        <v>46</v>
      </c>
    </row>
    <row r="70" spans="1:7" x14ac:dyDescent="0.2">
      <c r="A70" s="18" t="s">
        <v>717</v>
      </c>
      <c r="D70" s="41" t="s">
        <v>45</v>
      </c>
    </row>
    <row r="72" spans="1:7" ht="14.4" x14ac:dyDescent="0.2">
      <c r="A72" s="90" t="s">
        <v>784</v>
      </c>
      <c r="B72" s="91"/>
      <c r="C72" s="91"/>
      <c r="D72" s="91"/>
      <c r="E72" s="91"/>
      <c r="F72" s="91"/>
      <c r="G72" s="91"/>
    </row>
    <row r="73" spans="1:7" x14ac:dyDescent="0.2">
      <c r="A73" s="50" t="s">
        <v>47</v>
      </c>
    </row>
    <row r="74" spans="1:7" x14ac:dyDescent="0.2">
      <c r="A74" s="50"/>
    </row>
  </sheetData>
  <mergeCells count="6">
    <mergeCell ref="A72:G72"/>
    <mergeCell ref="A1:G1"/>
    <mergeCell ref="A61:B61"/>
    <mergeCell ref="A62:B62"/>
    <mergeCell ref="A63:B63"/>
    <mergeCell ref="A64:B64"/>
  </mergeCells>
  <conditionalFormatting sqref="F2:F3 F74:F65536 F5:F71">
    <cfRule type="cellIs" dxfId="121" priority="3" stopIfTrue="1" operator="between">
      <formula>0.009</formula>
      <formula>-0.009</formula>
    </cfRule>
  </conditionalFormatting>
  <conditionalFormatting sqref="F73">
    <cfRule type="cellIs" dxfId="120" priority="1" stopIfTrue="1" operator="between">
      <formula>0.009</formula>
      <formula>-0.009</formula>
    </cfRule>
  </conditionalFormatting>
  <hyperlinks>
    <hyperlink ref="A73" r:id="rId1" xr:uid="{00000000-0004-0000-1A00-000000000000}"/>
  </hyperlinks>
  <pageMargins left="0.7" right="0.7" top="0.75" bottom="0.75" header="0.3" footer="0.3"/>
  <pageSetup paperSize="9" scale="49" orientation="portrait" r:id="rId2"/>
  <headerFooter>
    <oddFooter>&amp;R&amp;1#&amp;"Calibri"&amp;10&amp;KFF0000|PUBLIC|</oddFooter>
    <evenFooter>&amp;LPUBLIC</evenFooter>
    <firstFooter>&amp;LPUBLIC</firstFooter>
  </headerFooter>
  <colBreaks count="1" manualBreakCount="1">
    <brk id="7" max="1048575" man="1"/>
  </col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I70"/>
  <sheetViews>
    <sheetView view="pageBreakPreview" zoomScaleNormal="100" zoomScaleSheetLayoutView="100" workbookViewId="0">
      <selection sqref="A1:G1"/>
    </sheetView>
  </sheetViews>
  <sheetFormatPr defaultColWidth="9.21875" defaultRowHeight="10.199999999999999" x14ac:dyDescent="0.2"/>
  <cols>
    <col min="1" max="1" width="38.77734375" style="9" bestFit="1" customWidth="1"/>
    <col min="2" max="2" width="50" style="9" customWidth="1"/>
    <col min="3" max="3" width="22.77734375" style="9" customWidth="1"/>
    <col min="4" max="4" width="15.44140625" style="10" bestFit="1" customWidth="1"/>
    <col min="5" max="5" width="23" style="13" bestFit="1" customWidth="1"/>
    <col min="6" max="6" width="13.5546875" style="14" bestFit="1" customWidth="1"/>
    <col min="7" max="7" width="14.21875" style="13" customWidth="1"/>
    <col min="8" max="16384" width="9.21875" style="9"/>
  </cols>
  <sheetData>
    <row r="1" spans="1:9" s="1" customFormat="1" ht="13.8" x14ac:dyDescent="0.2">
      <c r="A1" s="92" t="s">
        <v>1407</v>
      </c>
      <c r="B1" s="93"/>
      <c r="C1" s="93"/>
      <c r="D1" s="93"/>
      <c r="E1" s="93"/>
      <c r="F1" s="93"/>
      <c r="G1" s="93"/>
    </row>
    <row r="2" spans="1:9" s="1" customFormat="1" ht="11.4" x14ac:dyDescent="0.2">
      <c r="D2" s="6"/>
      <c r="E2" s="7"/>
      <c r="F2" s="12"/>
      <c r="G2" s="13"/>
    </row>
    <row r="3" spans="1:9" s="1" customFormat="1" ht="12" x14ac:dyDescent="0.2">
      <c r="A3" s="11" t="s">
        <v>7</v>
      </c>
      <c r="B3" s="2"/>
      <c r="C3" s="3"/>
      <c r="D3" s="4"/>
      <c r="E3" s="5"/>
      <c r="F3" s="12"/>
      <c r="G3" s="13"/>
    </row>
    <row r="4" spans="1:9" s="1" customFormat="1" ht="17.55" customHeight="1" x14ac:dyDescent="0.2">
      <c r="A4" s="8" t="s">
        <v>2</v>
      </c>
      <c r="B4" s="8" t="s">
        <v>0</v>
      </c>
      <c r="C4" s="17" t="s">
        <v>727</v>
      </c>
      <c r="D4" s="16" t="s">
        <v>1</v>
      </c>
      <c r="E4" s="15" t="s">
        <v>3</v>
      </c>
      <c r="F4" s="15" t="s">
        <v>4</v>
      </c>
      <c r="G4" s="15" t="s">
        <v>6</v>
      </c>
    </row>
    <row r="5" spans="1:9" x14ac:dyDescent="0.2">
      <c r="A5" s="21" t="s">
        <v>26</v>
      </c>
      <c r="B5" s="22"/>
      <c r="C5" s="22"/>
      <c r="D5" s="23"/>
      <c r="E5" s="24"/>
      <c r="F5" s="25"/>
      <c r="G5" s="24"/>
    </row>
    <row r="6" spans="1:9" x14ac:dyDescent="0.2">
      <c r="A6" s="26" t="s">
        <v>27</v>
      </c>
      <c r="B6" s="27"/>
      <c r="C6" s="27"/>
      <c r="D6" s="28"/>
      <c r="E6" s="29"/>
      <c r="F6" s="30"/>
      <c r="G6" s="29"/>
    </row>
    <row r="7" spans="1:9" x14ac:dyDescent="0.2">
      <c r="A7" s="27" t="s">
        <v>999</v>
      </c>
      <c r="B7" s="27" t="s">
        <v>1000</v>
      </c>
      <c r="C7" s="27" t="s">
        <v>33</v>
      </c>
      <c r="D7" s="31">
        <v>99</v>
      </c>
      <c r="E7" s="29">
        <v>992.70567000000005</v>
      </c>
      <c r="F7" s="30">
        <v>7.7308482157574003</v>
      </c>
      <c r="G7" s="29">
        <v>3.3348</v>
      </c>
    </row>
    <row r="8" spans="1:9" x14ac:dyDescent="0.2">
      <c r="A8" s="27" t="s">
        <v>1367</v>
      </c>
      <c r="B8" s="27" t="s">
        <v>1368</v>
      </c>
      <c r="C8" s="27" t="s">
        <v>33</v>
      </c>
      <c r="D8" s="31">
        <v>97</v>
      </c>
      <c r="E8" s="29">
        <v>972.06706999999994</v>
      </c>
      <c r="F8" s="30">
        <v>7.5701219412859997</v>
      </c>
      <c r="G8" s="29">
        <v>3.3249</v>
      </c>
    </row>
    <row r="9" spans="1:9" x14ac:dyDescent="0.2">
      <c r="A9" s="27" t="s">
        <v>1203</v>
      </c>
      <c r="B9" s="27" t="s">
        <v>1204</v>
      </c>
      <c r="C9" s="27" t="s">
        <v>962</v>
      </c>
      <c r="D9" s="31">
        <v>24</v>
      </c>
      <c r="E9" s="29">
        <v>304.45031999999998</v>
      </c>
      <c r="F9" s="30">
        <v>2.3709537320953999</v>
      </c>
      <c r="G9" s="29">
        <v>3.7261000000000002</v>
      </c>
    </row>
    <row r="10" spans="1:9" x14ac:dyDescent="0.2">
      <c r="A10" s="27" t="s">
        <v>1381</v>
      </c>
      <c r="B10" s="27" t="s">
        <v>1382</v>
      </c>
      <c r="C10" s="27" t="s">
        <v>33</v>
      </c>
      <c r="D10" s="31">
        <v>18</v>
      </c>
      <c r="E10" s="29">
        <v>179.55719999999999</v>
      </c>
      <c r="F10" s="30">
        <v>1.3983293348635699</v>
      </c>
      <c r="G10" s="29">
        <v>3.6004999999999998</v>
      </c>
    </row>
    <row r="11" spans="1:9" x14ac:dyDescent="0.2">
      <c r="A11" s="27" t="s">
        <v>1365</v>
      </c>
      <c r="B11" s="27" t="s">
        <v>1366</v>
      </c>
      <c r="C11" s="27" t="s">
        <v>33</v>
      </c>
      <c r="D11" s="31">
        <v>6</v>
      </c>
      <c r="E11" s="29">
        <v>76.306079999999994</v>
      </c>
      <c r="F11" s="30">
        <v>0.59424534405997798</v>
      </c>
      <c r="G11" s="29">
        <v>3.5990000000000002</v>
      </c>
    </row>
    <row r="12" spans="1:9" x14ac:dyDescent="0.2">
      <c r="A12" s="27" t="s">
        <v>916</v>
      </c>
      <c r="B12" s="27" t="s">
        <v>917</v>
      </c>
      <c r="C12" s="27" t="s">
        <v>885</v>
      </c>
      <c r="D12" s="31">
        <v>3</v>
      </c>
      <c r="E12" s="29">
        <v>38.394179999999999</v>
      </c>
      <c r="F12" s="30">
        <v>0.29900058689950698</v>
      </c>
      <c r="G12" s="29">
        <v>4.54</v>
      </c>
    </row>
    <row r="13" spans="1:9" x14ac:dyDescent="0.2">
      <c r="A13" s="26" t="s">
        <v>34</v>
      </c>
      <c r="B13" s="26"/>
      <c r="C13" s="26"/>
      <c r="D13" s="32"/>
      <c r="E13" s="33">
        <f>SUM(E6:E12)</f>
        <v>2563.4805199999996</v>
      </c>
      <c r="F13" s="34">
        <f>SUM(F6:F12)</f>
        <v>19.963499154961852</v>
      </c>
      <c r="G13" s="33"/>
      <c r="H13" s="18"/>
      <c r="I13" s="18"/>
    </row>
    <row r="14" spans="1:9" x14ac:dyDescent="0.2">
      <c r="A14" s="27"/>
      <c r="B14" s="27"/>
      <c r="C14" s="27"/>
      <c r="D14" s="28"/>
      <c r="E14" s="29"/>
      <c r="F14" s="30"/>
      <c r="G14" s="29"/>
    </row>
    <row r="15" spans="1:9" x14ac:dyDescent="0.2">
      <c r="A15" s="26" t="s">
        <v>942</v>
      </c>
      <c r="B15" s="27"/>
      <c r="C15" s="27"/>
      <c r="D15" s="28"/>
      <c r="E15" s="29"/>
      <c r="F15" s="30"/>
      <c r="G15" s="29"/>
    </row>
    <row r="16" spans="1:9" x14ac:dyDescent="0.2">
      <c r="A16" s="27" t="s">
        <v>943</v>
      </c>
      <c r="B16" s="27" t="s">
        <v>944</v>
      </c>
      <c r="C16" s="27" t="s">
        <v>33</v>
      </c>
      <c r="D16" s="31">
        <v>56</v>
      </c>
      <c r="E16" s="29">
        <v>561.45208000000002</v>
      </c>
      <c r="F16" s="30">
        <v>4.3723944992691299</v>
      </c>
      <c r="G16" s="29">
        <v>3.4466000000000001</v>
      </c>
    </row>
    <row r="17" spans="1:9" x14ac:dyDescent="0.2">
      <c r="A17" s="26" t="s">
        <v>34</v>
      </c>
      <c r="B17" s="26"/>
      <c r="C17" s="26"/>
      <c r="D17" s="32"/>
      <c r="E17" s="33">
        <f>SUM(E15:E16)</f>
        <v>561.45208000000002</v>
      </c>
      <c r="F17" s="34">
        <f>SUM(F15:F16)</f>
        <v>4.3723944992691299</v>
      </c>
      <c r="G17" s="33"/>
      <c r="H17" s="18"/>
      <c r="I17" s="18"/>
    </row>
    <row r="18" spans="1:9" x14ac:dyDescent="0.2">
      <c r="A18" s="27"/>
      <c r="B18" s="27"/>
      <c r="C18" s="27"/>
      <c r="D18" s="28"/>
      <c r="E18" s="29"/>
      <c r="F18" s="30"/>
      <c r="G18" s="29"/>
    </row>
    <row r="19" spans="1:9" x14ac:dyDescent="0.2">
      <c r="A19" s="26" t="s">
        <v>48</v>
      </c>
      <c r="B19" s="27"/>
      <c r="C19" s="27"/>
      <c r="D19" s="28"/>
      <c r="E19" s="29"/>
      <c r="F19" s="30"/>
      <c r="G19" s="29"/>
    </row>
    <row r="20" spans="1:9" x14ac:dyDescent="0.2">
      <c r="A20" s="26" t="s">
        <v>49</v>
      </c>
      <c r="B20" s="27"/>
      <c r="C20" s="27"/>
      <c r="D20" s="28"/>
      <c r="E20" s="29"/>
      <c r="F20" s="30"/>
      <c r="G20" s="29"/>
    </row>
    <row r="21" spans="1:9" x14ac:dyDescent="0.2">
      <c r="A21" s="27" t="s">
        <v>1383</v>
      </c>
      <c r="B21" s="27" t="s">
        <v>1384</v>
      </c>
      <c r="C21" s="27" t="s">
        <v>50</v>
      </c>
      <c r="D21" s="31">
        <v>850</v>
      </c>
      <c r="E21" s="29">
        <v>848.40625</v>
      </c>
      <c r="F21" s="30">
        <v>6.6070942699963897</v>
      </c>
      <c r="G21" s="29">
        <v>3.2650999999999999</v>
      </c>
    </row>
    <row r="22" spans="1:9" x14ac:dyDescent="0.2">
      <c r="A22" s="26" t="s">
        <v>34</v>
      </c>
      <c r="B22" s="26"/>
      <c r="C22" s="26"/>
      <c r="D22" s="32"/>
      <c r="E22" s="33">
        <f>SUM(E20:E21)</f>
        <v>848.40625</v>
      </c>
      <c r="F22" s="34">
        <f>SUM(F20:F21)</f>
        <v>6.6070942699963897</v>
      </c>
      <c r="G22" s="33"/>
      <c r="H22" s="18"/>
      <c r="I22" s="18"/>
    </row>
    <row r="23" spans="1:9" x14ac:dyDescent="0.2">
      <c r="A23" s="27"/>
      <c r="B23" s="27"/>
      <c r="C23" s="27"/>
      <c r="D23" s="28"/>
      <c r="E23" s="29"/>
      <c r="F23" s="30"/>
      <c r="G23" s="29"/>
    </row>
    <row r="24" spans="1:9" x14ac:dyDescent="0.2">
      <c r="A24" s="26" t="s">
        <v>52</v>
      </c>
      <c r="B24" s="27"/>
      <c r="C24" s="27"/>
      <c r="D24" s="28"/>
      <c r="E24" s="29"/>
      <c r="F24" s="30"/>
      <c r="G24" s="29"/>
    </row>
    <row r="25" spans="1:9" x14ac:dyDescent="0.2">
      <c r="A25" s="27" t="s">
        <v>1391</v>
      </c>
      <c r="B25" s="27" t="s">
        <v>1392</v>
      </c>
      <c r="C25" s="27" t="s">
        <v>50</v>
      </c>
      <c r="D25" s="31">
        <v>255</v>
      </c>
      <c r="E25" s="29">
        <v>1273.7301</v>
      </c>
      <c r="F25" s="30">
        <v>9.9193692234491806</v>
      </c>
      <c r="G25" s="29">
        <v>3.3098999999999998</v>
      </c>
    </row>
    <row r="26" spans="1:9" x14ac:dyDescent="0.2">
      <c r="A26" s="27" t="s">
        <v>1385</v>
      </c>
      <c r="B26" s="27" t="s">
        <v>1386</v>
      </c>
      <c r="C26" s="27" t="s">
        <v>50</v>
      </c>
      <c r="D26" s="31">
        <v>242</v>
      </c>
      <c r="E26" s="29">
        <v>1208.8166200000001</v>
      </c>
      <c r="F26" s="30">
        <v>9.4138455055916896</v>
      </c>
      <c r="G26" s="29">
        <v>3.2484000000000002</v>
      </c>
    </row>
    <row r="27" spans="1:9" x14ac:dyDescent="0.2">
      <c r="A27" s="27" t="s">
        <v>758</v>
      </c>
      <c r="B27" s="27" t="s">
        <v>759</v>
      </c>
      <c r="C27" s="27" t="s">
        <v>50</v>
      </c>
      <c r="D27" s="31">
        <v>242</v>
      </c>
      <c r="E27" s="29">
        <v>1208.3665000000001</v>
      </c>
      <c r="F27" s="30">
        <v>9.4103401268031597</v>
      </c>
      <c r="G27" s="29">
        <v>3.2907000000000002</v>
      </c>
    </row>
    <row r="28" spans="1:9" x14ac:dyDescent="0.2">
      <c r="A28" s="27" t="s">
        <v>1387</v>
      </c>
      <c r="B28" s="27" t="s">
        <v>1388</v>
      </c>
      <c r="C28" s="27" t="s">
        <v>55</v>
      </c>
      <c r="D28" s="31">
        <v>138</v>
      </c>
      <c r="E28" s="29">
        <v>689.75297999999998</v>
      </c>
      <c r="F28" s="30">
        <v>5.3715575078223798</v>
      </c>
      <c r="G28" s="29">
        <v>3.2725</v>
      </c>
    </row>
    <row r="29" spans="1:9" x14ac:dyDescent="0.2">
      <c r="A29" s="27" t="s">
        <v>1389</v>
      </c>
      <c r="B29" s="27" t="s">
        <v>1390</v>
      </c>
      <c r="C29" s="27" t="s">
        <v>55</v>
      </c>
      <c r="D29" s="31">
        <v>111</v>
      </c>
      <c r="E29" s="29">
        <v>554.30403000000001</v>
      </c>
      <c r="F29" s="30">
        <v>4.3167279595699704</v>
      </c>
      <c r="G29" s="29">
        <v>3.2747999999999999</v>
      </c>
    </row>
    <row r="30" spans="1:9" x14ac:dyDescent="0.2">
      <c r="A30" s="26" t="s">
        <v>34</v>
      </c>
      <c r="B30" s="26"/>
      <c r="C30" s="26"/>
      <c r="D30" s="32"/>
      <c r="E30" s="33">
        <f>SUM(E24:E29)</f>
        <v>4934.9702300000008</v>
      </c>
      <c r="F30" s="34">
        <f>SUM(F24:F29)</f>
        <v>38.431840323236372</v>
      </c>
      <c r="G30" s="33"/>
      <c r="H30" s="18"/>
      <c r="I30" s="18"/>
    </row>
    <row r="31" spans="1:9" x14ac:dyDescent="0.2">
      <c r="A31" s="27"/>
      <c r="B31" s="27"/>
      <c r="C31" s="27"/>
      <c r="D31" s="28"/>
      <c r="E31" s="29"/>
      <c r="F31" s="30"/>
      <c r="G31" s="29"/>
    </row>
    <row r="32" spans="1:9" x14ac:dyDescent="0.2">
      <c r="A32" s="26" t="s">
        <v>58</v>
      </c>
      <c r="B32" s="27"/>
      <c r="C32" s="27"/>
      <c r="D32" s="28"/>
      <c r="E32" s="29"/>
      <c r="F32" s="30"/>
      <c r="G32" s="29"/>
    </row>
    <row r="33" spans="1:9" x14ac:dyDescent="0.2">
      <c r="A33" s="27" t="s">
        <v>1405</v>
      </c>
      <c r="B33" s="27" t="s">
        <v>1406</v>
      </c>
      <c r="C33" s="27" t="s">
        <v>62</v>
      </c>
      <c r="D33" s="31">
        <v>2700000</v>
      </c>
      <c r="E33" s="29">
        <v>2696.8652999999999</v>
      </c>
      <c r="F33" s="30">
        <v>21.002253661594398</v>
      </c>
      <c r="G33" s="29">
        <v>3.0304000000000002</v>
      </c>
    </row>
    <row r="34" spans="1:9" x14ac:dyDescent="0.2">
      <c r="A34" s="26" t="s">
        <v>34</v>
      </c>
      <c r="B34" s="26"/>
      <c r="C34" s="26"/>
      <c r="D34" s="32"/>
      <c r="E34" s="33">
        <f>SUM(E32:E33)</f>
        <v>2696.8652999999999</v>
      </c>
      <c r="F34" s="34">
        <f>SUM(F32:F33)</f>
        <v>21.002253661594398</v>
      </c>
      <c r="G34" s="33"/>
      <c r="H34" s="18"/>
      <c r="I34" s="18"/>
    </row>
    <row r="35" spans="1:9" x14ac:dyDescent="0.2">
      <c r="A35" s="27"/>
      <c r="B35" s="27"/>
      <c r="C35" s="27"/>
      <c r="D35" s="28"/>
      <c r="E35" s="29"/>
      <c r="F35" s="30"/>
      <c r="G35" s="29"/>
    </row>
    <row r="36" spans="1:9" x14ac:dyDescent="0.2">
      <c r="A36" s="26" t="s">
        <v>59</v>
      </c>
      <c r="B36" s="27"/>
      <c r="C36" s="27"/>
      <c r="D36" s="28"/>
      <c r="E36" s="29"/>
      <c r="F36" s="30"/>
      <c r="G36" s="29"/>
    </row>
    <row r="37" spans="1:9" x14ac:dyDescent="0.2">
      <c r="A37" s="27" t="s">
        <v>1398</v>
      </c>
      <c r="B37" s="27" t="s">
        <v>1399</v>
      </c>
      <c r="C37" s="27" t="s">
        <v>62</v>
      </c>
      <c r="D37" s="31">
        <v>295000</v>
      </c>
      <c r="E37" s="29">
        <v>295.38114000000002</v>
      </c>
      <c r="F37" s="30">
        <v>2.3003260967950201</v>
      </c>
      <c r="G37" s="29">
        <v>3.0752999999999999</v>
      </c>
    </row>
    <row r="38" spans="1:9" x14ac:dyDescent="0.2">
      <c r="A38" s="26" t="s">
        <v>34</v>
      </c>
      <c r="B38" s="26"/>
      <c r="C38" s="26"/>
      <c r="D38" s="32"/>
      <c r="E38" s="33">
        <f>SUM(E37:E37)</f>
        <v>295.38114000000002</v>
      </c>
      <c r="F38" s="34">
        <f>SUM(F37:F37)</f>
        <v>2.3003260967950201</v>
      </c>
      <c r="G38" s="33"/>
      <c r="H38" s="18"/>
      <c r="I38" s="18"/>
    </row>
    <row r="39" spans="1:9" x14ac:dyDescent="0.2">
      <c r="A39" s="27"/>
      <c r="B39" s="27"/>
      <c r="C39" s="27"/>
      <c r="D39" s="28"/>
      <c r="E39" s="29"/>
      <c r="F39" s="30"/>
      <c r="G39" s="29"/>
    </row>
    <row r="40" spans="1:9" x14ac:dyDescent="0.2">
      <c r="A40" s="26" t="s">
        <v>36</v>
      </c>
      <c r="B40" s="26"/>
      <c r="C40" s="26"/>
      <c r="D40" s="32"/>
      <c r="E40" s="33">
        <f>E13+E17+E22+E30+E34+E38</f>
        <v>11900.55552</v>
      </c>
      <c r="F40" s="34">
        <f>F13+F17+F22+F30+F34+F38</f>
        <v>92.677408005853152</v>
      </c>
      <c r="G40" s="33"/>
      <c r="H40" s="18"/>
      <c r="I40" s="18"/>
    </row>
    <row r="41" spans="1:9" x14ac:dyDescent="0.2">
      <c r="A41" s="26"/>
      <c r="B41" s="26"/>
      <c r="C41" s="26"/>
      <c r="D41" s="32"/>
      <c r="E41" s="33"/>
      <c r="F41" s="34"/>
      <c r="G41" s="33"/>
      <c r="H41" s="18"/>
      <c r="I41" s="18"/>
    </row>
    <row r="42" spans="1:9" x14ac:dyDescent="0.2">
      <c r="A42" s="26" t="s">
        <v>38</v>
      </c>
      <c r="B42" s="26"/>
      <c r="C42" s="26"/>
      <c r="D42" s="32"/>
      <c r="E42" s="33">
        <f>E44-(E13+E17+E22+E30+E34+E38)</f>
        <v>940.2821512999999</v>
      </c>
      <c r="F42" s="34">
        <f>F44-(F13+F17+F22+F30+F34+F38)</f>
        <v>7.3225919941468476</v>
      </c>
      <c r="G42" s="33"/>
      <c r="H42" s="18"/>
      <c r="I42" s="18"/>
    </row>
    <row r="43" spans="1:9" x14ac:dyDescent="0.2">
      <c r="A43" s="26"/>
      <c r="B43" s="26"/>
      <c r="C43" s="26"/>
      <c r="D43" s="32"/>
      <c r="E43" s="33"/>
      <c r="F43" s="34"/>
      <c r="G43" s="33"/>
      <c r="H43" s="18"/>
      <c r="I43" s="18"/>
    </row>
    <row r="44" spans="1:9" x14ac:dyDescent="0.2">
      <c r="A44" s="35" t="s">
        <v>37</v>
      </c>
      <c r="B44" s="35"/>
      <c r="C44" s="35"/>
      <c r="D44" s="36"/>
      <c r="E44" s="37">
        <v>12840.8376713</v>
      </c>
      <c r="F44" s="38">
        <v>100</v>
      </c>
      <c r="G44" s="37"/>
      <c r="H44" s="18"/>
      <c r="I44" s="18"/>
    </row>
    <row r="46" spans="1:9" x14ac:dyDescent="0.2">
      <c r="A46" s="18" t="s">
        <v>63</v>
      </c>
    </row>
    <row r="47" spans="1:9" x14ac:dyDescent="0.2">
      <c r="A47" s="18" t="s">
        <v>39</v>
      </c>
    </row>
    <row r="49" spans="1:5" x14ac:dyDescent="0.2">
      <c r="A49" s="18" t="s">
        <v>40</v>
      </c>
    </row>
    <row r="50" spans="1:5" x14ac:dyDescent="0.2">
      <c r="A50" s="18" t="s">
        <v>41</v>
      </c>
    </row>
    <row r="51" spans="1:5" x14ac:dyDescent="0.2">
      <c r="A51" s="18" t="s">
        <v>42</v>
      </c>
      <c r="B51" s="18"/>
      <c r="C51" s="39" t="s">
        <v>44</v>
      </c>
      <c r="D51" s="19" t="s">
        <v>43</v>
      </c>
    </row>
    <row r="52" spans="1:5" x14ac:dyDescent="0.2">
      <c r="A52" s="9" t="s">
        <v>65</v>
      </c>
      <c r="C52" s="40">
        <v>12.3437</v>
      </c>
      <c r="D52" s="40">
        <v>12.5715</v>
      </c>
    </row>
    <row r="53" spans="1:5" x14ac:dyDescent="0.2">
      <c r="A53" s="9" t="s">
        <v>1271</v>
      </c>
      <c r="C53" s="40">
        <v>10.775600000000001</v>
      </c>
      <c r="D53" s="40">
        <v>10.2232</v>
      </c>
    </row>
    <row r="54" spans="1:5" x14ac:dyDescent="0.2">
      <c r="A54" s="9" t="s">
        <v>948</v>
      </c>
      <c r="C54" s="40">
        <v>10.2049</v>
      </c>
      <c r="D54" s="40">
        <v>10.066599999999999</v>
      </c>
    </row>
    <row r="55" spans="1:5" x14ac:dyDescent="0.2">
      <c r="A55" s="9" t="s">
        <v>66</v>
      </c>
      <c r="C55" s="40">
        <v>12.4055</v>
      </c>
      <c r="D55" s="40">
        <v>12.634499999999999</v>
      </c>
    </row>
    <row r="56" spans="1:5" x14ac:dyDescent="0.2">
      <c r="C56" s="40"/>
      <c r="D56" s="40"/>
    </row>
    <row r="57" spans="1:5" x14ac:dyDescent="0.2">
      <c r="A57" s="18" t="s">
        <v>1560</v>
      </c>
    </row>
    <row r="58" spans="1:5" x14ac:dyDescent="0.2">
      <c r="A58" s="94" t="s">
        <v>64</v>
      </c>
      <c r="B58" s="95"/>
      <c r="C58" s="44" t="s">
        <v>1544</v>
      </c>
    </row>
    <row r="59" spans="1:5" x14ac:dyDescent="0.2">
      <c r="A59" s="88" t="s">
        <v>1271</v>
      </c>
      <c r="B59" s="89"/>
      <c r="C59" s="45">
        <v>0.745</v>
      </c>
    </row>
    <row r="60" spans="1:5" x14ac:dyDescent="0.2">
      <c r="A60" s="88" t="s">
        <v>948</v>
      </c>
      <c r="B60" s="89"/>
      <c r="C60" s="45">
        <v>0.32500000000000001</v>
      </c>
    </row>
    <row r="61" spans="1:5" x14ac:dyDescent="0.2">
      <c r="A61" s="9" t="s">
        <v>1545</v>
      </c>
    </row>
    <row r="62" spans="1:5" x14ac:dyDescent="0.2">
      <c r="A62" s="9" t="s">
        <v>782</v>
      </c>
    </row>
    <row r="64" spans="1:5" x14ac:dyDescent="0.2">
      <c r="A64" s="18" t="s">
        <v>783</v>
      </c>
      <c r="D64" s="42">
        <v>3.9008780328767097E-2</v>
      </c>
      <c r="E64" s="13" t="s">
        <v>46</v>
      </c>
    </row>
    <row r="66" spans="1:7" x14ac:dyDescent="0.2">
      <c r="A66" s="18" t="s">
        <v>717</v>
      </c>
      <c r="D66" s="41" t="s">
        <v>45</v>
      </c>
    </row>
    <row r="68" spans="1:7" ht="14.4" x14ac:dyDescent="0.2">
      <c r="A68" s="90" t="s">
        <v>784</v>
      </c>
      <c r="B68" s="91"/>
      <c r="C68" s="91"/>
      <c r="D68" s="91"/>
      <c r="E68" s="91"/>
      <c r="F68" s="91"/>
      <c r="G68" s="91"/>
    </row>
    <row r="69" spans="1:7" x14ac:dyDescent="0.2">
      <c r="A69" s="50" t="s">
        <v>47</v>
      </c>
    </row>
    <row r="70" spans="1:7" x14ac:dyDescent="0.2">
      <c r="A70" s="50"/>
    </row>
  </sheetData>
  <mergeCells count="5">
    <mergeCell ref="A1:G1"/>
    <mergeCell ref="A58:B58"/>
    <mergeCell ref="A59:B59"/>
    <mergeCell ref="A60:B60"/>
    <mergeCell ref="A68:G68"/>
  </mergeCells>
  <conditionalFormatting sqref="F2:F3 F70:F65536 F5:F67">
    <cfRule type="cellIs" dxfId="119" priority="3" stopIfTrue="1" operator="between">
      <formula>0.009</formula>
      <formula>-0.009</formula>
    </cfRule>
  </conditionalFormatting>
  <conditionalFormatting sqref="F69">
    <cfRule type="cellIs" dxfId="118" priority="1" stopIfTrue="1" operator="between">
      <formula>0.009</formula>
      <formula>-0.009</formula>
    </cfRule>
  </conditionalFormatting>
  <hyperlinks>
    <hyperlink ref="A69" r:id="rId1" xr:uid="{00000000-0004-0000-1B00-000000000000}"/>
  </hyperlinks>
  <pageMargins left="0.7" right="0.7" top="0.75" bottom="0.75" header="0.3" footer="0.3"/>
  <pageSetup paperSize="9" scale="49" orientation="portrait" r:id="rId2"/>
  <headerFooter>
    <oddFooter>&amp;R&amp;1#&amp;"Calibri"&amp;10&amp;KFF0000|PUBLIC|</oddFooter>
    <evenFooter>&amp;LPUBLIC</evenFooter>
    <firstFooter>&amp;LPUBLIC</firstFooter>
  </headerFooter>
  <colBreaks count="1" manualBreakCount="1">
    <brk id="7" max="1048575" man="1"/>
  </col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I54"/>
  <sheetViews>
    <sheetView view="pageBreakPreview" zoomScaleNormal="100" zoomScaleSheetLayoutView="100" workbookViewId="0">
      <selection sqref="A1:G1"/>
    </sheetView>
  </sheetViews>
  <sheetFormatPr defaultColWidth="9.21875" defaultRowHeight="10.199999999999999" x14ac:dyDescent="0.2"/>
  <cols>
    <col min="1" max="1" width="38.77734375" style="9" bestFit="1" customWidth="1"/>
    <col min="2" max="2" width="50.77734375" style="9" customWidth="1"/>
    <col min="3" max="3" width="22.5546875" style="9" customWidth="1"/>
    <col min="4" max="4" width="15.44140625" style="10" bestFit="1" customWidth="1"/>
    <col min="5" max="5" width="23" style="13" bestFit="1" customWidth="1"/>
    <col min="6" max="6" width="13.5546875" style="14" bestFit="1" customWidth="1"/>
    <col min="7" max="7" width="14.21875" style="13" customWidth="1"/>
    <col min="8" max="16384" width="9.21875" style="9"/>
  </cols>
  <sheetData>
    <row r="1" spans="1:9" s="1" customFormat="1" ht="13.8" x14ac:dyDescent="0.2">
      <c r="A1" s="92" t="s">
        <v>1408</v>
      </c>
      <c r="B1" s="93"/>
      <c r="C1" s="93"/>
      <c r="D1" s="93"/>
      <c r="E1" s="93"/>
      <c r="F1" s="93"/>
      <c r="G1" s="93"/>
    </row>
    <row r="2" spans="1:9" s="1" customFormat="1" ht="11.4" x14ac:dyDescent="0.2">
      <c r="D2" s="6"/>
      <c r="E2" s="7"/>
      <c r="F2" s="12"/>
      <c r="G2" s="13"/>
    </row>
    <row r="3" spans="1:9" s="1" customFormat="1" ht="12" x14ac:dyDescent="0.2">
      <c r="A3" s="11" t="s">
        <v>7</v>
      </c>
      <c r="B3" s="2"/>
      <c r="C3" s="3"/>
      <c r="D3" s="4"/>
      <c r="E3" s="5"/>
      <c r="F3" s="12"/>
      <c r="G3" s="13"/>
    </row>
    <row r="4" spans="1:9" s="1" customFormat="1" ht="17.55" customHeight="1" x14ac:dyDescent="0.2">
      <c r="A4" s="8" t="s">
        <v>2</v>
      </c>
      <c r="B4" s="8" t="s">
        <v>0</v>
      </c>
      <c r="C4" s="17" t="s">
        <v>727</v>
      </c>
      <c r="D4" s="16" t="s">
        <v>1</v>
      </c>
      <c r="E4" s="15" t="s">
        <v>3</v>
      </c>
      <c r="F4" s="15" t="s">
        <v>4</v>
      </c>
      <c r="G4" s="15" t="s">
        <v>6</v>
      </c>
    </row>
    <row r="5" spans="1:9" x14ac:dyDescent="0.2">
      <c r="A5" s="21" t="s">
        <v>26</v>
      </c>
      <c r="B5" s="22"/>
      <c r="C5" s="22"/>
      <c r="D5" s="23"/>
      <c r="E5" s="24"/>
      <c r="F5" s="25"/>
      <c r="G5" s="24"/>
    </row>
    <row r="6" spans="1:9" x14ac:dyDescent="0.2">
      <c r="A6" s="26" t="s">
        <v>27</v>
      </c>
      <c r="B6" s="27"/>
      <c r="C6" s="27"/>
      <c r="D6" s="28"/>
      <c r="E6" s="29"/>
      <c r="F6" s="30"/>
      <c r="G6" s="29"/>
    </row>
    <row r="7" spans="1:9" x14ac:dyDescent="0.2">
      <c r="A7" s="27" t="s">
        <v>1394</v>
      </c>
      <c r="B7" s="27" t="s">
        <v>1395</v>
      </c>
      <c r="C7" s="27" t="s">
        <v>33</v>
      </c>
      <c r="D7" s="31">
        <v>38</v>
      </c>
      <c r="E7" s="29">
        <v>380.18202000000002</v>
      </c>
      <c r="F7" s="30">
        <v>1.94085231881635</v>
      </c>
      <c r="G7" s="29">
        <v>3.3237000000000001</v>
      </c>
    </row>
    <row r="8" spans="1:9" x14ac:dyDescent="0.2">
      <c r="A8" s="27" t="s">
        <v>1374</v>
      </c>
      <c r="B8" s="27" t="s">
        <v>1375</v>
      </c>
      <c r="C8" s="27" t="s">
        <v>830</v>
      </c>
      <c r="D8" s="31">
        <v>1</v>
      </c>
      <c r="E8" s="29">
        <v>10.00474</v>
      </c>
      <c r="F8" s="30">
        <v>5.10748057684439E-2</v>
      </c>
      <c r="G8" s="29">
        <v>3.3542000000000001</v>
      </c>
    </row>
    <row r="9" spans="1:9" x14ac:dyDescent="0.2">
      <c r="A9" s="26" t="s">
        <v>34</v>
      </c>
      <c r="B9" s="26"/>
      <c r="C9" s="26"/>
      <c r="D9" s="32"/>
      <c r="E9" s="33">
        <f>SUM(E6:E8)</f>
        <v>390.18676000000005</v>
      </c>
      <c r="F9" s="34">
        <f>SUM(F6:F8)</f>
        <v>1.9919271245847938</v>
      </c>
      <c r="G9" s="33"/>
      <c r="H9" s="18"/>
      <c r="I9" s="18"/>
    </row>
    <row r="10" spans="1:9" x14ac:dyDescent="0.2">
      <c r="A10" s="27"/>
      <c r="B10" s="27"/>
      <c r="C10" s="27"/>
      <c r="D10" s="28"/>
      <c r="E10" s="29"/>
      <c r="F10" s="30"/>
      <c r="G10" s="29"/>
    </row>
    <row r="11" spans="1:9" x14ac:dyDescent="0.2">
      <c r="A11" s="26" t="s">
        <v>48</v>
      </c>
      <c r="B11" s="27"/>
      <c r="C11" s="27"/>
      <c r="D11" s="28"/>
      <c r="E11" s="29"/>
      <c r="F11" s="30"/>
      <c r="G11" s="29"/>
    </row>
    <row r="12" spans="1:9" x14ac:dyDescent="0.2">
      <c r="A12" s="26" t="s">
        <v>52</v>
      </c>
      <c r="B12" s="27"/>
      <c r="C12" s="27"/>
      <c r="D12" s="28"/>
      <c r="E12" s="29"/>
      <c r="F12" s="30"/>
      <c r="G12" s="29"/>
    </row>
    <row r="13" spans="1:9" x14ac:dyDescent="0.2">
      <c r="A13" s="27" t="s">
        <v>1387</v>
      </c>
      <c r="B13" s="27" t="s">
        <v>1388</v>
      </c>
      <c r="C13" s="27" t="s">
        <v>55</v>
      </c>
      <c r="D13" s="31">
        <v>374</v>
      </c>
      <c r="E13" s="29">
        <v>1869.3305399999999</v>
      </c>
      <c r="F13" s="30">
        <v>9.5430460209381192</v>
      </c>
      <c r="G13" s="29">
        <v>3.2725</v>
      </c>
    </row>
    <row r="14" spans="1:9" x14ac:dyDescent="0.2">
      <c r="A14" s="26" t="s">
        <v>34</v>
      </c>
      <c r="B14" s="26"/>
      <c r="C14" s="26"/>
      <c r="D14" s="32"/>
      <c r="E14" s="33">
        <f>SUM(E12:E13)</f>
        <v>1869.3305399999999</v>
      </c>
      <c r="F14" s="34">
        <f>SUM(F12:F13)</f>
        <v>9.5430460209381192</v>
      </c>
      <c r="G14" s="33"/>
      <c r="H14" s="18"/>
      <c r="I14" s="18"/>
    </row>
    <row r="15" spans="1:9" x14ac:dyDescent="0.2">
      <c r="A15" s="27"/>
      <c r="B15" s="27"/>
      <c r="C15" s="27"/>
      <c r="D15" s="28"/>
      <c r="E15" s="29"/>
      <c r="F15" s="30"/>
      <c r="G15" s="29"/>
    </row>
    <row r="16" spans="1:9" x14ac:dyDescent="0.2">
      <c r="A16" s="26" t="s">
        <v>58</v>
      </c>
      <c r="B16" s="27"/>
      <c r="C16" s="27"/>
      <c r="D16" s="28"/>
      <c r="E16" s="29"/>
      <c r="F16" s="30"/>
      <c r="G16" s="29"/>
    </row>
    <row r="17" spans="1:9" x14ac:dyDescent="0.2">
      <c r="A17" s="27" t="s">
        <v>1409</v>
      </c>
      <c r="B17" s="27" t="s">
        <v>1410</v>
      </c>
      <c r="C17" s="27" t="s">
        <v>62</v>
      </c>
      <c r="D17" s="31">
        <v>2500000</v>
      </c>
      <c r="E17" s="29">
        <v>2500</v>
      </c>
      <c r="F17" s="30">
        <v>12.762651945089001</v>
      </c>
      <c r="G17" s="29">
        <v>3.2250000000000001</v>
      </c>
    </row>
    <row r="18" spans="1:9" x14ac:dyDescent="0.2">
      <c r="A18" s="26" t="s">
        <v>34</v>
      </c>
      <c r="B18" s="26"/>
      <c r="C18" s="26"/>
      <c r="D18" s="32"/>
      <c r="E18" s="33">
        <f>SUM(E16:E17)</f>
        <v>2500</v>
      </c>
      <c r="F18" s="34">
        <f>SUM(F16:F17)</f>
        <v>12.762651945089001</v>
      </c>
      <c r="G18" s="33"/>
      <c r="H18" s="18"/>
      <c r="I18" s="18"/>
    </row>
    <row r="19" spans="1:9" x14ac:dyDescent="0.2">
      <c r="A19" s="27"/>
      <c r="B19" s="27"/>
      <c r="C19" s="27"/>
      <c r="D19" s="28"/>
      <c r="E19" s="29"/>
      <c r="F19" s="30"/>
      <c r="G19" s="29"/>
    </row>
    <row r="20" spans="1:9" x14ac:dyDescent="0.2">
      <c r="A20" s="26" t="s">
        <v>36</v>
      </c>
      <c r="B20" s="26"/>
      <c r="C20" s="26"/>
      <c r="D20" s="32"/>
      <c r="E20" s="33">
        <f>E9+E14+E18</f>
        <v>4759.5172999999995</v>
      </c>
      <c r="F20" s="34">
        <f>F9+F14+F18</f>
        <v>24.297625090611916</v>
      </c>
      <c r="G20" s="33"/>
      <c r="H20" s="18"/>
      <c r="I20" s="18"/>
    </row>
    <row r="21" spans="1:9" x14ac:dyDescent="0.2">
      <c r="A21" s="26"/>
      <c r="B21" s="26"/>
      <c r="C21" s="26"/>
      <c r="D21" s="32"/>
      <c r="E21" s="33"/>
      <c r="F21" s="34"/>
      <c r="G21" s="33"/>
      <c r="H21" s="18"/>
      <c r="I21" s="18"/>
    </row>
    <row r="22" spans="1:9" x14ac:dyDescent="0.2">
      <c r="A22" s="26" t="s">
        <v>38</v>
      </c>
      <c r="B22" s="26"/>
      <c r="C22" s="26"/>
      <c r="D22" s="32"/>
      <c r="E22" s="33">
        <f>E24-(E9+E14+E18)</f>
        <v>14828.888078100001</v>
      </c>
      <c r="F22" s="34">
        <f>F24-(F9+F14+F18)</f>
        <v>75.702374909388084</v>
      </c>
      <c r="G22" s="33"/>
      <c r="H22" s="18"/>
      <c r="I22" s="18"/>
    </row>
    <row r="23" spans="1:9" x14ac:dyDescent="0.2">
      <c r="A23" s="26"/>
      <c r="B23" s="26"/>
      <c r="C23" s="26"/>
      <c r="D23" s="32"/>
      <c r="E23" s="33"/>
      <c r="F23" s="34"/>
      <c r="G23" s="33"/>
      <c r="H23" s="18"/>
      <c r="I23" s="18"/>
    </row>
    <row r="24" spans="1:9" x14ac:dyDescent="0.2">
      <c r="A24" s="35" t="s">
        <v>37</v>
      </c>
      <c r="B24" s="35"/>
      <c r="C24" s="35"/>
      <c r="D24" s="36"/>
      <c r="E24" s="37">
        <v>19588.4053781</v>
      </c>
      <c r="F24" s="38">
        <v>100</v>
      </c>
      <c r="G24" s="37"/>
      <c r="H24" s="18"/>
      <c r="I24" s="18"/>
    </row>
    <row r="26" spans="1:9" x14ac:dyDescent="0.2">
      <c r="A26" s="18" t="s">
        <v>63</v>
      </c>
    </row>
    <row r="27" spans="1:9" x14ac:dyDescent="0.2">
      <c r="A27" s="18" t="s">
        <v>39</v>
      </c>
    </row>
    <row r="29" spans="1:9" x14ac:dyDescent="0.2">
      <c r="A29" s="18" t="s">
        <v>40</v>
      </c>
    </row>
    <row r="30" spans="1:9" x14ac:dyDescent="0.2">
      <c r="A30" s="18" t="s">
        <v>41</v>
      </c>
    </row>
    <row r="31" spans="1:9" x14ac:dyDescent="0.2">
      <c r="A31" s="18" t="s">
        <v>42</v>
      </c>
      <c r="B31" s="18"/>
      <c r="C31" s="39" t="s">
        <v>44</v>
      </c>
      <c r="D31" s="19" t="s">
        <v>43</v>
      </c>
    </row>
    <row r="32" spans="1:9" x14ac:dyDescent="0.2">
      <c r="A32" s="9" t="s">
        <v>65</v>
      </c>
      <c r="C32" s="40">
        <v>12.3209</v>
      </c>
      <c r="D32" s="40">
        <v>12.553900000000001</v>
      </c>
    </row>
    <row r="33" spans="1:5" x14ac:dyDescent="0.2">
      <c r="A33" s="9" t="s">
        <v>1271</v>
      </c>
      <c r="C33" s="40">
        <v>10.812200000000001</v>
      </c>
      <c r="D33" s="40">
        <v>10.268000000000001</v>
      </c>
    </row>
    <row r="34" spans="1:5" x14ac:dyDescent="0.2">
      <c r="A34" s="9" t="s">
        <v>948</v>
      </c>
      <c r="C34" s="40">
        <v>10.2361</v>
      </c>
      <c r="D34" s="40">
        <v>10.077199999999999</v>
      </c>
    </row>
    <row r="35" spans="1:5" x14ac:dyDescent="0.2">
      <c r="A35" s="9" t="s">
        <v>66</v>
      </c>
      <c r="C35" s="40">
        <v>12.3827</v>
      </c>
      <c r="D35" s="40">
        <v>12.616899999999999</v>
      </c>
    </row>
    <row r="36" spans="1:5" x14ac:dyDescent="0.2">
      <c r="A36" s="9" t="s">
        <v>1004</v>
      </c>
      <c r="C36" s="40">
        <v>10.8385</v>
      </c>
      <c r="D36" s="40">
        <v>10.294700000000001</v>
      </c>
    </row>
    <row r="37" spans="1:5" x14ac:dyDescent="0.2">
      <c r="A37" s="9" t="s">
        <v>952</v>
      </c>
      <c r="C37" s="40">
        <v>10.2607</v>
      </c>
      <c r="D37" s="40">
        <v>10.1023</v>
      </c>
    </row>
    <row r="38" spans="1:5" x14ac:dyDescent="0.2">
      <c r="C38" s="40"/>
      <c r="D38" s="40"/>
    </row>
    <row r="39" spans="1:5" x14ac:dyDescent="0.2">
      <c r="A39" s="18" t="s">
        <v>1560</v>
      </c>
    </row>
    <row r="40" spans="1:5" x14ac:dyDescent="0.2">
      <c r="A40" s="94" t="s">
        <v>64</v>
      </c>
      <c r="B40" s="95"/>
      <c r="C40" s="44" t="s">
        <v>1544</v>
      </c>
    </row>
    <row r="41" spans="1:5" x14ac:dyDescent="0.2">
      <c r="A41" s="88" t="s">
        <v>1271</v>
      </c>
      <c r="B41" s="89"/>
      <c r="C41" s="45">
        <v>0.74</v>
      </c>
    </row>
    <row r="42" spans="1:5" x14ac:dyDescent="0.2">
      <c r="A42" s="88" t="s">
        <v>948</v>
      </c>
      <c r="B42" s="89"/>
      <c r="C42" s="45">
        <v>0.35</v>
      </c>
    </row>
    <row r="43" spans="1:5" x14ac:dyDescent="0.2">
      <c r="A43" s="88" t="s">
        <v>1004</v>
      </c>
      <c r="B43" s="89"/>
      <c r="C43" s="45">
        <v>0.74</v>
      </c>
    </row>
    <row r="44" spans="1:5" x14ac:dyDescent="0.2">
      <c r="A44" s="88" t="s">
        <v>952</v>
      </c>
      <c r="B44" s="89"/>
      <c r="C44" s="45">
        <v>0.35</v>
      </c>
    </row>
    <row r="45" spans="1:5" x14ac:dyDescent="0.2">
      <c r="A45" s="9" t="s">
        <v>1545</v>
      </c>
    </row>
    <row r="46" spans="1:5" x14ac:dyDescent="0.2">
      <c r="A46" s="9" t="s">
        <v>782</v>
      </c>
    </row>
    <row r="48" spans="1:5" x14ac:dyDescent="0.2">
      <c r="A48" s="18" t="s">
        <v>783</v>
      </c>
      <c r="D48" s="42">
        <v>1.9297949863013701E-3</v>
      </c>
      <c r="E48" s="13" t="s">
        <v>46</v>
      </c>
    </row>
    <row r="50" spans="1:7" x14ac:dyDescent="0.2">
      <c r="A50" s="18" t="s">
        <v>717</v>
      </c>
      <c r="D50" s="41" t="s">
        <v>45</v>
      </c>
    </row>
    <row r="52" spans="1:7" ht="14.4" x14ac:dyDescent="0.2">
      <c r="A52" s="90" t="s">
        <v>784</v>
      </c>
      <c r="B52" s="91"/>
      <c r="C52" s="91"/>
      <c r="D52" s="91"/>
      <c r="E52" s="91"/>
      <c r="F52" s="91"/>
      <c r="G52" s="91"/>
    </row>
    <row r="53" spans="1:7" x14ac:dyDescent="0.2">
      <c r="A53" s="50" t="s">
        <v>47</v>
      </c>
    </row>
    <row r="54" spans="1:7" x14ac:dyDescent="0.2">
      <c r="A54" s="50"/>
    </row>
  </sheetData>
  <mergeCells count="7">
    <mergeCell ref="A52:G52"/>
    <mergeCell ref="A1:G1"/>
    <mergeCell ref="A40:B40"/>
    <mergeCell ref="A41:B41"/>
    <mergeCell ref="A42:B42"/>
    <mergeCell ref="A43:B43"/>
    <mergeCell ref="A44:B44"/>
  </mergeCells>
  <conditionalFormatting sqref="F2:F3 F54:F65536 F5:F51">
    <cfRule type="cellIs" dxfId="117" priority="3" stopIfTrue="1" operator="between">
      <formula>0.009</formula>
      <formula>-0.009</formula>
    </cfRule>
  </conditionalFormatting>
  <conditionalFormatting sqref="F53">
    <cfRule type="cellIs" dxfId="116" priority="1" stopIfTrue="1" operator="between">
      <formula>0.009</formula>
      <formula>-0.009</formula>
    </cfRule>
  </conditionalFormatting>
  <hyperlinks>
    <hyperlink ref="A53" r:id="rId1" xr:uid="{00000000-0004-0000-1C00-000000000000}"/>
  </hyperlinks>
  <pageMargins left="0.7" right="0.7" top="0.75" bottom="0.75" header="0.3" footer="0.3"/>
  <pageSetup paperSize="9" scale="49" orientation="portrait" r:id="rId2"/>
  <headerFooter>
    <oddFooter>&amp;R&amp;1#&amp;"Calibri"&amp;10&amp;KFF0000|PUBLIC|</oddFooter>
    <evenFooter>&amp;LPUBLIC</evenFooter>
    <firstFooter>&amp;LPUBLIC</firstFooter>
  </headerFooter>
  <colBreaks count="1" manualBreakCount="1">
    <brk id="7" max="1048575" man="1"/>
  </col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I104"/>
  <sheetViews>
    <sheetView view="pageBreakPreview" zoomScaleNormal="100" zoomScaleSheetLayoutView="100" workbookViewId="0">
      <selection sqref="A1:G1"/>
    </sheetView>
  </sheetViews>
  <sheetFormatPr defaultColWidth="9.21875" defaultRowHeight="10.199999999999999" x14ac:dyDescent="0.2"/>
  <cols>
    <col min="1" max="1" width="38.77734375" style="9" bestFit="1" customWidth="1"/>
    <col min="2" max="2" width="51.77734375" style="9" bestFit="1" customWidth="1"/>
    <col min="3" max="3" width="25.21875" style="9" bestFit="1" customWidth="1"/>
    <col min="4" max="4" width="15.44140625" style="10" bestFit="1" customWidth="1"/>
    <col min="5" max="5" width="23" style="13" bestFit="1" customWidth="1"/>
    <col min="6" max="6" width="14.77734375" style="14" bestFit="1" customWidth="1"/>
    <col min="7" max="7" width="14.21875" style="13" customWidth="1"/>
    <col min="8" max="16384" width="9.21875" style="9"/>
  </cols>
  <sheetData>
    <row r="1" spans="1:7" s="1" customFormat="1" ht="13.8" x14ac:dyDescent="0.2">
      <c r="A1" s="92" t="s">
        <v>1411</v>
      </c>
      <c r="B1" s="93"/>
      <c r="C1" s="93"/>
      <c r="D1" s="93"/>
      <c r="E1" s="93"/>
      <c r="F1" s="93"/>
      <c r="G1" s="93"/>
    </row>
    <row r="2" spans="1:7" s="1" customFormat="1" ht="11.4" x14ac:dyDescent="0.2">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5</v>
      </c>
      <c r="D4" s="16" t="s">
        <v>1</v>
      </c>
      <c r="E4" s="15" t="s">
        <v>3</v>
      </c>
      <c r="F4" s="15" t="s">
        <v>4</v>
      </c>
      <c r="G4" s="15" t="s">
        <v>6</v>
      </c>
    </row>
    <row r="5" spans="1:7" x14ac:dyDescent="0.2">
      <c r="A5" s="21" t="s">
        <v>84</v>
      </c>
      <c r="B5" s="22"/>
      <c r="C5" s="22"/>
      <c r="D5" s="23"/>
      <c r="E5" s="24"/>
      <c r="F5" s="25"/>
      <c r="G5" s="24"/>
    </row>
    <row r="6" spans="1:7" x14ac:dyDescent="0.2">
      <c r="A6" s="26" t="s">
        <v>27</v>
      </c>
      <c r="B6" s="27"/>
      <c r="C6" s="27"/>
      <c r="D6" s="28"/>
      <c r="E6" s="29"/>
      <c r="F6" s="30"/>
      <c r="G6" s="29"/>
    </row>
    <row r="7" spans="1:7" x14ac:dyDescent="0.2">
      <c r="A7" s="27" t="s">
        <v>86</v>
      </c>
      <c r="B7" s="27" t="s">
        <v>85</v>
      </c>
      <c r="C7" s="27" t="s">
        <v>87</v>
      </c>
      <c r="D7" s="31">
        <v>108000</v>
      </c>
      <c r="E7" s="29">
        <v>1613.1420000000001</v>
      </c>
      <c r="F7" s="30">
        <v>3.57501371223842</v>
      </c>
      <c r="G7" s="29"/>
    </row>
    <row r="8" spans="1:7" x14ac:dyDescent="0.2">
      <c r="A8" s="27" t="s">
        <v>89</v>
      </c>
      <c r="B8" s="27" t="s">
        <v>88</v>
      </c>
      <c r="C8" s="27" t="s">
        <v>90</v>
      </c>
      <c r="D8" s="31">
        <v>109904</v>
      </c>
      <c r="E8" s="29">
        <v>1503.5416720000001</v>
      </c>
      <c r="F8" s="30">
        <v>3.33211961149228</v>
      </c>
      <c r="G8" s="29"/>
    </row>
    <row r="9" spans="1:7" x14ac:dyDescent="0.2">
      <c r="A9" s="27" t="s">
        <v>92</v>
      </c>
      <c r="B9" s="27" t="s">
        <v>91</v>
      </c>
      <c r="C9" s="27" t="s">
        <v>87</v>
      </c>
      <c r="D9" s="31">
        <v>206475</v>
      </c>
      <c r="E9" s="29">
        <v>1440.059888</v>
      </c>
      <c r="F9" s="30">
        <v>3.19143252487663</v>
      </c>
      <c r="G9" s="29"/>
    </row>
    <row r="10" spans="1:7" x14ac:dyDescent="0.2">
      <c r="A10" s="27" t="s">
        <v>94</v>
      </c>
      <c r="B10" s="27" t="s">
        <v>93</v>
      </c>
      <c r="C10" s="27" t="s">
        <v>87</v>
      </c>
      <c r="D10" s="31">
        <v>146474</v>
      </c>
      <c r="E10" s="29">
        <v>852.62515399999995</v>
      </c>
      <c r="F10" s="30">
        <v>1.88957117039256</v>
      </c>
      <c r="G10" s="29"/>
    </row>
    <row r="11" spans="1:7" x14ac:dyDescent="0.2">
      <c r="A11" s="27" t="s">
        <v>96</v>
      </c>
      <c r="B11" s="27" t="s">
        <v>95</v>
      </c>
      <c r="C11" s="27" t="s">
        <v>97</v>
      </c>
      <c r="D11" s="31">
        <v>145373</v>
      </c>
      <c r="E11" s="29">
        <v>752.01452900000004</v>
      </c>
      <c r="F11" s="30">
        <v>1.6665998734008001</v>
      </c>
      <c r="G11" s="29"/>
    </row>
    <row r="12" spans="1:7" x14ac:dyDescent="0.2">
      <c r="A12" s="27" t="s">
        <v>99</v>
      </c>
      <c r="B12" s="27" t="s">
        <v>98</v>
      </c>
      <c r="C12" s="27" t="s">
        <v>100</v>
      </c>
      <c r="D12" s="31">
        <v>40000</v>
      </c>
      <c r="E12" s="29">
        <v>675.4</v>
      </c>
      <c r="F12" s="30">
        <v>1.49680825447842</v>
      </c>
      <c r="G12" s="29"/>
    </row>
    <row r="13" spans="1:7" x14ac:dyDescent="0.2">
      <c r="A13" s="27" t="s">
        <v>102</v>
      </c>
      <c r="B13" s="27" t="s">
        <v>101</v>
      </c>
      <c r="C13" s="27" t="s">
        <v>103</v>
      </c>
      <c r="D13" s="31">
        <v>74355</v>
      </c>
      <c r="E13" s="29">
        <v>603.65106749999995</v>
      </c>
      <c r="F13" s="30">
        <v>1.33779967524239</v>
      </c>
      <c r="G13" s="29"/>
    </row>
    <row r="14" spans="1:7" x14ac:dyDescent="0.2">
      <c r="A14" s="27" t="s">
        <v>105</v>
      </c>
      <c r="B14" s="27" t="s">
        <v>104</v>
      </c>
      <c r="C14" s="27" t="s">
        <v>106</v>
      </c>
      <c r="D14" s="31">
        <v>60000</v>
      </c>
      <c r="E14" s="29">
        <v>601.16999999999996</v>
      </c>
      <c r="F14" s="30">
        <v>1.3323011820325601</v>
      </c>
      <c r="G14" s="29"/>
    </row>
    <row r="15" spans="1:7" x14ac:dyDescent="0.2">
      <c r="A15" s="27" t="s">
        <v>108</v>
      </c>
      <c r="B15" s="27" t="s">
        <v>107</v>
      </c>
      <c r="C15" s="27" t="s">
        <v>87</v>
      </c>
      <c r="D15" s="31">
        <v>33853</v>
      </c>
      <c r="E15" s="29">
        <v>593.44308999999998</v>
      </c>
      <c r="F15" s="30">
        <v>1.31517695539707</v>
      </c>
      <c r="G15" s="29"/>
    </row>
    <row r="16" spans="1:7" x14ac:dyDescent="0.2">
      <c r="A16" s="27" t="s">
        <v>110</v>
      </c>
      <c r="B16" s="27" t="s">
        <v>109</v>
      </c>
      <c r="C16" s="27" t="s">
        <v>111</v>
      </c>
      <c r="D16" s="31">
        <v>190244</v>
      </c>
      <c r="E16" s="29">
        <v>427.38314600000001</v>
      </c>
      <c r="F16" s="30">
        <v>0.94715815925045399</v>
      </c>
      <c r="G16" s="29"/>
    </row>
    <row r="17" spans="1:7" x14ac:dyDescent="0.2">
      <c r="A17" s="27" t="s">
        <v>113</v>
      </c>
      <c r="B17" s="27" t="s">
        <v>112</v>
      </c>
      <c r="C17" s="27" t="s">
        <v>114</v>
      </c>
      <c r="D17" s="31">
        <v>129936</v>
      </c>
      <c r="E17" s="29">
        <v>424.69581599999998</v>
      </c>
      <c r="F17" s="30">
        <v>0.94120255112710904</v>
      </c>
      <c r="G17" s="29"/>
    </row>
    <row r="18" spans="1:7" x14ac:dyDescent="0.2">
      <c r="A18" s="27" t="s">
        <v>116</v>
      </c>
      <c r="B18" s="27" t="s">
        <v>115</v>
      </c>
      <c r="C18" s="27" t="s">
        <v>117</v>
      </c>
      <c r="D18" s="31">
        <v>26468</v>
      </c>
      <c r="E18" s="29">
        <v>412.72875800000003</v>
      </c>
      <c r="F18" s="30">
        <v>0.91468139152358197</v>
      </c>
      <c r="G18" s="29"/>
    </row>
    <row r="19" spans="1:7" x14ac:dyDescent="0.2">
      <c r="A19" s="27" t="s">
        <v>119</v>
      </c>
      <c r="B19" s="27" t="s">
        <v>118</v>
      </c>
      <c r="C19" s="27" t="s">
        <v>111</v>
      </c>
      <c r="D19" s="31">
        <v>147860</v>
      </c>
      <c r="E19" s="29">
        <v>404.17531000000002</v>
      </c>
      <c r="F19" s="30">
        <v>0.89572540755755903</v>
      </c>
      <c r="G19" s="29"/>
    </row>
    <row r="20" spans="1:7" x14ac:dyDescent="0.2">
      <c r="A20" s="27" t="s">
        <v>121</v>
      </c>
      <c r="B20" s="27" t="s">
        <v>120</v>
      </c>
      <c r="C20" s="27" t="s">
        <v>122</v>
      </c>
      <c r="D20" s="31">
        <v>156244</v>
      </c>
      <c r="E20" s="29">
        <v>366.39218</v>
      </c>
      <c r="F20" s="30">
        <v>0.81199117471179205</v>
      </c>
      <c r="G20" s="29"/>
    </row>
    <row r="21" spans="1:7" x14ac:dyDescent="0.2">
      <c r="A21" s="27" t="s">
        <v>124</v>
      </c>
      <c r="B21" s="27" t="s">
        <v>123</v>
      </c>
      <c r="C21" s="27" t="s">
        <v>87</v>
      </c>
      <c r="D21" s="31">
        <v>88509</v>
      </c>
      <c r="E21" s="29">
        <v>322.438287</v>
      </c>
      <c r="F21" s="30">
        <v>0.71458141773983197</v>
      </c>
      <c r="G21" s="29"/>
    </row>
    <row r="22" spans="1:7" x14ac:dyDescent="0.2">
      <c r="A22" s="27" t="s">
        <v>126</v>
      </c>
      <c r="B22" s="27" t="s">
        <v>125</v>
      </c>
      <c r="C22" s="27" t="s">
        <v>127</v>
      </c>
      <c r="D22" s="31">
        <v>72000</v>
      </c>
      <c r="E22" s="29">
        <v>317.44799999999998</v>
      </c>
      <c r="F22" s="30">
        <v>0.70352204140904095</v>
      </c>
      <c r="G22" s="29"/>
    </row>
    <row r="23" spans="1:7" x14ac:dyDescent="0.2">
      <c r="A23" s="27" t="s">
        <v>129</v>
      </c>
      <c r="B23" s="27" t="s">
        <v>128</v>
      </c>
      <c r="C23" s="27" t="s">
        <v>130</v>
      </c>
      <c r="D23" s="31">
        <v>130625</v>
      </c>
      <c r="E23" s="29">
        <v>281.6928125</v>
      </c>
      <c r="F23" s="30">
        <v>0.624282095021088</v>
      </c>
      <c r="G23" s="29"/>
    </row>
    <row r="24" spans="1:7" x14ac:dyDescent="0.2">
      <c r="A24" s="27" t="s">
        <v>132</v>
      </c>
      <c r="B24" s="27" t="s">
        <v>131</v>
      </c>
      <c r="C24" s="27" t="s">
        <v>130</v>
      </c>
      <c r="D24" s="31">
        <v>217407</v>
      </c>
      <c r="E24" s="29">
        <v>231.64715849999999</v>
      </c>
      <c r="F24" s="30">
        <v>0.51337189660833804</v>
      </c>
      <c r="G24" s="29"/>
    </row>
    <row r="25" spans="1:7" x14ac:dyDescent="0.2">
      <c r="A25" s="27" t="s">
        <v>134</v>
      </c>
      <c r="B25" s="27" t="s">
        <v>133</v>
      </c>
      <c r="C25" s="27" t="s">
        <v>135</v>
      </c>
      <c r="D25" s="31">
        <v>26526</v>
      </c>
      <c r="E25" s="29">
        <v>210.948015</v>
      </c>
      <c r="F25" s="30">
        <v>0.46749886010932501</v>
      </c>
      <c r="G25" s="29"/>
    </row>
    <row r="26" spans="1:7" x14ac:dyDescent="0.2">
      <c r="A26" s="27" t="s">
        <v>137</v>
      </c>
      <c r="B26" s="27" t="s">
        <v>136</v>
      </c>
      <c r="C26" s="27" t="s">
        <v>117</v>
      </c>
      <c r="D26" s="31">
        <v>15000</v>
      </c>
      <c r="E26" s="29">
        <v>186.2175</v>
      </c>
      <c r="F26" s="30">
        <v>0.41269157703336601</v>
      </c>
      <c r="G26" s="29"/>
    </row>
    <row r="27" spans="1:7" x14ac:dyDescent="0.2">
      <c r="A27" s="27" t="s">
        <v>139</v>
      </c>
      <c r="B27" s="27" t="s">
        <v>138</v>
      </c>
      <c r="C27" s="27" t="s">
        <v>122</v>
      </c>
      <c r="D27" s="31">
        <v>43000</v>
      </c>
      <c r="E27" s="29">
        <v>184.01849999999999</v>
      </c>
      <c r="F27" s="30">
        <v>0.40781819629366001</v>
      </c>
      <c r="G27" s="29"/>
    </row>
    <row r="28" spans="1:7" x14ac:dyDescent="0.2">
      <c r="A28" s="27" t="s">
        <v>141</v>
      </c>
      <c r="B28" s="27" t="s">
        <v>140</v>
      </c>
      <c r="C28" s="27" t="s">
        <v>135</v>
      </c>
      <c r="D28" s="31">
        <v>4923</v>
      </c>
      <c r="E28" s="29">
        <v>180.70363800000001</v>
      </c>
      <c r="F28" s="30">
        <v>0.40047186404009599</v>
      </c>
      <c r="G28" s="29"/>
    </row>
    <row r="29" spans="1:7" x14ac:dyDescent="0.2">
      <c r="A29" s="27" t="s">
        <v>1412</v>
      </c>
      <c r="B29" s="27" t="s">
        <v>1413</v>
      </c>
      <c r="C29" s="27" t="s">
        <v>127</v>
      </c>
      <c r="D29" s="31">
        <v>7072</v>
      </c>
      <c r="E29" s="29">
        <v>179.98593600000001</v>
      </c>
      <c r="F29" s="30">
        <v>0.39888130692156498</v>
      </c>
      <c r="G29" s="29"/>
    </row>
    <row r="30" spans="1:7" x14ac:dyDescent="0.2">
      <c r="A30" s="27" t="s">
        <v>143</v>
      </c>
      <c r="B30" s="27" t="s">
        <v>142</v>
      </c>
      <c r="C30" s="27" t="s">
        <v>87</v>
      </c>
      <c r="D30" s="31">
        <v>301582</v>
      </c>
      <c r="E30" s="29">
        <v>167.67959200000001</v>
      </c>
      <c r="F30" s="30">
        <v>0.37160822832865598</v>
      </c>
      <c r="G30" s="29"/>
    </row>
    <row r="31" spans="1:7" x14ac:dyDescent="0.2">
      <c r="A31" s="27" t="s">
        <v>145</v>
      </c>
      <c r="B31" s="27" t="s">
        <v>144</v>
      </c>
      <c r="C31" s="27" t="s">
        <v>117</v>
      </c>
      <c r="D31" s="31">
        <v>27182</v>
      </c>
      <c r="E31" s="29">
        <v>163.377411</v>
      </c>
      <c r="F31" s="30">
        <v>0.36207381904073699</v>
      </c>
      <c r="G31" s="29"/>
    </row>
    <row r="32" spans="1:7" x14ac:dyDescent="0.2">
      <c r="A32" s="27" t="s">
        <v>147</v>
      </c>
      <c r="B32" s="27" t="s">
        <v>146</v>
      </c>
      <c r="C32" s="27" t="s">
        <v>117</v>
      </c>
      <c r="D32" s="31">
        <v>6100</v>
      </c>
      <c r="E32" s="29">
        <v>148.32149999999999</v>
      </c>
      <c r="F32" s="30">
        <v>0.32870720390379199</v>
      </c>
      <c r="G32" s="29"/>
    </row>
    <row r="33" spans="1:9" x14ac:dyDescent="0.2">
      <c r="A33" s="27" t="s">
        <v>149</v>
      </c>
      <c r="B33" s="27" t="s">
        <v>148</v>
      </c>
      <c r="C33" s="27" t="s">
        <v>87</v>
      </c>
      <c r="D33" s="31">
        <v>87200</v>
      </c>
      <c r="E33" s="29">
        <v>135.98840000000001</v>
      </c>
      <c r="F33" s="30">
        <v>0.30137482918761299</v>
      </c>
      <c r="G33" s="29"/>
    </row>
    <row r="34" spans="1:9" x14ac:dyDescent="0.2">
      <c r="A34" s="27" t="s">
        <v>151</v>
      </c>
      <c r="B34" s="27" t="s">
        <v>150</v>
      </c>
      <c r="C34" s="27" t="s">
        <v>135</v>
      </c>
      <c r="D34" s="31">
        <v>23121</v>
      </c>
      <c r="E34" s="29">
        <v>135.26941049999999</v>
      </c>
      <c r="F34" s="30">
        <v>0.29978141873679298</v>
      </c>
      <c r="G34" s="29"/>
    </row>
    <row r="35" spans="1:9" x14ac:dyDescent="0.2">
      <c r="A35" s="27" t="s">
        <v>153</v>
      </c>
      <c r="B35" s="27" t="s">
        <v>152</v>
      </c>
      <c r="C35" s="27" t="s">
        <v>154</v>
      </c>
      <c r="D35" s="31">
        <v>65910</v>
      </c>
      <c r="E35" s="29">
        <v>132.64387500000001</v>
      </c>
      <c r="F35" s="30">
        <v>0.29396275837430302</v>
      </c>
      <c r="G35" s="29"/>
    </row>
    <row r="36" spans="1:9" x14ac:dyDescent="0.2">
      <c r="A36" s="27" t="s">
        <v>156</v>
      </c>
      <c r="B36" s="27" t="s">
        <v>155</v>
      </c>
      <c r="C36" s="27" t="s">
        <v>135</v>
      </c>
      <c r="D36" s="31">
        <v>39940</v>
      </c>
      <c r="E36" s="29">
        <v>120.53892</v>
      </c>
      <c r="F36" s="30">
        <v>0.26713599413964201</v>
      </c>
      <c r="G36" s="29"/>
    </row>
    <row r="37" spans="1:9" x14ac:dyDescent="0.2">
      <c r="A37" s="27" t="s">
        <v>158</v>
      </c>
      <c r="B37" s="27" t="s">
        <v>157</v>
      </c>
      <c r="C37" s="27" t="s">
        <v>159</v>
      </c>
      <c r="D37" s="31">
        <v>153047</v>
      </c>
      <c r="E37" s="29">
        <v>89.915112500000006</v>
      </c>
      <c r="F37" s="30">
        <v>0.19926811162623001</v>
      </c>
      <c r="G37" s="29"/>
    </row>
    <row r="38" spans="1:9" x14ac:dyDescent="0.2">
      <c r="A38" s="27" t="s">
        <v>161</v>
      </c>
      <c r="B38" s="27" t="s">
        <v>160</v>
      </c>
      <c r="C38" s="27" t="s">
        <v>154</v>
      </c>
      <c r="D38" s="31">
        <v>7703</v>
      </c>
      <c r="E38" s="29">
        <v>13.010367</v>
      </c>
      <c r="F38" s="30">
        <v>2.8833320579499101E-2</v>
      </c>
      <c r="G38" s="29"/>
    </row>
    <row r="39" spans="1:9" x14ac:dyDescent="0.2">
      <c r="A39" s="27" t="s">
        <v>163</v>
      </c>
      <c r="B39" s="27" t="s">
        <v>162</v>
      </c>
      <c r="C39" s="27" t="s">
        <v>164</v>
      </c>
      <c r="D39" s="31">
        <v>984</v>
      </c>
      <c r="E39" s="29">
        <v>1.2826439999999999</v>
      </c>
      <c r="F39" s="30">
        <v>2.8425705163713701E-3</v>
      </c>
      <c r="G39" s="29"/>
    </row>
    <row r="40" spans="1:9" x14ac:dyDescent="0.2">
      <c r="A40" s="26" t="s">
        <v>34</v>
      </c>
      <c r="B40" s="26"/>
      <c r="C40" s="26"/>
      <c r="D40" s="32"/>
      <c r="E40" s="33">
        <f>SUM(E7:E39)</f>
        <v>13873.549689500003</v>
      </c>
      <c r="F40" s="34">
        <f>SUM(F7:F39)</f>
        <v>30.746289153331574</v>
      </c>
      <c r="G40" s="33"/>
      <c r="H40" s="18"/>
      <c r="I40" s="18"/>
    </row>
    <row r="41" spans="1:9" x14ac:dyDescent="0.2">
      <c r="A41" s="27"/>
      <c r="B41" s="27"/>
      <c r="C41" s="27"/>
      <c r="D41" s="28"/>
      <c r="E41" s="29"/>
      <c r="F41" s="30"/>
      <c r="G41" s="29"/>
    </row>
    <row r="42" spans="1:9" x14ac:dyDescent="0.2">
      <c r="A42" s="26" t="s">
        <v>26</v>
      </c>
      <c r="B42" s="27"/>
      <c r="C42" s="27"/>
      <c r="D42" s="28"/>
      <c r="E42" s="29"/>
      <c r="F42" s="30"/>
      <c r="G42" s="29"/>
    </row>
    <row r="43" spans="1:9" x14ac:dyDescent="0.2">
      <c r="A43" s="26" t="s">
        <v>27</v>
      </c>
      <c r="B43" s="27"/>
      <c r="C43" s="27"/>
      <c r="D43" s="28"/>
      <c r="E43" s="29"/>
      <c r="F43" s="30"/>
      <c r="G43" s="29"/>
    </row>
    <row r="44" spans="1:9" x14ac:dyDescent="0.2">
      <c r="A44" s="27" t="s">
        <v>166</v>
      </c>
      <c r="B44" s="27" t="s">
        <v>165</v>
      </c>
      <c r="C44" s="27" t="s">
        <v>33</v>
      </c>
      <c r="D44" s="31">
        <v>200</v>
      </c>
      <c r="E44" s="29">
        <v>2072.768</v>
      </c>
      <c r="F44" s="30">
        <v>4.5936278531518102</v>
      </c>
      <c r="G44" s="29">
        <v>5.05</v>
      </c>
    </row>
    <row r="45" spans="1:9" x14ac:dyDescent="0.2">
      <c r="A45" s="27" t="s">
        <v>1414</v>
      </c>
      <c r="B45" s="27" t="s">
        <v>1415</v>
      </c>
      <c r="C45" s="27" t="s">
        <v>33</v>
      </c>
      <c r="D45" s="31">
        <v>150</v>
      </c>
      <c r="E45" s="29">
        <v>1651.683</v>
      </c>
      <c r="F45" s="30">
        <v>3.66042752173776</v>
      </c>
      <c r="G45" s="29">
        <v>5.7</v>
      </c>
    </row>
    <row r="46" spans="1:9" x14ac:dyDescent="0.2">
      <c r="A46" s="27" t="s">
        <v>1416</v>
      </c>
      <c r="B46" s="27" t="s">
        <v>1417</v>
      </c>
      <c r="C46" s="27" t="s">
        <v>33</v>
      </c>
      <c r="D46" s="31">
        <v>65</v>
      </c>
      <c r="E46" s="29">
        <v>720.43335000000002</v>
      </c>
      <c r="F46" s="30">
        <v>1.59661028291611</v>
      </c>
      <c r="G46" s="29">
        <v>7</v>
      </c>
    </row>
    <row r="47" spans="1:9" x14ac:dyDescent="0.2">
      <c r="A47" s="27" t="s">
        <v>29</v>
      </c>
      <c r="B47" s="27" t="s">
        <v>28</v>
      </c>
      <c r="C47" s="27" t="s">
        <v>30</v>
      </c>
      <c r="D47" s="31">
        <v>50</v>
      </c>
      <c r="E47" s="29">
        <v>500.88549999999998</v>
      </c>
      <c r="F47" s="30">
        <v>1.1100526368796999</v>
      </c>
      <c r="G47" s="29">
        <v>7.1247999999999996</v>
      </c>
    </row>
    <row r="48" spans="1:9" x14ac:dyDescent="0.2">
      <c r="A48" s="27" t="s">
        <v>920</v>
      </c>
      <c r="B48" s="27" t="s">
        <v>921</v>
      </c>
      <c r="C48" s="27" t="s">
        <v>33</v>
      </c>
      <c r="D48" s="31">
        <v>45</v>
      </c>
      <c r="E48" s="29">
        <v>491.00580000000002</v>
      </c>
      <c r="F48" s="30">
        <v>1.08815743920163</v>
      </c>
      <c r="G48" s="29">
        <v>6.2750000000000004</v>
      </c>
    </row>
    <row r="49" spans="1:9" x14ac:dyDescent="0.2">
      <c r="A49" s="27" t="s">
        <v>79</v>
      </c>
      <c r="B49" s="27" t="s">
        <v>78</v>
      </c>
      <c r="C49" s="27" t="s">
        <v>33</v>
      </c>
      <c r="D49" s="31">
        <v>30</v>
      </c>
      <c r="E49" s="29">
        <v>333.23309999999998</v>
      </c>
      <c r="F49" s="30">
        <v>0.73850467092898098</v>
      </c>
      <c r="G49" s="29">
        <v>7</v>
      </c>
    </row>
    <row r="50" spans="1:9" x14ac:dyDescent="0.2">
      <c r="A50" s="27" t="s">
        <v>81</v>
      </c>
      <c r="B50" s="27" t="s">
        <v>80</v>
      </c>
      <c r="C50" s="27" t="s">
        <v>33</v>
      </c>
      <c r="D50" s="31">
        <v>5</v>
      </c>
      <c r="E50" s="29">
        <v>55.646050000000002</v>
      </c>
      <c r="F50" s="30">
        <v>0.123321686362332</v>
      </c>
      <c r="G50" s="29">
        <v>6.98</v>
      </c>
    </row>
    <row r="51" spans="1:9" x14ac:dyDescent="0.2">
      <c r="A51" s="26" t="s">
        <v>34</v>
      </c>
      <c r="B51" s="26"/>
      <c r="C51" s="26"/>
      <c r="D51" s="32"/>
      <c r="E51" s="33">
        <f>SUM(E43:E50)</f>
        <v>5825.6548000000012</v>
      </c>
      <c r="F51" s="34">
        <f>SUM(F43:F50)</f>
        <v>12.910702091178324</v>
      </c>
      <c r="G51" s="33"/>
      <c r="H51" s="18"/>
      <c r="I51" s="18"/>
    </row>
    <row r="52" spans="1:9" x14ac:dyDescent="0.2">
      <c r="A52" s="27"/>
      <c r="B52" s="27"/>
      <c r="C52" s="27"/>
      <c r="D52" s="28"/>
      <c r="E52" s="29"/>
      <c r="F52" s="30"/>
      <c r="G52" s="29"/>
    </row>
    <row r="53" spans="1:9" x14ac:dyDescent="0.2">
      <c r="A53" s="26" t="s">
        <v>48</v>
      </c>
      <c r="B53" s="27"/>
      <c r="C53" s="27"/>
      <c r="D53" s="28"/>
      <c r="E53" s="29"/>
      <c r="F53" s="30"/>
      <c r="G53" s="29"/>
    </row>
    <row r="54" spans="1:9" x14ac:dyDescent="0.2">
      <c r="A54" s="26" t="s">
        <v>52</v>
      </c>
      <c r="B54" s="27"/>
      <c r="C54" s="27"/>
      <c r="D54" s="28"/>
      <c r="E54" s="29"/>
      <c r="F54" s="30"/>
      <c r="G54" s="29"/>
    </row>
    <row r="55" spans="1:9" x14ac:dyDescent="0.2">
      <c r="A55" s="27" t="s">
        <v>1418</v>
      </c>
      <c r="B55" s="27" t="s">
        <v>1419</v>
      </c>
      <c r="C55" s="27" t="s">
        <v>50</v>
      </c>
      <c r="D55" s="31">
        <v>400</v>
      </c>
      <c r="E55" s="29">
        <v>1945.548</v>
      </c>
      <c r="F55" s="30">
        <v>4.31168538034348</v>
      </c>
      <c r="G55" s="29">
        <v>3.9750000000000001</v>
      </c>
    </row>
    <row r="56" spans="1:9" x14ac:dyDescent="0.2">
      <c r="A56" s="26" t="s">
        <v>34</v>
      </c>
      <c r="B56" s="26"/>
      <c r="C56" s="26"/>
      <c r="D56" s="32"/>
      <c r="E56" s="33">
        <f>SUM(E54:E55)</f>
        <v>1945.548</v>
      </c>
      <c r="F56" s="34">
        <f>SUM(F54:F55)</f>
        <v>4.31168538034348</v>
      </c>
      <c r="G56" s="33"/>
      <c r="H56" s="18"/>
      <c r="I56" s="18"/>
    </row>
    <row r="57" spans="1:9" x14ac:dyDescent="0.2">
      <c r="A57" s="27"/>
      <c r="B57" s="27"/>
      <c r="C57" s="27"/>
      <c r="D57" s="28"/>
      <c r="E57" s="29"/>
      <c r="F57" s="30"/>
      <c r="G57" s="29"/>
    </row>
    <row r="58" spans="1:9" x14ac:dyDescent="0.2">
      <c r="A58" s="26" t="s">
        <v>58</v>
      </c>
      <c r="B58" s="27"/>
      <c r="C58" s="27"/>
      <c r="D58" s="28"/>
      <c r="E58" s="29"/>
      <c r="F58" s="30"/>
      <c r="G58" s="29"/>
    </row>
    <row r="59" spans="1:9" x14ac:dyDescent="0.2">
      <c r="A59" s="27" t="s">
        <v>68</v>
      </c>
      <c r="B59" s="27" t="s">
        <v>67</v>
      </c>
      <c r="C59" s="27" t="s">
        <v>62</v>
      </c>
      <c r="D59" s="31">
        <v>2500000</v>
      </c>
      <c r="E59" s="29">
        <v>2487.7674999999999</v>
      </c>
      <c r="F59" s="30">
        <v>5.5133416186306601</v>
      </c>
      <c r="G59" s="29">
        <v>3.2048999999999999</v>
      </c>
    </row>
    <row r="60" spans="1:9" x14ac:dyDescent="0.2">
      <c r="A60" s="26" t="s">
        <v>34</v>
      </c>
      <c r="B60" s="26"/>
      <c r="C60" s="26"/>
      <c r="D60" s="32"/>
      <c r="E60" s="33">
        <f>SUM(E58:E59)</f>
        <v>2487.7674999999999</v>
      </c>
      <c r="F60" s="34">
        <f>SUM(F58:F59)</f>
        <v>5.5133416186306601</v>
      </c>
      <c r="G60" s="33"/>
      <c r="H60" s="18"/>
      <c r="I60" s="18"/>
    </row>
    <row r="61" spans="1:9" x14ac:dyDescent="0.2">
      <c r="A61" s="27"/>
      <c r="B61" s="27"/>
      <c r="C61" s="27"/>
      <c r="D61" s="28"/>
      <c r="E61" s="29"/>
      <c r="F61" s="30"/>
      <c r="G61" s="29"/>
    </row>
    <row r="62" spans="1:9" x14ac:dyDescent="0.2">
      <c r="A62" s="26" t="s">
        <v>59</v>
      </c>
      <c r="B62" s="27"/>
      <c r="C62" s="27"/>
      <c r="D62" s="28"/>
      <c r="E62" s="29"/>
      <c r="F62" s="30"/>
      <c r="G62" s="29"/>
    </row>
    <row r="63" spans="1:9" x14ac:dyDescent="0.2">
      <c r="A63" s="27" t="s">
        <v>1005</v>
      </c>
      <c r="B63" s="27" t="s">
        <v>1006</v>
      </c>
      <c r="C63" s="27" t="s">
        <v>62</v>
      </c>
      <c r="D63" s="31">
        <v>5600000</v>
      </c>
      <c r="E63" s="29">
        <v>5775.8680000000004</v>
      </c>
      <c r="F63" s="30">
        <v>12.800365559931601</v>
      </c>
      <c r="G63" s="29">
        <v>6.1645000000000003</v>
      </c>
    </row>
    <row r="64" spans="1:9" x14ac:dyDescent="0.2">
      <c r="A64" s="27" t="s">
        <v>70</v>
      </c>
      <c r="B64" s="27" t="s">
        <v>69</v>
      </c>
      <c r="C64" s="27" t="s">
        <v>62</v>
      </c>
      <c r="D64" s="31">
        <v>5500000</v>
      </c>
      <c r="E64" s="29">
        <v>5378.2025000000003</v>
      </c>
      <c r="F64" s="30">
        <v>11.9190670658225</v>
      </c>
      <c r="G64" s="29">
        <v>5.702</v>
      </c>
    </row>
    <row r="65" spans="1:9" x14ac:dyDescent="0.2">
      <c r="A65" s="27" t="s">
        <v>71</v>
      </c>
      <c r="B65" s="27" t="s">
        <v>1523</v>
      </c>
      <c r="C65" s="27" t="s">
        <v>62</v>
      </c>
      <c r="D65" s="31">
        <v>2600000</v>
      </c>
      <c r="E65" s="29">
        <v>2744.2869999999998</v>
      </c>
      <c r="F65" s="30">
        <v>6.0818351114270497</v>
      </c>
      <c r="G65" s="29">
        <v>5.9736000000000002</v>
      </c>
    </row>
    <row r="66" spans="1:9" x14ac:dyDescent="0.2">
      <c r="A66" s="27" t="s">
        <v>1007</v>
      </c>
      <c r="B66" s="27" t="s">
        <v>1008</v>
      </c>
      <c r="C66" s="27" t="s">
        <v>62</v>
      </c>
      <c r="D66" s="31">
        <v>2125000</v>
      </c>
      <c r="E66" s="29">
        <v>2223.6637500000002</v>
      </c>
      <c r="F66" s="30">
        <v>4.92804005949725</v>
      </c>
      <c r="G66" s="29">
        <v>6.3140000000000001</v>
      </c>
    </row>
    <row r="67" spans="1:9" x14ac:dyDescent="0.2">
      <c r="A67" s="27" t="s">
        <v>83</v>
      </c>
      <c r="B67" s="27" t="s">
        <v>82</v>
      </c>
      <c r="C67" s="27" t="s">
        <v>62</v>
      </c>
      <c r="D67" s="31">
        <v>900000</v>
      </c>
      <c r="E67" s="29">
        <v>926.19179999999994</v>
      </c>
      <c r="F67" s="30">
        <v>2.05260813069326</v>
      </c>
      <c r="G67" s="29">
        <v>5.2779999999999996</v>
      </c>
    </row>
    <row r="68" spans="1:9" x14ac:dyDescent="0.2">
      <c r="A68" s="27" t="s">
        <v>73</v>
      </c>
      <c r="B68" s="27" t="s">
        <v>72</v>
      </c>
      <c r="C68" s="27" t="s">
        <v>62</v>
      </c>
      <c r="D68" s="31">
        <v>400000</v>
      </c>
      <c r="E68" s="29">
        <v>424.89280000000002</v>
      </c>
      <c r="F68" s="30">
        <v>0.94163910321061495</v>
      </c>
      <c r="G68" s="29">
        <v>4.9292999999999996</v>
      </c>
    </row>
    <row r="69" spans="1:9" x14ac:dyDescent="0.2">
      <c r="A69" s="27" t="s">
        <v>75</v>
      </c>
      <c r="B69" s="27" t="s">
        <v>74</v>
      </c>
      <c r="C69" s="27" t="s">
        <v>62</v>
      </c>
      <c r="D69" s="31">
        <v>100000</v>
      </c>
      <c r="E69" s="29">
        <v>98.596500000000006</v>
      </c>
      <c r="F69" s="30">
        <v>0.218507632606873</v>
      </c>
      <c r="G69" s="29">
        <v>5.5968</v>
      </c>
    </row>
    <row r="70" spans="1:9" x14ac:dyDescent="0.2">
      <c r="A70" s="26" t="s">
        <v>34</v>
      </c>
      <c r="B70" s="26"/>
      <c r="C70" s="26"/>
      <c r="D70" s="32"/>
      <c r="E70" s="33">
        <f>SUM(E63:E69)</f>
        <v>17571.702350000003</v>
      </c>
      <c r="F70" s="34">
        <f>SUM(F63:F69)</f>
        <v>38.942062663189148</v>
      </c>
      <c r="G70" s="33"/>
      <c r="H70" s="18"/>
      <c r="I70" s="18"/>
    </row>
    <row r="71" spans="1:9" x14ac:dyDescent="0.2">
      <c r="A71" s="27"/>
      <c r="B71" s="27"/>
      <c r="C71" s="27"/>
      <c r="D71" s="28"/>
      <c r="E71" s="29"/>
      <c r="F71" s="30"/>
      <c r="G71" s="29"/>
    </row>
    <row r="72" spans="1:9" x14ac:dyDescent="0.2">
      <c r="A72" s="26" t="s">
        <v>36</v>
      </c>
      <c r="B72" s="26"/>
      <c r="C72" s="26"/>
      <c r="D72" s="32"/>
      <c r="E72" s="33">
        <f>E40+E51+E56+E60+E70</f>
        <v>41704.222339500004</v>
      </c>
      <c r="F72" s="34">
        <f>F40+F51+F56+F60+F70</f>
        <v>92.424080906673183</v>
      </c>
      <c r="G72" s="33"/>
      <c r="H72" s="18"/>
      <c r="I72" s="18"/>
    </row>
    <row r="73" spans="1:9" x14ac:dyDescent="0.2">
      <c r="A73" s="26"/>
      <c r="B73" s="26"/>
      <c r="C73" s="26"/>
      <c r="D73" s="32"/>
      <c r="E73" s="33"/>
      <c r="F73" s="34"/>
      <c r="G73" s="33"/>
      <c r="H73" s="18"/>
      <c r="I73" s="18"/>
    </row>
    <row r="74" spans="1:9" x14ac:dyDescent="0.2">
      <c r="A74" s="26" t="s">
        <v>38</v>
      </c>
      <c r="B74" s="26"/>
      <c r="C74" s="26"/>
      <c r="D74" s="32"/>
      <c r="E74" s="33">
        <f>E76-(E40+E51+E56+E60+E70)</f>
        <v>3418.4577351999978</v>
      </c>
      <c r="F74" s="34">
        <f>F76-(F40+F51+F56+F60+F70)</f>
        <v>7.5759190933268172</v>
      </c>
      <c r="G74" s="33"/>
      <c r="H74" s="18"/>
      <c r="I74" s="18"/>
    </row>
    <row r="75" spans="1:9" x14ac:dyDescent="0.2">
      <c r="A75" s="26"/>
      <c r="B75" s="26"/>
      <c r="C75" s="26"/>
      <c r="D75" s="32"/>
      <c r="E75" s="33"/>
      <c r="F75" s="34"/>
      <c r="G75" s="33"/>
      <c r="H75" s="18"/>
      <c r="I75" s="18"/>
    </row>
    <row r="76" spans="1:9" x14ac:dyDescent="0.2">
      <c r="A76" s="35" t="s">
        <v>37</v>
      </c>
      <c r="B76" s="35"/>
      <c r="C76" s="35"/>
      <c r="D76" s="36"/>
      <c r="E76" s="37">
        <v>45122.680074700002</v>
      </c>
      <c r="F76" s="38">
        <v>100</v>
      </c>
      <c r="G76" s="37"/>
      <c r="H76" s="18"/>
      <c r="I76" s="18"/>
    </row>
    <row r="77" spans="1:9" x14ac:dyDescent="0.2">
      <c r="A77" s="77" t="s">
        <v>1524</v>
      </c>
      <c r="F77" s="20" t="s">
        <v>497</v>
      </c>
    </row>
    <row r="78" spans="1:9" x14ac:dyDescent="0.2">
      <c r="A78" s="77"/>
      <c r="F78" s="20"/>
    </row>
    <row r="79" spans="1:9" x14ac:dyDescent="0.2">
      <c r="A79" s="18" t="s">
        <v>63</v>
      </c>
    </row>
    <row r="80" spans="1:9" x14ac:dyDescent="0.2">
      <c r="A80" s="18" t="s">
        <v>39</v>
      </c>
    </row>
    <row r="81" spans="1:4" x14ac:dyDescent="0.2">
      <c r="A81" s="18" t="s">
        <v>1434</v>
      </c>
    </row>
    <row r="83" spans="1:4" x14ac:dyDescent="0.2">
      <c r="A83" s="18" t="s">
        <v>40</v>
      </c>
    </row>
    <row r="84" spans="1:4" x14ac:dyDescent="0.2">
      <c r="A84" s="18" t="s">
        <v>41</v>
      </c>
    </row>
    <row r="85" spans="1:4" x14ac:dyDescent="0.2">
      <c r="A85" s="18" t="s">
        <v>42</v>
      </c>
      <c r="B85" s="18"/>
      <c r="C85" s="39" t="s">
        <v>44</v>
      </c>
      <c r="D85" s="19" t="s">
        <v>43</v>
      </c>
    </row>
    <row r="86" spans="1:4" x14ac:dyDescent="0.2">
      <c r="A86" s="9" t="s">
        <v>65</v>
      </c>
      <c r="C86" s="40">
        <v>132.83869999999999</v>
      </c>
      <c r="D86" s="40">
        <v>148.87139999999999</v>
      </c>
    </row>
    <row r="87" spans="1:4" x14ac:dyDescent="0.2">
      <c r="A87" s="9" t="s">
        <v>1003</v>
      </c>
      <c r="C87" s="40">
        <v>16.386700000000001</v>
      </c>
      <c r="D87" s="40">
        <v>17.0825</v>
      </c>
    </row>
    <row r="88" spans="1:4" x14ac:dyDescent="0.2">
      <c r="A88" s="9" t="s">
        <v>66</v>
      </c>
      <c r="C88" s="40">
        <v>140.3065</v>
      </c>
      <c r="D88" s="40">
        <v>157.83199999999999</v>
      </c>
    </row>
    <row r="89" spans="1:4" x14ac:dyDescent="0.2">
      <c r="A89" s="9" t="s">
        <v>1004</v>
      </c>
      <c r="C89" s="40">
        <v>17.537500000000001</v>
      </c>
      <c r="D89" s="40">
        <v>18.440200000000001</v>
      </c>
    </row>
    <row r="90" spans="1:4" x14ac:dyDescent="0.2">
      <c r="C90" s="40"/>
      <c r="D90" s="40"/>
    </row>
    <row r="91" spans="1:4" x14ac:dyDescent="0.2">
      <c r="A91" s="18" t="s">
        <v>1560</v>
      </c>
    </row>
    <row r="92" spans="1:4" x14ac:dyDescent="0.2">
      <c r="A92" s="94" t="s">
        <v>64</v>
      </c>
      <c r="B92" s="95"/>
      <c r="C92" s="44" t="s">
        <v>1544</v>
      </c>
    </row>
    <row r="93" spans="1:4" x14ac:dyDescent="0.2">
      <c r="A93" s="88" t="s">
        <v>1003</v>
      </c>
      <c r="B93" s="89"/>
      <c r="C93" s="45">
        <v>1.25</v>
      </c>
    </row>
    <row r="94" spans="1:4" x14ac:dyDescent="0.2">
      <c r="A94" s="88" t="s">
        <v>1004</v>
      </c>
      <c r="B94" s="89"/>
      <c r="C94" s="45">
        <v>1.25</v>
      </c>
    </row>
    <row r="95" spans="1:4" x14ac:dyDescent="0.2">
      <c r="A95" s="9" t="s">
        <v>1545</v>
      </c>
    </row>
    <row r="96" spans="1:4" x14ac:dyDescent="0.2">
      <c r="A96" s="9" t="s">
        <v>782</v>
      </c>
    </row>
    <row r="98" spans="1:7" x14ac:dyDescent="0.2">
      <c r="A98" s="18" t="s">
        <v>783</v>
      </c>
      <c r="D98" s="42">
        <v>3.8309187041773902</v>
      </c>
      <c r="E98" s="13" t="s">
        <v>46</v>
      </c>
    </row>
    <row r="100" spans="1:7" x14ac:dyDescent="0.2">
      <c r="A100" s="18" t="s">
        <v>717</v>
      </c>
      <c r="D100" s="41" t="s">
        <v>45</v>
      </c>
    </row>
    <row r="102" spans="1:7" ht="14.4" x14ac:dyDescent="0.2">
      <c r="A102" s="90" t="s">
        <v>784</v>
      </c>
      <c r="B102" s="91"/>
      <c r="C102" s="91"/>
      <c r="D102" s="91"/>
      <c r="E102" s="91"/>
      <c r="F102" s="91"/>
      <c r="G102" s="91"/>
    </row>
    <row r="103" spans="1:7" x14ac:dyDescent="0.2">
      <c r="A103" s="50" t="s">
        <v>47</v>
      </c>
    </row>
    <row r="104" spans="1:7" x14ac:dyDescent="0.2">
      <c r="A104" s="50"/>
    </row>
  </sheetData>
  <mergeCells count="5">
    <mergeCell ref="A1:G1"/>
    <mergeCell ref="A92:B92"/>
    <mergeCell ref="A93:B93"/>
    <mergeCell ref="A94:B94"/>
    <mergeCell ref="A102:G102"/>
  </mergeCells>
  <conditionalFormatting sqref="F2:F3 F5:F76 F104:F65538 F79:F101">
    <cfRule type="cellIs" dxfId="115" priority="4" stopIfTrue="1" operator="between">
      <formula>0.009</formula>
      <formula>-0.009</formula>
    </cfRule>
  </conditionalFormatting>
  <conditionalFormatting sqref="F103">
    <cfRule type="cellIs" dxfId="114" priority="2" stopIfTrue="1" operator="between">
      <formula>0.009</formula>
      <formula>-0.009</formula>
    </cfRule>
  </conditionalFormatting>
  <conditionalFormatting sqref="F77:F78">
    <cfRule type="cellIs" dxfId="113" priority="1" stopIfTrue="1" operator="between">
      <formula>0.009</formula>
      <formula>-0.009</formula>
    </cfRule>
  </conditionalFormatting>
  <hyperlinks>
    <hyperlink ref="A103" r:id="rId1" xr:uid="{00000000-0004-0000-1D00-000000000000}"/>
  </hyperlinks>
  <pageMargins left="0.7" right="0.7" top="0.75" bottom="0.75" header="0.3" footer="0.3"/>
  <pageSetup paperSize="9" scale="47" orientation="portrait" r:id="rId2"/>
  <headerFooter>
    <oddFooter>&amp;R&amp;1#&amp;"Calibri"&amp;10&amp;KFF0000|PUBLIC|</oddFooter>
    <evenFooter>&amp;LPUBLIC</evenFooter>
    <firstFooter>&amp;LPUBLIC</firstFooter>
  </headerFooter>
  <colBreaks count="1" manualBreakCount="1">
    <brk id="7" max="1048575" man="1"/>
  </col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I102"/>
  <sheetViews>
    <sheetView view="pageBreakPreview" zoomScaleNormal="100" zoomScaleSheetLayoutView="100" workbookViewId="0">
      <selection sqref="A1:G1"/>
    </sheetView>
  </sheetViews>
  <sheetFormatPr defaultColWidth="9.21875" defaultRowHeight="10.199999999999999" x14ac:dyDescent="0.2"/>
  <cols>
    <col min="1" max="1" width="38.77734375" style="9" bestFit="1" customWidth="1"/>
    <col min="2" max="2" width="51" style="9" bestFit="1" customWidth="1"/>
    <col min="3" max="3" width="25.21875" style="9" bestFit="1" customWidth="1"/>
    <col min="4" max="4" width="15.44140625" style="10" bestFit="1" customWidth="1"/>
    <col min="5" max="5" width="23" style="13" bestFit="1" customWidth="1"/>
    <col min="6" max="6" width="13.5546875" style="14" bestFit="1" customWidth="1"/>
    <col min="7" max="7" width="14.21875" style="13" customWidth="1"/>
    <col min="8" max="16384" width="9.21875" style="9"/>
  </cols>
  <sheetData>
    <row r="1" spans="1:7" s="1" customFormat="1" ht="13.8" x14ac:dyDescent="0.2">
      <c r="A1" s="92" t="s">
        <v>1506</v>
      </c>
      <c r="B1" s="93"/>
      <c r="C1" s="93"/>
      <c r="D1" s="93"/>
      <c r="E1" s="93"/>
      <c r="F1" s="93"/>
      <c r="G1" s="93"/>
    </row>
    <row r="2" spans="1:7" s="1" customFormat="1" ht="12" x14ac:dyDescent="0.25">
      <c r="A2" s="56" t="s">
        <v>1011</v>
      </c>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5</v>
      </c>
      <c r="D4" s="16" t="s">
        <v>1</v>
      </c>
      <c r="E4" s="15" t="s">
        <v>3</v>
      </c>
      <c r="F4" s="15" t="s">
        <v>4</v>
      </c>
      <c r="G4" s="15" t="s">
        <v>6</v>
      </c>
    </row>
    <row r="5" spans="1:7" x14ac:dyDescent="0.2">
      <c r="A5" s="21" t="s">
        <v>84</v>
      </c>
      <c r="B5" s="22"/>
      <c r="C5" s="22"/>
      <c r="D5" s="23"/>
      <c r="E5" s="24"/>
      <c r="F5" s="25"/>
      <c r="G5" s="24"/>
    </row>
    <row r="6" spans="1:7" x14ac:dyDescent="0.2">
      <c r="A6" s="26" t="s">
        <v>27</v>
      </c>
      <c r="B6" s="27"/>
      <c r="C6" s="27"/>
      <c r="D6" s="28"/>
      <c r="E6" s="29"/>
      <c r="F6" s="30"/>
      <c r="G6" s="29"/>
    </row>
    <row r="7" spans="1:7" x14ac:dyDescent="0.2">
      <c r="A7" s="27" t="s">
        <v>92</v>
      </c>
      <c r="B7" s="27" t="s">
        <v>91</v>
      </c>
      <c r="C7" s="27" t="s">
        <v>87</v>
      </c>
      <c r="D7" s="31">
        <v>70488</v>
      </c>
      <c r="E7" s="29">
        <v>491.61855600000001</v>
      </c>
      <c r="F7" s="30">
        <v>2.6050238623124402</v>
      </c>
      <c r="G7" s="29"/>
    </row>
    <row r="8" spans="1:7" x14ac:dyDescent="0.2">
      <c r="A8" s="27" t="s">
        <v>89</v>
      </c>
      <c r="B8" s="27" t="s">
        <v>88</v>
      </c>
      <c r="C8" s="27" t="s">
        <v>90</v>
      </c>
      <c r="D8" s="31">
        <v>34838</v>
      </c>
      <c r="E8" s="29">
        <v>476.60125900000003</v>
      </c>
      <c r="F8" s="30">
        <v>2.5254491258526701</v>
      </c>
      <c r="G8" s="29"/>
    </row>
    <row r="9" spans="1:7" x14ac:dyDescent="0.2">
      <c r="A9" s="27" t="s">
        <v>86</v>
      </c>
      <c r="B9" s="27" t="s">
        <v>85</v>
      </c>
      <c r="C9" s="27" t="s">
        <v>87</v>
      </c>
      <c r="D9" s="31">
        <v>18986</v>
      </c>
      <c r="E9" s="29">
        <v>283.58438899999999</v>
      </c>
      <c r="F9" s="30">
        <v>1.5026774138368599</v>
      </c>
      <c r="G9" s="29"/>
    </row>
    <row r="10" spans="1:7" x14ac:dyDescent="0.2">
      <c r="A10" s="27" t="s">
        <v>94</v>
      </c>
      <c r="B10" s="27" t="s">
        <v>93</v>
      </c>
      <c r="C10" s="27" t="s">
        <v>87</v>
      </c>
      <c r="D10" s="31">
        <v>45874</v>
      </c>
      <c r="E10" s="29">
        <v>267.032554</v>
      </c>
      <c r="F10" s="30">
        <v>1.4149713567447899</v>
      </c>
      <c r="G10" s="29"/>
    </row>
    <row r="11" spans="1:7" x14ac:dyDescent="0.2">
      <c r="A11" s="27" t="s">
        <v>105</v>
      </c>
      <c r="B11" s="27" t="s">
        <v>104</v>
      </c>
      <c r="C11" s="27" t="s">
        <v>106</v>
      </c>
      <c r="D11" s="31">
        <v>24500</v>
      </c>
      <c r="E11" s="29">
        <v>245.47774999999999</v>
      </c>
      <c r="F11" s="30">
        <v>1.3007552066785</v>
      </c>
      <c r="G11" s="29"/>
    </row>
    <row r="12" spans="1:7" x14ac:dyDescent="0.2">
      <c r="A12" s="27" t="s">
        <v>119</v>
      </c>
      <c r="B12" s="27" t="s">
        <v>118</v>
      </c>
      <c r="C12" s="27" t="s">
        <v>111</v>
      </c>
      <c r="D12" s="31">
        <v>84873</v>
      </c>
      <c r="E12" s="29">
        <v>232.00034550000001</v>
      </c>
      <c r="F12" s="30">
        <v>1.22934016366183</v>
      </c>
      <c r="G12" s="29"/>
    </row>
    <row r="13" spans="1:7" x14ac:dyDescent="0.2">
      <c r="A13" s="27" t="s">
        <v>129</v>
      </c>
      <c r="B13" s="27" t="s">
        <v>128</v>
      </c>
      <c r="C13" s="27" t="s">
        <v>130</v>
      </c>
      <c r="D13" s="31">
        <v>103926</v>
      </c>
      <c r="E13" s="29">
        <v>224.11641900000001</v>
      </c>
      <c r="F13" s="30">
        <v>1.18756424529877</v>
      </c>
      <c r="G13" s="29"/>
    </row>
    <row r="14" spans="1:7" x14ac:dyDescent="0.2">
      <c r="A14" s="27" t="s">
        <v>145</v>
      </c>
      <c r="B14" s="27" t="s">
        <v>144</v>
      </c>
      <c r="C14" s="27" t="s">
        <v>117</v>
      </c>
      <c r="D14" s="31">
        <v>33697</v>
      </c>
      <c r="E14" s="29">
        <v>202.5358185</v>
      </c>
      <c r="F14" s="30">
        <v>1.07321140287772</v>
      </c>
      <c r="G14" s="29"/>
    </row>
    <row r="15" spans="1:7" x14ac:dyDescent="0.2">
      <c r="A15" s="27" t="s">
        <v>168</v>
      </c>
      <c r="B15" s="27" t="s">
        <v>167</v>
      </c>
      <c r="C15" s="27" t="s">
        <v>127</v>
      </c>
      <c r="D15" s="31">
        <v>4300</v>
      </c>
      <c r="E15" s="29">
        <v>194.18799999999999</v>
      </c>
      <c r="F15" s="30">
        <v>1.0289773801270601</v>
      </c>
      <c r="G15" s="29"/>
    </row>
    <row r="16" spans="1:7" x14ac:dyDescent="0.2">
      <c r="A16" s="27" t="s">
        <v>96</v>
      </c>
      <c r="B16" s="27" t="s">
        <v>95</v>
      </c>
      <c r="C16" s="27" t="s">
        <v>97</v>
      </c>
      <c r="D16" s="31">
        <v>36903</v>
      </c>
      <c r="E16" s="29">
        <v>190.89921899999999</v>
      </c>
      <c r="F16" s="30">
        <v>1.0115505501623301</v>
      </c>
      <c r="G16" s="29"/>
    </row>
    <row r="17" spans="1:9" x14ac:dyDescent="0.2">
      <c r="A17" s="27" t="s">
        <v>126</v>
      </c>
      <c r="B17" s="27" t="s">
        <v>125</v>
      </c>
      <c r="C17" s="27" t="s">
        <v>127</v>
      </c>
      <c r="D17" s="31">
        <v>35000</v>
      </c>
      <c r="E17" s="29">
        <v>154.315</v>
      </c>
      <c r="F17" s="30">
        <v>0.81769545190386195</v>
      </c>
      <c r="G17" s="29"/>
    </row>
    <row r="18" spans="1:9" x14ac:dyDescent="0.2">
      <c r="A18" s="27" t="s">
        <v>116</v>
      </c>
      <c r="B18" s="27" t="s">
        <v>115</v>
      </c>
      <c r="C18" s="27" t="s">
        <v>117</v>
      </c>
      <c r="D18" s="31">
        <v>9526</v>
      </c>
      <c r="E18" s="29">
        <v>148.54368099999999</v>
      </c>
      <c r="F18" s="30">
        <v>0.78711397053272902</v>
      </c>
      <c r="G18" s="29"/>
    </row>
    <row r="19" spans="1:9" x14ac:dyDescent="0.2">
      <c r="A19" s="27" t="s">
        <v>113</v>
      </c>
      <c r="B19" s="27" t="s">
        <v>112</v>
      </c>
      <c r="C19" s="27" t="s">
        <v>114</v>
      </c>
      <c r="D19" s="31">
        <v>41457</v>
      </c>
      <c r="E19" s="29">
        <v>135.5022045</v>
      </c>
      <c r="F19" s="30">
        <v>0.71800885424357297</v>
      </c>
      <c r="G19" s="29"/>
    </row>
    <row r="20" spans="1:9" x14ac:dyDescent="0.2">
      <c r="A20" s="27" t="s">
        <v>139</v>
      </c>
      <c r="B20" s="27" t="s">
        <v>138</v>
      </c>
      <c r="C20" s="27" t="s">
        <v>122</v>
      </c>
      <c r="D20" s="31">
        <v>30000</v>
      </c>
      <c r="E20" s="29">
        <v>128.38499999999999</v>
      </c>
      <c r="F20" s="30">
        <v>0.68029569771361997</v>
      </c>
      <c r="G20" s="29"/>
    </row>
    <row r="21" spans="1:9" x14ac:dyDescent="0.2">
      <c r="A21" s="27" t="s">
        <v>99</v>
      </c>
      <c r="B21" s="27" t="s">
        <v>98</v>
      </c>
      <c r="C21" s="27" t="s">
        <v>100</v>
      </c>
      <c r="D21" s="31">
        <v>7500</v>
      </c>
      <c r="E21" s="29">
        <v>126.6375</v>
      </c>
      <c r="F21" s="30">
        <v>0.67103591867592405</v>
      </c>
      <c r="G21" s="29"/>
    </row>
    <row r="22" spans="1:9" x14ac:dyDescent="0.2">
      <c r="A22" s="27" t="s">
        <v>137</v>
      </c>
      <c r="B22" s="27" t="s">
        <v>136</v>
      </c>
      <c r="C22" s="27" t="s">
        <v>117</v>
      </c>
      <c r="D22" s="31">
        <v>10000</v>
      </c>
      <c r="E22" s="29">
        <v>124.145</v>
      </c>
      <c r="F22" s="30">
        <v>0.65782847990542004</v>
      </c>
      <c r="G22" s="29"/>
    </row>
    <row r="23" spans="1:9" x14ac:dyDescent="0.2">
      <c r="A23" s="27" t="s">
        <v>124</v>
      </c>
      <c r="B23" s="27" t="s">
        <v>123</v>
      </c>
      <c r="C23" s="27" t="s">
        <v>87</v>
      </c>
      <c r="D23" s="31">
        <v>29755</v>
      </c>
      <c r="E23" s="29">
        <v>108.397465</v>
      </c>
      <c r="F23" s="30">
        <v>0.57438430566314402</v>
      </c>
      <c r="G23" s="29"/>
    </row>
    <row r="24" spans="1:9" x14ac:dyDescent="0.2">
      <c r="A24" s="27" t="s">
        <v>108</v>
      </c>
      <c r="B24" s="27" t="s">
        <v>107</v>
      </c>
      <c r="C24" s="27" t="s">
        <v>87</v>
      </c>
      <c r="D24" s="31">
        <v>5409</v>
      </c>
      <c r="E24" s="29">
        <v>94.819770000000005</v>
      </c>
      <c r="F24" s="30">
        <v>0.50243783611165604</v>
      </c>
      <c r="G24" s="29"/>
    </row>
    <row r="25" spans="1:9" x14ac:dyDescent="0.2">
      <c r="A25" s="27" t="s">
        <v>153</v>
      </c>
      <c r="B25" s="27" t="s">
        <v>152</v>
      </c>
      <c r="C25" s="27" t="s">
        <v>154</v>
      </c>
      <c r="D25" s="31">
        <v>35367</v>
      </c>
      <c r="E25" s="29">
        <v>71.176087499999994</v>
      </c>
      <c r="F25" s="30">
        <v>0.377152985990094</v>
      </c>
      <c r="G25" s="29"/>
    </row>
    <row r="26" spans="1:9" x14ac:dyDescent="0.2">
      <c r="A26" s="27" t="s">
        <v>134</v>
      </c>
      <c r="B26" s="27" t="s">
        <v>133</v>
      </c>
      <c r="C26" s="27" t="s">
        <v>135</v>
      </c>
      <c r="D26" s="31">
        <v>8641</v>
      </c>
      <c r="E26" s="29">
        <v>68.717552499999996</v>
      </c>
      <c r="F26" s="30">
        <v>0.364125523411301</v>
      </c>
      <c r="G26" s="29"/>
    </row>
    <row r="27" spans="1:9" x14ac:dyDescent="0.2">
      <c r="A27" s="27" t="s">
        <v>156</v>
      </c>
      <c r="B27" s="27" t="s">
        <v>155</v>
      </c>
      <c r="C27" s="27" t="s">
        <v>135</v>
      </c>
      <c r="D27" s="31">
        <v>20000</v>
      </c>
      <c r="E27" s="29">
        <v>60.36</v>
      </c>
      <c r="F27" s="30">
        <v>0.31983992143937501</v>
      </c>
      <c r="G27" s="29"/>
    </row>
    <row r="28" spans="1:9" x14ac:dyDescent="0.2">
      <c r="A28" s="27" t="s">
        <v>158</v>
      </c>
      <c r="B28" s="27" t="s">
        <v>157</v>
      </c>
      <c r="C28" s="27" t="s">
        <v>159</v>
      </c>
      <c r="D28" s="31">
        <v>97694</v>
      </c>
      <c r="E28" s="29">
        <v>57.395225000000003</v>
      </c>
      <c r="F28" s="30">
        <v>0.30412995783623598</v>
      </c>
      <c r="G28" s="29"/>
    </row>
    <row r="29" spans="1:9" x14ac:dyDescent="0.2">
      <c r="A29" s="27" t="s">
        <v>170</v>
      </c>
      <c r="B29" s="27" t="s">
        <v>169</v>
      </c>
      <c r="C29" s="27" t="s">
        <v>171</v>
      </c>
      <c r="D29" s="31">
        <v>3254</v>
      </c>
      <c r="E29" s="29">
        <v>47.200896999999998</v>
      </c>
      <c r="F29" s="30">
        <v>0.25011151736825699</v>
      </c>
      <c r="G29" s="29"/>
    </row>
    <row r="30" spans="1:9" x14ac:dyDescent="0.2">
      <c r="A30" s="27" t="s">
        <v>161</v>
      </c>
      <c r="B30" s="27" t="s">
        <v>160</v>
      </c>
      <c r="C30" s="27" t="s">
        <v>154</v>
      </c>
      <c r="D30" s="31">
        <v>4133</v>
      </c>
      <c r="E30" s="29">
        <v>6.9806369999999998</v>
      </c>
      <c r="F30" s="30">
        <v>3.6989502811080002E-2</v>
      </c>
      <c r="G30" s="29"/>
    </row>
    <row r="31" spans="1:9" x14ac:dyDescent="0.2">
      <c r="A31" s="27" t="s">
        <v>163</v>
      </c>
      <c r="B31" s="27" t="s">
        <v>162</v>
      </c>
      <c r="C31" s="27" t="s">
        <v>164</v>
      </c>
      <c r="D31" s="31">
        <v>581</v>
      </c>
      <c r="E31" s="29">
        <v>0.75733349999999999</v>
      </c>
      <c r="F31" s="30">
        <v>4.0130133721571698E-3</v>
      </c>
      <c r="G31" s="29"/>
    </row>
    <row r="32" spans="1:9" x14ac:dyDescent="0.2">
      <c r="A32" s="26" t="s">
        <v>34</v>
      </c>
      <c r="B32" s="26"/>
      <c r="C32" s="26"/>
      <c r="D32" s="32"/>
      <c r="E32" s="33">
        <f>SUM(E7:E31)</f>
        <v>4141.3876629999995</v>
      </c>
      <c r="F32" s="34">
        <f>SUM(F7:F31)</f>
        <v>21.944683644531388</v>
      </c>
      <c r="G32" s="33"/>
      <c r="H32" s="18"/>
      <c r="I32" s="18"/>
    </row>
    <row r="33" spans="1:9" x14ac:dyDescent="0.2">
      <c r="A33" s="27"/>
      <c r="B33" s="27"/>
      <c r="C33" s="27"/>
      <c r="D33" s="28"/>
      <c r="E33" s="29"/>
      <c r="F33" s="30"/>
      <c r="G33" s="29"/>
    </row>
    <row r="34" spans="1:9" x14ac:dyDescent="0.2">
      <c r="A34" s="26" t="s">
        <v>26</v>
      </c>
      <c r="B34" s="27"/>
      <c r="C34" s="27"/>
      <c r="D34" s="28"/>
      <c r="E34" s="29"/>
      <c r="F34" s="30"/>
      <c r="G34" s="29"/>
    </row>
    <row r="35" spans="1:9" x14ac:dyDescent="0.2">
      <c r="A35" s="26" t="s">
        <v>27</v>
      </c>
      <c r="B35" s="27"/>
      <c r="C35" s="27"/>
      <c r="D35" s="28"/>
      <c r="E35" s="29"/>
      <c r="F35" s="30"/>
      <c r="G35" s="29"/>
    </row>
    <row r="36" spans="1:9" x14ac:dyDescent="0.2">
      <c r="A36" s="27" t="s">
        <v>166</v>
      </c>
      <c r="B36" s="27" t="s">
        <v>165</v>
      </c>
      <c r="C36" s="27" t="s">
        <v>33</v>
      </c>
      <c r="D36" s="31">
        <v>200</v>
      </c>
      <c r="E36" s="29">
        <v>2072.768</v>
      </c>
      <c r="F36" s="30">
        <v>10.983332575912</v>
      </c>
      <c r="G36" s="29">
        <v>5.05</v>
      </c>
    </row>
    <row r="37" spans="1:9" x14ac:dyDescent="0.2">
      <c r="A37" s="27" t="s">
        <v>81</v>
      </c>
      <c r="B37" s="27" t="s">
        <v>80</v>
      </c>
      <c r="C37" s="27" t="s">
        <v>33</v>
      </c>
      <c r="D37" s="31">
        <v>65</v>
      </c>
      <c r="E37" s="29">
        <v>723.39864999999998</v>
      </c>
      <c r="F37" s="30">
        <v>3.8331969414405198</v>
      </c>
      <c r="G37" s="29">
        <v>6.98</v>
      </c>
    </row>
    <row r="38" spans="1:9" x14ac:dyDescent="0.2">
      <c r="A38" s="27" t="s">
        <v>920</v>
      </c>
      <c r="B38" s="27" t="s">
        <v>921</v>
      </c>
      <c r="C38" s="27" t="s">
        <v>33</v>
      </c>
      <c r="D38" s="31">
        <v>50</v>
      </c>
      <c r="E38" s="29">
        <v>545.56200000000001</v>
      </c>
      <c r="F38" s="30">
        <v>2.8908632740276401</v>
      </c>
      <c r="G38" s="29">
        <v>6.2750000000000004</v>
      </c>
    </row>
    <row r="39" spans="1:9" x14ac:dyDescent="0.2">
      <c r="A39" s="27" t="s">
        <v>1416</v>
      </c>
      <c r="B39" s="27" t="s">
        <v>1417</v>
      </c>
      <c r="C39" s="27" t="s">
        <v>33</v>
      </c>
      <c r="D39" s="31">
        <v>35</v>
      </c>
      <c r="E39" s="29">
        <v>387.92565000000002</v>
      </c>
      <c r="F39" s="30">
        <v>2.05556841319282</v>
      </c>
      <c r="G39" s="29">
        <v>7</v>
      </c>
    </row>
    <row r="40" spans="1:9" x14ac:dyDescent="0.2">
      <c r="A40" s="27" t="s">
        <v>79</v>
      </c>
      <c r="B40" s="27" t="s">
        <v>78</v>
      </c>
      <c r="C40" s="27" t="s">
        <v>33</v>
      </c>
      <c r="D40" s="31">
        <v>30</v>
      </c>
      <c r="E40" s="29">
        <v>333.23309999999998</v>
      </c>
      <c r="F40" s="30">
        <v>1.76575958457587</v>
      </c>
      <c r="G40" s="29">
        <v>7</v>
      </c>
    </row>
    <row r="41" spans="1:9" x14ac:dyDescent="0.2">
      <c r="A41" s="26" t="s">
        <v>34</v>
      </c>
      <c r="B41" s="26"/>
      <c r="C41" s="26"/>
      <c r="D41" s="32"/>
      <c r="E41" s="33">
        <f>SUM(E35:E40)</f>
        <v>4062.8874000000001</v>
      </c>
      <c r="F41" s="34">
        <f>SUM(F35:F40)</f>
        <v>21.528720789148849</v>
      </c>
      <c r="G41" s="33"/>
      <c r="H41" s="18"/>
      <c r="I41" s="18"/>
    </row>
    <row r="42" spans="1:9" x14ac:dyDescent="0.2">
      <c r="A42" s="27"/>
      <c r="B42" s="27"/>
      <c r="C42" s="27"/>
      <c r="D42" s="28"/>
      <c r="E42" s="29"/>
      <c r="F42" s="30"/>
      <c r="G42" s="29"/>
    </row>
    <row r="43" spans="1:9" x14ac:dyDescent="0.2">
      <c r="A43" s="26" t="s">
        <v>48</v>
      </c>
      <c r="B43" s="27"/>
      <c r="C43" s="27"/>
      <c r="D43" s="28"/>
      <c r="E43" s="29"/>
      <c r="F43" s="30"/>
      <c r="G43" s="29"/>
    </row>
    <row r="44" spans="1:9" x14ac:dyDescent="0.2">
      <c r="A44" s="26" t="s">
        <v>49</v>
      </c>
      <c r="B44" s="27"/>
      <c r="C44" s="27"/>
      <c r="D44" s="28"/>
      <c r="E44" s="29"/>
      <c r="F44" s="30"/>
      <c r="G44" s="29"/>
    </row>
    <row r="45" spans="1:9" x14ac:dyDescent="0.2">
      <c r="A45" s="27" t="s">
        <v>173</v>
      </c>
      <c r="B45" s="27" t="s">
        <v>172</v>
      </c>
      <c r="C45" s="27" t="s">
        <v>51</v>
      </c>
      <c r="D45" s="31">
        <v>500</v>
      </c>
      <c r="E45" s="29">
        <v>482.91699999999997</v>
      </c>
      <c r="F45" s="30">
        <v>2.5589154297836099</v>
      </c>
      <c r="G45" s="29">
        <v>3.9973999999999998</v>
      </c>
    </row>
    <row r="46" spans="1:9" x14ac:dyDescent="0.2">
      <c r="A46" s="26" t="s">
        <v>34</v>
      </c>
      <c r="B46" s="26"/>
      <c r="C46" s="26"/>
      <c r="D46" s="32"/>
      <c r="E46" s="33">
        <f>SUM(E44:E45)</f>
        <v>482.91699999999997</v>
      </c>
      <c r="F46" s="34">
        <f>SUM(F44:F45)</f>
        <v>2.5589154297836099</v>
      </c>
      <c r="G46" s="33"/>
      <c r="H46" s="18"/>
      <c r="I46" s="18"/>
    </row>
    <row r="47" spans="1:9" x14ac:dyDescent="0.2">
      <c r="A47" s="27"/>
      <c r="B47" s="27"/>
      <c r="C47" s="27"/>
      <c r="D47" s="28"/>
      <c r="E47" s="29"/>
      <c r="F47" s="30"/>
      <c r="G47" s="29"/>
    </row>
    <row r="48" spans="1:9" x14ac:dyDescent="0.2">
      <c r="A48" s="26" t="s">
        <v>52</v>
      </c>
      <c r="B48" s="27"/>
      <c r="C48" s="27"/>
      <c r="D48" s="28"/>
      <c r="E48" s="29"/>
      <c r="F48" s="30"/>
      <c r="G48" s="29"/>
    </row>
    <row r="49" spans="1:9" x14ac:dyDescent="0.2">
      <c r="A49" s="27" t="s">
        <v>1418</v>
      </c>
      <c r="B49" s="27" t="s">
        <v>1419</v>
      </c>
      <c r="C49" s="27" t="s">
        <v>50</v>
      </c>
      <c r="D49" s="31">
        <v>100</v>
      </c>
      <c r="E49" s="29">
        <v>486.387</v>
      </c>
      <c r="F49" s="30">
        <v>2.5773025160558798</v>
      </c>
      <c r="G49" s="29">
        <v>3.9750000000000001</v>
      </c>
    </row>
    <row r="50" spans="1:9" x14ac:dyDescent="0.2">
      <c r="A50" s="26" t="s">
        <v>34</v>
      </c>
      <c r="B50" s="26"/>
      <c r="C50" s="26"/>
      <c r="D50" s="32"/>
      <c r="E50" s="33">
        <f>SUM(E48:E49)</f>
        <v>486.387</v>
      </c>
      <c r="F50" s="34">
        <f>SUM(F48:F49)</f>
        <v>2.5773025160558798</v>
      </c>
      <c r="G50" s="33"/>
      <c r="H50" s="18"/>
      <c r="I50" s="18"/>
    </row>
    <row r="51" spans="1:9" x14ac:dyDescent="0.2">
      <c r="A51" s="27"/>
      <c r="B51" s="27"/>
      <c r="C51" s="27"/>
      <c r="D51" s="28"/>
      <c r="E51" s="29"/>
      <c r="F51" s="30"/>
      <c r="G51" s="29"/>
    </row>
    <row r="52" spans="1:9" x14ac:dyDescent="0.2">
      <c r="A52" s="26" t="s">
        <v>58</v>
      </c>
      <c r="B52" s="27"/>
      <c r="C52" s="27"/>
      <c r="D52" s="28"/>
      <c r="E52" s="29"/>
      <c r="F52" s="30"/>
      <c r="G52" s="29"/>
    </row>
    <row r="53" spans="1:9" x14ac:dyDescent="0.2">
      <c r="A53" s="27" t="s">
        <v>68</v>
      </c>
      <c r="B53" s="27" t="s">
        <v>67</v>
      </c>
      <c r="C53" s="27" t="s">
        <v>62</v>
      </c>
      <c r="D53" s="31">
        <v>1500000</v>
      </c>
      <c r="E53" s="29">
        <v>1492.6605</v>
      </c>
      <c r="F53" s="30">
        <v>7.9094171149048602</v>
      </c>
      <c r="G53" s="29">
        <v>3.2048999999999999</v>
      </c>
    </row>
    <row r="54" spans="1:9" x14ac:dyDescent="0.2">
      <c r="A54" s="26" t="s">
        <v>34</v>
      </c>
      <c r="B54" s="26"/>
      <c r="C54" s="26"/>
      <c r="D54" s="32"/>
      <c r="E54" s="33">
        <f>SUM(E52:E53)</f>
        <v>1492.6605</v>
      </c>
      <c r="F54" s="34">
        <f>SUM(F52:F53)</f>
        <v>7.9094171149048602</v>
      </c>
      <c r="G54" s="33"/>
      <c r="H54" s="18"/>
      <c r="I54" s="18"/>
    </row>
    <row r="55" spans="1:9" x14ac:dyDescent="0.2">
      <c r="A55" s="27"/>
      <c r="B55" s="27"/>
      <c r="C55" s="27"/>
      <c r="D55" s="28"/>
      <c r="E55" s="29"/>
      <c r="F55" s="30"/>
      <c r="G55" s="29"/>
    </row>
    <row r="56" spans="1:9" x14ac:dyDescent="0.2">
      <c r="A56" s="26" t="s">
        <v>59</v>
      </c>
      <c r="B56" s="27"/>
      <c r="C56" s="27"/>
      <c r="D56" s="28"/>
      <c r="E56" s="29"/>
      <c r="F56" s="30"/>
      <c r="G56" s="29"/>
    </row>
    <row r="57" spans="1:9" x14ac:dyDescent="0.2">
      <c r="A57" s="27" t="s">
        <v>70</v>
      </c>
      <c r="B57" s="27" t="s">
        <v>69</v>
      </c>
      <c r="C57" s="27" t="s">
        <v>62</v>
      </c>
      <c r="D57" s="31">
        <v>3000000</v>
      </c>
      <c r="E57" s="29">
        <v>2933.5650000000001</v>
      </c>
      <c r="F57" s="30">
        <v>15.5445858041302</v>
      </c>
      <c r="G57" s="29">
        <v>5.702</v>
      </c>
    </row>
    <row r="58" spans="1:9" x14ac:dyDescent="0.2">
      <c r="A58" s="27" t="s">
        <v>1007</v>
      </c>
      <c r="B58" s="27" t="s">
        <v>1008</v>
      </c>
      <c r="C58" s="27" t="s">
        <v>62</v>
      </c>
      <c r="D58" s="31">
        <v>925000</v>
      </c>
      <c r="E58" s="29">
        <v>967.94775000000004</v>
      </c>
      <c r="F58" s="30">
        <v>5.1290313505205303</v>
      </c>
      <c r="G58" s="29">
        <v>6.3140000000000001</v>
      </c>
    </row>
    <row r="59" spans="1:9" x14ac:dyDescent="0.2">
      <c r="A59" s="27" t="s">
        <v>83</v>
      </c>
      <c r="B59" s="27" t="s">
        <v>82</v>
      </c>
      <c r="C59" s="27" t="s">
        <v>62</v>
      </c>
      <c r="D59" s="31">
        <v>800000</v>
      </c>
      <c r="E59" s="29">
        <v>823.28160000000003</v>
      </c>
      <c r="F59" s="30">
        <v>4.3624639209158804</v>
      </c>
      <c r="G59" s="29">
        <v>5.2779999999999996</v>
      </c>
    </row>
    <row r="60" spans="1:9" x14ac:dyDescent="0.2">
      <c r="A60" s="27" t="s">
        <v>1005</v>
      </c>
      <c r="B60" s="27" t="s">
        <v>1006</v>
      </c>
      <c r="C60" s="27" t="s">
        <v>62</v>
      </c>
      <c r="D60" s="31">
        <v>700000</v>
      </c>
      <c r="E60" s="29">
        <v>721.98350000000005</v>
      </c>
      <c r="F60" s="30">
        <v>3.8256982425534201</v>
      </c>
      <c r="G60" s="29">
        <v>6.1645000000000003</v>
      </c>
    </row>
    <row r="61" spans="1:9" x14ac:dyDescent="0.2">
      <c r="A61" s="27" t="s">
        <v>75</v>
      </c>
      <c r="B61" s="27" t="s">
        <v>74</v>
      </c>
      <c r="C61" s="27" t="s">
        <v>62</v>
      </c>
      <c r="D61" s="31">
        <v>600000</v>
      </c>
      <c r="E61" s="29">
        <v>591.57899999999995</v>
      </c>
      <c r="F61" s="30">
        <v>3.1347014725842199</v>
      </c>
      <c r="G61" s="29">
        <v>5.5968</v>
      </c>
    </row>
    <row r="62" spans="1:9" x14ac:dyDescent="0.2">
      <c r="A62" s="27" t="s">
        <v>73</v>
      </c>
      <c r="B62" s="27" t="s">
        <v>72</v>
      </c>
      <c r="C62" s="27" t="s">
        <v>62</v>
      </c>
      <c r="D62" s="31">
        <v>200000</v>
      </c>
      <c r="E62" s="29">
        <v>212.44640000000001</v>
      </c>
      <c r="F62" s="30">
        <v>1.1257263069264101</v>
      </c>
      <c r="G62" s="29">
        <v>4.9292999999999996</v>
      </c>
    </row>
    <row r="63" spans="1:9" x14ac:dyDescent="0.2">
      <c r="A63" s="26" t="s">
        <v>34</v>
      </c>
      <c r="B63" s="26"/>
      <c r="C63" s="26"/>
      <c r="D63" s="32"/>
      <c r="E63" s="33">
        <f>SUM(E57:E62)</f>
        <v>6250.8032499999999</v>
      </c>
      <c r="F63" s="34">
        <f>SUM(F57:F62)</f>
        <v>33.122207097630664</v>
      </c>
      <c r="G63" s="33"/>
      <c r="H63" s="18"/>
      <c r="I63" s="18"/>
    </row>
    <row r="64" spans="1:9" x14ac:dyDescent="0.2">
      <c r="A64" s="27"/>
      <c r="B64" s="27"/>
      <c r="C64" s="27"/>
      <c r="D64" s="28"/>
      <c r="E64" s="29"/>
      <c r="F64" s="30"/>
      <c r="G64" s="29"/>
    </row>
    <row r="65" spans="1:9" x14ac:dyDescent="0.2">
      <c r="A65" s="26" t="s">
        <v>36</v>
      </c>
      <c r="B65" s="26"/>
      <c r="C65" s="26"/>
      <c r="D65" s="32"/>
      <c r="E65" s="33">
        <f>E32+E41+E46+E50+E54+E63</f>
        <v>16917.042813</v>
      </c>
      <c r="F65" s="34">
        <f>F32+F41+F46+F50+F54+F63</f>
        <v>89.641246592055253</v>
      </c>
      <c r="G65" s="33"/>
      <c r="H65" s="18"/>
      <c r="I65" s="18"/>
    </row>
    <row r="66" spans="1:9" x14ac:dyDescent="0.2">
      <c r="A66" s="26"/>
      <c r="B66" s="26"/>
      <c r="C66" s="26"/>
      <c r="D66" s="32"/>
      <c r="E66" s="33"/>
      <c r="F66" s="34"/>
      <c r="G66" s="33"/>
      <c r="H66" s="18"/>
      <c r="I66" s="18"/>
    </row>
    <row r="67" spans="1:9" x14ac:dyDescent="0.2">
      <c r="A67" s="26" t="s">
        <v>38</v>
      </c>
      <c r="B67" s="26"/>
      <c r="C67" s="26"/>
      <c r="D67" s="32"/>
      <c r="E67" s="33">
        <f>E69-(E32+E41+E46+E50+E54+E63)</f>
        <v>1954.8977903999985</v>
      </c>
      <c r="F67" s="34">
        <f>F69-(F32+F41+F46+F50+F54+F63)</f>
        <v>10.358753407944747</v>
      </c>
      <c r="G67" s="33"/>
      <c r="H67" s="18"/>
      <c r="I67" s="18"/>
    </row>
    <row r="68" spans="1:9" x14ac:dyDescent="0.2">
      <c r="A68" s="26"/>
      <c r="B68" s="26"/>
      <c r="C68" s="26"/>
      <c r="D68" s="32"/>
      <c r="E68" s="33"/>
      <c r="F68" s="34"/>
      <c r="G68" s="33"/>
      <c r="H68" s="18"/>
      <c r="I68" s="18"/>
    </row>
    <row r="69" spans="1:9" x14ac:dyDescent="0.2">
      <c r="A69" s="35" t="s">
        <v>37</v>
      </c>
      <c r="B69" s="35"/>
      <c r="C69" s="35"/>
      <c r="D69" s="36"/>
      <c r="E69" s="37">
        <v>18871.940603399999</v>
      </c>
      <c r="F69" s="38">
        <v>100</v>
      </c>
      <c r="G69" s="37"/>
      <c r="H69" s="18"/>
      <c r="I69" s="18"/>
    </row>
    <row r="70" spans="1:9" x14ac:dyDescent="0.2">
      <c r="F70" s="20" t="s">
        <v>497</v>
      </c>
    </row>
    <row r="71" spans="1:9" x14ac:dyDescent="0.2">
      <c r="A71" s="18" t="s">
        <v>63</v>
      </c>
    </row>
    <row r="72" spans="1:9" x14ac:dyDescent="0.2">
      <c r="A72" s="18" t="s">
        <v>39</v>
      </c>
    </row>
    <row r="74" spans="1:9" x14ac:dyDescent="0.2">
      <c r="A74" s="18" t="s">
        <v>40</v>
      </c>
    </row>
    <row r="75" spans="1:9" x14ac:dyDescent="0.2">
      <c r="A75" s="18" t="s">
        <v>41</v>
      </c>
    </row>
    <row r="76" spans="1:9" x14ac:dyDescent="0.2">
      <c r="A76" s="18" t="s">
        <v>42</v>
      </c>
      <c r="B76" s="18"/>
      <c r="C76" s="39" t="s">
        <v>44</v>
      </c>
      <c r="D76" s="19" t="s">
        <v>43</v>
      </c>
    </row>
    <row r="77" spans="1:9" x14ac:dyDescent="0.2">
      <c r="A77" s="9" t="s">
        <v>65</v>
      </c>
      <c r="C77" s="40">
        <v>58.98</v>
      </c>
      <c r="D77" s="40">
        <v>64.174400000000006</v>
      </c>
    </row>
    <row r="78" spans="1:9" x14ac:dyDescent="0.2">
      <c r="A78" s="9" t="s">
        <v>947</v>
      </c>
      <c r="C78" s="40">
        <v>12.584899999999999</v>
      </c>
      <c r="D78" s="40">
        <v>13.169700000000001</v>
      </c>
    </row>
    <row r="79" spans="1:9" x14ac:dyDescent="0.2">
      <c r="A79" s="9" t="s">
        <v>948</v>
      </c>
      <c r="C79" s="40">
        <v>11.9397</v>
      </c>
      <c r="D79" s="40">
        <v>12.461600000000001</v>
      </c>
    </row>
    <row r="80" spans="1:9" x14ac:dyDescent="0.2">
      <c r="A80" s="9" t="s">
        <v>66</v>
      </c>
      <c r="C80" s="40">
        <v>62.517400000000002</v>
      </c>
      <c r="D80" s="40">
        <v>68.279700000000005</v>
      </c>
    </row>
    <row r="81" spans="1:5" x14ac:dyDescent="0.2">
      <c r="A81" s="9" t="s">
        <v>951</v>
      </c>
      <c r="C81" s="40">
        <v>13.5709</v>
      </c>
      <c r="D81" s="40">
        <v>14.2903</v>
      </c>
    </row>
    <row r="82" spans="1:5" x14ac:dyDescent="0.2">
      <c r="A82" s="9" t="s">
        <v>952</v>
      </c>
      <c r="C82" s="40">
        <v>12.8909</v>
      </c>
      <c r="D82" s="40">
        <v>13.5433</v>
      </c>
    </row>
    <row r="83" spans="1:5" x14ac:dyDescent="0.2">
      <c r="C83" s="40"/>
      <c r="D83" s="40"/>
    </row>
    <row r="84" spans="1:5" x14ac:dyDescent="0.2">
      <c r="A84" s="18" t="s">
        <v>1560</v>
      </c>
    </row>
    <row r="85" spans="1:5" x14ac:dyDescent="0.2">
      <c r="A85" s="94" t="s">
        <v>64</v>
      </c>
      <c r="B85" s="95"/>
      <c r="C85" s="44" t="s">
        <v>1544</v>
      </c>
    </row>
    <row r="86" spans="1:5" x14ac:dyDescent="0.2">
      <c r="A86" s="88" t="s">
        <v>947</v>
      </c>
      <c r="B86" s="89"/>
      <c r="C86" s="45">
        <v>0.51</v>
      </c>
    </row>
    <row r="87" spans="1:5" x14ac:dyDescent="0.2">
      <c r="A87" s="88" t="s">
        <v>948</v>
      </c>
      <c r="B87" s="89"/>
      <c r="C87" s="45">
        <v>0.52</v>
      </c>
    </row>
    <row r="88" spans="1:5" x14ac:dyDescent="0.2">
      <c r="A88" s="88" t="s">
        <v>951</v>
      </c>
      <c r="B88" s="89"/>
      <c r="C88" s="45">
        <v>0.51</v>
      </c>
    </row>
    <row r="89" spans="1:5" x14ac:dyDescent="0.2">
      <c r="A89" s="88" t="s">
        <v>952</v>
      </c>
      <c r="B89" s="89"/>
      <c r="C89" s="45">
        <v>0.52</v>
      </c>
    </row>
    <row r="90" spans="1:5" x14ac:dyDescent="0.2">
      <c r="A90" s="9" t="s">
        <v>1545</v>
      </c>
    </row>
    <row r="91" spans="1:5" x14ac:dyDescent="0.2">
      <c r="A91" s="9" t="s">
        <v>782</v>
      </c>
    </row>
    <row r="93" spans="1:5" x14ac:dyDescent="0.2">
      <c r="A93" s="18" t="s">
        <v>783</v>
      </c>
      <c r="D93" s="42">
        <v>3.4410830299927202</v>
      </c>
      <c r="E93" s="13" t="s">
        <v>46</v>
      </c>
    </row>
    <row r="95" spans="1:5" x14ac:dyDescent="0.2">
      <c r="A95" s="18" t="s">
        <v>717</v>
      </c>
      <c r="D95" s="41" t="s">
        <v>45</v>
      </c>
    </row>
    <row r="97" spans="1:7" ht="30" customHeight="1" x14ac:dyDescent="0.2">
      <c r="A97" s="96" t="s">
        <v>1420</v>
      </c>
      <c r="B97" s="96"/>
      <c r="C97" s="96"/>
      <c r="D97" s="96"/>
      <c r="E97" s="96"/>
      <c r="F97" s="96"/>
      <c r="G97" s="96"/>
    </row>
    <row r="98" spans="1:7" ht="14.4" x14ac:dyDescent="0.2">
      <c r="A98" s="90" t="s">
        <v>956</v>
      </c>
      <c r="B98" s="91"/>
      <c r="C98" s="91"/>
      <c r="D98" s="91"/>
      <c r="E98" s="91"/>
      <c r="F98" s="91"/>
      <c r="G98" s="91"/>
    </row>
    <row r="99" spans="1:7" x14ac:dyDescent="0.2">
      <c r="A99" s="50" t="s">
        <v>47</v>
      </c>
    </row>
    <row r="101" spans="1:7" x14ac:dyDescent="0.2">
      <c r="A101" s="18" t="s">
        <v>1474</v>
      </c>
    </row>
    <row r="102" spans="1:7" x14ac:dyDescent="0.2">
      <c r="A102" s="50"/>
    </row>
  </sheetData>
  <mergeCells count="8">
    <mergeCell ref="A97:G97"/>
    <mergeCell ref="A98:G98"/>
    <mergeCell ref="A1:G1"/>
    <mergeCell ref="A85:B85"/>
    <mergeCell ref="A86:B86"/>
    <mergeCell ref="A87:B87"/>
    <mergeCell ref="A88:B88"/>
    <mergeCell ref="A89:B89"/>
  </mergeCells>
  <conditionalFormatting sqref="F2:F3 F5:F69 F103:F65529 F71:F94">
    <cfRule type="cellIs" dxfId="112" priority="5" stopIfTrue="1" operator="between">
      <formula>0.009</formula>
      <formula>-0.009</formula>
    </cfRule>
  </conditionalFormatting>
  <conditionalFormatting sqref="F70">
    <cfRule type="cellIs" dxfId="111" priority="4" stopIfTrue="1" operator="between">
      <formula>0.009</formula>
      <formula>-0.009</formula>
    </cfRule>
  </conditionalFormatting>
  <conditionalFormatting sqref="F95:F96">
    <cfRule type="cellIs" dxfId="110" priority="3" stopIfTrue="1" operator="between">
      <formula>0.009</formula>
      <formula>-0.009</formula>
    </cfRule>
  </conditionalFormatting>
  <conditionalFormatting sqref="F99">
    <cfRule type="cellIs" dxfId="109" priority="1" stopIfTrue="1" operator="between">
      <formula>0.009</formula>
      <formula>-0.009</formula>
    </cfRule>
  </conditionalFormatting>
  <conditionalFormatting sqref="F100:F102">
    <cfRule type="cellIs" dxfId="108" priority="2" stopIfTrue="1" operator="between">
      <formula>0.009</formula>
      <formula>-0.009</formula>
    </cfRule>
  </conditionalFormatting>
  <hyperlinks>
    <hyperlink ref="A99" r:id="rId1" xr:uid="{00000000-0004-0000-1E00-000000000000}"/>
  </hyperlinks>
  <pageMargins left="0.7" right="0.7" top="0.75" bottom="0.75" header="0.3" footer="0.3"/>
  <pageSetup paperSize="9" scale="48" orientation="portrait" r:id="rId2"/>
  <headerFooter>
    <oddFooter>&amp;R&amp;1#&amp;"Calibri"&amp;10&amp;KFF0000|PUBLIC|</oddFooter>
    <evenFooter>&amp;LPUBLIC</evenFooter>
    <firstFooter>&amp;LPUBLIC</firstFooter>
  </headerFooter>
  <colBreaks count="1" manualBreakCount="1">
    <brk id="7" max="1048575" man="1"/>
  </colBreak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J87"/>
  <sheetViews>
    <sheetView view="pageBreakPreview" zoomScaleNormal="100" zoomScaleSheetLayoutView="100" workbookViewId="0">
      <selection sqref="A1:H1"/>
    </sheetView>
  </sheetViews>
  <sheetFormatPr defaultColWidth="9.21875" defaultRowHeight="10.199999999999999" x14ac:dyDescent="0.2"/>
  <cols>
    <col min="1" max="1" width="40.5546875" style="9" bestFit="1" customWidth="1"/>
    <col min="2" max="2" width="33.44140625" style="9" bestFit="1" customWidth="1"/>
    <col min="3" max="3" width="25.21875" style="9" bestFit="1" customWidth="1"/>
    <col min="4" max="4" width="15.44140625" style="10" bestFit="1" customWidth="1"/>
    <col min="5" max="5" width="23" style="13" bestFit="1" customWidth="1"/>
    <col min="6" max="6" width="13.5546875" style="14" bestFit="1" customWidth="1"/>
    <col min="7" max="7" width="13.5546875" style="14" customWidth="1"/>
    <col min="8" max="8" width="14.21875" style="13" customWidth="1"/>
    <col min="9" max="16384" width="9.21875" style="9"/>
  </cols>
  <sheetData>
    <row r="1" spans="1:8" s="1" customFormat="1" ht="13.8" x14ac:dyDescent="0.2">
      <c r="A1" s="92" t="s">
        <v>8</v>
      </c>
      <c r="B1" s="93"/>
      <c r="C1" s="93"/>
      <c r="D1" s="93"/>
      <c r="E1" s="93"/>
      <c r="F1" s="93"/>
      <c r="G1" s="93"/>
      <c r="H1" s="93"/>
    </row>
    <row r="2" spans="1:8" s="1" customFormat="1" ht="11.4" x14ac:dyDescent="0.2">
      <c r="D2" s="6"/>
      <c r="E2" s="7"/>
      <c r="F2" s="12"/>
      <c r="G2" s="12"/>
      <c r="H2" s="13"/>
    </row>
    <row r="3" spans="1:8" s="1" customFormat="1" ht="12" x14ac:dyDescent="0.2">
      <c r="A3" s="11" t="s">
        <v>7</v>
      </c>
      <c r="B3" s="2"/>
      <c r="C3" s="3"/>
      <c r="D3" s="4"/>
      <c r="E3" s="5"/>
      <c r="F3" s="12"/>
      <c r="G3" s="12"/>
      <c r="H3" s="13"/>
    </row>
    <row r="4" spans="1:8" s="1" customFormat="1" ht="39.75" customHeight="1" x14ac:dyDescent="0.2">
      <c r="A4" s="8" t="s">
        <v>2</v>
      </c>
      <c r="B4" s="8" t="s">
        <v>0</v>
      </c>
      <c r="C4" s="17" t="s">
        <v>5</v>
      </c>
      <c r="D4" s="16" t="s">
        <v>1</v>
      </c>
      <c r="E4" s="15" t="s">
        <v>3</v>
      </c>
      <c r="F4" s="47" t="s">
        <v>703</v>
      </c>
      <c r="G4" s="47" t="s">
        <v>704</v>
      </c>
      <c r="H4" s="15" t="s">
        <v>6</v>
      </c>
    </row>
    <row r="5" spans="1:8" x14ac:dyDescent="0.2">
      <c r="A5" s="21" t="s">
        <v>84</v>
      </c>
      <c r="B5" s="22"/>
      <c r="C5" s="22"/>
      <c r="D5" s="23"/>
      <c r="E5" s="24"/>
      <c r="F5" s="25"/>
      <c r="G5" s="25"/>
      <c r="H5" s="24"/>
    </row>
    <row r="6" spans="1:8" x14ac:dyDescent="0.2">
      <c r="A6" s="26" t="s">
        <v>27</v>
      </c>
      <c r="B6" s="27"/>
      <c r="C6" s="27"/>
      <c r="D6" s="28"/>
      <c r="E6" s="29"/>
      <c r="F6" s="30"/>
      <c r="G6" s="30"/>
      <c r="H6" s="29"/>
    </row>
    <row r="7" spans="1:8" x14ac:dyDescent="0.2">
      <c r="A7" s="27" t="s">
        <v>175</v>
      </c>
      <c r="B7" s="27" t="s">
        <v>174</v>
      </c>
      <c r="C7" s="27" t="s">
        <v>176</v>
      </c>
      <c r="D7" s="31">
        <v>46100</v>
      </c>
      <c r="E7" s="29">
        <v>1151.6241</v>
      </c>
      <c r="F7" s="30">
        <v>9.5835958671441404</v>
      </c>
      <c r="G7" s="30">
        <v>-9.0436361185768206</v>
      </c>
      <c r="H7" s="29"/>
    </row>
    <row r="8" spans="1:8" x14ac:dyDescent="0.2">
      <c r="A8" s="27" t="s">
        <v>92</v>
      </c>
      <c r="B8" s="27" t="s">
        <v>91</v>
      </c>
      <c r="C8" s="27" t="s">
        <v>87</v>
      </c>
      <c r="D8" s="31">
        <v>136500</v>
      </c>
      <c r="E8" s="29">
        <v>952.01925000000006</v>
      </c>
      <c r="F8" s="30">
        <v>7.9225224183322096</v>
      </c>
      <c r="G8" s="30">
        <v>-4.9026606577563738</v>
      </c>
      <c r="H8" s="29"/>
    </row>
    <row r="9" spans="1:8" x14ac:dyDescent="0.2">
      <c r="A9" s="27" t="s">
        <v>121</v>
      </c>
      <c r="B9" s="27" t="s">
        <v>120</v>
      </c>
      <c r="C9" s="27" t="s">
        <v>122</v>
      </c>
      <c r="D9" s="31">
        <v>329400</v>
      </c>
      <c r="E9" s="29">
        <v>772.44299999999998</v>
      </c>
      <c r="F9" s="30">
        <v>6.4281231544254904</v>
      </c>
      <c r="G9" s="30">
        <v>-6.4486821837040367</v>
      </c>
      <c r="H9" s="29"/>
    </row>
    <row r="10" spans="1:8" x14ac:dyDescent="0.2">
      <c r="A10" s="27" t="s">
        <v>178</v>
      </c>
      <c r="B10" s="27" t="s">
        <v>177</v>
      </c>
      <c r="C10" s="27" t="s">
        <v>179</v>
      </c>
      <c r="D10" s="31">
        <v>123000</v>
      </c>
      <c r="E10" s="29">
        <v>578.46900000000005</v>
      </c>
      <c r="F10" s="30">
        <v>4.8139085641495303</v>
      </c>
      <c r="G10" s="30">
        <v>-4.847686787117202</v>
      </c>
      <c r="H10" s="29"/>
    </row>
    <row r="11" spans="1:8" x14ac:dyDescent="0.2">
      <c r="A11" s="27" t="s">
        <v>94</v>
      </c>
      <c r="B11" s="27" t="s">
        <v>93</v>
      </c>
      <c r="C11" s="27" t="s">
        <v>87</v>
      </c>
      <c r="D11" s="31">
        <v>84061</v>
      </c>
      <c r="E11" s="29">
        <v>489.31908099999998</v>
      </c>
      <c r="F11" s="30">
        <v>4.0720199606680403</v>
      </c>
      <c r="G11" s="30">
        <v>-2.6768555152628237</v>
      </c>
      <c r="H11" s="29"/>
    </row>
    <row r="12" spans="1:8" x14ac:dyDescent="0.2">
      <c r="A12" s="27" t="s">
        <v>89</v>
      </c>
      <c r="B12" s="27" t="s">
        <v>88</v>
      </c>
      <c r="C12" s="27" t="s">
        <v>90</v>
      </c>
      <c r="D12" s="31">
        <v>26745</v>
      </c>
      <c r="E12" s="29">
        <v>365.8849725</v>
      </c>
      <c r="F12" s="30">
        <v>3.0448248784487499</v>
      </c>
      <c r="G12" s="30"/>
      <c r="H12" s="29"/>
    </row>
    <row r="13" spans="1:8" x14ac:dyDescent="0.2">
      <c r="A13" s="27" t="s">
        <v>181</v>
      </c>
      <c r="B13" s="27" t="s">
        <v>180</v>
      </c>
      <c r="C13" s="27" t="s">
        <v>135</v>
      </c>
      <c r="D13" s="31">
        <v>4600</v>
      </c>
      <c r="E13" s="29">
        <v>315.52319999999997</v>
      </c>
      <c r="F13" s="30">
        <v>2.62572382386587</v>
      </c>
      <c r="G13" s="30">
        <v>-2.6435241734415889</v>
      </c>
      <c r="H13" s="29"/>
    </row>
    <row r="14" spans="1:8" x14ac:dyDescent="0.2">
      <c r="A14" s="27" t="s">
        <v>137</v>
      </c>
      <c r="B14" s="27" t="s">
        <v>136</v>
      </c>
      <c r="C14" s="27" t="s">
        <v>117</v>
      </c>
      <c r="D14" s="31">
        <v>18456</v>
      </c>
      <c r="E14" s="29">
        <v>229.12201200000001</v>
      </c>
      <c r="F14" s="30">
        <v>1.90670963491902</v>
      </c>
      <c r="G14" s="30"/>
      <c r="H14" s="29"/>
    </row>
    <row r="15" spans="1:8" x14ac:dyDescent="0.2">
      <c r="A15" s="27" t="s">
        <v>183</v>
      </c>
      <c r="B15" s="27" t="s">
        <v>182</v>
      </c>
      <c r="C15" s="27" t="s">
        <v>184</v>
      </c>
      <c r="D15" s="31">
        <v>16100</v>
      </c>
      <c r="E15" s="29">
        <v>228.44290000000001</v>
      </c>
      <c r="F15" s="30">
        <v>1.90105819452582</v>
      </c>
      <c r="G15" s="30">
        <v>-1.9111737695266431</v>
      </c>
      <c r="H15" s="29"/>
    </row>
    <row r="16" spans="1:8" x14ac:dyDescent="0.2">
      <c r="A16" s="27" t="s">
        <v>186</v>
      </c>
      <c r="B16" s="27" t="s">
        <v>185</v>
      </c>
      <c r="C16" s="27" t="s">
        <v>117</v>
      </c>
      <c r="D16" s="31">
        <v>41250</v>
      </c>
      <c r="E16" s="29">
        <v>222.95625000000001</v>
      </c>
      <c r="F16" s="30">
        <v>1.8553993408560601</v>
      </c>
      <c r="G16" s="30">
        <v>-1.8684437765549562</v>
      </c>
      <c r="H16" s="29"/>
    </row>
    <row r="17" spans="1:8" x14ac:dyDescent="0.2">
      <c r="A17" s="27" t="s">
        <v>188</v>
      </c>
      <c r="B17" s="27" t="s">
        <v>187</v>
      </c>
      <c r="C17" s="27" t="s">
        <v>130</v>
      </c>
      <c r="D17" s="31">
        <v>207938</v>
      </c>
      <c r="E17" s="29">
        <v>214.69598500000001</v>
      </c>
      <c r="F17" s="30">
        <v>1.78665899275505</v>
      </c>
      <c r="G17" s="30"/>
      <c r="H17" s="29"/>
    </row>
    <row r="18" spans="1:8" x14ac:dyDescent="0.2">
      <c r="A18" s="27" t="s">
        <v>86</v>
      </c>
      <c r="B18" s="27" t="s">
        <v>85</v>
      </c>
      <c r="C18" s="27" t="s">
        <v>87</v>
      </c>
      <c r="D18" s="31">
        <v>13878</v>
      </c>
      <c r="E18" s="29">
        <v>207.288747</v>
      </c>
      <c r="F18" s="30">
        <v>1.7250173724696201</v>
      </c>
      <c r="G18" s="30"/>
      <c r="H18" s="29"/>
    </row>
    <row r="19" spans="1:8" x14ac:dyDescent="0.2">
      <c r="A19" s="27" t="s">
        <v>124</v>
      </c>
      <c r="B19" s="27" t="s">
        <v>123</v>
      </c>
      <c r="C19" s="27" t="s">
        <v>87</v>
      </c>
      <c r="D19" s="31">
        <v>55462</v>
      </c>
      <c r="E19" s="29">
        <v>202.04806600000001</v>
      </c>
      <c r="F19" s="30">
        <v>1.6814054258521201</v>
      </c>
      <c r="G19" s="30"/>
      <c r="H19" s="29"/>
    </row>
    <row r="20" spans="1:8" x14ac:dyDescent="0.2">
      <c r="A20" s="27" t="s">
        <v>190</v>
      </c>
      <c r="B20" s="27" t="s">
        <v>189</v>
      </c>
      <c r="C20" s="27" t="s">
        <v>90</v>
      </c>
      <c r="D20" s="31">
        <v>17733</v>
      </c>
      <c r="E20" s="29">
        <v>175.8138285</v>
      </c>
      <c r="F20" s="30">
        <v>1.46308911058686</v>
      </c>
      <c r="G20" s="30"/>
      <c r="H20" s="29"/>
    </row>
    <row r="21" spans="1:8" x14ac:dyDescent="0.2">
      <c r="A21" s="27" t="s">
        <v>132</v>
      </c>
      <c r="B21" s="27" t="s">
        <v>131</v>
      </c>
      <c r="C21" s="27" t="s">
        <v>130</v>
      </c>
      <c r="D21" s="31">
        <v>150349</v>
      </c>
      <c r="E21" s="29">
        <v>160.19685949999999</v>
      </c>
      <c r="F21" s="30">
        <v>1.33312767649936</v>
      </c>
      <c r="G21" s="30"/>
      <c r="H21" s="29"/>
    </row>
    <row r="22" spans="1:8" x14ac:dyDescent="0.2">
      <c r="A22" s="27" t="s">
        <v>129</v>
      </c>
      <c r="B22" s="27" t="s">
        <v>128</v>
      </c>
      <c r="C22" s="27" t="s">
        <v>130</v>
      </c>
      <c r="D22" s="31">
        <v>70523</v>
      </c>
      <c r="E22" s="29">
        <v>152.08284950000001</v>
      </c>
      <c r="F22" s="30">
        <v>1.26560443458217</v>
      </c>
      <c r="G22" s="30"/>
      <c r="H22" s="29"/>
    </row>
    <row r="23" spans="1:8" x14ac:dyDescent="0.2">
      <c r="A23" s="27" t="s">
        <v>96</v>
      </c>
      <c r="B23" s="27" t="s">
        <v>95</v>
      </c>
      <c r="C23" s="27" t="s">
        <v>97</v>
      </c>
      <c r="D23" s="31">
        <v>27951</v>
      </c>
      <c r="E23" s="29">
        <v>144.59052299999999</v>
      </c>
      <c r="F23" s="30">
        <v>1.20325472404668</v>
      </c>
      <c r="G23" s="30"/>
      <c r="H23" s="29"/>
    </row>
    <row r="24" spans="1:8" x14ac:dyDescent="0.2">
      <c r="A24" s="27" t="s">
        <v>192</v>
      </c>
      <c r="B24" s="27" t="s">
        <v>191</v>
      </c>
      <c r="C24" s="27" t="s">
        <v>176</v>
      </c>
      <c r="D24" s="31">
        <v>23811</v>
      </c>
      <c r="E24" s="29">
        <v>142.675512</v>
      </c>
      <c r="F24" s="30">
        <v>1.18731836816013</v>
      </c>
      <c r="G24" s="30"/>
      <c r="H24" s="29"/>
    </row>
    <row r="25" spans="1:8" x14ac:dyDescent="0.2">
      <c r="A25" s="27" t="s">
        <v>194</v>
      </c>
      <c r="B25" s="27" t="s">
        <v>193</v>
      </c>
      <c r="C25" s="27" t="s">
        <v>195</v>
      </c>
      <c r="D25" s="31">
        <v>122059</v>
      </c>
      <c r="E25" s="29">
        <v>135.3024015</v>
      </c>
      <c r="F25" s="30">
        <v>1.12596075041333</v>
      </c>
      <c r="G25" s="30"/>
      <c r="H25" s="29"/>
    </row>
    <row r="26" spans="1:8" x14ac:dyDescent="0.2">
      <c r="A26" s="27" t="s">
        <v>116</v>
      </c>
      <c r="B26" s="27" t="s">
        <v>115</v>
      </c>
      <c r="C26" s="27" t="s">
        <v>117</v>
      </c>
      <c r="D26" s="31">
        <v>7787</v>
      </c>
      <c r="E26" s="29">
        <v>121.4265845</v>
      </c>
      <c r="F26" s="30">
        <v>1.0104888508113301</v>
      </c>
      <c r="G26" s="30"/>
      <c r="H26" s="29"/>
    </row>
    <row r="27" spans="1:8" x14ac:dyDescent="0.2">
      <c r="A27" s="27" t="s">
        <v>119</v>
      </c>
      <c r="B27" s="27" t="s">
        <v>118</v>
      </c>
      <c r="C27" s="27" t="s">
        <v>111</v>
      </c>
      <c r="D27" s="31">
        <v>42933</v>
      </c>
      <c r="E27" s="29">
        <v>117.3573555</v>
      </c>
      <c r="F27" s="30">
        <v>0.976625504058803</v>
      </c>
      <c r="G27" s="30"/>
      <c r="H27" s="29"/>
    </row>
    <row r="28" spans="1:8" x14ac:dyDescent="0.2">
      <c r="A28" s="27" t="s">
        <v>197</v>
      </c>
      <c r="B28" s="27" t="s">
        <v>196</v>
      </c>
      <c r="C28" s="27" t="s">
        <v>122</v>
      </c>
      <c r="D28" s="31">
        <v>121901</v>
      </c>
      <c r="E28" s="29">
        <v>111.96606850000001</v>
      </c>
      <c r="F28" s="30">
        <v>0.93176024306627203</v>
      </c>
      <c r="G28" s="30"/>
      <c r="H28" s="29"/>
    </row>
    <row r="29" spans="1:8" x14ac:dyDescent="0.2">
      <c r="A29" s="27" t="s">
        <v>199</v>
      </c>
      <c r="B29" s="27" t="s">
        <v>198</v>
      </c>
      <c r="C29" s="27" t="s">
        <v>200</v>
      </c>
      <c r="D29" s="31">
        <v>76471</v>
      </c>
      <c r="E29" s="29">
        <v>110.7682435</v>
      </c>
      <c r="F29" s="30">
        <v>0.92179217213100595</v>
      </c>
      <c r="G29" s="30"/>
      <c r="H29" s="29"/>
    </row>
    <row r="30" spans="1:8" x14ac:dyDescent="0.2">
      <c r="A30" s="27" t="s">
        <v>168</v>
      </c>
      <c r="B30" s="27" t="s">
        <v>167</v>
      </c>
      <c r="C30" s="27" t="s">
        <v>127</v>
      </c>
      <c r="D30" s="31">
        <v>2392</v>
      </c>
      <c r="E30" s="29">
        <v>108.02272000000001</v>
      </c>
      <c r="F30" s="30">
        <v>0.89894444979891297</v>
      </c>
      <c r="G30" s="30"/>
      <c r="H30" s="29"/>
    </row>
    <row r="31" spans="1:8" x14ac:dyDescent="0.2">
      <c r="A31" s="27" t="s">
        <v>202</v>
      </c>
      <c r="B31" s="27" t="s">
        <v>201</v>
      </c>
      <c r="C31" s="27" t="s">
        <v>203</v>
      </c>
      <c r="D31" s="31">
        <v>64953</v>
      </c>
      <c r="E31" s="29">
        <v>104.7367125</v>
      </c>
      <c r="F31" s="30">
        <v>0.87159892281974904</v>
      </c>
      <c r="G31" s="30"/>
      <c r="H31" s="29"/>
    </row>
    <row r="32" spans="1:8" x14ac:dyDescent="0.2">
      <c r="A32" s="27" t="s">
        <v>110</v>
      </c>
      <c r="B32" s="27" t="s">
        <v>109</v>
      </c>
      <c r="C32" s="27" t="s">
        <v>111</v>
      </c>
      <c r="D32" s="31">
        <v>43156</v>
      </c>
      <c r="E32" s="29">
        <v>96.949954000000005</v>
      </c>
      <c r="F32" s="30">
        <v>0.80679900539960403</v>
      </c>
      <c r="G32" s="30"/>
      <c r="H32" s="29"/>
    </row>
    <row r="33" spans="1:10" x14ac:dyDescent="0.2">
      <c r="A33" s="27" t="s">
        <v>108</v>
      </c>
      <c r="B33" s="27" t="s">
        <v>107</v>
      </c>
      <c r="C33" s="27" t="s">
        <v>87</v>
      </c>
      <c r="D33" s="31">
        <v>5528</v>
      </c>
      <c r="E33" s="29">
        <v>96.905839999999998</v>
      </c>
      <c r="F33" s="30">
        <v>0.80643189711480601</v>
      </c>
      <c r="G33" s="30"/>
      <c r="H33" s="29"/>
    </row>
    <row r="34" spans="1:10" x14ac:dyDescent="0.2">
      <c r="A34" s="27" t="s">
        <v>205</v>
      </c>
      <c r="B34" s="27" t="s">
        <v>204</v>
      </c>
      <c r="C34" s="27" t="s">
        <v>176</v>
      </c>
      <c r="D34" s="31">
        <v>21957</v>
      </c>
      <c r="E34" s="29">
        <v>82.316793000000004</v>
      </c>
      <c r="F34" s="30">
        <v>0.68502463363814603</v>
      </c>
      <c r="G34" s="30"/>
      <c r="H34" s="29"/>
    </row>
    <row r="35" spans="1:10" x14ac:dyDescent="0.2">
      <c r="A35" s="27" t="s">
        <v>207</v>
      </c>
      <c r="B35" s="27" t="s">
        <v>206</v>
      </c>
      <c r="C35" s="27" t="s">
        <v>117</v>
      </c>
      <c r="D35" s="31">
        <v>402</v>
      </c>
      <c r="E35" s="29">
        <v>69.004103999999998</v>
      </c>
      <c r="F35" s="30">
        <v>0.57423897772752797</v>
      </c>
      <c r="G35" s="30"/>
      <c r="H35" s="29"/>
    </row>
    <row r="36" spans="1:10" x14ac:dyDescent="0.2">
      <c r="A36" s="27" t="s">
        <v>209</v>
      </c>
      <c r="B36" s="27" t="s">
        <v>208</v>
      </c>
      <c r="C36" s="27" t="s">
        <v>111</v>
      </c>
      <c r="D36" s="31">
        <v>47372</v>
      </c>
      <c r="E36" s="29">
        <v>64.189059999999998</v>
      </c>
      <c r="F36" s="30">
        <v>0.53416910095218295</v>
      </c>
      <c r="G36" s="30"/>
      <c r="H36" s="29"/>
    </row>
    <row r="37" spans="1:10" x14ac:dyDescent="0.2">
      <c r="A37" s="27" t="s">
        <v>211</v>
      </c>
      <c r="B37" s="27" t="s">
        <v>210</v>
      </c>
      <c r="C37" s="27" t="s">
        <v>87</v>
      </c>
      <c r="D37" s="31">
        <v>10000</v>
      </c>
      <c r="E37" s="29">
        <v>7.58</v>
      </c>
      <c r="F37" s="30">
        <v>6.3079312661963705E-2</v>
      </c>
      <c r="G37" s="30">
        <v>-6.3537012160170547E-2</v>
      </c>
      <c r="H37" s="29"/>
    </row>
    <row r="38" spans="1:10" x14ac:dyDescent="0.2">
      <c r="A38" s="26" t="s">
        <v>34</v>
      </c>
      <c r="B38" s="26"/>
      <c r="C38" s="26"/>
      <c r="D38" s="32"/>
      <c r="E38" s="33">
        <f>SUM(E7:E37)</f>
        <v>7931.7219729999979</v>
      </c>
      <c r="F38" s="34">
        <f>SUM(F7:F37)</f>
        <v>66.006275762880563</v>
      </c>
      <c r="G38" s="34">
        <f>SUM(G7:G37)</f>
        <v>-34.406199994100611</v>
      </c>
      <c r="H38" s="33"/>
      <c r="I38" s="18"/>
      <c r="J38" s="18"/>
    </row>
    <row r="39" spans="1:10" x14ac:dyDescent="0.2">
      <c r="A39" s="27"/>
      <c r="B39" s="27"/>
      <c r="C39" s="27"/>
      <c r="D39" s="28"/>
      <c r="E39" s="29"/>
      <c r="F39" s="30"/>
      <c r="G39" s="30"/>
      <c r="H39" s="29"/>
    </row>
    <row r="40" spans="1:10" x14ac:dyDescent="0.2">
      <c r="A40" s="26" t="s">
        <v>212</v>
      </c>
      <c r="B40" s="27"/>
      <c r="C40" s="27"/>
      <c r="D40" s="28"/>
      <c r="E40" s="29"/>
      <c r="F40" s="30"/>
      <c r="G40" s="30"/>
      <c r="H40" s="29"/>
    </row>
    <row r="41" spans="1:10" x14ac:dyDescent="0.2">
      <c r="A41" s="27" t="s">
        <v>214</v>
      </c>
      <c r="B41" s="27" t="s">
        <v>213</v>
      </c>
      <c r="C41" s="27" t="s">
        <v>362</v>
      </c>
      <c r="D41" s="31">
        <v>44600</v>
      </c>
      <c r="E41" s="29">
        <v>145.1507</v>
      </c>
      <c r="F41" s="30">
        <v>1.2079164100795401</v>
      </c>
      <c r="G41" s="30"/>
      <c r="H41" s="29"/>
    </row>
    <row r="42" spans="1:10" x14ac:dyDescent="0.2">
      <c r="A42" s="26" t="s">
        <v>34</v>
      </c>
      <c r="B42" s="26"/>
      <c r="C42" s="26"/>
      <c r="D42" s="32"/>
      <c r="E42" s="33">
        <f>SUM(E40:E41)</f>
        <v>145.1507</v>
      </c>
      <c r="F42" s="34">
        <f>SUM(F40:F41)</f>
        <v>1.2079164100795401</v>
      </c>
      <c r="G42" s="34"/>
      <c r="H42" s="33"/>
      <c r="I42" s="18"/>
      <c r="J42" s="18"/>
    </row>
    <row r="43" spans="1:10" x14ac:dyDescent="0.2">
      <c r="A43" s="27"/>
      <c r="B43" s="27"/>
      <c r="C43" s="27"/>
      <c r="D43" s="28"/>
      <c r="E43" s="29"/>
      <c r="F43" s="30"/>
      <c r="G43" s="30"/>
      <c r="H43" s="29"/>
    </row>
    <row r="44" spans="1:10" x14ac:dyDescent="0.2">
      <c r="A44" s="26" t="s">
        <v>59</v>
      </c>
      <c r="B44" s="27"/>
      <c r="C44" s="27"/>
      <c r="D44" s="28"/>
      <c r="E44" s="29"/>
      <c r="F44" s="30"/>
      <c r="G44" s="30"/>
      <c r="H44" s="29"/>
    </row>
    <row r="45" spans="1:10" x14ac:dyDescent="0.2">
      <c r="A45" s="27" t="s">
        <v>70</v>
      </c>
      <c r="B45" s="27" t="s">
        <v>69</v>
      </c>
      <c r="C45" s="27" t="s">
        <v>62</v>
      </c>
      <c r="D45" s="31">
        <v>1000000</v>
      </c>
      <c r="E45" s="29">
        <v>977.85500000000002</v>
      </c>
      <c r="F45" s="30">
        <v>8.1375225967103599</v>
      </c>
      <c r="G45" s="30"/>
      <c r="H45" s="29">
        <v>5.702</v>
      </c>
    </row>
    <row r="46" spans="1:10" x14ac:dyDescent="0.2">
      <c r="A46" s="26" t="s">
        <v>34</v>
      </c>
      <c r="B46" s="26"/>
      <c r="C46" s="26"/>
      <c r="D46" s="32"/>
      <c r="E46" s="33">
        <f>SUM(E45:E45)</f>
        <v>977.85500000000002</v>
      </c>
      <c r="F46" s="34">
        <f>SUM(F45:F45)</f>
        <v>8.1375225967103599</v>
      </c>
      <c r="G46" s="34"/>
      <c r="H46" s="33"/>
      <c r="I46" s="18"/>
      <c r="J46" s="18"/>
    </row>
    <row r="47" spans="1:10" x14ac:dyDescent="0.2">
      <c r="A47" s="27"/>
      <c r="B47" s="27"/>
      <c r="C47" s="27"/>
      <c r="D47" s="28"/>
      <c r="E47" s="29"/>
      <c r="F47" s="30"/>
      <c r="G47" s="30"/>
      <c r="H47" s="29"/>
    </row>
    <row r="48" spans="1:10" x14ac:dyDescent="0.2">
      <c r="A48" s="26" t="s">
        <v>36</v>
      </c>
      <c r="B48" s="26"/>
      <c r="C48" s="26"/>
      <c r="D48" s="32"/>
      <c r="E48" s="33">
        <f>E38+E42+E46</f>
        <v>9054.7276729999976</v>
      </c>
      <c r="F48" s="34">
        <f>F38+F42+F46</f>
        <v>75.351714769670451</v>
      </c>
      <c r="G48" s="34"/>
      <c r="H48" s="33"/>
      <c r="I48" s="18"/>
      <c r="J48" s="18"/>
    </row>
    <row r="49" spans="1:10" x14ac:dyDescent="0.2">
      <c r="A49" s="26"/>
      <c r="B49" s="26"/>
      <c r="C49" s="26"/>
      <c r="D49" s="32"/>
      <c r="E49" s="33"/>
      <c r="F49" s="34"/>
      <c r="G49" s="34"/>
      <c r="H49" s="33"/>
      <c r="I49" s="18"/>
      <c r="J49" s="18"/>
    </row>
    <row r="50" spans="1:10" x14ac:dyDescent="0.2">
      <c r="A50" s="26" t="s">
        <v>38</v>
      </c>
      <c r="B50" s="26"/>
      <c r="C50" s="26"/>
      <c r="D50" s="32"/>
      <c r="E50" s="33">
        <f>E52-(E38+E42+E46)</f>
        <v>2961.890264200003</v>
      </c>
      <c r="F50" s="34">
        <f>F52-(F38+F42+F46)</f>
        <v>24.648285230329549</v>
      </c>
      <c r="G50" s="34"/>
      <c r="H50" s="33"/>
      <c r="I50" s="18"/>
      <c r="J50" s="18"/>
    </row>
    <row r="51" spans="1:10" x14ac:dyDescent="0.2">
      <c r="A51" s="26"/>
      <c r="B51" s="26"/>
      <c r="C51" s="26"/>
      <c r="D51" s="32"/>
      <c r="E51" s="33"/>
      <c r="F51" s="34"/>
      <c r="G51" s="34"/>
      <c r="H51" s="33"/>
      <c r="I51" s="18"/>
      <c r="J51" s="18"/>
    </row>
    <row r="52" spans="1:10" x14ac:dyDescent="0.2">
      <c r="A52" s="35" t="s">
        <v>37</v>
      </c>
      <c r="B52" s="35"/>
      <c r="C52" s="35"/>
      <c r="D52" s="36"/>
      <c r="E52" s="37">
        <v>12016.617937200001</v>
      </c>
      <c r="F52" s="38">
        <v>100</v>
      </c>
      <c r="G52" s="38"/>
      <c r="H52" s="37"/>
      <c r="I52" s="18"/>
      <c r="J52" s="18"/>
    </row>
    <row r="55" spans="1:10" x14ac:dyDescent="0.2">
      <c r="A55" s="18" t="s">
        <v>40</v>
      </c>
    </row>
    <row r="56" spans="1:10" x14ac:dyDescent="0.2">
      <c r="A56" s="18" t="s">
        <v>41</v>
      </c>
    </row>
    <row r="57" spans="1:10" x14ac:dyDescent="0.2">
      <c r="A57" s="18" t="s">
        <v>42</v>
      </c>
      <c r="B57" s="18"/>
      <c r="C57" s="39" t="s">
        <v>44</v>
      </c>
      <c r="D57" s="19" t="s">
        <v>43</v>
      </c>
    </row>
    <row r="58" spans="1:10" x14ac:dyDescent="0.2">
      <c r="A58" s="9" t="s">
        <v>65</v>
      </c>
      <c r="C58" s="40">
        <v>10.1242</v>
      </c>
      <c r="D58" s="40">
        <v>11.5876</v>
      </c>
    </row>
    <row r="59" spans="1:10" x14ac:dyDescent="0.2">
      <c r="A59" s="9" t="s">
        <v>1003</v>
      </c>
      <c r="C59" s="40">
        <v>10.1242</v>
      </c>
      <c r="D59" s="40">
        <v>11.5876</v>
      </c>
    </row>
    <row r="60" spans="1:10" x14ac:dyDescent="0.2">
      <c r="A60" s="9" t="s">
        <v>947</v>
      </c>
      <c r="C60" s="40">
        <v>10.0632</v>
      </c>
      <c r="D60" s="40">
        <v>11.378299999999999</v>
      </c>
    </row>
    <row r="61" spans="1:10" x14ac:dyDescent="0.2">
      <c r="A61" s="9" t="s">
        <v>948</v>
      </c>
      <c r="C61" s="40">
        <v>10.1242</v>
      </c>
      <c r="D61" s="40">
        <v>11.3682</v>
      </c>
    </row>
    <row r="62" spans="1:10" x14ac:dyDescent="0.2">
      <c r="A62" s="9" t="s">
        <v>66</v>
      </c>
      <c r="C62" s="40">
        <v>10.504799999999999</v>
      </c>
      <c r="D62" s="40">
        <v>12.1036</v>
      </c>
    </row>
    <row r="63" spans="1:10" x14ac:dyDescent="0.2">
      <c r="A63" s="9" t="s">
        <v>1004</v>
      </c>
      <c r="C63" s="40">
        <v>10.504799999999999</v>
      </c>
      <c r="D63" s="40">
        <v>12.1036</v>
      </c>
    </row>
    <row r="64" spans="1:10" x14ac:dyDescent="0.2">
      <c r="A64" s="9" t="s">
        <v>951</v>
      </c>
      <c r="C64" s="40">
        <v>10.4427</v>
      </c>
      <c r="D64" s="40">
        <v>11.8909</v>
      </c>
    </row>
    <row r="65" spans="1:4" x14ac:dyDescent="0.2">
      <c r="A65" s="9" t="s">
        <v>952</v>
      </c>
      <c r="C65" s="40">
        <v>10.504799999999999</v>
      </c>
      <c r="D65" s="40">
        <v>11.8835</v>
      </c>
    </row>
    <row r="67" spans="1:4" x14ac:dyDescent="0.2">
      <c r="A67" s="18" t="s">
        <v>1560</v>
      </c>
    </row>
    <row r="68" spans="1:4" x14ac:dyDescent="0.2">
      <c r="A68" s="94" t="s">
        <v>64</v>
      </c>
      <c r="B68" s="95"/>
      <c r="C68" s="44" t="s">
        <v>1544</v>
      </c>
    </row>
    <row r="69" spans="1:4" x14ac:dyDescent="0.2">
      <c r="A69" s="88" t="s">
        <v>947</v>
      </c>
      <c r="B69" s="89"/>
      <c r="C69" s="45">
        <v>0.14000000000000001</v>
      </c>
    </row>
    <row r="70" spans="1:4" x14ac:dyDescent="0.2">
      <c r="A70" s="88" t="s">
        <v>948</v>
      </c>
      <c r="B70" s="89"/>
      <c r="C70" s="45">
        <v>0.22</v>
      </c>
    </row>
    <row r="71" spans="1:4" x14ac:dyDescent="0.2">
      <c r="A71" s="88" t="s">
        <v>951</v>
      </c>
      <c r="B71" s="89"/>
      <c r="C71" s="45">
        <v>0.14000000000000001</v>
      </c>
    </row>
    <row r="72" spans="1:4" x14ac:dyDescent="0.2">
      <c r="A72" s="88" t="s">
        <v>952</v>
      </c>
      <c r="B72" s="89"/>
      <c r="C72" s="45">
        <v>0.22</v>
      </c>
    </row>
    <row r="73" spans="1:4" x14ac:dyDescent="0.2">
      <c r="A73" s="9" t="s">
        <v>1545</v>
      </c>
    </row>
    <row r="74" spans="1:4" x14ac:dyDescent="0.2">
      <c r="A74" s="9" t="s">
        <v>782</v>
      </c>
    </row>
    <row r="76" spans="1:4" x14ac:dyDescent="0.2">
      <c r="A76" s="48" t="s">
        <v>706</v>
      </c>
      <c r="D76" s="49" t="s">
        <v>707</v>
      </c>
    </row>
    <row r="78" spans="1:4" x14ac:dyDescent="0.2">
      <c r="A78" s="18" t="s">
        <v>705</v>
      </c>
      <c r="D78" s="13">
        <f>-G38</f>
        <v>34.406199994100611</v>
      </c>
    </row>
    <row r="80" spans="1:4" x14ac:dyDescent="0.2">
      <c r="A80" s="18" t="s">
        <v>708</v>
      </c>
      <c r="D80" s="46">
        <v>2.1643039578252519</v>
      </c>
    </row>
    <row r="82" spans="1:5" x14ac:dyDescent="0.2">
      <c r="A82" s="18" t="s">
        <v>709</v>
      </c>
      <c r="D82" s="42">
        <v>2.08465626361509</v>
      </c>
      <c r="E82" s="13" t="s">
        <v>46</v>
      </c>
    </row>
    <row r="84" spans="1:5" x14ac:dyDescent="0.2">
      <c r="A84" s="18" t="s">
        <v>710</v>
      </c>
      <c r="D84" s="41" t="s">
        <v>45</v>
      </c>
    </row>
    <row r="86" spans="1:5" x14ac:dyDescent="0.2">
      <c r="A86" s="18" t="s">
        <v>711</v>
      </c>
    </row>
    <row r="87" spans="1:5" x14ac:dyDescent="0.2">
      <c r="A87" s="50" t="s">
        <v>47</v>
      </c>
    </row>
  </sheetData>
  <mergeCells count="6">
    <mergeCell ref="A72:B72"/>
    <mergeCell ref="A1:H1"/>
    <mergeCell ref="A68:B68"/>
    <mergeCell ref="A69:B69"/>
    <mergeCell ref="A70:B70"/>
    <mergeCell ref="A71:B71"/>
  </mergeCells>
  <conditionalFormatting sqref="F2:G3 F5:G6 F7:F38 F39:G65541">
    <cfRule type="cellIs" dxfId="107" priority="4" stopIfTrue="1" operator="between">
      <formula>0.009</formula>
      <formula>-0.009</formula>
    </cfRule>
  </conditionalFormatting>
  <conditionalFormatting sqref="G7:G37">
    <cfRule type="cellIs" dxfId="106" priority="2" stopIfTrue="1" operator="between">
      <formula>0.009</formula>
      <formula>-0.009</formula>
    </cfRule>
  </conditionalFormatting>
  <conditionalFormatting sqref="G38">
    <cfRule type="cellIs" dxfId="105" priority="1" stopIfTrue="1" operator="between">
      <formula>0.009</formula>
      <formula>-0.009</formula>
    </cfRule>
  </conditionalFormatting>
  <hyperlinks>
    <hyperlink ref="A87" r:id="rId1" xr:uid="{00000000-0004-0000-1F00-000000000000}"/>
  </hyperlinks>
  <pageMargins left="0.7" right="0.7" top="0.75" bottom="0.75" header="0.3" footer="0.3"/>
  <pageSetup paperSize="9" scale="48" orientation="portrait" r:id="rId2"/>
  <headerFooter>
    <oddFooter>&amp;R&amp;1#&amp;"Calibri"&amp;10&amp;KFF0000|PUBLIC|</oddFooter>
    <evenFooter>&amp;LPUBLIC</evenFooter>
    <firstFooter>&amp;LPUBLIC</firstFooter>
  </headerFooter>
  <colBreaks count="1" manualBreakCount="1">
    <brk id="8" max="1048575" man="1"/>
  </col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124"/>
  <sheetViews>
    <sheetView view="pageBreakPreview" zoomScaleNormal="100" zoomScaleSheetLayoutView="100" workbookViewId="0">
      <selection sqref="A1:G1"/>
    </sheetView>
  </sheetViews>
  <sheetFormatPr defaultColWidth="9.21875" defaultRowHeight="10.199999999999999" x14ac:dyDescent="0.2"/>
  <cols>
    <col min="1" max="1" width="40.44140625" style="9" bestFit="1" customWidth="1"/>
    <col min="2" max="2" width="51.77734375" style="9" bestFit="1" customWidth="1"/>
    <col min="3" max="3" width="25.21875" style="9" bestFit="1" customWidth="1"/>
    <col min="4" max="4" width="15.44140625" style="10" bestFit="1" customWidth="1"/>
    <col min="5" max="5" width="23" style="13" bestFit="1" customWidth="1"/>
    <col min="6" max="6" width="13.5546875" style="14" bestFit="1" customWidth="1"/>
    <col min="7" max="7" width="14.21875" style="13" customWidth="1"/>
    <col min="8" max="16384" width="9.21875" style="9"/>
  </cols>
  <sheetData>
    <row r="1" spans="1:7" s="1" customFormat="1" ht="13.8" x14ac:dyDescent="0.2">
      <c r="A1" s="92" t="s">
        <v>1475</v>
      </c>
      <c r="B1" s="93"/>
      <c r="C1" s="93"/>
      <c r="D1" s="93"/>
      <c r="E1" s="93"/>
      <c r="F1" s="93"/>
      <c r="G1" s="93"/>
    </row>
    <row r="2" spans="1:7" s="1" customFormat="1" ht="11.4" x14ac:dyDescent="0.2">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5</v>
      </c>
      <c r="D4" s="16" t="s">
        <v>1</v>
      </c>
      <c r="E4" s="15" t="s">
        <v>3</v>
      </c>
      <c r="F4" s="15" t="s">
        <v>4</v>
      </c>
      <c r="G4" s="15" t="s">
        <v>6</v>
      </c>
    </row>
    <row r="5" spans="1:7" x14ac:dyDescent="0.2">
      <c r="A5" s="21" t="s">
        <v>84</v>
      </c>
      <c r="B5" s="22"/>
      <c r="C5" s="22"/>
      <c r="D5" s="23"/>
      <c r="E5" s="24"/>
      <c r="F5" s="25"/>
      <c r="G5" s="24"/>
    </row>
    <row r="6" spans="1:7" x14ac:dyDescent="0.2">
      <c r="A6" s="26" t="s">
        <v>27</v>
      </c>
      <c r="B6" s="27"/>
      <c r="C6" s="27"/>
      <c r="D6" s="28"/>
      <c r="E6" s="29"/>
      <c r="F6" s="30"/>
      <c r="G6" s="29"/>
    </row>
    <row r="7" spans="1:7" x14ac:dyDescent="0.2">
      <c r="A7" s="27" t="s">
        <v>89</v>
      </c>
      <c r="B7" s="27" t="s">
        <v>88</v>
      </c>
      <c r="C7" s="27" t="s">
        <v>90</v>
      </c>
      <c r="D7" s="31">
        <v>697784</v>
      </c>
      <c r="E7" s="29">
        <v>9546.0340120000001</v>
      </c>
      <c r="F7" s="30">
        <v>7.0120463989463602</v>
      </c>
      <c r="G7" s="29"/>
    </row>
    <row r="8" spans="1:7" x14ac:dyDescent="0.2">
      <c r="A8" s="27" t="s">
        <v>92</v>
      </c>
      <c r="B8" s="27" t="s">
        <v>91</v>
      </c>
      <c r="C8" s="27" t="s">
        <v>87</v>
      </c>
      <c r="D8" s="31">
        <v>1267935</v>
      </c>
      <c r="E8" s="29">
        <v>8843.2126580000004</v>
      </c>
      <c r="F8" s="30">
        <v>6.4957884494960201</v>
      </c>
      <c r="G8" s="29"/>
    </row>
    <row r="9" spans="1:7" x14ac:dyDescent="0.2">
      <c r="A9" s="27" t="s">
        <v>86</v>
      </c>
      <c r="B9" s="27" t="s">
        <v>85</v>
      </c>
      <c r="C9" s="27" t="s">
        <v>87</v>
      </c>
      <c r="D9" s="31">
        <v>483868</v>
      </c>
      <c r="E9" s="29">
        <v>7227.294382</v>
      </c>
      <c r="F9" s="30">
        <v>5.3088144753855397</v>
      </c>
      <c r="G9" s="29"/>
    </row>
    <row r="10" spans="1:7" x14ac:dyDescent="0.2">
      <c r="A10" s="27" t="s">
        <v>94</v>
      </c>
      <c r="B10" s="27" t="s">
        <v>93</v>
      </c>
      <c r="C10" s="27" t="s">
        <v>87</v>
      </c>
      <c r="D10" s="31">
        <v>1131302</v>
      </c>
      <c r="E10" s="29">
        <v>6585.3089419999997</v>
      </c>
      <c r="F10" s="30">
        <v>4.8372435919098402</v>
      </c>
      <c r="G10" s="29"/>
    </row>
    <row r="11" spans="1:7" x14ac:dyDescent="0.2">
      <c r="A11" s="27" t="s">
        <v>96</v>
      </c>
      <c r="B11" s="27" t="s">
        <v>95</v>
      </c>
      <c r="C11" s="27" t="s">
        <v>97</v>
      </c>
      <c r="D11" s="31">
        <v>1046271</v>
      </c>
      <c r="E11" s="29">
        <v>5412.3598830000001</v>
      </c>
      <c r="F11" s="30">
        <v>3.9756529863275198</v>
      </c>
      <c r="G11" s="29"/>
    </row>
    <row r="12" spans="1:7" x14ac:dyDescent="0.2">
      <c r="A12" s="27" t="s">
        <v>129</v>
      </c>
      <c r="B12" s="27" t="s">
        <v>128</v>
      </c>
      <c r="C12" s="27" t="s">
        <v>130</v>
      </c>
      <c r="D12" s="31">
        <v>1808769</v>
      </c>
      <c r="E12" s="29">
        <v>3900.610349</v>
      </c>
      <c r="F12" s="30">
        <v>2.8651962392985402</v>
      </c>
      <c r="G12" s="29"/>
    </row>
    <row r="13" spans="1:7" x14ac:dyDescent="0.2">
      <c r="A13" s="27" t="s">
        <v>168</v>
      </c>
      <c r="B13" s="27" t="s">
        <v>167</v>
      </c>
      <c r="C13" s="27" t="s">
        <v>127</v>
      </c>
      <c r="D13" s="31">
        <v>71688</v>
      </c>
      <c r="E13" s="29">
        <v>3237.4300800000001</v>
      </c>
      <c r="F13" s="30">
        <v>2.3780566783826602</v>
      </c>
      <c r="G13" s="29"/>
    </row>
    <row r="14" spans="1:7" x14ac:dyDescent="0.2">
      <c r="A14" s="27" t="s">
        <v>119</v>
      </c>
      <c r="B14" s="27" t="s">
        <v>118</v>
      </c>
      <c r="C14" s="27" t="s">
        <v>111</v>
      </c>
      <c r="D14" s="31">
        <v>1162538</v>
      </c>
      <c r="E14" s="29">
        <v>3177.7976229999999</v>
      </c>
      <c r="F14" s="30">
        <v>2.3342536126444098</v>
      </c>
      <c r="G14" s="29"/>
    </row>
    <row r="15" spans="1:7" x14ac:dyDescent="0.2">
      <c r="A15" s="27" t="s">
        <v>219</v>
      </c>
      <c r="B15" s="27" t="s">
        <v>218</v>
      </c>
      <c r="C15" s="27" t="s">
        <v>90</v>
      </c>
      <c r="D15" s="31">
        <v>92416</v>
      </c>
      <c r="E15" s="29">
        <v>2936.841856</v>
      </c>
      <c r="F15" s="30">
        <v>2.1572593743907298</v>
      </c>
      <c r="G15" s="29"/>
    </row>
    <row r="16" spans="1:7" x14ac:dyDescent="0.2">
      <c r="A16" s="27" t="s">
        <v>183</v>
      </c>
      <c r="B16" s="27" t="s">
        <v>182</v>
      </c>
      <c r="C16" s="27" t="s">
        <v>184</v>
      </c>
      <c r="D16" s="31">
        <v>205227</v>
      </c>
      <c r="E16" s="29">
        <v>2911.9659029999998</v>
      </c>
      <c r="F16" s="30">
        <v>2.1389867245725198</v>
      </c>
      <c r="G16" s="29"/>
    </row>
    <row r="17" spans="1:7" x14ac:dyDescent="0.2">
      <c r="A17" s="27" t="s">
        <v>132</v>
      </c>
      <c r="B17" s="27" t="s">
        <v>131</v>
      </c>
      <c r="C17" s="27" t="s">
        <v>130</v>
      </c>
      <c r="D17" s="31">
        <v>2468370</v>
      </c>
      <c r="E17" s="29">
        <v>2630.0482350000002</v>
      </c>
      <c r="F17" s="30">
        <v>1.9319038914070601</v>
      </c>
      <c r="G17" s="29"/>
    </row>
    <row r="18" spans="1:7" x14ac:dyDescent="0.2">
      <c r="A18" s="27" t="s">
        <v>113</v>
      </c>
      <c r="B18" s="27" t="s">
        <v>112</v>
      </c>
      <c r="C18" s="27" t="s">
        <v>114</v>
      </c>
      <c r="D18" s="31">
        <v>794188</v>
      </c>
      <c r="E18" s="29">
        <v>2595.8034779999998</v>
      </c>
      <c r="F18" s="30">
        <v>1.9067493796273201</v>
      </c>
      <c r="G18" s="29"/>
    </row>
    <row r="19" spans="1:7" x14ac:dyDescent="0.2">
      <c r="A19" s="27" t="s">
        <v>110</v>
      </c>
      <c r="B19" s="27" t="s">
        <v>109</v>
      </c>
      <c r="C19" s="27" t="s">
        <v>111</v>
      </c>
      <c r="D19" s="31">
        <v>1103354</v>
      </c>
      <c r="E19" s="29">
        <v>2478.684761</v>
      </c>
      <c r="F19" s="30">
        <v>1.8207197387569101</v>
      </c>
      <c r="G19" s="29"/>
    </row>
    <row r="20" spans="1:7" x14ac:dyDescent="0.2">
      <c r="A20" s="27" t="s">
        <v>190</v>
      </c>
      <c r="B20" s="27" t="s">
        <v>189</v>
      </c>
      <c r="C20" s="27" t="s">
        <v>90</v>
      </c>
      <c r="D20" s="31">
        <v>243717</v>
      </c>
      <c r="E20" s="29">
        <v>2416.3321970000002</v>
      </c>
      <c r="F20" s="30">
        <v>1.7749186163943</v>
      </c>
      <c r="G20" s="29"/>
    </row>
    <row r="21" spans="1:7" x14ac:dyDescent="0.2">
      <c r="A21" s="27" t="s">
        <v>197</v>
      </c>
      <c r="B21" s="27" t="s">
        <v>196</v>
      </c>
      <c r="C21" s="27" t="s">
        <v>122</v>
      </c>
      <c r="D21" s="31">
        <v>2568360</v>
      </c>
      <c r="E21" s="29">
        <v>2359.0386600000002</v>
      </c>
      <c r="F21" s="30">
        <v>1.7328336060854399</v>
      </c>
      <c r="G21" s="29"/>
    </row>
    <row r="22" spans="1:7" x14ac:dyDescent="0.2">
      <c r="A22" s="27" t="s">
        <v>147</v>
      </c>
      <c r="B22" s="27" t="s">
        <v>146</v>
      </c>
      <c r="C22" s="27" t="s">
        <v>117</v>
      </c>
      <c r="D22" s="31">
        <v>95579</v>
      </c>
      <c r="E22" s="29">
        <v>2324.003385</v>
      </c>
      <c r="F22" s="30">
        <v>1.7070984187195699</v>
      </c>
      <c r="G22" s="29"/>
    </row>
    <row r="23" spans="1:7" x14ac:dyDescent="0.2">
      <c r="A23" s="27" t="s">
        <v>124</v>
      </c>
      <c r="B23" s="27" t="s">
        <v>123</v>
      </c>
      <c r="C23" s="27" t="s">
        <v>87</v>
      </c>
      <c r="D23" s="31">
        <v>615662</v>
      </c>
      <c r="E23" s="29">
        <v>2242.8566660000001</v>
      </c>
      <c r="F23" s="30">
        <v>1.6474920357928999</v>
      </c>
      <c r="G23" s="29"/>
    </row>
    <row r="24" spans="1:7" x14ac:dyDescent="0.2">
      <c r="A24" s="27" t="s">
        <v>192</v>
      </c>
      <c r="B24" s="27" t="s">
        <v>191</v>
      </c>
      <c r="C24" s="27" t="s">
        <v>176</v>
      </c>
      <c r="D24" s="31">
        <v>345421</v>
      </c>
      <c r="E24" s="29">
        <v>2069.7626319999999</v>
      </c>
      <c r="F24" s="30">
        <v>1.52034568409721</v>
      </c>
      <c r="G24" s="29"/>
    </row>
    <row r="25" spans="1:7" x14ac:dyDescent="0.2">
      <c r="A25" s="27" t="s">
        <v>105</v>
      </c>
      <c r="B25" s="27" t="s">
        <v>104</v>
      </c>
      <c r="C25" s="27" t="s">
        <v>106</v>
      </c>
      <c r="D25" s="31">
        <v>204626</v>
      </c>
      <c r="E25" s="29">
        <v>2050.250207</v>
      </c>
      <c r="F25" s="30">
        <v>1.50601281776927</v>
      </c>
      <c r="G25" s="29"/>
    </row>
    <row r="26" spans="1:7" x14ac:dyDescent="0.2">
      <c r="A26" s="27" t="s">
        <v>194</v>
      </c>
      <c r="B26" s="27" t="s">
        <v>193</v>
      </c>
      <c r="C26" s="27" t="s">
        <v>195</v>
      </c>
      <c r="D26" s="31">
        <v>1583382</v>
      </c>
      <c r="E26" s="29">
        <v>1755.1789470000001</v>
      </c>
      <c r="F26" s="30">
        <v>1.28926800379577</v>
      </c>
      <c r="G26" s="29"/>
    </row>
    <row r="27" spans="1:7" x14ac:dyDescent="0.2">
      <c r="A27" s="27" t="s">
        <v>99</v>
      </c>
      <c r="B27" s="27" t="s">
        <v>98</v>
      </c>
      <c r="C27" s="27" t="s">
        <v>100</v>
      </c>
      <c r="D27" s="31">
        <v>99000</v>
      </c>
      <c r="E27" s="29">
        <v>1671.615</v>
      </c>
      <c r="F27" s="30">
        <v>1.22788604423995</v>
      </c>
      <c r="G27" s="29"/>
    </row>
    <row r="28" spans="1:7" x14ac:dyDescent="0.2">
      <c r="A28" s="27" t="s">
        <v>221</v>
      </c>
      <c r="B28" s="27" t="s">
        <v>220</v>
      </c>
      <c r="C28" s="27" t="s">
        <v>130</v>
      </c>
      <c r="D28" s="31">
        <v>6797235</v>
      </c>
      <c r="E28" s="29">
        <v>1661.9239580000001</v>
      </c>
      <c r="F28" s="30">
        <v>1.22076748211533</v>
      </c>
      <c r="G28" s="29"/>
    </row>
    <row r="29" spans="1:7" x14ac:dyDescent="0.2">
      <c r="A29" s="27" t="s">
        <v>137</v>
      </c>
      <c r="B29" s="27" t="s">
        <v>136</v>
      </c>
      <c r="C29" s="27" t="s">
        <v>117</v>
      </c>
      <c r="D29" s="31">
        <v>128251</v>
      </c>
      <c r="E29" s="29">
        <v>1592.1720399999999</v>
      </c>
      <c r="F29" s="30">
        <v>1.1695311587566799</v>
      </c>
      <c r="G29" s="29"/>
    </row>
    <row r="30" spans="1:7" x14ac:dyDescent="0.2">
      <c r="A30" s="27" t="s">
        <v>149</v>
      </c>
      <c r="B30" s="27" t="s">
        <v>148</v>
      </c>
      <c r="C30" s="27" t="s">
        <v>87</v>
      </c>
      <c r="D30" s="31">
        <v>999697</v>
      </c>
      <c r="E30" s="29">
        <v>1559.027472</v>
      </c>
      <c r="F30" s="30">
        <v>1.14518479162695</v>
      </c>
      <c r="G30" s="29"/>
    </row>
    <row r="31" spans="1:7" x14ac:dyDescent="0.2">
      <c r="A31" s="27" t="s">
        <v>126</v>
      </c>
      <c r="B31" s="27" t="s">
        <v>125</v>
      </c>
      <c r="C31" s="27" t="s">
        <v>127</v>
      </c>
      <c r="D31" s="31">
        <v>349001</v>
      </c>
      <c r="E31" s="29">
        <v>1538.7454090000001</v>
      </c>
      <c r="F31" s="30">
        <v>1.1302865871324399</v>
      </c>
      <c r="G31" s="29"/>
    </row>
    <row r="32" spans="1:7" x14ac:dyDescent="0.2">
      <c r="A32" s="27" t="s">
        <v>199</v>
      </c>
      <c r="B32" s="27" t="s">
        <v>198</v>
      </c>
      <c r="C32" s="27" t="s">
        <v>200</v>
      </c>
      <c r="D32" s="31">
        <v>921918</v>
      </c>
      <c r="E32" s="29">
        <v>1335.3982229999999</v>
      </c>
      <c r="F32" s="30">
        <v>0.98091776008502596</v>
      </c>
      <c r="G32" s="29"/>
    </row>
    <row r="33" spans="1:9" x14ac:dyDescent="0.2">
      <c r="A33" s="27" t="s">
        <v>153</v>
      </c>
      <c r="B33" s="27" t="s">
        <v>152</v>
      </c>
      <c r="C33" s="27" t="s">
        <v>154</v>
      </c>
      <c r="D33" s="31">
        <v>649104</v>
      </c>
      <c r="E33" s="29">
        <v>1306.3217999999999</v>
      </c>
      <c r="F33" s="30">
        <v>0.95955965189736403</v>
      </c>
      <c r="G33" s="29"/>
    </row>
    <row r="34" spans="1:9" x14ac:dyDescent="0.2">
      <c r="A34" s="27" t="s">
        <v>102</v>
      </c>
      <c r="B34" s="27" t="s">
        <v>101</v>
      </c>
      <c r="C34" s="27" t="s">
        <v>103</v>
      </c>
      <c r="D34" s="31">
        <v>160077</v>
      </c>
      <c r="E34" s="29">
        <v>1299.5851250000001</v>
      </c>
      <c r="F34" s="30">
        <v>0.95461122225472494</v>
      </c>
      <c r="G34" s="29"/>
    </row>
    <row r="35" spans="1:9" x14ac:dyDescent="0.2">
      <c r="A35" s="27" t="s">
        <v>205</v>
      </c>
      <c r="B35" s="27" t="s">
        <v>204</v>
      </c>
      <c r="C35" s="27" t="s">
        <v>176</v>
      </c>
      <c r="D35" s="31">
        <v>336933</v>
      </c>
      <c r="E35" s="29">
        <v>1263.1618169999999</v>
      </c>
      <c r="F35" s="30">
        <v>0.92785645421408602</v>
      </c>
      <c r="G35" s="29"/>
    </row>
    <row r="36" spans="1:9" x14ac:dyDescent="0.2">
      <c r="A36" s="27" t="s">
        <v>134</v>
      </c>
      <c r="B36" s="27" t="s">
        <v>133</v>
      </c>
      <c r="C36" s="27" t="s">
        <v>135</v>
      </c>
      <c r="D36" s="31">
        <v>146320</v>
      </c>
      <c r="E36" s="29">
        <v>1163.6098</v>
      </c>
      <c r="F36" s="30">
        <v>0.85473044592255998</v>
      </c>
      <c r="G36" s="29"/>
    </row>
    <row r="37" spans="1:9" x14ac:dyDescent="0.2">
      <c r="A37" s="27" t="s">
        <v>156</v>
      </c>
      <c r="B37" s="27" t="s">
        <v>155</v>
      </c>
      <c r="C37" s="27" t="s">
        <v>135</v>
      </c>
      <c r="D37" s="31">
        <v>381483</v>
      </c>
      <c r="E37" s="29">
        <v>1151.3156939999999</v>
      </c>
      <c r="F37" s="30">
        <v>0.84569980119646804</v>
      </c>
      <c r="G37" s="29"/>
    </row>
    <row r="38" spans="1:9" x14ac:dyDescent="0.2">
      <c r="A38" s="27" t="s">
        <v>223</v>
      </c>
      <c r="B38" s="27" t="s">
        <v>222</v>
      </c>
      <c r="C38" s="27" t="s">
        <v>106</v>
      </c>
      <c r="D38" s="31">
        <v>72561</v>
      </c>
      <c r="E38" s="29">
        <v>1130.5366610000001</v>
      </c>
      <c r="F38" s="30">
        <v>0.83043654701802305</v>
      </c>
      <c r="G38" s="29"/>
    </row>
    <row r="39" spans="1:9" x14ac:dyDescent="0.2">
      <c r="A39" s="27" t="s">
        <v>121</v>
      </c>
      <c r="B39" s="27" t="s">
        <v>120</v>
      </c>
      <c r="C39" s="27" t="s">
        <v>122</v>
      </c>
      <c r="D39" s="31">
        <v>362218</v>
      </c>
      <c r="E39" s="29">
        <v>849.40120999999999</v>
      </c>
      <c r="F39" s="30">
        <v>0.62392829193296795</v>
      </c>
      <c r="G39" s="29"/>
    </row>
    <row r="40" spans="1:9" x14ac:dyDescent="0.2">
      <c r="A40" s="27" t="s">
        <v>158</v>
      </c>
      <c r="B40" s="27" t="s">
        <v>157</v>
      </c>
      <c r="C40" s="27" t="s">
        <v>159</v>
      </c>
      <c r="D40" s="31">
        <v>1265151</v>
      </c>
      <c r="E40" s="29">
        <v>743.27621250000004</v>
      </c>
      <c r="F40" s="30">
        <v>0.54597409591579305</v>
      </c>
      <c r="G40" s="29"/>
    </row>
    <row r="41" spans="1:9" x14ac:dyDescent="0.2">
      <c r="A41" s="27" t="s">
        <v>202</v>
      </c>
      <c r="B41" s="27" t="s">
        <v>201</v>
      </c>
      <c r="C41" s="27" t="s">
        <v>203</v>
      </c>
      <c r="D41" s="31">
        <v>377910</v>
      </c>
      <c r="E41" s="29">
        <v>609.37987499999997</v>
      </c>
      <c r="F41" s="30">
        <v>0.44762044140139101</v>
      </c>
      <c r="G41" s="29"/>
    </row>
    <row r="42" spans="1:9" x14ac:dyDescent="0.2">
      <c r="A42" s="27" t="s">
        <v>161</v>
      </c>
      <c r="B42" s="27" t="s">
        <v>160</v>
      </c>
      <c r="C42" s="27" t="s">
        <v>154</v>
      </c>
      <c r="D42" s="31">
        <v>75869</v>
      </c>
      <c r="E42" s="29">
        <v>128.142741</v>
      </c>
      <c r="F42" s="30">
        <v>9.4127345916706101E-2</v>
      </c>
      <c r="G42" s="29"/>
    </row>
    <row r="43" spans="1:9" x14ac:dyDescent="0.2">
      <c r="A43" s="26" t="s">
        <v>34</v>
      </c>
      <c r="B43" s="26"/>
      <c r="C43" s="26"/>
      <c r="D43" s="32"/>
      <c r="E43" s="33">
        <f>SUM(E7:E42)</f>
        <v>95704.427893500033</v>
      </c>
      <c r="F43" s="34">
        <f>SUM(F7:F42)</f>
        <v>70.299758845426354</v>
      </c>
      <c r="G43" s="33"/>
      <c r="H43" s="18"/>
      <c r="I43" s="18"/>
    </row>
    <row r="44" spans="1:9" x14ac:dyDescent="0.2">
      <c r="A44" s="27"/>
      <c r="B44" s="27"/>
      <c r="C44" s="27"/>
      <c r="D44" s="28"/>
      <c r="E44" s="29"/>
      <c r="F44" s="30"/>
      <c r="G44" s="29"/>
    </row>
    <row r="45" spans="1:9" x14ac:dyDescent="0.2">
      <c r="A45" s="26" t="s">
        <v>1479</v>
      </c>
      <c r="B45" s="27"/>
      <c r="C45" s="27"/>
      <c r="D45" s="28"/>
      <c r="E45" s="29"/>
      <c r="F45" s="30"/>
      <c r="G45" s="29"/>
    </row>
    <row r="46" spans="1:9" x14ac:dyDescent="0.2">
      <c r="A46" s="27" t="s">
        <v>224</v>
      </c>
      <c r="B46" s="27" t="s">
        <v>725</v>
      </c>
      <c r="C46" s="27" t="s">
        <v>225</v>
      </c>
      <c r="D46" s="31">
        <v>270000</v>
      </c>
      <c r="E46" s="29">
        <v>2.7E-2</v>
      </c>
      <c r="F46" s="30">
        <v>1.9832870125285201E-5</v>
      </c>
      <c r="G46" s="29"/>
    </row>
    <row r="47" spans="1:9" x14ac:dyDescent="0.2">
      <c r="A47" s="27"/>
      <c r="B47" s="27" t="s">
        <v>720</v>
      </c>
      <c r="C47" s="27" t="s">
        <v>176</v>
      </c>
      <c r="D47" s="31">
        <v>27500</v>
      </c>
      <c r="E47" s="29">
        <v>2.7499999999999998E-3</v>
      </c>
      <c r="F47" s="30">
        <v>2.0200145497975699E-6</v>
      </c>
      <c r="G47" s="29"/>
    </row>
    <row r="48" spans="1:9" x14ac:dyDescent="0.2">
      <c r="A48" s="26" t="s">
        <v>34</v>
      </c>
      <c r="B48" s="26"/>
      <c r="C48" s="26"/>
      <c r="D48" s="32"/>
      <c r="E48" s="33">
        <f>SUM(E45:E47)</f>
        <v>2.9749999999999999E-2</v>
      </c>
      <c r="F48" s="34">
        <f>SUM(F45:F47)</f>
        <v>2.185288467508277E-5</v>
      </c>
      <c r="G48" s="33"/>
      <c r="H48" s="18"/>
    </row>
    <row r="49" spans="1:9" x14ac:dyDescent="0.2">
      <c r="A49" s="27"/>
      <c r="B49" s="27"/>
      <c r="C49" s="27"/>
      <c r="D49" s="28"/>
      <c r="E49" s="29"/>
      <c r="F49" s="30"/>
      <c r="G49" s="29"/>
    </row>
    <row r="50" spans="1:9" x14ac:dyDescent="0.2">
      <c r="A50" s="26" t="s">
        <v>226</v>
      </c>
      <c r="B50" s="27"/>
      <c r="C50" s="27"/>
      <c r="D50" s="28"/>
      <c r="E50" s="29"/>
      <c r="F50" s="30"/>
      <c r="G50" s="29"/>
    </row>
    <row r="51" spans="1:9" x14ac:dyDescent="0.2">
      <c r="A51" s="27" t="s">
        <v>214</v>
      </c>
      <c r="B51" s="27" t="s">
        <v>213</v>
      </c>
      <c r="C51" s="27" t="s">
        <v>362</v>
      </c>
      <c r="D51" s="31">
        <v>644200</v>
      </c>
      <c r="E51" s="29">
        <v>2096.5488999999998</v>
      </c>
      <c r="F51" s="30">
        <v>1.5400215572225799</v>
      </c>
      <c r="G51" s="29"/>
    </row>
    <row r="52" spans="1:9" x14ac:dyDescent="0.2">
      <c r="A52" s="27" t="s">
        <v>228</v>
      </c>
      <c r="B52" s="27" t="s">
        <v>227</v>
      </c>
      <c r="C52" s="27" t="s">
        <v>362</v>
      </c>
      <c r="D52" s="31">
        <v>151400</v>
      </c>
      <c r="E52" s="29">
        <v>337.93993999999998</v>
      </c>
      <c r="F52" s="30">
        <v>0.24823403482098799</v>
      </c>
      <c r="G52" s="29"/>
    </row>
    <row r="53" spans="1:9" x14ac:dyDescent="0.2">
      <c r="A53" s="26" t="s">
        <v>34</v>
      </c>
      <c r="B53" s="26"/>
      <c r="C53" s="26"/>
      <c r="D53" s="32"/>
      <c r="E53" s="33">
        <f>SUM(E50:E52)</f>
        <v>2434.48884</v>
      </c>
      <c r="F53" s="34">
        <f>SUM(F50:F52)</f>
        <v>1.7882555920435679</v>
      </c>
      <c r="G53" s="33"/>
      <c r="H53" s="18"/>
      <c r="I53" s="18"/>
    </row>
    <row r="54" spans="1:9" x14ac:dyDescent="0.2">
      <c r="A54" s="27"/>
      <c r="B54" s="27"/>
      <c r="C54" s="27"/>
      <c r="D54" s="28"/>
      <c r="E54" s="29"/>
      <c r="F54" s="30"/>
      <c r="G54" s="29"/>
    </row>
    <row r="55" spans="1:9" x14ac:dyDescent="0.2">
      <c r="A55" s="26" t="s">
        <v>26</v>
      </c>
      <c r="B55" s="27"/>
      <c r="C55" s="27"/>
      <c r="D55" s="28"/>
      <c r="E55" s="29"/>
      <c r="F55" s="30"/>
      <c r="G55" s="29"/>
    </row>
    <row r="56" spans="1:9" x14ac:dyDescent="0.2">
      <c r="A56" s="26" t="s">
        <v>27</v>
      </c>
      <c r="B56" s="27"/>
      <c r="C56" s="27"/>
      <c r="D56" s="28"/>
      <c r="E56" s="29"/>
      <c r="F56" s="30"/>
      <c r="G56" s="29"/>
    </row>
    <row r="57" spans="1:9" x14ac:dyDescent="0.2">
      <c r="A57" s="27" t="s">
        <v>29</v>
      </c>
      <c r="B57" s="27" t="s">
        <v>28</v>
      </c>
      <c r="C57" s="27" t="s">
        <v>30</v>
      </c>
      <c r="D57" s="31">
        <v>450</v>
      </c>
      <c r="E57" s="29">
        <v>4507.9695000000002</v>
      </c>
      <c r="F57" s="30">
        <v>3.3113323563795198</v>
      </c>
      <c r="G57" s="29">
        <v>7.1247999999999996</v>
      </c>
    </row>
    <row r="58" spans="1:9" x14ac:dyDescent="0.2">
      <c r="A58" s="27" t="s">
        <v>32</v>
      </c>
      <c r="B58" s="27" t="s">
        <v>31</v>
      </c>
      <c r="C58" s="27" t="s">
        <v>30</v>
      </c>
      <c r="D58" s="31">
        <v>83</v>
      </c>
      <c r="E58" s="29">
        <v>832.34640999999999</v>
      </c>
      <c r="F58" s="30">
        <v>0.61140067588064495</v>
      </c>
      <c r="G58" s="29">
        <v>7.1246999999999998</v>
      </c>
    </row>
    <row r="59" spans="1:9" x14ac:dyDescent="0.2">
      <c r="A59" s="27" t="s">
        <v>81</v>
      </c>
      <c r="B59" s="27" t="s">
        <v>80</v>
      </c>
      <c r="C59" s="27" t="s">
        <v>33</v>
      </c>
      <c r="D59" s="31">
        <v>60</v>
      </c>
      <c r="E59" s="29">
        <v>667.75260000000003</v>
      </c>
      <c r="F59" s="30">
        <v>0.49049817006005703</v>
      </c>
      <c r="G59" s="29">
        <v>6.98</v>
      </c>
    </row>
    <row r="60" spans="1:9" x14ac:dyDescent="0.2">
      <c r="A60" s="27" t="s">
        <v>166</v>
      </c>
      <c r="B60" s="27" t="s">
        <v>165</v>
      </c>
      <c r="C60" s="27" t="s">
        <v>33</v>
      </c>
      <c r="D60" s="31">
        <v>50</v>
      </c>
      <c r="E60" s="29">
        <v>518.19200000000001</v>
      </c>
      <c r="F60" s="30">
        <v>0.380638319850437</v>
      </c>
      <c r="G60" s="29">
        <v>5.05</v>
      </c>
    </row>
    <row r="61" spans="1:9" x14ac:dyDescent="0.2">
      <c r="A61" s="27" t="s">
        <v>79</v>
      </c>
      <c r="B61" s="27" t="s">
        <v>78</v>
      </c>
      <c r="C61" s="27" t="s">
        <v>33</v>
      </c>
      <c r="D61" s="31">
        <v>30</v>
      </c>
      <c r="E61" s="29">
        <v>333.23309999999998</v>
      </c>
      <c r="F61" s="30">
        <v>0.24477662199059999</v>
      </c>
      <c r="G61" s="29">
        <v>7</v>
      </c>
    </row>
    <row r="62" spans="1:9" x14ac:dyDescent="0.2">
      <c r="A62" s="26" t="s">
        <v>34</v>
      </c>
      <c r="B62" s="26"/>
      <c r="C62" s="26"/>
      <c r="D62" s="32"/>
      <c r="E62" s="33">
        <f>SUM(E56:E61)</f>
        <v>6859.4936100000004</v>
      </c>
      <c r="F62" s="34">
        <f>SUM(F56:F61)</f>
        <v>5.0386461441612589</v>
      </c>
      <c r="G62" s="33"/>
      <c r="H62" s="18"/>
      <c r="I62" s="18"/>
    </row>
    <row r="63" spans="1:9" x14ac:dyDescent="0.2">
      <c r="A63" s="27"/>
      <c r="B63" s="27"/>
      <c r="C63" s="27"/>
      <c r="D63" s="28"/>
      <c r="E63" s="29"/>
      <c r="F63" s="30"/>
      <c r="G63" s="29"/>
    </row>
    <row r="64" spans="1:9" x14ac:dyDescent="0.2">
      <c r="A64" s="26" t="s">
        <v>48</v>
      </c>
      <c r="B64" s="27"/>
      <c r="C64" s="27"/>
      <c r="D64" s="28"/>
      <c r="E64" s="29"/>
      <c r="F64" s="30"/>
      <c r="G64" s="29"/>
    </row>
    <row r="65" spans="1:9" x14ac:dyDescent="0.2">
      <c r="A65" s="26" t="s">
        <v>49</v>
      </c>
      <c r="B65" s="27"/>
      <c r="C65" s="27"/>
      <c r="D65" s="28"/>
      <c r="E65" s="29"/>
      <c r="F65" s="30"/>
      <c r="G65" s="29"/>
    </row>
    <row r="66" spans="1:9" x14ac:dyDescent="0.2">
      <c r="A66" s="27" t="s">
        <v>173</v>
      </c>
      <c r="B66" s="27" t="s">
        <v>172</v>
      </c>
      <c r="C66" s="27" t="s">
        <v>51</v>
      </c>
      <c r="D66" s="31">
        <v>2500</v>
      </c>
      <c r="E66" s="29">
        <v>2414.585</v>
      </c>
      <c r="F66" s="30">
        <v>1.77363521153562</v>
      </c>
      <c r="G66" s="29">
        <v>3.9973999999999998</v>
      </c>
    </row>
    <row r="67" spans="1:9" x14ac:dyDescent="0.2">
      <c r="A67" s="26" t="s">
        <v>34</v>
      </c>
      <c r="B67" s="26"/>
      <c r="C67" s="26"/>
      <c r="D67" s="32"/>
      <c r="E67" s="33">
        <f>SUM(E65:E66)</f>
        <v>2414.585</v>
      </c>
      <c r="F67" s="34">
        <f>SUM(F65:F66)</f>
        <v>1.77363521153562</v>
      </c>
      <c r="G67" s="33"/>
      <c r="H67" s="18"/>
      <c r="I67" s="18"/>
    </row>
    <row r="68" spans="1:9" x14ac:dyDescent="0.2">
      <c r="A68" s="27"/>
      <c r="B68" s="27"/>
      <c r="C68" s="27"/>
      <c r="D68" s="28"/>
      <c r="E68" s="29"/>
      <c r="F68" s="30"/>
      <c r="G68" s="29"/>
    </row>
    <row r="69" spans="1:9" x14ac:dyDescent="0.2">
      <c r="A69" s="26" t="s">
        <v>52</v>
      </c>
      <c r="B69" s="27"/>
      <c r="C69" s="27"/>
      <c r="D69" s="28"/>
      <c r="E69" s="29"/>
      <c r="F69" s="30"/>
      <c r="G69" s="29"/>
    </row>
    <row r="70" spans="1:9" x14ac:dyDescent="0.2">
      <c r="A70" s="27" t="s">
        <v>54</v>
      </c>
      <c r="B70" s="27" t="s">
        <v>53</v>
      </c>
      <c r="C70" s="27" t="s">
        <v>55</v>
      </c>
      <c r="D70" s="31">
        <v>1000</v>
      </c>
      <c r="E70" s="29">
        <v>4817.6000000000004</v>
      </c>
      <c r="F70" s="30">
        <v>3.5387716709471899</v>
      </c>
      <c r="G70" s="29">
        <v>4.1498999999999997</v>
      </c>
    </row>
    <row r="71" spans="1:9" x14ac:dyDescent="0.2">
      <c r="A71" s="27" t="s">
        <v>57</v>
      </c>
      <c r="B71" s="27" t="s">
        <v>56</v>
      </c>
      <c r="C71" s="27" t="s">
        <v>50</v>
      </c>
      <c r="D71" s="31">
        <v>500</v>
      </c>
      <c r="E71" s="29">
        <v>2445.8274999999999</v>
      </c>
      <c r="F71" s="30">
        <v>1.7965844131981901</v>
      </c>
      <c r="G71" s="29">
        <v>4.2549000000000001</v>
      </c>
    </row>
    <row r="72" spans="1:9" x14ac:dyDescent="0.2">
      <c r="A72" s="26" t="s">
        <v>34</v>
      </c>
      <c r="B72" s="26"/>
      <c r="C72" s="26"/>
      <c r="D72" s="32"/>
      <c r="E72" s="33">
        <f>SUM(E69:E71)</f>
        <v>7263.4274999999998</v>
      </c>
      <c r="F72" s="34">
        <f>SUM(F69:F71)</f>
        <v>5.3353560841453795</v>
      </c>
      <c r="G72" s="33"/>
      <c r="H72" s="18"/>
      <c r="I72" s="18"/>
    </row>
    <row r="73" spans="1:9" x14ac:dyDescent="0.2">
      <c r="A73" s="27"/>
      <c r="B73" s="27"/>
      <c r="C73" s="27"/>
      <c r="D73" s="28"/>
      <c r="E73" s="29"/>
      <c r="F73" s="30"/>
      <c r="G73" s="29"/>
    </row>
    <row r="74" spans="1:9" x14ac:dyDescent="0.2">
      <c r="A74" s="26" t="s">
        <v>58</v>
      </c>
      <c r="B74" s="27"/>
      <c r="C74" s="27"/>
      <c r="D74" s="28"/>
      <c r="E74" s="29"/>
      <c r="F74" s="30"/>
      <c r="G74" s="29"/>
    </row>
    <row r="75" spans="1:9" x14ac:dyDescent="0.2">
      <c r="A75" s="27" t="s">
        <v>68</v>
      </c>
      <c r="B75" s="27" t="s">
        <v>67</v>
      </c>
      <c r="C75" s="27" t="s">
        <v>62</v>
      </c>
      <c r="D75" s="31">
        <v>3000000</v>
      </c>
      <c r="E75" s="29">
        <v>2985.3209999999999</v>
      </c>
      <c r="F75" s="30">
        <v>2.1928697657513601</v>
      </c>
      <c r="G75" s="29">
        <v>3.2048999999999999</v>
      </c>
    </row>
    <row r="76" spans="1:9" x14ac:dyDescent="0.2">
      <c r="A76" s="26" t="s">
        <v>34</v>
      </c>
      <c r="B76" s="26"/>
      <c r="C76" s="26"/>
      <c r="D76" s="32"/>
      <c r="E76" s="33">
        <f>SUM(E74:E75)</f>
        <v>2985.3209999999999</v>
      </c>
      <c r="F76" s="34">
        <f>SUM(F74:F75)</f>
        <v>2.1928697657513601</v>
      </c>
      <c r="G76" s="33"/>
      <c r="H76" s="18"/>
      <c r="I76" s="18"/>
    </row>
    <row r="77" spans="1:9" x14ac:dyDescent="0.2">
      <c r="A77" s="27"/>
      <c r="B77" s="27"/>
      <c r="C77" s="27"/>
      <c r="D77" s="28"/>
      <c r="E77" s="29"/>
      <c r="F77" s="30"/>
      <c r="G77" s="29"/>
    </row>
    <row r="78" spans="1:9" x14ac:dyDescent="0.2">
      <c r="A78" s="26" t="s">
        <v>59</v>
      </c>
      <c r="B78" s="27"/>
      <c r="C78" s="27"/>
      <c r="D78" s="28"/>
      <c r="E78" s="29"/>
      <c r="F78" s="30"/>
      <c r="G78" s="29"/>
    </row>
    <row r="79" spans="1:9" x14ac:dyDescent="0.2">
      <c r="A79" s="27" t="s">
        <v>70</v>
      </c>
      <c r="B79" s="27" t="s">
        <v>69</v>
      </c>
      <c r="C79" s="27" t="s">
        <v>62</v>
      </c>
      <c r="D79" s="31">
        <v>11000000</v>
      </c>
      <c r="E79" s="29">
        <v>10756.405000000001</v>
      </c>
      <c r="F79" s="30">
        <v>7.9011253103692098</v>
      </c>
      <c r="G79" s="29">
        <v>5.702</v>
      </c>
    </row>
    <row r="80" spans="1:9" x14ac:dyDescent="0.2">
      <c r="A80" s="27" t="s">
        <v>71</v>
      </c>
      <c r="B80" s="27" t="s">
        <v>1523</v>
      </c>
      <c r="C80" s="27" t="s">
        <v>62</v>
      </c>
      <c r="D80" s="31">
        <v>2000000</v>
      </c>
      <c r="E80" s="29">
        <v>2110.9899999999998</v>
      </c>
      <c r="F80" s="30">
        <v>1.5506292779916999</v>
      </c>
      <c r="G80" s="29">
        <v>5.9736000000000002</v>
      </c>
    </row>
    <row r="81" spans="1:9" x14ac:dyDescent="0.2">
      <c r="A81" s="27" t="s">
        <v>61</v>
      </c>
      <c r="B81" s="27" t="s">
        <v>60</v>
      </c>
      <c r="C81" s="27" t="s">
        <v>62</v>
      </c>
      <c r="D81" s="31">
        <v>2000000</v>
      </c>
      <c r="E81" s="29">
        <v>2075.364</v>
      </c>
      <c r="F81" s="30">
        <v>1.52446017313676</v>
      </c>
      <c r="G81" s="29">
        <v>3.7595000000000001</v>
      </c>
    </row>
    <row r="82" spans="1:9" x14ac:dyDescent="0.2">
      <c r="A82" s="27" t="s">
        <v>83</v>
      </c>
      <c r="B82" s="27" t="s">
        <v>82</v>
      </c>
      <c r="C82" s="27" t="s">
        <v>62</v>
      </c>
      <c r="D82" s="31">
        <v>300000</v>
      </c>
      <c r="E82" s="29">
        <v>308.73059999999998</v>
      </c>
      <c r="F82" s="30">
        <v>0.226778292351903</v>
      </c>
      <c r="G82" s="29">
        <v>5.2779999999999996</v>
      </c>
    </row>
    <row r="83" spans="1:9" x14ac:dyDescent="0.2">
      <c r="A83" s="27" t="s">
        <v>73</v>
      </c>
      <c r="B83" s="27" t="s">
        <v>72</v>
      </c>
      <c r="C83" s="27" t="s">
        <v>62</v>
      </c>
      <c r="D83" s="31">
        <v>100000</v>
      </c>
      <c r="E83" s="29">
        <v>106.22320000000001</v>
      </c>
      <c r="F83" s="30">
        <v>7.8026330736748098E-2</v>
      </c>
      <c r="G83" s="29">
        <v>4.9292999999999996</v>
      </c>
    </row>
    <row r="84" spans="1:9" x14ac:dyDescent="0.2">
      <c r="A84" s="27" t="s">
        <v>75</v>
      </c>
      <c r="B84" s="27" t="s">
        <v>74</v>
      </c>
      <c r="C84" s="27" t="s">
        <v>62</v>
      </c>
      <c r="D84" s="31">
        <v>100000</v>
      </c>
      <c r="E84" s="29">
        <v>98.596500000000006</v>
      </c>
      <c r="F84" s="30">
        <v>7.2424132566951294E-2</v>
      </c>
      <c r="G84" s="29">
        <v>5.5968</v>
      </c>
    </row>
    <row r="85" spans="1:9" x14ac:dyDescent="0.2">
      <c r="A85" s="26" t="s">
        <v>34</v>
      </c>
      <c r="B85" s="26"/>
      <c r="C85" s="26"/>
      <c r="D85" s="32"/>
      <c r="E85" s="33">
        <f>SUM(E79:E84)</f>
        <v>15456.309300000001</v>
      </c>
      <c r="F85" s="34">
        <f>SUM(F79:F84)</f>
        <v>11.35344351715327</v>
      </c>
      <c r="G85" s="33"/>
      <c r="H85" s="18"/>
      <c r="I85" s="18"/>
    </row>
    <row r="86" spans="1:9" x14ac:dyDescent="0.2">
      <c r="A86" s="27"/>
      <c r="B86" s="27"/>
      <c r="C86" s="27"/>
      <c r="D86" s="28"/>
      <c r="E86" s="29"/>
      <c r="F86" s="30"/>
      <c r="G86" s="29"/>
    </row>
    <row r="87" spans="1:9" x14ac:dyDescent="0.2">
      <c r="A87" s="26" t="s">
        <v>36</v>
      </c>
      <c r="B87" s="26"/>
      <c r="C87" s="26"/>
      <c r="D87" s="32"/>
      <c r="E87" s="33">
        <f>E43+E48+E53+E62+E67+E72+E76+E85</f>
        <v>133118.08289350005</v>
      </c>
      <c r="F87" s="34">
        <f>F43+F48+F53+F62+F67+F72+F76+F85</f>
        <v>97.781987013101471</v>
      </c>
      <c r="G87" s="33"/>
      <c r="H87" s="18"/>
      <c r="I87" s="18"/>
    </row>
    <row r="88" spans="1:9" x14ac:dyDescent="0.2">
      <c r="A88" s="26"/>
      <c r="B88" s="26"/>
      <c r="C88" s="26"/>
      <c r="D88" s="32"/>
      <c r="E88" s="33"/>
      <c r="F88" s="34"/>
      <c r="G88" s="33"/>
      <c r="H88" s="18"/>
      <c r="I88" s="18"/>
    </row>
    <row r="89" spans="1:9" x14ac:dyDescent="0.2">
      <c r="A89" s="26" t="s">
        <v>38</v>
      </c>
      <c r="B89" s="26"/>
      <c r="C89" s="26"/>
      <c r="D89" s="32"/>
      <c r="E89" s="33">
        <f>E91-(E43+E48+E53+E62+E67+E72+E76+E85)</f>
        <v>3019.5503861999605</v>
      </c>
      <c r="F89" s="34">
        <f>F91-(F43+F48+F53+F62+F67+F72+F76+F85)</f>
        <v>2.218012986898529</v>
      </c>
      <c r="G89" s="33"/>
      <c r="H89" s="18"/>
      <c r="I89" s="18"/>
    </row>
    <row r="90" spans="1:9" x14ac:dyDescent="0.2">
      <c r="A90" s="26"/>
      <c r="B90" s="26"/>
      <c r="C90" s="26"/>
      <c r="D90" s="32"/>
      <c r="E90" s="33"/>
      <c r="F90" s="34"/>
      <c r="G90" s="33"/>
      <c r="H90" s="18"/>
      <c r="I90" s="18"/>
    </row>
    <row r="91" spans="1:9" x14ac:dyDescent="0.2">
      <c r="A91" s="35" t="s">
        <v>37</v>
      </c>
      <c r="B91" s="35"/>
      <c r="C91" s="35"/>
      <c r="D91" s="36"/>
      <c r="E91" s="37">
        <v>136137.63327970001</v>
      </c>
      <c r="F91" s="38">
        <v>100</v>
      </c>
      <c r="G91" s="37"/>
      <c r="H91" s="18"/>
      <c r="I91" s="18"/>
    </row>
    <row r="92" spans="1:9" x14ac:dyDescent="0.2">
      <c r="A92" s="77" t="s">
        <v>1524</v>
      </c>
      <c r="F92" s="20" t="s">
        <v>497</v>
      </c>
    </row>
    <row r="93" spans="1:9" x14ac:dyDescent="0.2">
      <c r="A93" s="77"/>
      <c r="F93" s="20"/>
    </row>
    <row r="94" spans="1:9" x14ac:dyDescent="0.2">
      <c r="A94" s="18" t="s">
        <v>63</v>
      </c>
    </row>
    <row r="95" spans="1:9" x14ac:dyDescent="0.2">
      <c r="A95" s="18" t="s">
        <v>716</v>
      </c>
    </row>
    <row r="96" spans="1:9" x14ac:dyDescent="0.2">
      <c r="A96" s="18" t="s">
        <v>39</v>
      </c>
    </row>
    <row r="97" spans="1:4" x14ac:dyDescent="0.2">
      <c r="A97" s="18" t="s">
        <v>1434</v>
      </c>
    </row>
    <row r="99" spans="1:4" x14ac:dyDescent="0.2">
      <c r="A99" s="18" t="s">
        <v>40</v>
      </c>
    </row>
    <row r="100" spans="1:4" x14ac:dyDescent="0.2">
      <c r="A100" s="18" t="s">
        <v>41</v>
      </c>
    </row>
    <row r="101" spans="1:4" x14ac:dyDescent="0.2">
      <c r="A101" s="18" t="s">
        <v>42</v>
      </c>
      <c r="B101" s="18"/>
      <c r="C101" s="39" t="s">
        <v>44</v>
      </c>
      <c r="D101" s="19" t="s">
        <v>43</v>
      </c>
    </row>
    <row r="102" spans="1:4" x14ac:dyDescent="0.2">
      <c r="A102" s="9" t="s">
        <v>65</v>
      </c>
      <c r="C102" s="40">
        <v>117.1187</v>
      </c>
      <c r="D102" s="40">
        <v>152.1104</v>
      </c>
    </row>
    <row r="103" spans="1:4" x14ac:dyDescent="0.2">
      <c r="A103" s="9" t="s">
        <v>1003</v>
      </c>
      <c r="C103" s="40">
        <v>18.6494</v>
      </c>
      <c r="D103" s="40">
        <v>24.2212</v>
      </c>
    </row>
    <row r="104" spans="1:4" x14ac:dyDescent="0.2">
      <c r="A104" s="9" t="s">
        <v>66</v>
      </c>
      <c r="C104" s="40">
        <v>127.3472</v>
      </c>
      <c r="D104" s="40">
        <v>166.22309999999999</v>
      </c>
    </row>
    <row r="105" spans="1:4" x14ac:dyDescent="0.2">
      <c r="A105" s="9" t="s">
        <v>1004</v>
      </c>
      <c r="C105" s="40">
        <v>20.866700000000002</v>
      </c>
      <c r="D105" s="40">
        <v>27.235700000000001</v>
      </c>
    </row>
    <row r="107" spans="1:4" x14ac:dyDescent="0.2">
      <c r="A107" s="9" t="s">
        <v>782</v>
      </c>
    </row>
    <row r="109" spans="1:4" x14ac:dyDescent="0.2">
      <c r="A109" s="18" t="s">
        <v>1560</v>
      </c>
      <c r="D109" s="41" t="s">
        <v>45</v>
      </c>
    </row>
    <row r="111" spans="1:4" x14ac:dyDescent="0.2">
      <c r="A111" s="18" t="s">
        <v>215</v>
      </c>
      <c r="D111" s="46">
        <v>0.56796535000468484</v>
      </c>
    </row>
    <row r="113" spans="1:5" x14ac:dyDescent="0.2">
      <c r="A113" s="18" t="s">
        <v>216</v>
      </c>
      <c r="D113" s="42">
        <v>2.3967558142746599</v>
      </c>
      <c r="E113" s="13" t="s">
        <v>46</v>
      </c>
    </row>
    <row r="115" spans="1:5" x14ac:dyDescent="0.2">
      <c r="A115" s="18" t="s">
        <v>217</v>
      </c>
      <c r="D115" s="41">
        <v>1</v>
      </c>
    </row>
    <row r="116" spans="1:5" x14ac:dyDescent="0.2">
      <c r="A116" s="9" t="s">
        <v>712</v>
      </c>
      <c r="D116" s="41"/>
    </row>
    <row r="117" spans="1:5" x14ac:dyDescent="0.2">
      <c r="A117" s="50" t="s">
        <v>713</v>
      </c>
      <c r="D117" s="41"/>
    </row>
    <row r="119" spans="1:5" x14ac:dyDescent="0.2">
      <c r="A119" s="18" t="s">
        <v>714</v>
      </c>
    </row>
    <row r="120" spans="1:5" x14ac:dyDescent="0.2">
      <c r="A120" s="50" t="s">
        <v>47</v>
      </c>
    </row>
    <row r="122" spans="1:5" x14ac:dyDescent="0.2">
      <c r="A122" s="70" t="s">
        <v>1500</v>
      </c>
    </row>
    <row r="124" spans="1:5" x14ac:dyDescent="0.2">
      <c r="A124" s="18" t="s">
        <v>1476</v>
      </c>
    </row>
  </sheetData>
  <mergeCells count="1">
    <mergeCell ref="A1:G1"/>
  </mergeCells>
  <conditionalFormatting sqref="F2:F3 F5:F91 F94:F65544">
    <cfRule type="cellIs" dxfId="104" priority="2" stopIfTrue="1" operator="between">
      <formula>0.009</formula>
      <formula>-0.009</formula>
    </cfRule>
  </conditionalFormatting>
  <conditionalFormatting sqref="F92:F93">
    <cfRule type="cellIs" dxfId="103" priority="1" stopIfTrue="1" operator="between">
      <formula>0.009</formula>
      <formula>-0.009</formula>
    </cfRule>
  </conditionalFormatting>
  <hyperlinks>
    <hyperlink ref="A120" r:id="rId1" xr:uid="{00000000-0004-0000-2000-000000000000}"/>
    <hyperlink ref="A117" r:id="rId2" xr:uid="{00000000-0004-0000-2000-000001000000}"/>
  </hyperlinks>
  <pageMargins left="0.7" right="0.7" top="0.75" bottom="0.75" header="0.3" footer="0.3"/>
  <pageSetup paperSize="9" scale="47" orientation="portrait" r:id="rId3"/>
  <headerFooter>
    <oddFooter>&amp;R&amp;1#&amp;"Calibri"&amp;10&amp;KFF0000|PUBLIC|</oddFooter>
    <evenFooter>&amp;LPUBLIC</evenFooter>
    <firstFooter>&amp;LPUBLIC</firstFooter>
  </headerFooter>
  <colBreaks count="1" manualBreakCount="1">
    <brk id="7" max="1048575" man="1"/>
  </col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9"/>
  <sheetViews>
    <sheetView view="pageBreakPreview" zoomScaleNormal="100" zoomScaleSheetLayoutView="100" workbookViewId="0">
      <selection sqref="A1:F1"/>
    </sheetView>
  </sheetViews>
  <sheetFormatPr defaultColWidth="9.21875" defaultRowHeight="10.199999999999999" x14ac:dyDescent="0.2"/>
  <cols>
    <col min="1" max="1" width="38.77734375" style="9" bestFit="1" customWidth="1"/>
    <col min="2" max="2" width="25.44140625" style="9" customWidth="1"/>
    <col min="3" max="3" width="22.5546875" style="9" customWidth="1"/>
    <col min="4" max="4" width="15.44140625" style="10" bestFit="1" customWidth="1"/>
    <col min="5" max="5" width="23" style="13" bestFit="1" customWidth="1"/>
    <col min="6" max="6" width="13.5546875" style="14" bestFit="1" customWidth="1"/>
    <col min="7" max="16384" width="9.21875" style="9"/>
  </cols>
  <sheetData>
    <row r="1" spans="1:6" s="1" customFormat="1" ht="13.8" x14ac:dyDescent="0.2">
      <c r="A1" s="92" t="s">
        <v>1477</v>
      </c>
      <c r="B1" s="93"/>
      <c r="C1" s="93"/>
      <c r="D1" s="93"/>
      <c r="E1" s="93"/>
      <c r="F1" s="93"/>
    </row>
    <row r="2" spans="1:6" s="1" customFormat="1" ht="11.4" x14ac:dyDescent="0.2">
      <c r="D2" s="6"/>
      <c r="E2" s="7"/>
      <c r="F2" s="12"/>
    </row>
    <row r="3" spans="1:6" s="1" customFormat="1" ht="12" x14ac:dyDescent="0.2">
      <c r="A3" s="11" t="s">
        <v>7</v>
      </c>
      <c r="B3" s="2"/>
      <c r="C3" s="3"/>
      <c r="D3" s="4"/>
      <c r="E3" s="5"/>
      <c r="F3" s="12"/>
    </row>
    <row r="4" spans="1:6" s="1" customFormat="1" ht="17.55" customHeight="1" x14ac:dyDescent="0.2">
      <c r="A4" s="8" t="s">
        <v>2</v>
      </c>
      <c r="B4" s="8" t="s">
        <v>0</v>
      </c>
      <c r="C4" s="17" t="s">
        <v>259</v>
      </c>
      <c r="D4" s="16" t="s">
        <v>1</v>
      </c>
      <c r="E4" s="15" t="s">
        <v>3</v>
      </c>
      <c r="F4" s="15" t="s">
        <v>4</v>
      </c>
    </row>
    <row r="5" spans="1:6" x14ac:dyDescent="0.2">
      <c r="A5" s="21" t="s">
        <v>84</v>
      </c>
      <c r="B5" s="22"/>
      <c r="C5" s="22"/>
      <c r="D5" s="23"/>
      <c r="E5" s="24"/>
      <c r="F5" s="25"/>
    </row>
    <row r="6" spans="1:6" x14ac:dyDescent="0.2">
      <c r="A6" s="26" t="s">
        <v>27</v>
      </c>
      <c r="B6" s="27"/>
      <c r="C6" s="27"/>
      <c r="D6" s="28"/>
      <c r="E6" s="29"/>
      <c r="F6" s="30"/>
    </row>
    <row r="7" spans="1:6" x14ac:dyDescent="0.2">
      <c r="A7" s="27" t="s">
        <v>94</v>
      </c>
      <c r="B7" s="27" t="s">
        <v>93</v>
      </c>
      <c r="C7" s="27" t="s">
        <v>87</v>
      </c>
      <c r="D7" s="31">
        <v>750000</v>
      </c>
      <c r="E7" s="29">
        <v>4365.75</v>
      </c>
      <c r="F7" s="30">
        <v>8.6096790402028098</v>
      </c>
    </row>
    <row r="8" spans="1:6" x14ac:dyDescent="0.2">
      <c r="A8" s="27" t="s">
        <v>124</v>
      </c>
      <c r="B8" s="27" t="s">
        <v>123</v>
      </c>
      <c r="C8" s="27" t="s">
        <v>87</v>
      </c>
      <c r="D8" s="31">
        <v>1100000</v>
      </c>
      <c r="E8" s="29">
        <v>4007.3</v>
      </c>
      <c r="F8" s="30">
        <v>7.9027811527927003</v>
      </c>
    </row>
    <row r="9" spans="1:6" x14ac:dyDescent="0.2">
      <c r="A9" s="27" t="s">
        <v>230</v>
      </c>
      <c r="B9" s="27" t="s">
        <v>229</v>
      </c>
      <c r="C9" s="27" t="s">
        <v>135</v>
      </c>
      <c r="D9" s="31">
        <v>2300000</v>
      </c>
      <c r="E9" s="29">
        <v>2945.15</v>
      </c>
      <c r="F9" s="30">
        <v>5.8081191605688103</v>
      </c>
    </row>
    <row r="10" spans="1:6" x14ac:dyDescent="0.2">
      <c r="A10" s="27" t="s">
        <v>170</v>
      </c>
      <c r="B10" s="27" t="s">
        <v>169</v>
      </c>
      <c r="C10" s="27" t="s">
        <v>171</v>
      </c>
      <c r="D10" s="31">
        <v>190000</v>
      </c>
      <c r="E10" s="29">
        <v>2756.0450000000001</v>
      </c>
      <c r="F10" s="30">
        <v>5.43518590628317</v>
      </c>
    </row>
    <row r="11" spans="1:6" x14ac:dyDescent="0.2">
      <c r="A11" s="27" t="s">
        <v>92</v>
      </c>
      <c r="B11" s="27" t="s">
        <v>91</v>
      </c>
      <c r="C11" s="27" t="s">
        <v>87</v>
      </c>
      <c r="D11" s="31">
        <v>385000</v>
      </c>
      <c r="E11" s="29">
        <v>2685.1824999999999</v>
      </c>
      <c r="F11" s="30">
        <v>5.2954382384170797</v>
      </c>
    </row>
    <row r="12" spans="1:6" x14ac:dyDescent="0.2">
      <c r="A12" s="27" t="s">
        <v>96</v>
      </c>
      <c r="B12" s="27" t="s">
        <v>95</v>
      </c>
      <c r="C12" s="27" t="s">
        <v>97</v>
      </c>
      <c r="D12" s="31">
        <v>500000</v>
      </c>
      <c r="E12" s="29">
        <v>2586.5</v>
      </c>
      <c r="F12" s="30">
        <v>5.1008268539161801</v>
      </c>
    </row>
    <row r="13" spans="1:6" x14ac:dyDescent="0.2">
      <c r="A13" s="27" t="s">
        <v>89</v>
      </c>
      <c r="B13" s="27" t="s">
        <v>88</v>
      </c>
      <c r="C13" s="27" t="s">
        <v>90</v>
      </c>
      <c r="D13" s="31">
        <v>180000</v>
      </c>
      <c r="E13" s="29">
        <v>2462.4899999999998</v>
      </c>
      <c r="F13" s="30">
        <v>4.8562672025903897</v>
      </c>
    </row>
    <row r="14" spans="1:6" x14ac:dyDescent="0.2">
      <c r="A14" s="27" t="s">
        <v>86</v>
      </c>
      <c r="B14" s="27" t="s">
        <v>85</v>
      </c>
      <c r="C14" s="27" t="s">
        <v>87</v>
      </c>
      <c r="D14" s="31">
        <v>150000</v>
      </c>
      <c r="E14" s="29">
        <v>2240.4749999999999</v>
      </c>
      <c r="F14" s="30">
        <v>4.4184322619477499</v>
      </c>
    </row>
    <row r="15" spans="1:6" x14ac:dyDescent="0.2">
      <c r="A15" s="27" t="s">
        <v>132</v>
      </c>
      <c r="B15" s="27" t="s">
        <v>131</v>
      </c>
      <c r="C15" s="27" t="s">
        <v>130</v>
      </c>
      <c r="D15" s="31">
        <v>1900000</v>
      </c>
      <c r="E15" s="29">
        <v>2024.45</v>
      </c>
      <c r="F15" s="30">
        <v>3.9924101776186398</v>
      </c>
    </row>
    <row r="16" spans="1:6" x14ac:dyDescent="0.2">
      <c r="A16" s="27" t="s">
        <v>119</v>
      </c>
      <c r="B16" s="27" t="s">
        <v>118</v>
      </c>
      <c r="C16" s="27" t="s">
        <v>111</v>
      </c>
      <c r="D16" s="31">
        <v>550000</v>
      </c>
      <c r="E16" s="29">
        <v>1503.425</v>
      </c>
      <c r="F16" s="30">
        <v>2.9648987484434302</v>
      </c>
    </row>
    <row r="17" spans="1:6" x14ac:dyDescent="0.2">
      <c r="A17" s="27" t="s">
        <v>134</v>
      </c>
      <c r="B17" s="27" t="s">
        <v>133</v>
      </c>
      <c r="C17" s="27" t="s">
        <v>135</v>
      </c>
      <c r="D17" s="31">
        <v>180000</v>
      </c>
      <c r="E17" s="29">
        <v>1431.45</v>
      </c>
      <c r="F17" s="30">
        <v>2.8229571235408102</v>
      </c>
    </row>
    <row r="18" spans="1:6" x14ac:dyDescent="0.2">
      <c r="A18" s="27" t="s">
        <v>232</v>
      </c>
      <c r="B18" s="27" t="s">
        <v>231</v>
      </c>
      <c r="C18" s="27" t="s">
        <v>233</v>
      </c>
      <c r="D18" s="31">
        <v>1100000</v>
      </c>
      <c r="E18" s="29">
        <v>1376.1</v>
      </c>
      <c r="F18" s="30">
        <v>2.7138015981728398</v>
      </c>
    </row>
    <row r="19" spans="1:6" x14ac:dyDescent="0.2">
      <c r="A19" s="27" t="s">
        <v>235</v>
      </c>
      <c r="B19" s="27" t="s">
        <v>234</v>
      </c>
      <c r="C19" s="27" t="s">
        <v>117</v>
      </c>
      <c r="D19" s="31">
        <v>600000</v>
      </c>
      <c r="E19" s="29">
        <v>1311</v>
      </c>
      <c r="F19" s="30">
        <v>2.5854181347319201</v>
      </c>
    </row>
    <row r="20" spans="1:6" x14ac:dyDescent="0.2">
      <c r="A20" s="27" t="s">
        <v>237</v>
      </c>
      <c r="B20" s="27" t="s">
        <v>236</v>
      </c>
      <c r="C20" s="27" t="s">
        <v>203</v>
      </c>
      <c r="D20" s="31">
        <v>300000</v>
      </c>
      <c r="E20" s="29">
        <v>1142.8499999999999</v>
      </c>
      <c r="F20" s="30">
        <v>2.2538101565815198</v>
      </c>
    </row>
    <row r="21" spans="1:6" x14ac:dyDescent="0.2">
      <c r="A21" s="27" t="s">
        <v>211</v>
      </c>
      <c r="B21" s="27" t="s">
        <v>210</v>
      </c>
      <c r="C21" s="27" t="s">
        <v>87</v>
      </c>
      <c r="D21" s="31">
        <v>1500000</v>
      </c>
      <c r="E21" s="29">
        <v>1137</v>
      </c>
      <c r="F21" s="30">
        <v>2.2422733937377499</v>
      </c>
    </row>
    <row r="22" spans="1:6" x14ac:dyDescent="0.2">
      <c r="A22" s="27" t="s">
        <v>197</v>
      </c>
      <c r="B22" s="27" t="s">
        <v>196</v>
      </c>
      <c r="C22" s="27" t="s">
        <v>122</v>
      </c>
      <c r="D22" s="31">
        <v>1200000</v>
      </c>
      <c r="E22" s="29">
        <v>1102.2</v>
      </c>
      <c r="F22" s="30">
        <v>2.1736444455389199</v>
      </c>
    </row>
    <row r="23" spans="1:6" x14ac:dyDescent="0.2">
      <c r="A23" s="27" t="s">
        <v>209</v>
      </c>
      <c r="B23" s="27" t="s">
        <v>208</v>
      </c>
      <c r="C23" s="27" t="s">
        <v>111</v>
      </c>
      <c r="D23" s="31">
        <v>800000</v>
      </c>
      <c r="E23" s="29">
        <v>1084</v>
      </c>
      <c r="F23" s="30">
        <v>2.1377522944694101</v>
      </c>
    </row>
    <row r="24" spans="1:6" x14ac:dyDescent="0.2">
      <c r="A24" s="27" t="s">
        <v>129</v>
      </c>
      <c r="B24" s="27" t="s">
        <v>128</v>
      </c>
      <c r="C24" s="27" t="s">
        <v>130</v>
      </c>
      <c r="D24" s="31">
        <v>500000</v>
      </c>
      <c r="E24" s="29">
        <v>1078.25</v>
      </c>
      <c r="F24" s="30">
        <v>2.1264127412469098</v>
      </c>
    </row>
    <row r="25" spans="1:6" x14ac:dyDescent="0.2">
      <c r="A25" s="27" t="s">
        <v>239</v>
      </c>
      <c r="B25" s="27" t="s">
        <v>238</v>
      </c>
      <c r="C25" s="27" t="s">
        <v>240</v>
      </c>
      <c r="D25" s="31">
        <v>1000000</v>
      </c>
      <c r="E25" s="29">
        <v>1021.5</v>
      </c>
      <c r="F25" s="30">
        <v>2.0144962811812799</v>
      </c>
    </row>
    <row r="26" spans="1:6" x14ac:dyDescent="0.2">
      <c r="A26" s="27" t="s">
        <v>190</v>
      </c>
      <c r="B26" s="27" t="s">
        <v>189</v>
      </c>
      <c r="C26" s="27" t="s">
        <v>90</v>
      </c>
      <c r="D26" s="31">
        <v>100000</v>
      </c>
      <c r="E26" s="29">
        <v>991.45</v>
      </c>
      <c r="F26" s="30">
        <v>1.9552347899923399</v>
      </c>
    </row>
    <row r="27" spans="1:6" x14ac:dyDescent="0.2">
      <c r="A27" s="27" t="s">
        <v>242</v>
      </c>
      <c r="B27" s="27" t="s">
        <v>241</v>
      </c>
      <c r="C27" s="27" t="s">
        <v>100</v>
      </c>
      <c r="D27" s="31">
        <v>7000</v>
      </c>
      <c r="E27" s="29">
        <v>986.18799999999999</v>
      </c>
      <c r="F27" s="30">
        <v>1.9448576197215901</v>
      </c>
    </row>
    <row r="28" spans="1:6" x14ac:dyDescent="0.2">
      <c r="A28" s="27" t="s">
        <v>244</v>
      </c>
      <c r="B28" s="27" t="s">
        <v>243</v>
      </c>
      <c r="C28" s="27" t="s">
        <v>90</v>
      </c>
      <c r="D28" s="31">
        <v>100000</v>
      </c>
      <c r="E28" s="29">
        <v>982.65</v>
      </c>
      <c r="F28" s="30">
        <v>1.93788034332137</v>
      </c>
    </row>
    <row r="29" spans="1:6" x14ac:dyDescent="0.2">
      <c r="A29" s="27" t="s">
        <v>163</v>
      </c>
      <c r="B29" s="27" t="s">
        <v>162</v>
      </c>
      <c r="C29" s="27" t="s">
        <v>164</v>
      </c>
      <c r="D29" s="31">
        <v>700000</v>
      </c>
      <c r="E29" s="29">
        <v>912.45</v>
      </c>
      <c r="F29" s="30">
        <v>1.7994391891961401</v>
      </c>
    </row>
    <row r="30" spans="1:6" x14ac:dyDescent="0.2">
      <c r="A30" s="27" t="s">
        <v>139</v>
      </c>
      <c r="B30" s="27" t="s">
        <v>138</v>
      </c>
      <c r="C30" s="27" t="s">
        <v>122</v>
      </c>
      <c r="D30" s="31">
        <v>200000</v>
      </c>
      <c r="E30" s="29">
        <v>855.9</v>
      </c>
      <c r="F30" s="30">
        <v>1.68791714837304</v>
      </c>
    </row>
    <row r="31" spans="1:6" x14ac:dyDescent="0.2">
      <c r="A31" s="27" t="s">
        <v>246</v>
      </c>
      <c r="B31" s="27" t="s">
        <v>245</v>
      </c>
      <c r="C31" s="27" t="s">
        <v>247</v>
      </c>
      <c r="D31" s="31">
        <v>100000</v>
      </c>
      <c r="E31" s="29">
        <v>751.8</v>
      </c>
      <c r="F31" s="30">
        <v>1.4826219326403201</v>
      </c>
    </row>
    <row r="32" spans="1:6" x14ac:dyDescent="0.2">
      <c r="A32" s="27" t="s">
        <v>205</v>
      </c>
      <c r="B32" s="27" t="s">
        <v>204</v>
      </c>
      <c r="C32" s="27" t="s">
        <v>176</v>
      </c>
      <c r="D32" s="31">
        <v>200000</v>
      </c>
      <c r="E32" s="29">
        <v>749.8</v>
      </c>
      <c r="F32" s="30">
        <v>1.4786777402150999</v>
      </c>
    </row>
    <row r="33" spans="1:9" x14ac:dyDescent="0.2">
      <c r="A33" s="27" t="s">
        <v>249</v>
      </c>
      <c r="B33" s="27" t="s">
        <v>248</v>
      </c>
      <c r="C33" s="27" t="s">
        <v>100</v>
      </c>
      <c r="D33" s="31">
        <v>22219</v>
      </c>
      <c r="E33" s="29">
        <v>684.63404700000001</v>
      </c>
      <c r="F33" s="30">
        <v>1.3501642111126699</v>
      </c>
    </row>
    <row r="34" spans="1:9" x14ac:dyDescent="0.2">
      <c r="A34" s="27" t="s">
        <v>251</v>
      </c>
      <c r="B34" s="27" t="s">
        <v>250</v>
      </c>
      <c r="C34" s="27" t="s">
        <v>176</v>
      </c>
      <c r="D34" s="31">
        <v>700000</v>
      </c>
      <c r="E34" s="29">
        <v>610.75</v>
      </c>
      <c r="F34" s="30">
        <v>1.2044577618516601</v>
      </c>
    </row>
    <row r="35" spans="1:9" x14ac:dyDescent="0.2">
      <c r="A35" s="27" t="s">
        <v>253</v>
      </c>
      <c r="B35" s="27" t="s">
        <v>252</v>
      </c>
      <c r="C35" s="27" t="s">
        <v>254</v>
      </c>
      <c r="D35" s="31">
        <v>130000</v>
      </c>
      <c r="E35" s="29">
        <v>604.56500000000005</v>
      </c>
      <c r="F35" s="30">
        <v>1.1922603467766599</v>
      </c>
    </row>
    <row r="36" spans="1:9" x14ac:dyDescent="0.2">
      <c r="A36" s="27" t="s">
        <v>256</v>
      </c>
      <c r="B36" s="27" t="s">
        <v>255</v>
      </c>
      <c r="C36" s="27" t="s">
        <v>171</v>
      </c>
      <c r="D36" s="31">
        <v>30000</v>
      </c>
      <c r="E36" s="29">
        <v>570.97500000000002</v>
      </c>
      <c r="F36" s="30">
        <v>1.1260176349950901</v>
      </c>
    </row>
    <row r="37" spans="1:9" x14ac:dyDescent="0.2">
      <c r="A37" s="27" t="s">
        <v>141</v>
      </c>
      <c r="B37" s="27" t="s">
        <v>140</v>
      </c>
      <c r="C37" s="27" t="s">
        <v>135</v>
      </c>
      <c r="D37" s="31">
        <v>15000</v>
      </c>
      <c r="E37" s="29">
        <v>550.59</v>
      </c>
      <c r="F37" s="30">
        <v>1.08581645370103</v>
      </c>
    </row>
    <row r="38" spans="1:9" x14ac:dyDescent="0.2">
      <c r="A38" s="27" t="s">
        <v>199</v>
      </c>
      <c r="B38" s="27" t="s">
        <v>198</v>
      </c>
      <c r="C38" s="27" t="s">
        <v>200</v>
      </c>
      <c r="D38" s="31">
        <v>300000</v>
      </c>
      <c r="E38" s="29">
        <v>434.55</v>
      </c>
      <c r="F38" s="30">
        <v>0.85697440918974499</v>
      </c>
    </row>
    <row r="39" spans="1:9" x14ac:dyDescent="0.2">
      <c r="A39" s="27" t="s">
        <v>258</v>
      </c>
      <c r="B39" s="27" t="s">
        <v>257</v>
      </c>
      <c r="C39" s="27" t="s">
        <v>122</v>
      </c>
      <c r="D39" s="31">
        <v>56246</v>
      </c>
      <c r="E39" s="29">
        <v>406.20861200000002</v>
      </c>
      <c r="F39" s="30">
        <v>0.80108246525482996</v>
      </c>
    </row>
    <row r="40" spans="1:9" x14ac:dyDescent="0.2">
      <c r="A40" s="26" t="s">
        <v>34</v>
      </c>
      <c r="B40" s="26"/>
      <c r="C40" s="26"/>
      <c r="D40" s="32"/>
      <c r="E40" s="33">
        <f>SUM(E7:E39)</f>
        <v>48353.628159</v>
      </c>
      <c r="F40" s="34">
        <f>SUM(F7:F39)</f>
        <v>95.358006958323912</v>
      </c>
      <c r="G40" s="18"/>
      <c r="H40" s="18"/>
      <c r="I40" s="18"/>
    </row>
    <row r="41" spans="1:9" x14ac:dyDescent="0.2">
      <c r="A41" s="27"/>
      <c r="B41" s="27"/>
      <c r="C41" s="27"/>
      <c r="D41" s="28"/>
      <c r="E41" s="29"/>
      <c r="F41" s="30"/>
    </row>
    <row r="42" spans="1:9" x14ac:dyDescent="0.2">
      <c r="A42" s="26" t="s">
        <v>36</v>
      </c>
      <c r="B42" s="26"/>
      <c r="C42" s="26"/>
      <c r="D42" s="32"/>
      <c r="E42" s="33">
        <f>E40</f>
        <v>48353.628159</v>
      </c>
      <c r="F42" s="34">
        <f>F40</f>
        <v>95.358006958323912</v>
      </c>
      <c r="G42" s="18"/>
      <c r="H42" s="18"/>
      <c r="I42" s="18"/>
    </row>
    <row r="43" spans="1:9" x14ac:dyDescent="0.2">
      <c r="A43" s="26"/>
      <c r="B43" s="26"/>
      <c r="C43" s="26"/>
      <c r="D43" s="32"/>
      <c r="E43" s="33"/>
      <c r="F43" s="34"/>
      <c r="G43" s="18"/>
      <c r="H43" s="18"/>
      <c r="I43" s="18"/>
    </row>
    <row r="44" spans="1:9" x14ac:dyDescent="0.2">
      <c r="A44" s="26" t="s">
        <v>38</v>
      </c>
      <c r="B44" s="26"/>
      <c r="C44" s="26"/>
      <c r="D44" s="32"/>
      <c r="E44" s="33">
        <f>E46-(E40)</f>
        <v>2353.8370044999974</v>
      </c>
      <c r="F44" s="34">
        <f>F46-(F40)</f>
        <v>4.6419930416760877</v>
      </c>
      <c r="G44" s="18"/>
      <c r="H44" s="18"/>
      <c r="I44" s="18"/>
    </row>
    <row r="45" spans="1:9" x14ac:dyDescent="0.2">
      <c r="A45" s="26"/>
      <c r="B45" s="26"/>
      <c r="C45" s="26"/>
      <c r="D45" s="32"/>
      <c r="E45" s="33"/>
      <c r="F45" s="34"/>
      <c r="G45" s="18"/>
      <c r="H45" s="18"/>
      <c r="I45" s="18"/>
    </row>
    <row r="46" spans="1:9" x14ac:dyDescent="0.2">
      <c r="A46" s="35" t="s">
        <v>37</v>
      </c>
      <c r="B46" s="35"/>
      <c r="C46" s="35"/>
      <c r="D46" s="36"/>
      <c r="E46" s="37">
        <v>50707.465163499997</v>
      </c>
      <c r="F46" s="38">
        <v>100</v>
      </c>
      <c r="G46" s="18"/>
      <c r="H46" s="18"/>
      <c r="I46" s="18"/>
    </row>
    <row r="49" spans="1:4" x14ac:dyDescent="0.2">
      <c r="A49" s="18" t="s">
        <v>40</v>
      </c>
    </row>
    <row r="50" spans="1:4" x14ac:dyDescent="0.2">
      <c r="A50" s="18" t="s">
        <v>41</v>
      </c>
    </row>
    <row r="51" spans="1:4" x14ac:dyDescent="0.2">
      <c r="A51" s="18" t="s">
        <v>42</v>
      </c>
      <c r="B51" s="18"/>
      <c r="C51" s="39" t="s">
        <v>44</v>
      </c>
      <c r="D51" s="19" t="s">
        <v>43</v>
      </c>
    </row>
    <row r="52" spans="1:4" x14ac:dyDescent="0.2">
      <c r="A52" s="9" t="s">
        <v>65</v>
      </c>
      <c r="C52" s="40">
        <v>210.7432</v>
      </c>
      <c r="D52" s="40">
        <v>315.27460000000002</v>
      </c>
    </row>
    <row r="53" spans="1:4" x14ac:dyDescent="0.2">
      <c r="A53" s="9" t="s">
        <v>1003</v>
      </c>
      <c r="C53" s="40">
        <v>46.089799999999997</v>
      </c>
      <c r="D53" s="40">
        <v>63.239800000000002</v>
      </c>
    </row>
    <row r="54" spans="1:4" x14ac:dyDescent="0.2">
      <c r="A54" s="9" t="s">
        <v>66</v>
      </c>
      <c r="C54" s="40">
        <v>223.1549</v>
      </c>
      <c r="D54" s="40">
        <v>335.37419999999997</v>
      </c>
    </row>
    <row r="55" spans="1:4" x14ac:dyDescent="0.2">
      <c r="A55" s="9" t="s">
        <v>1004</v>
      </c>
      <c r="C55" s="40">
        <v>49.701999999999998</v>
      </c>
      <c r="D55" s="40">
        <v>68.963200000000001</v>
      </c>
    </row>
    <row r="57" spans="1:4" x14ac:dyDescent="0.2">
      <c r="A57" s="18" t="s">
        <v>1560</v>
      </c>
    </row>
    <row r="58" spans="1:4" x14ac:dyDescent="0.2">
      <c r="A58" s="94" t="s">
        <v>64</v>
      </c>
      <c r="B58" s="95"/>
      <c r="C58" s="44" t="s">
        <v>1544</v>
      </c>
    </row>
    <row r="59" spans="1:4" x14ac:dyDescent="0.2">
      <c r="A59" s="88" t="s">
        <v>1003</v>
      </c>
      <c r="B59" s="89"/>
      <c r="C59" s="45">
        <v>5</v>
      </c>
    </row>
    <row r="60" spans="1:4" x14ac:dyDescent="0.2">
      <c r="A60" s="88" t="s">
        <v>1004</v>
      </c>
      <c r="B60" s="89"/>
      <c r="C60" s="45">
        <v>5</v>
      </c>
    </row>
    <row r="61" spans="1:4" x14ac:dyDescent="0.2">
      <c r="A61" s="9" t="s">
        <v>1545</v>
      </c>
    </row>
    <row r="62" spans="1:4" x14ac:dyDescent="0.2">
      <c r="A62" s="9" t="s">
        <v>782</v>
      </c>
    </row>
    <row r="64" spans="1:4" x14ac:dyDescent="0.2">
      <c r="A64" s="18" t="s">
        <v>215</v>
      </c>
      <c r="D64" s="46">
        <v>0.12430918730299488</v>
      </c>
    </row>
    <row r="66" spans="1:1" x14ac:dyDescent="0.2">
      <c r="A66" s="18" t="s">
        <v>715</v>
      </c>
    </row>
    <row r="67" spans="1:1" x14ac:dyDescent="0.2">
      <c r="A67" s="50" t="s">
        <v>47</v>
      </c>
    </row>
    <row r="68" spans="1:1" x14ac:dyDescent="0.2">
      <c r="A68" s="50"/>
    </row>
    <row r="69" spans="1:1" x14ac:dyDescent="0.2">
      <c r="A69" s="18" t="s">
        <v>1495</v>
      </c>
    </row>
  </sheetData>
  <mergeCells count="4">
    <mergeCell ref="A1:F1"/>
    <mergeCell ref="A58:B58"/>
    <mergeCell ref="A59:B59"/>
    <mergeCell ref="A60:B60"/>
  </mergeCells>
  <conditionalFormatting sqref="F2:F3 F5:F65537">
    <cfRule type="cellIs" dxfId="102" priority="1" stopIfTrue="1" operator="between">
      <formula>0.009</formula>
      <formula>-0.009</formula>
    </cfRule>
  </conditionalFormatting>
  <hyperlinks>
    <hyperlink ref="A67" r:id="rId1" xr:uid="{00000000-0004-0000-2100-000000000000}"/>
  </hyperlinks>
  <pageMargins left="0.7" right="0.7" top="0.75" bottom="0.75" header="0.3" footer="0.3"/>
  <pageSetup paperSize="9" scale="63" orientation="portrait" r:id="rId2"/>
  <headerFooter>
    <oddFooter>&amp;R&amp;1#&amp;"Calibri"&amp;10&amp;KFF0000|PUBLIC|</oddFooter>
    <evenFooter>&amp;LPUBLIC</evenFooter>
    <firstFooter>&amp;LPUBLIC</firstFooter>
  </headerFooter>
  <colBreaks count="1" manualBreakCount="1">
    <brk id="6" max="1048575" man="1"/>
  </col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91"/>
  <sheetViews>
    <sheetView view="pageBreakPreview" zoomScale="106" zoomScaleNormal="100" zoomScaleSheetLayoutView="106" workbookViewId="0">
      <selection sqref="A1:F1"/>
    </sheetView>
  </sheetViews>
  <sheetFormatPr defaultColWidth="9.21875" defaultRowHeight="10.199999999999999" x14ac:dyDescent="0.2"/>
  <cols>
    <col min="1" max="1" width="40.5546875" style="9" bestFit="1" customWidth="1"/>
    <col min="2" max="2" width="26.5546875" style="9" bestFit="1" customWidth="1"/>
    <col min="3" max="3" width="21.21875" style="9" bestFit="1" customWidth="1"/>
    <col min="4" max="4" width="15.44140625" style="10" bestFit="1" customWidth="1"/>
    <col min="5" max="5" width="23" style="13" bestFit="1" customWidth="1"/>
    <col min="6" max="6" width="13.5546875" style="14" bestFit="1" customWidth="1"/>
    <col min="7" max="16384" width="9.21875" style="9"/>
  </cols>
  <sheetData>
    <row r="1" spans="1:6" s="1" customFormat="1" ht="13.8" x14ac:dyDescent="0.2">
      <c r="A1" s="92" t="s">
        <v>9</v>
      </c>
      <c r="B1" s="93"/>
      <c r="C1" s="93"/>
      <c r="D1" s="93"/>
      <c r="E1" s="93"/>
      <c r="F1" s="93"/>
    </row>
    <row r="2" spans="1:6" s="1" customFormat="1" ht="11.4" x14ac:dyDescent="0.2">
      <c r="D2" s="6"/>
      <c r="E2" s="7"/>
      <c r="F2" s="12"/>
    </row>
    <row r="3" spans="1:6" s="1" customFormat="1" ht="12" x14ac:dyDescent="0.2">
      <c r="A3" s="11" t="s">
        <v>7</v>
      </c>
      <c r="B3" s="2"/>
      <c r="C3" s="3"/>
      <c r="D3" s="4"/>
      <c r="E3" s="5"/>
      <c r="F3" s="12"/>
    </row>
    <row r="4" spans="1:6" s="1" customFormat="1" ht="17.55" customHeight="1" x14ac:dyDescent="0.2">
      <c r="A4" s="8" t="s">
        <v>2</v>
      </c>
      <c r="B4" s="8" t="s">
        <v>0</v>
      </c>
      <c r="C4" s="17" t="s">
        <v>259</v>
      </c>
      <c r="D4" s="16" t="s">
        <v>1</v>
      </c>
      <c r="E4" s="15" t="s">
        <v>3</v>
      </c>
      <c r="F4" s="15" t="s">
        <v>4</v>
      </c>
    </row>
    <row r="5" spans="1:6" x14ac:dyDescent="0.2">
      <c r="A5" s="21" t="s">
        <v>84</v>
      </c>
      <c r="B5" s="22"/>
      <c r="C5" s="22"/>
      <c r="D5" s="23"/>
      <c r="E5" s="24"/>
      <c r="F5" s="25"/>
    </row>
    <row r="6" spans="1:6" x14ac:dyDescent="0.2">
      <c r="A6" s="26" t="s">
        <v>27</v>
      </c>
      <c r="B6" s="27"/>
      <c r="C6" s="27"/>
      <c r="D6" s="28"/>
      <c r="E6" s="29"/>
      <c r="F6" s="30"/>
    </row>
    <row r="7" spans="1:6" x14ac:dyDescent="0.2">
      <c r="A7" s="27" t="s">
        <v>89</v>
      </c>
      <c r="B7" s="27" t="s">
        <v>88</v>
      </c>
      <c r="C7" s="27" t="s">
        <v>90</v>
      </c>
      <c r="D7" s="31">
        <v>775444</v>
      </c>
      <c r="E7" s="29">
        <v>10608.46164</v>
      </c>
      <c r="F7" s="30">
        <v>10.6043686122184</v>
      </c>
    </row>
    <row r="8" spans="1:6" x14ac:dyDescent="0.2">
      <c r="A8" s="27" t="s">
        <v>129</v>
      </c>
      <c r="B8" s="27" t="s">
        <v>128</v>
      </c>
      <c r="C8" s="27" t="s">
        <v>130</v>
      </c>
      <c r="D8" s="31">
        <v>3009054</v>
      </c>
      <c r="E8" s="29">
        <v>6489.0249510000003</v>
      </c>
      <c r="F8" s="30">
        <v>6.4865213118955403</v>
      </c>
    </row>
    <row r="9" spans="1:6" x14ac:dyDescent="0.2">
      <c r="A9" s="27" t="s">
        <v>188</v>
      </c>
      <c r="B9" s="27" t="s">
        <v>187</v>
      </c>
      <c r="C9" s="27" t="s">
        <v>130</v>
      </c>
      <c r="D9" s="31">
        <v>4647866</v>
      </c>
      <c r="E9" s="29">
        <v>4798.9216450000004</v>
      </c>
      <c r="F9" s="30">
        <v>4.79707009288233</v>
      </c>
    </row>
    <row r="10" spans="1:6" x14ac:dyDescent="0.2">
      <c r="A10" s="27" t="s">
        <v>221</v>
      </c>
      <c r="B10" s="27" t="s">
        <v>220</v>
      </c>
      <c r="C10" s="27" t="s">
        <v>130</v>
      </c>
      <c r="D10" s="31">
        <v>14497327</v>
      </c>
      <c r="E10" s="29">
        <v>3544.5964520000002</v>
      </c>
      <c r="F10" s="30">
        <v>3.5432288520364001</v>
      </c>
    </row>
    <row r="11" spans="1:6" x14ac:dyDescent="0.2">
      <c r="A11" s="27" t="s">
        <v>132</v>
      </c>
      <c r="B11" s="27" t="s">
        <v>131</v>
      </c>
      <c r="C11" s="27" t="s">
        <v>130</v>
      </c>
      <c r="D11" s="31">
        <v>3291938</v>
      </c>
      <c r="E11" s="29">
        <v>3507.5599390000002</v>
      </c>
      <c r="F11" s="30">
        <v>3.5062066287121199</v>
      </c>
    </row>
    <row r="12" spans="1:6" x14ac:dyDescent="0.2">
      <c r="A12" s="27" t="s">
        <v>147</v>
      </c>
      <c r="B12" s="27" t="s">
        <v>146</v>
      </c>
      <c r="C12" s="27" t="s">
        <v>117</v>
      </c>
      <c r="D12" s="31">
        <v>138206</v>
      </c>
      <c r="E12" s="29">
        <v>3360.4788899999999</v>
      </c>
      <c r="F12" s="30">
        <v>3.3591823275083699</v>
      </c>
    </row>
    <row r="13" spans="1:6" x14ac:dyDescent="0.2">
      <c r="A13" s="27" t="s">
        <v>261</v>
      </c>
      <c r="B13" s="27" t="s">
        <v>260</v>
      </c>
      <c r="C13" s="27" t="s">
        <v>203</v>
      </c>
      <c r="D13" s="31">
        <v>419757</v>
      </c>
      <c r="E13" s="29">
        <v>2669.65452</v>
      </c>
      <c r="F13" s="30">
        <v>2.6686244959976002</v>
      </c>
    </row>
    <row r="14" spans="1:6" x14ac:dyDescent="0.2">
      <c r="A14" s="27" t="s">
        <v>219</v>
      </c>
      <c r="B14" s="27" t="s">
        <v>218</v>
      </c>
      <c r="C14" s="27" t="s">
        <v>90</v>
      </c>
      <c r="D14" s="31">
        <v>81194</v>
      </c>
      <c r="E14" s="29">
        <v>2580.2235289999999</v>
      </c>
      <c r="F14" s="30">
        <v>2.5792280098620299</v>
      </c>
    </row>
    <row r="15" spans="1:6" x14ac:dyDescent="0.2">
      <c r="A15" s="27" t="s">
        <v>263</v>
      </c>
      <c r="B15" s="27" t="s">
        <v>262</v>
      </c>
      <c r="C15" s="27" t="s">
        <v>117</v>
      </c>
      <c r="D15" s="31">
        <v>401912</v>
      </c>
      <c r="E15" s="29">
        <v>2567.8157679999999</v>
      </c>
      <c r="F15" s="30">
        <v>2.5668250361075602</v>
      </c>
    </row>
    <row r="16" spans="1:6" x14ac:dyDescent="0.2">
      <c r="A16" s="27" t="s">
        <v>265</v>
      </c>
      <c r="B16" s="27" t="s">
        <v>264</v>
      </c>
      <c r="C16" s="27" t="s">
        <v>266</v>
      </c>
      <c r="D16" s="31">
        <v>1312279</v>
      </c>
      <c r="E16" s="29">
        <v>2504.4844720000001</v>
      </c>
      <c r="F16" s="30">
        <v>2.5035181750127098</v>
      </c>
    </row>
    <row r="17" spans="1:6" x14ac:dyDescent="0.2">
      <c r="A17" s="27" t="s">
        <v>268</v>
      </c>
      <c r="B17" s="27" t="s">
        <v>267</v>
      </c>
      <c r="C17" s="27" t="s">
        <v>176</v>
      </c>
      <c r="D17" s="31">
        <v>214352</v>
      </c>
      <c r="E17" s="29">
        <v>2219.6149599999999</v>
      </c>
      <c r="F17" s="30">
        <v>2.2187585732773898</v>
      </c>
    </row>
    <row r="18" spans="1:6" x14ac:dyDescent="0.2">
      <c r="A18" s="27" t="s">
        <v>246</v>
      </c>
      <c r="B18" s="27" t="s">
        <v>245</v>
      </c>
      <c r="C18" s="27" t="s">
        <v>247</v>
      </c>
      <c r="D18" s="31">
        <v>254134</v>
      </c>
      <c r="E18" s="29">
        <v>1910.579412</v>
      </c>
      <c r="F18" s="30">
        <v>1.90984225944408</v>
      </c>
    </row>
    <row r="19" spans="1:6" x14ac:dyDescent="0.2">
      <c r="A19" s="27" t="s">
        <v>270</v>
      </c>
      <c r="B19" s="27" t="s">
        <v>269</v>
      </c>
      <c r="C19" s="27" t="s">
        <v>200</v>
      </c>
      <c r="D19" s="31">
        <v>178656</v>
      </c>
      <c r="E19" s="29">
        <v>1905.276912</v>
      </c>
      <c r="F19" s="30">
        <v>1.9045418052901699</v>
      </c>
    </row>
    <row r="20" spans="1:6" x14ac:dyDescent="0.2">
      <c r="A20" s="27" t="s">
        <v>110</v>
      </c>
      <c r="B20" s="27" t="s">
        <v>109</v>
      </c>
      <c r="C20" s="27" t="s">
        <v>111</v>
      </c>
      <c r="D20" s="31">
        <v>803388</v>
      </c>
      <c r="E20" s="29">
        <v>1804.811142</v>
      </c>
      <c r="F20" s="30">
        <v>1.80411479766701</v>
      </c>
    </row>
    <row r="21" spans="1:6" x14ac:dyDescent="0.2">
      <c r="A21" s="27" t="s">
        <v>272</v>
      </c>
      <c r="B21" s="27" t="s">
        <v>271</v>
      </c>
      <c r="C21" s="27" t="s">
        <v>273</v>
      </c>
      <c r="D21" s="31">
        <v>136944</v>
      </c>
      <c r="E21" s="29">
        <v>1777.122288</v>
      </c>
      <c r="F21" s="30">
        <v>1.7764366267662599</v>
      </c>
    </row>
    <row r="22" spans="1:6" x14ac:dyDescent="0.2">
      <c r="A22" s="27" t="s">
        <v>275</v>
      </c>
      <c r="B22" s="27" t="s">
        <v>274</v>
      </c>
      <c r="C22" s="27" t="s">
        <v>114</v>
      </c>
      <c r="D22" s="31">
        <v>3209748</v>
      </c>
      <c r="E22" s="29">
        <v>1734.868794</v>
      </c>
      <c r="F22" s="30">
        <v>1.73419943529256</v>
      </c>
    </row>
    <row r="23" spans="1:6" x14ac:dyDescent="0.2">
      <c r="A23" s="27" t="s">
        <v>119</v>
      </c>
      <c r="B23" s="27" t="s">
        <v>118</v>
      </c>
      <c r="C23" s="27" t="s">
        <v>111</v>
      </c>
      <c r="D23" s="31">
        <v>624255</v>
      </c>
      <c r="E23" s="29">
        <v>1706.4010430000001</v>
      </c>
      <c r="F23" s="30">
        <v>1.7057426679110801</v>
      </c>
    </row>
    <row r="24" spans="1:6" x14ac:dyDescent="0.2">
      <c r="A24" s="27" t="s">
        <v>170</v>
      </c>
      <c r="B24" s="27" t="s">
        <v>169</v>
      </c>
      <c r="C24" s="27" t="s">
        <v>171</v>
      </c>
      <c r="D24" s="31">
        <v>114691</v>
      </c>
      <c r="E24" s="29">
        <v>1663.6503009999999</v>
      </c>
      <c r="F24" s="30">
        <v>1.6630084202889199</v>
      </c>
    </row>
    <row r="25" spans="1:6" x14ac:dyDescent="0.2">
      <c r="A25" s="27" t="s">
        <v>163</v>
      </c>
      <c r="B25" s="27" t="s">
        <v>162</v>
      </c>
      <c r="C25" s="27" t="s">
        <v>164</v>
      </c>
      <c r="D25" s="31">
        <v>1247000</v>
      </c>
      <c r="E25" s="29">
        <v>1625.4645</v>
      </c>
      <c r="F25" s="30">
        <v>1.6248373523906401</v>
      </c>
    </row>
    <row r="26" spans="1:6" x14ac:dyDescent="0.2">
      <c r="A26" s="27" t="s">
        <v>277</v>
      </c>
      <c r="B26" s="27" t="s">
        <v>276</v>
      </c>
      <c r="C26" s="27" t="s">
        <v>171</v>
      </c>
      <c r="D26" s="31">
        <v>51875</v>
      </c>
      <c r="E26" s="29">
        <v>1502.9484379999999</v>
      </c>
      <c r="F26" s="30">
        <v>1.5023685603589401</v>
      </c>
    </row>
    <row r="27" spans="1:6" x14ac:dyDescent="0.2">
      <c r="A27" s="27" t="s">
        <v>249</v>
      </c>
      <c r="B27" s="27" t="s">
        <v>248</v>
      </c>
      <c r="C27" s="27" t="s">
        <v>100</v>
      </c>
      <c r="D27" s="31">
        <v>46395</v>
      </c>
      <c r="E27" s="29">
        <v>1429.569135</v>
      </c>
      <c r="F27" s="30">
        <v>1.4290175690535101</v>
      </c>
    </row>
    <row r="28" spans="1:6" x14ac:dyDescent="0.2">
      <c r="A28" s="27" t="s">
        <v>279</v>
      </c>
      <c r="B28" s="27" t="s">
        <v>278</v>
      </c>
      <c r="C28" s="27" t="s">
        <v>135</v>
      </c>
      <c r="D28" s="31">
        <v>1239545</v>
      </c>
      <c r="E28" s="29">
        <v>1406.8835750000001</v>
      </c>
      <c r="F28" s="30">
        <v>1.4063407617483299</v>
      </c>
    </row>
    <row r="29" spans="1:6" x14ac:dyDescent="0.2">
      <c r="A29" s="27" t="s">
        <v>251</v>
      </c>
      <c r="B29" s="27" t="s">
        <v>250</v>
      </c>
      <c r="C29" s="27" t="s">
        <v>176</v>
      </c>
      <c r="D29" s="31">
        <v>1505501</v>
      </c>
      <c r="E29" s="29">
        <v>1313.5496230000001</v>
      </c>
      <c r="F29" s="30">
        <v>1.3130428204793401</v>
      </c>
    </row>
    <row r="30" spans="1:6" x14ac:dyDescent="0.2">
      <c r="A30" s="27" t="s">
        <v>134</v>
      </c>
      <c r="B30" s="27" t="s">
        <v>133</v>
      </c>
      <c r="C30" s="27" t="s">
        <v>135</v>
      </c>
      <c r="D30" s="31">
        <v>155566</v>
      </c>
      <c r="E30" s="29">
        <v>1237.1386150000001</v>
      </c>
      <c r="F30" s="30">
        <v>1.2366612938866499</v>
      </c>
    </row>
    <row r="31" spans="1:6" x14ac:dyDescent="0.2">
      <c r="A31" s="27" t="s">
        <v>190</v>
      </c>
      <c r="B31" s="27" t="s">
        <v>189</v>
      </c>
      <c r="C31" s="27" t="s">
        <v>90</v>
      </c>
      <c r="D31" s="31">
        <v>121952</v>
      </c>
      <c r="E31" s="29">
        <v>1209.093104</v>
      </c>
      <c r="F31" s="30">
        <v>1.2086266035937001</v>
      </c>
    </row>
    <row r="32" spans="1:6" x14ac:dyDescent="0.2">
      <c r="A32" s="27" t="s">
        <v>211</v>
      </c>
      <c r="B32" s="27" t="s">
        <v>210</v>
      </c>
      <c r="C32" s="27" t="s">
        <v>87</v>
      </c>
      <c r="D32" s="31">
        <v>1505600</v>
      </c>
      <c r="E32" s="29">
        <v>1141.2447999999999</v>
      </c>
      <c r="F32" s="30">
        <v>1.1408044772811601</v>
      </c>
    </row>
    <row r="33" spans="1:9" x14ac:dyDescent="0.2">
      <c r="A33" s="27" t="s">
        <v>141</v>
      </c>
      <c r="B33" s="27" t="s">
        <v>140</v>
      </c>
      <c r="C33" s="27" t="s">
        <v>135</v>
      </c>
      <c r="D33" s="31">
        <v>28265</v>
      </c>
      <c r="E33" s="29">
        <v>1037.4950899999999</v>
      </c>
      <c r="F33" s="30">
        <v>1.0370947966897399</v>
      </c>
    </row>
    <row r="34" spans="1:9" x14ac:dyDescent="0.2">
      <c r="A34" s="27" t="s">
        <v>232</v>
      </c>
      <c r="B34" s="27" t="s">
        <v>231</v>
      </c>
      <c r="C34" s="27" t="s">
        <v>233</v>
      </c>
      <c r="D34" s="31">
        <v>821499</v>
      </c>
      <c r="E34" s="29">
        <v>1027.6952490000001</v>
      </c>
      <c r="F34" s="30">
        <v>1.0272987367300801</v>
      </c>
    </row>
    <row r="35" spans="1:9" x14ac:dyDescent="0.2">
      <c r="A35" s="27" t="s">
        <v>116</v>
      </c>
      <c r="B35" s="27" t="s">
        <v>115</v>
      </c>
      <c r="C35" s="27" t="s">
        <v>117</v>
      </c>
      <c r="D35" s="31">
        <v>64045</v>
      </c>
      <c r="E35" s="29">
        <v>998.68570750000003</v>
      </c>
      <c r="F35" s="30">
        <v>0.99830038788584496</v>
      </c>
    </row>
    <row r="36" spans="1:9" x14ac:dyDescent="0.2">
      <c r="A36" s="27" t="s">
        <v>281</v>
      </c>
      <c r="B36" s="27" t="s">
        <v>280</v>
      </c>
      <c r="C36" s="27" t="s">
        <v>164</v>
      </c>
      <c r="D36" s="31">
        <v>709254</v>
      </c>
      <c r="E36" s="29">
        <v>959.97528899999998</v>
      </c>
      <c r="F36" s="30">
        <v>0.95960490489899797</v>
      </c>
    </row>
    <row r="37" spans="1:9" x14ac:dyDescent="0.2">
      <c r="A37" s="27" t="s">
        <v>168</v>
      </c>
      <c r="B37" s="27" t="s">
        <v>167</v>
      </c>
      <c r="C37" s="27" t="s">
        <v>127</v>
      </c>
      <c r="D37" s="31">
        <v>20000</v>
      </c>
      <c r="E37" s="29">
        <v>903.2</v>
      </c>
      <c r="F37" s="30">
        <v>0.90285152132158097</v>
      </c>
    </row>
    <row r="38" spans="1:9" x14ac:dyDescent="0.2">
      <c r="A38" s="27" t="s">
        <v>197</v>
      </c>
      <c r="B38" s="27" t="s">
        <v>196</v>
      </c>
      <c r="C38" s="27" t="s">
        <v>122</v>
      </c>
      <c r="D38" s="31">
        <v>972460</v>
      </c>
      <c r="E38" s="29">
        <v>893.20451000000003</v>
      </c>
      <c r="F38" s="30">
        <v>0.89285988784853598</v>
      </c>
    </row>
    <row r="39" spans="1:9" x14ac:dyDescent="0.2">
      <c r="A39" s="27" t="s">
        <v>230</v>
      </c>
      <c r="B39" s="27" t="s">
        <v>229</v>
      </c>
      <c r="C39" s="27" t="s">
        <v>135</v>
      </c>
      <c r="D39" s="31">
        <v>658906</v>
      </c>
      <c r="E39" s="29">
        <v>843.72913300000005</v>
      </c>
      <c r="F39" s="30">
        <v>0.84340359977013801</v>
      </c>
    </row>
    <row r="40" spans="1:9" x14ac:dyDescent="0.2">
      <c r="A40" s="27" t="s">
        <v>209</v>
      </c>
      <c r="B40" s="27" t="s">
        <v>208</v>
      </c>
      <c r="C40" s="27" t="s">
        <v>111</v>
      </c>
      <c r="D40" s="31">
        <v>621258</v>
      </c>
      <c r="E40" s="29">
        <v>841.80458999999996</v>
      </c>
      <c r="F40" s="30">
        <v>0.84147979931021899</v>
      </c>
    </row>
    <row r="41" spans="1:9" x14ac:dyDescent="0.2">
      <c r="A41" s="27" t="s">
        <v>121</v>
      </c>
      <c r="B41" s="27" t="s">
        <v>120</v>
      </c>
      <c r="C41" s="27" t="s">
        <v>122</v>
      </c>
      <c r="D41" s="31">
        <v>339633</v>
      </c>
      <c r="E41" s="29">
        <v>796.43938500000002</v>
      </c>
      <c r="F41" s="30">
        <v>0.79613209741770896</v>
      </c>
    </row>
    <row r="42" spans="1:9" x14ac:dyDescent="0.2">
      <c r="A42" s="27" t="s">
        <v>283</v>
      </c>
      <c r="B42" s="27" t="s">
        <v>282</v>
      </c>
      <c r="C42" s="27" t="s">
        <v>90</v>
      </c>
      <c r="D42" s="31">
        <v>119545</v>
      </c>
      <c r="E42" s="29">
        <v>773.99410250000005</v>
      </c>
      <c r="F42" s="30">
        <v>0.77369547490706003</v>
      </c>
    </row>
    <row r="43" spans="1:9" x14ac:dyDescent="0.2">
      <c r="A43" s="27" t="s">
        <v>239</v>
      </c>
      <c r="B43" s="27" t="s">
        <v>238</v>
      </c>
      <c r="C43" s="27" t="s">
        <v>240</v>
      </c>
      <c r="D43" s="31">
        <v>753071</v>
      </c>
      <c r="E43" s="29">
        <v>769.26202650000005</v>
      </c>
      <c r="F43" s="30">
        <v>0.76896522466834305</v>
      </c>
    </row>
    <row r="44" spans="1:9" x14ac:dyDescent="0.2">
      <c r="A44" s="27" t="s">
        <v>285</v>
      </c>
      <c r="B44" s="27" t="s">
        <v>284</v>
      </c>
      <c r="C44" s="27" t="s">
        <v>171</v>
      </c>
      <c r="D44" s="31">
        <v>40800</v>
      </c>
      <c r="E44" s="29">
        <v>648.31200000000001</v>
      </c>
      <c r="F44" s="30">
        <v>0.64806186391833198</v>
      </c>
    </row>
    <row r="45" spans="1:9" x14ac:dyDescent="0.2">
      <c r="A45" s="27" t="s">
        <v>199</v>
      </c>
      <c r="B45" s="27" t="s">
        <v>198</v>
      </c>
      <c r="C45" s="27" t="s">
        <v>200</v>
      </c>
      <c r="D45" s="31">
        <v>439349</v>
      </c>
      <c r="E45" s="29">
        <v>636.39702650000004</v>
      </c>
      <c r="F45" s="30">
        <v>0.63615148753327699</v>
      </c>
    </row>
    <row r="46" spans="1:9" x14ac:dyDescent="0.2">
      <c r="A46" s="27" t="s">
        <v>287</v>
      </c>
      <c r="B46" s="27" t="s">
        <v>286</v>
      </c>
      <c r="C46" s="27" t="s">
        <v>130</v>
      </c>
      <c r="D46" s="31">
        <v>100000</v>
      </c>
      <c r="E46" s="29">
        <v>593.54999999999995</v>
      </c>
      <c r="F46" s="30">
        <v>0.59332099256025805</v>
      </c>
    </row>
    <row r="47" spans="1:9" x14ac:dyDescent="0.2">
      <c r="A47" s="26" t="s">
        <v>34</v>
      </c>
      <c r="B47" s="26"/>
      <c r="C47" s="26"/>
      <c r="D47" s="32"/>
      <c r="E47" s="33">
        <f>SUM(E7:E46)</f>
        <v>79943.182556999993</v>
      </c>
      <c r="F47" s="34">
        <f>SUM(F7:F46)</f>
        <v>79.912338342422942</v>
      </c>
      <c r="G47" s="18"/>
      <c r="H47" s="18"/>
      <c r="I47" s="18"/>
    </row>
    <row r="48" spans="1:9" x14ac:dyDescent="0.2">
      <c r="A48" s="27"/>
      <c r="B48" s="27"/>
      <c r="C48" s="27"/>
      <c r="D48" s="28"/>
      <c r="E48" s="29"/>
      <c r="F48" s="30"/>
    </row>
    <row r="49" spans="1:9" x14ac:dyDescent="0.2">
      <c r="A49" s="26" t="s">
        <v>212</v>
      </c>
      <c r="B49" s="27"/>
      <c r="C49" s="27"/>
      <c r="D49" s="28"/>
      <c r="E49" s="29"/>
      <c r="F49" s="30"/>
    </row>
    <row r="50" spans="1:9" x14ac:dyDescent="0.2">
      <c r="A50" s="27" t="s">
        <v>214</v>
      </c>
      <c r="B50" s="27" t="s">
        <v>213</v>
      </c>
      <c r="C50" s="27" t="s">
        <v>362</v>
      </c>
      <c r="D50" s="31">
        <v>933400</v>
      </c>
      <c r="E50" s="29">
        <v>3037.7503000000002</v>
      </c>
      <c r="F50" s="30">
        <v>3.0365782548163098</v>
      </c>
    </row>
    <row r="51" spans="1:9" x14ac:dyDescent="0.2">
      <c r="A51" s="27" t="s">
        <v>228</v>
      </c>
      <c r="B51" s="27" t="s">
        <v>227</v>
      </c>
      <c r="C51" s="27" t="s">
        <v>362</v>
      </c>
      <c r="D51" s="31">
        <v>151600</v>
      </c>
      <c r="E51" s="29">
        <v>338.38636000000002</v>
      </c>
      <c r="F51" s="30">
        <v>0.33825580150627998</v>
      </c>
    </row>
    <row r="52" spans="1:9" x14ac:dyDescent="0.2">
      <c r="A52" s="26" t="s">
        <v>34</v>
      </c>
      <c r="B52" s="26"/>
      <c r="C52" s="26"/>
      <c r="D52" s="32"/>
      <c r="E52" s="33">
        <f>SUM(E49:E51)</f>
        <v>3376.1366600000001</v>
      </c>
      <c r="F52" s="34">
        <f>SUM(F49:F51)</f>
        <v>3.37483405632259</v>
      </c>
      <c r="G52" s="18"/>
      <c r="H52" s="18"/>
      <c r="I52" s="18"/>
    </row>
    <row r="53" spans="1:9" x14ac:dyDescent="0.2">
      <c r="A53" s="27"/>
      <c r="B53" s="27"/>
      <c r="C53" s="27"/>
      <c r="D53" s="28"/>
      <c r="E53" s="29"/>
      <c r="F53" s="30"/>
    </row>
    <row r="54" spans="1:9" x14ac:dyDescent="0.2">
      <c r="A54" s="26" t="s">
        <v>288</v>
      </c>
      <c r="B54" s="27"/>
      <c r="C54" s="27"/>
      <c r="D54" s="28"/>
      <c r="E54" s="29"/>
      <c r="F54" s="30"/>
    </row>
    <row r="55" spans="1:9" x14ac:dyDescent="0.2">
      <c r="A55" s="27" t="s">
        <v>290</v>
      </c>
      <c r="B55" s="27" t="s">
        <v>289</v>
      </c>
      <c r="C55" s="27" t="s">
        <v>117</v>
      </c>
      <c r="D55" s="31">
        <v>86900</v>
      </c>
      <c r="E55" s="29">
        <v>3552.7424329999999</v>
      </c>
      <c r="F55" s="30">
        <v>3.5513716900994101</v>
      </c>
    </row>
    <row r="56" spans="1:9" x14ac:dyDescent="0.2">
      <c r="A56" s="27" t="s">
        <v>292</v>
      </c>
      <c r="B56" s="27" t="s">
        <v>291</v>
      </c>
      <c r="C56" s="27" t="s">
        <v>203</v>
      </c>
      <c r="D56" s="31">
        <v>187038</v>
      </c>
      <c r="E56" s="29">
        <v>2759.7306800000001</v>
      </c>
      <c r="F56" s="30">
        <v>2.7586659022097502</v>
      </c>
    </row>
    <row r="57" spans="1:9" x14ac:dyDescent="0.2">
      <c r="A57" s="27" t="s">
        <v>294</v>
      </c>
      <c r="B57" s="27" t="s">
        <v>293</v>
      </c>
      <c r="C57" s="27" t="s">
        <v>295</v>
      </c>
      <c r="D57" s="31">
        <v>2562198</v>
      </c>
      <c r="E57" s="29">
        <v>2004.2105959999999</v>
      </c>
      <c r="F57" s="30">
        <v>2.00343731803303</v>
      </c>
    </row>
    <row r="58" spans="1:9" x14ac:dyDescent="0.2">
      <c r="A58" s="27" t="s">
        <v>297</v>
      </c>
      <c r="B58" s="27" t="s">
        <v>296</v>
      </c>
      <c r="C58" s="27" t="s">
        <v>298</v>
      </c>
      <c r="D58" s="31">
        <v>1575983</v>
      </c>
      <c r="E58" s="29">
        <v>1894.1875950000001</v>
      </c>
      <c r="F58" s="30">
        <v>1.8934567668447899</v>
      </c>
    </row>
    <row r="59" spans="1:9" x14ac:dyDescent="0.2">
      <c r="A59" s="27" t="s">
        <v>300</v>
      </c>
      <c r="B59" s="27" t="s">
        <v>299</v>
      </c>
      <c r="C59" s="27" t="s">
        <v>106</v>
      </c>
      <c r="D59" s="31">
        <v>3297307</v>
      </c>
      <c r="E59" s="29">
        <v>1410.9492299999999</v>
      </c>
      <c r="F59" s="30">
        <v>1.4104048481100699</v>
      </c>
    </row>
    <row r="60" spans="1:9" x14ac:dyDescent="0.2">
      <c r="A60" s="27" t="s">
        <v>302</v>
      </c>
      <c r="B60" s="27" t="s">
        <v>301</v>
      </c>
      <c r="C60" s="27" t="s">
        <v>90</v>
      </c>
      <c r="D60" s="31">
        <v>633055</v>
      </c>
      <c r="E60" s="29">
        <v>1082.3704519999999</v>
      </c>
      <c r="F60" s="30">
        <v>1.0819528445767601</v>
      </c>
    </row>
    <row r="61" spans="1:9" x14ac:dyDescent="0.2">
      <c r="A61" s="27" t="s">
        <v>304</v>
      </c>
      <c r="B61" s="27" t="s">
        <v>303</v>
      </c>
      <c r="C61" s="27" t="s">
        <v>305</v>
      </c>
      <c r="D61" s="31">
        <v>500000</v>
      </c>
      <c r="E61" s="29">
        <v>816.011214</v>
      </c>
      <c r="F61" s="30">
        <v>0.81569637508344905</v>
      </c>
    </row>
    <row r="62" spans="1:9" x14ac:dyDescent="0.2">
      <c r="A62" s="27" t="s">
        <v>307</v>
      </c>
      <c r="B62" s="27" t="s">
        <v>306</v>
      </c>
      <c r="C62" s="27" t="s">
        <v>100</v>
      </c>
      <c r="D62" s="31">
        <v>200000</v>
      </c>
      <c r="E62" s="29">
        <v>581.51150180000002</v>
      </c>
      <c r="F62" s="30">
        <v>0.58128713913433105</v>
      </c>
    </row>
    <row r="63" spans="1:9" x14ac:dyDescent="0.2">
      <c r="A63" s="27" t="s">
        <v>309</v>
      </c>
      <c r="B63" s="27" t="s">
        <v>308</v>
      </c>
      <c r="C63" s="27" t="s">
        <v>176</v>
      </c>
      <c r="D63" s="31">
        <v>25000</v>
      </c>
      <c r="E63" s="29">
        <v>252.2295</v>
      </c>
      <c r="F63" s="30">
        <v>0.25213218312354102</v>
      </c>
    </row>
    <row r="64" spans="1:9" x14ac:dyDescent="0.2">
      <c r="A64" s="26" t="s">
        <v>34</v>
      </c>
      <c r="B64" s="26"/>
      <c r="C64" s="26"/>
      <c r="D64" s="32"/>
      <c r="E64" s="33">
        <f>SUM(E54:E63)</f>
        <v>14353.943201799999</v>
      </c>
      <c r="F64" s="34">
        <f>SUM(F54:F63)</f>
        <v>14.348405067215129</v>
      </c>
      <c r="G64" s="18"/>
      <c r="H64" s="18"/>
      <c r="I64" s="18"/>
    </row>
    <row r="65" spans="1:9" x14ac:dyDescent="0.2">
      <c r="A65" s="27"/>
      <c r="B65" s="27"/>
      <c r="C65" s="27"/>
      <c r="D65" s="28"/>
      <c r="E65" s="29"/>
      <c r="F65" s="30"/>
    </row>
    <row r="66" spans="1:9" x14ac:dyDescent="0.2">
      <c r="A66" s="26" t="s">
        <v>36</v>
      </c>
      <c r="B66" s="26"/>
      <c r="C66" s="26"/>
      <c r="D66" s="32"/>
      <c r="E66" s="33">
        <f>E47+E52+E64</f>
        <v>97673.26241879999</v>
      </c>
      <c r="F66" s="34">
        <f>F47+F52+F64</f>
        <v>97.635577465960651</v>
      </c>
      <c r="G66" s="18"/>
      <c r="H66" s="18"/>
      <c r="I66" s="18"/>
    </row>
    <row r="67" spans="1:9" x14ac:dyDescent="0.2">
      <c r="A67" s="26"/>
      <c r="B67" s="26"/>
      <c r="C67" s="26"/>
      <c r="D67" s="32"/>
      <c r="E67" s="33"/>
      <c r="F67" s="34"/>
      <c r="G67" s="18"/>
      <c r="H67" s="18"/>
      <c r="I67" s="18"/>
    </row>
    <row r="68" spans="1:9" x14ac:dyDescent="0.2">
      <c r="A68" s="26" t="s">
        <v>38</v>
      </c>
      <c r="B68" s="26"/>
      <c r="C68" s="26"/>
      <c r="D68" s="32"/>
      <c r="E68" s="33">
        <f>E70-(E47+E52+E64)</f>
        <v>2365.3351435000077</v>
      </c>
      <c r="F68" s="34">
        <f>F70-(F47+F52+F64)</f>
        <v>2.364422534039349</v>
      </c>
      <c r="G68" s="18"/>
      <c r="H68" s="18"/>
      <c r="I68" s="18"/>
    </row>
    <row r="69" spans="1:9" x14ac:dyDescent="0.2">
      <c r="A69" s="26"/>
      <c r="B69" s="26"/>
      <c r="C69" s="26"/>
      <c r="D69" s="32"/>
      <c r="E69" s="33"/>
      <c r="F69" s="34"/>
      <c r="G69" s="18"/>
      <c r="H69" s="18"/>
      <c r="I69" s="18"/>
    </row>
    <row r="70" spans="1:9" x14ac:dyDescent="0.2">
      <c r="A70" s="35" t="s">
        <v>37</v>
      </c>
      <c r="B70" s="35"/>
      <c r="C70" s="35"/>
      <c r="D70" s="36"/>
      <c r="E70" s="37">
        <v>100038.5975623</v>
      </c>
      <c r="F70" s="38">
        <v>100</v>
      </c>
      <c r="G70" s="18"/>
      <c r="H70" s="18"/>
      <c r="I70" s="18"/>
    </row>
    <row r="72" spans="1:9" x14ac:dyDescent="0.2">
      <c r="A72" s="18" t="s">
        <v>40</v>
      </c>
    </row>
    <row r="73" spans="1:9" x14ac:dyDescent="0.2">
      <c r="A73" s="18" t="s">
        <v>41</v>
      </c>
    </row>
    <row r="74" spans="1:9" x14ac:dyDescent="0.2">
      <c r="A74" s="18" t="s">
        <v>42</v>
      </c>
      <c r="B74" s="18"/>
      <c r="C74" s="39" t="s">
        <v>44</v>
      </c>
      <c r="D74" s="41" t="s">
        <v>43</v>
      </c>
    </row>
    <row r="75" spans="1:9" x14ac:dyDescent="0.2">
      <c r="A75" s="9" t="s">
        <v>65</v>
      </c>
      <c r="C75" s="40">
        <v>46.0047</v>
      </c>
      <c r="D75" s="40">
        <v>63.472799999999999</v>
      </c>
    </row>
    <row r="76" spans="1:9" x14ac:dyDescent="0.2">
      <c r="A76" s="9" t="s">
        <v>1003</v>
      </c>
      <c r="C76" s="40">
        <v>12.6328</v>
      </c>
      <c r="D76" s="40">
        <v>16.682099999999998</v>
      </c>
    </row>
    <row r="77" spans="1:9" x14ac:dyDescent="0.2">
      <c r="A77" s="9" t="s">
        <v>66</v>
      </c>
      <c r="C77" s="40">
        <v>48.472099999999998</v>
      </c>
      <c r="D77" s="40">
        <v>67.166300000000007</v>
      </c>
    </row>
    <row r="78" spans="1:9" x14ac:dyDescent="0.2">
      <c r="A78" s="9" t="s">
        <v>1004</v>
      </c>
      <c r="C78" s="40">
        <v>13.5839</v>
      </c>
      <c r="D78" s="40">
        <v>18.072099999999999</v>
      </c>
    </row>
    <row r="80" spans="1:9" x14ac:dyDescent="0.2">
      <c r="A80" s="18" t="s">
        <v>1560</v>
      </c>
    </row>
    <row r="81" spans="1:4" x14ac:dyDescent="0.2">
      <c r="A81" s="94" t="s">
        <v>64</v>
      </c>
      <c r="B81" s="95"/>
      <c r="C81" s="44" t="s">
        <v>1544</v>
      </c>
    </row>
    <row r="82" spans="1:4" x14ac:dyDescent="0.2">
      <c r="A82" s="88" t="s">
        <v>1003</v>
      </c>
      <c r="B82" s="89"/>
      <c r="C82" s="45">
        <v>0.75</v>
      </c>
    </row>
    <row r="83" spans="1:4" x14ac:dyDescent="0.2">
      <c r="A83" s="88" t="s">
        <v>1004</v>
      </c>
      <c r="B83" s="89"/>
      <c r="C83" s="45">
        <v>0.75</v>
      </c>
    </row>
    <row r="84" spans="1:4" x14ac:dyDescent="0.2">
      <c r="A84" s="9" t="s">
        <v>1545</v>
      </c>
    </row>
    <row r="85" spans="1:4" x14ac:dyDescent="0.2">
      <c r="A85" s="9" t="s">
        <v>782</v>
      </c>
    </row>
    <row r="87" spans="1:4" x14ac:dyDescent="0.2">
      <c r="A87" s="18" t="s">
        <v>215</v>
      </c>
      <c r="D87" s="46">
        <v>9.1552817364513289E-2</v>
      </c>
    </row>
    <row r="89" spans="1:4" x14ac:dyDescent="0.2">
      <c r="A89" s="18" t="s">
        <v>715</v>
      </c>
    </row>
    <row r="90" spans="1:4" x14ac:dyDescent="0.2">
      <c r="A90" s="50" t="s">
        <v>47</v>
      </c>
    </row>
    <row r="91" spans="1:4" ht="14.4" x14ac:dyDescent="0.3">
      <c r="A91" s="43"/>
    </row>
  </sheetData>
  <mergeCells count="4">
    <mergeCell ref="A1:F1"/>
    <mergeCell ref="A81:B81"/>
    <mergeCell ref="A82:B82"/>
    <mergeCell ref="A83:B83"/>
  </mergeCells>
  <conditionalFormatting sqref="F2:F3 F5:F65535">
    <cfRule type="cellIs" dxfId="101" priority="1" stopIfTrue="1" operator="between">
      <formula>0.009</formula>
      <formula>-0.009</formula>
    </cfRule>
  </conditionalFormatting>
  <hyperlinks>
    <hyperlink ref="A90" r:id="rId1" xr:uid="{00000000-0004-0000-2200-000000000000}"/>
  </hyperlinks>
  <pageMargins left="0.7" right="0.7" top="0.75" bottom="0.75" header="0.3" footer="0.3"/>
  <pageSetup paperSize="9" scale="62" orientation="portrait" r:id="rId2"/>
  <headerFooter>
    <oddFooter>&amp;R&amp;1#&amp;"Calibri"&amp;10&amp;KFF0000|PUBLIC|</oddFooter>
    <evenFooter>&amp;LPUBLIC</evenFooter>
    <firstFooter>&amp;LPUBLIC</firstFooter>
  </headerFooter>
  <colBreaks count="1" manualBreakCount="1">
    <brk id="6" max="1048575" man="1"/>
  </colBreak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I80"/>
  <sheetViews>
    <sheetView view="pageBreakPreview" zoomScaleNormal="100" zoomScaleSheetLayoutView="100" workbookViewId="0">
      <selection sqref="A1:F1"/>
    </sheetView>
  </sheetViews>
  <sheetFormatPr defaultColWidth="9.21875" defaultRowHeight="10.199999999999999" x14ac:dyDescent="0.2"/>
  <cols>
    <col min="1" max="1" width="38.77734375" style="9" bestFit="1" customWidth="1"/>
    <col min="2" max="2" width="33.21875" style="9" bestFit="1" customWidth="1"/>
    <col min="3" max="3" width="26.77734375" style="9" bestFit="1" customWidth="1"/>
    <col min="4" max="4" width="15.44140625" style="10" bestFit="1" customWidth="1"/>
    <col min="5" max="5" width="23" style="13" bestFit="1" customWidth="1"/>
    <col min="6" max="6" width="13.5546875" style="14" bestFit="1" customWidth="1"/>
    <col min="7" max="16384" width="9.21875" style="9"/>
  </cols>
  <sheetData>
    <row r="1" spans="1:6" s="1" customFormat="1" ht="13.8" x14ac:dyDescent="0.2">
      <c r="A1" s="92" t="s">
        <v>10</v>
      </c>
      <c r="B1" s="93"/>
      <c r="C1" s="93"/>
      <c r="D1" s="93"/>
      <c r="E1" s="93"/>
      <c r="F1" s="93"/>
    </row>
    <row r="2" spans="1:6" s="1" customFormat="1" ht="11.4" x14ac:dyDescent="0.2">
      <c r="D2" s="6"/>
      <c r="E2" s="7"/>
      <c r="F2" s="12"/>
    </row>
    <row r="3" spans="1:6" s="1" customFormat="1" ht="12" x14ac:dyDescent="0.2">
      <c r="A3" s="11" t="s">
        <v>7</v>
      </c>
      <c r="B3" s="2"/>
      <c r="C3" s="3"/>
      <c r="D3" s="4"/>
      <c r="E3" s="5"/>
      <c r="F3" s="12"/>
    </row>
    <row r="4" spans="1:6" s="1" customFormat="1" ht="17.55" customHeight="1" x14ac:dyDescent="0.2">
      <c r="A4" s="8" t="s">
        <v>2</v>
      </c>
      <c r="B4" s="8" t="s">
        <v>0</v>
      </c>
      <c r="C4" s="17" t="s">
        <v>259</v>
      </c>
      <c r="D4" s="16" t="s">
        <v>1</v>
      </c>
      <c r="E4" s="15" t="s">
        <v>3</v>
      </c>
      <c r="F4" s="15" t="s">
        <v>4</v>
      </c>
    </row>
    <row r="5" spans="1:6" x14ac:dyDescent="0.2">
      <c r="A5" s="21" t="s">
        <v>84</v>
      </c>
      <c r="B5" s="22"/>
      <c r="C5" s="22"/>
      <c r="D5" s="23"/>
      <c r="E5" s="24"/>
      <c r="F5" s="25"/>
    </row>
    <row r="6" spans="1:6" x14ac:dyDescent="0.2">
      <c r="A6" s="26" t="s">
        <v>27</v>
      </c>
      <c r="B6" s="27"/>
      <c r="C6" s="27"/>
      <c r="D6" s="28"/>
      <c r="E6" s="29"/>
      <c r="F6" s="30"/>
    </row>
    <row r="7" spans="1:6" x14ac:dyDescent="0.2">
      <c r="A7" s="27" t="s">
        <v>89</v>
      </c>
      <c r="B7" s="27" t="s">
        <v>88</v>
      </c>
      <c r="C7" s="27" t="s">
        <v>90</v>
      </c>
      <c r="D7" s="31">
        <v>945647</v>
      </c>
      <c r="E7" s="29">
        <v>12936.923779999999</v>
      </c>
      <c r="F7" s="30">
        <v>24.470305924647199</v>
      </c>
    </row>
    <row r="8" spans="1:6" x14ac:dyDescent="0.2">
      <c r="A8" s="27" t="s">
        <v>219</v>
      </c>
      <c r="B8" s="27" t="s">
        <v>218</v>
      </c>
      <c r="C8" s="27" t="s">
        <v>90</v>
      </c>
      <c r="D8" s="31">
        <v>167936</v>
      </c>
      <c r="E8" s="29">
        <v>5336.7541760000004</v>
      </c>
      <c r="F8" s="30">
        <v>10.094517796668899</v>
      </c>
    </row>
    <row r="9" spans="1:6" x14ac:dyDescent="0.2">
      <c r="A9" s="27" t="s">
        <v>244</v>
      </c>
      <c r="B9" s="27" t="s">
        <v>243</v>
      </c>
      <c r="C9" s="27" t="s">
        <v>90</v>
      </c>
      <c r="D9" s="31">
        <v>470000</v>
      </c>
      <c r="E9" s="29">
        <v>4618.4549999999999</v>
      </c>
      <c r="F9" s="30">
        <v>8.7358485425981591</v>
      </c>
    </row>
    <row r="10" spans="1:6" x14ac:dyDescent="0.2">
      <c r="A10" s="27" t="s">
        <v>96</v>
      </c>
      <c r="B10" s="27" t="s">
        <v>95</v>
      </c>
      <c r="C10" s="27" t="s">
        <v>97</v>
      </c>
      <c r="D10" s="31">
        <v>600000</v>
      </c>
      <c r="E10" s="29">
        <v>3103.8</v>
      </c>
      <c r="F10" s="30">
        <v>5.8708651933419702</v>
      </c>
    </row>
    <row r="11" spans="1:6" x14ac:dyDescent="0.2">
      <c r="A11" s="27" t="s">
        <v>190</v>
      </c>
      <c r="B11" s="27" t="s">
        <v>189</v>
      </c>
      <c r="C11" s="27" t="s">
        <v>90</v>
      </c>
      <c r="D11" s="31">
        <v>270000</v>
      </c>
      <c r="E11" s="29">
        <v>2676.915</v>
      </c>
      <c r="F11" s="30">
        <v>5.0634084345109303</v>
      </c>
    </row>
    <row r="12" spans="1:6" x14ac:dyDescent="0.2">
      <c r="A12" s="27" t="s">
        <v>311</v>
      </c>
      <c r="B12" s="27" t="s">
        <v>310</v>
      </c>
      <c r="C12" s="27" t="s">
        <v>154</v>
      </c>
      <c r="D12" s="31">
        <v>46300</v>
      </c>
      <c r="E12" s="29">
        <v>1981.89465</v>
      </c>
      <c r="F12" s="30">
        <v>3.74877128602219</v>
      </c>
    </row>
    <row r="13" spans="1:6" x14ac:dyDescent="0.2">
      <c r="A13" s="27" t="s">
        <v>283</v>
      </c>
      <c r="B13" s="27" t="s">
        <v>282</v>
      </c>
      <c r="C13" s="27" t="s">
        <v>90</v>
      </c>
      <c r="D13" s="31">
        <v>200000</v>
      </c>
      <c r="E13" s="29">
        <v>1294.9000000000001</v>
      </c>
      <c r="F13" s="30">
        <v>2.4493148201747901</v>
      </c>
    </row>
    <row r="14" spans="1:6" x14ac:dyDescent="0.2">
      <c r="A14" s="27" t="s">
        <v>313</v>
      </c>
      <c r="B14" s="27" t="s">
        <v>312</v>
      </c>
      <c r="C14" s="27" t="s">
        <v>90</v>
      </c>
      <c r="D14" s="31">
        <v>31000</v>
      </c>
      <c r="E14" s="29">
        <v>1256.8330000000001</v>
      </c>
      <c r="F14" s="30">
        <v>2.3773107524787598</v>
      </c>
    </row>
    <row r="15" spans="1:6" x14ac:dyDescent="0.2">
      <c r="A15" s="27" t="s">
        <v>315</v>
      </c>
      <c r="B15" s="27" t="s">
        <v>314</v>
      </c>
      <c r="C15" s="27" t="s">
        <v>90</v>
      </c>
      <c r="D15" s="31">
        <v>180000</v>
      </c>
      <c r="E15" s="29">
        <v>972.09</v>
      </c>
      <c r="F15" s="30">
        <v>1.83871684573613</v>
      </c>
    </row>
    <row r="16" spans="1:6" x14ac:dyDescent="0.2">
      <c r="A16" s="27" t="s">
        <v>317</v>
      </c>
      <c r="B16" s="27" t="s">
        <v>316</v>
      </c>
      <c r="C16" s="27" t="s">
        <v>154</v>
      </c>
      <c r="D16" s="31">
        <v>80000</v>
      </c>
      <c r="E16" s="29">
        <v>690.36</v>
      </c>
      <c r="F16" s="30">
        <v>1.3058220551825399</v>
      </c>
    </row>
    <row r="17" spans="1:9" x14ac:dyDescent="0.2">
      <c r="A17" s="27" t="s">
        <v>319</v>
      </c>
      <c r="B17" s="27" t="s">
        <v>318</v>
      </c>
      <c r="C17" s="27" t="s">
        <v>154</v>
      </c>
      <c r="D17" s="31">
        <v>6000</v>
      </c>
      <c r="E17" s="29">
        <v>464.27699999999999</v>
      </c>
      <c r="F17" s="30">
        <v>0.87818405804794997</v>
      </c>
    </row>
    <row r="18" spans="1:9" x14ac:dyDescent="0.2">
      <c r="A18" s="27" t="s">
        <v>321</v>
      </c>
      <c r="B18" s="27" t="s">
        <v>320</v>
      </c>
      <c r="C18" s="27" t="s">
        <v>90</v>
      </c>
      <c r="D18" s="31">
        <v>63629</v>
      </c>
      <c r="E18" s="29">
        <v>165.27632750000001</v>
      </c>
      <c r="F18" s="30">
        <v>0.31262163747765198</v>
      </c>
    </row>
    <row r="19" spans="1:9" x14ac:dyDescent="0.2">
      <c r="A19" s="26" t="s">
        <v>34</v>
      </c>
      <c r="B19" s="26"/>
      <c r="C19" s="26"/>
      <c r="D19" s="32"/>
      <c r="E19" s="33">
        <f>SUM(E7:E18)</f>
        <v>35498.478933500002</v>
      </c>
      <c r="F19" s="34">
        <f>SUM(F7:F18)</f>
        <v>67.145687346887186</v>
      </c>
      <c r="G19" s="18"/>
      <c r="H19" s="18"/>
      <c r="I19" s="18"/>
    </row>
    <row r="20" spans="1:9" x14ac:dyDescent="0.2">
      <c r="A20" s="27"/>
      <c r="B20" s="27"/>
      <c r="C20" s="27"/>
      <c r="D20" s="28"/>
      <c r="E20" s="29"/>
      <c r="F20" s="30"/>
    </row>
    <row r="21" spans="1:9" x14ac:dyDescent="0.2">
      <c r="A21" s="26" t="s">
        <v>1479</v>
      </c>
      <c r="B21" s="27"/>
      <c r="C21" s="27"/>
      <c r="D21" s="28"/>
      <c r="E21" s="29"/>
      <c r="F21" s="30"/>
    </row>
    <row r="22" spans="1:9" x14ac:dyDescent="0.2">
      <c r="A22" s="27"/>
      <c r="B22" s="27" t="s">
        <v>1478</v>
      </c>
      <c r="C22" s="27" t="s">
        <v>90</v>
      </c>
      <c r="D22" s="31">
        <v>970000</v>
      </c>
      <c r="E22" s="29">
        <v>9.7000000000000003E-2</v>
      </c>
      <c r="F22" s="30">
        <v>1.83476359222299E-4</v>
      </c>
    </row>
    <row r="23" spans="1:9" x14ac:dyDescent="0.2">
      <c r="A23" s="26" t="s">
        <v>34</v>
      </c>
      <c r="B23" s="26"/>
      <c r="C23" s="26"/>
      <c r="D23" s="32"/>
      <c r="E23" s="33">
        <f>SUM(E21:E22)</f>
        <v>9.7000000000000003E-2</v>
      </c>
      <c r="F23" s="34">
        <f>SUM(F21:F22)</f>
        <v>1.83476359222299E-4</v>
      </c>
      <c r="G23" s="18"/>
      <c r="H23" s="18"/>
      <c r="I23" s="18"/>
    </row>
    <row r="24" spans="1:9" x14ac:dyDescent="0.2">
      <c r="A24" s="27"/>
      <c r="B24" s="27"/>
      <c r="C24" s="27"/>
      <c r="D24" s="28"/>
      <c r="E24" s="29"/>
      <c r="F24" s="30"/>
    </row>
    <row r="25" spans="1:9" x14ac:dyDescent="0.2">
      <c r="A25" s="26" t="s">
        <v>288</v>
      </c>
      <c r="B25" s="27"/>
      <c r="C25" s="27"/>
      <c r="D25" s="28"/>
      <c r="E25" s="29"/>
      <c r="F25" s="30"/>
    </row>
    <row r="26" spans="1:9" x14ac:dyDescent="0.2">
      <c r="A26" s="27" t="s">
        <v>323</v>
      </c>
      <c r="B26" s="27" t="s">
        <v>322</v>
      </c>
      <c r="C26" s="27" t="s">
        <v>90</v>
      </c>
      <c r="D26" s="31">
        <v>60135</v>
      </c>
      <c r="E26" s="29">
        <v>1388.4051790000001</v>
      </c>
      <c r="F26" s="30">
        <v>2.6261806945186001</v>
      </c>
    </row>
    <row r="27" spans="1:9" x14ac:dyDescent="0.2">
      <c r="A27" s="27" t="s">
        <v>325</v>
      </c>
      <c r="B27" s="27" t="s">
        <v>324</v>
      </c>
      <c r="C27" s="27" t="s">
        <v>305</v>
      </c>
      <c r="D27" s="31">
        <v>78000</v>
      </c>
      <c r="E27" s="29">
        <v>1174.902184</v>
      </c>
      <c r="F27" s="30">
        <v>2.2223378882747098</v>
      </c>
    </row>
    <row r="28" spans="1:9" x14ac:dyDescent="0.2">
      <c r="A28" s="27" t="s">
        <v>327</v>
      </c>
      <c r="B28" s="27" t="s">
        <v>326</v>
      </c>
      <c r="C28" s="27" t="s">
        <v>305</v>
      </c>
      <c r="D28" s="31">
        <v>2800</v>
      </c>
      <c r="E28" s="29">
        <v>1092.9974239999999</v>
      </c>
      <c r="F28" s="30">
        <v>2.0674143092254802</v>
      </c>
    </row>
    <row r="29" spans="1:9" x14ac:dyDescent="0.2">
      <c r="A29" s="27" t="s">
        <v>329</v>
      </c>
      <c r="B29" s="27" t="s">
        <v>328</v>
      </c>
      <c r="C29" s="27" t="s">
        <v>305</v>
      </c>
      <c r="D29" s="31">
        <v>17000</v>
      </c>
      <c r="E29" s="29">
        <v>896.01603039999998</v>
      </c>
      <c r="F29" s="30">
        <v>1.69482225837741</v>
      </c>
    </row>
    <row r="30" spans="1:9" x14ac:dyDescent="0.2">
      <c r="A30" s="27" t="s">
        <v>331</v>
      </c>
      <c r="B30" s="27" t="s">
        <v>330</v>
      </c>
      <c r="C30" s="27" t="s">
        <v>332</v>
      </c>
      <c r="D30" s="31">
        <v>5173</v>
      </c>
      <c r="E30" s="29">
        <v>801.28816619999998</v>
      </c>
      <c r="F30" s="30">
        <v>1.5156436641472999</v>
      </c>
    </row>
    <row r="31" spans="1:9" x14ac:dyDescent="0.2">
      <c r="A31" s="27" t="s">
        <v>334</v>
      </c>
      <c r="B31" s="27" t="s">
        <v>333</v>
      </c>
      <c r="C31" s="27" t="s">
        <v>335</v>
      </c>
      <c r="D31" s="31">
        <v>8200</v>
      </c>
      <c r="E31" s="29">
        <v>794.87970180000002</v>
      </c>
      <c r="F31" s="30">
        <v>1.5035219969687701</v>
      </c>
    </row>
    <row r="32" spans="1:9" x14ac:dyDescent="0.2">
      <c r="A32" s="27" t="s">
        <v>337</v>
      </c>
      <c r="B32" s="27" t="s">
        <v>336</v>
      </c>
      <c r="C32" s="27" t="s">
        <v>305</v>
      </c>
      <c r="D32" s="31">
        <v>14982</v>
      </c>
      <c r="E32" s="29">
        <v>701.01377279999997</v>
      </c>
      <c r="F32" s="30">
        <v>1.32597376080445</v>
      </c>
    </row>
    <row r="33" spans="1:9" x14ac:dyDescent="0.2">
      <c r="A33" s="27" t="s">
        <v>339</v>
      </c>
      <c r="B33" s="27" t="s">
        <v>338</v>
      </c>
      <c r="C33" s="27" t="s">
        <v>90</v>
      </c>
      <c r="D33" s="31">
        <v>14000</v>
      </c>
      <c r="E33" s="29">
        <v>557.93165399999998</v>
      </c>
      <c r="F33" s="30">
        <v>1.0553326656783</v>
      </c>
    </row>
    <row r="34" spans="1:9" x14ac:dyDescent="0.2">
      <c r="A34" s="27" t="s">
        <v>341</v>
      </c>
      <c r="B34" s="27" t="s">
        <v>340</v>
      </c>
      <c r="C34" s="27" t="s">
        <v>305</v>
      </c>
      <c r="D34" s="31">
        <v>22000</v>
      </c>
      <c r="E34" s="29">
        <v>547.03544209999995</v>
      </c>
      <c r="F34" s="30">
        <v>1.0347223843512201</v>
      </c>
    </row>
    <row r="35" spans="1:9" x14ac:dyDescent="0.2">
      <c r="A35" s="27" t="s">
        <v>343</v>
      </c>
      <c r="B35" s="27" t="s">
        <v>342</v>
      </c>
      <c r="C35" s="27" t="s">
        <v>154</v>
      </c>
      <c r="D35" s="31">
        <v>23400</v>
      </c>
      <c r="E35" s="29">
        <v>484.14911690000002</v>
      </c>
      <c r="F35" s="30">
        <v>0.91577234319075396</v>
      </c>
    </row>
    <row r="36" spans="1:9" x14ac:dyDescent="0.2">
      <c r="A36" s="27" t="s">
        <v>345</v>
      </c>
      <c r="B36" s="27" t="s">
        <v>344</v>
      </c>
      <c r="C36" s="27" t="s">
        <v>305</v>
      </c>
      <c r="D36" s="31">
        <v>28000</v>
      </c>
      <c r="E36" s="29">
        <v>466.61893129999999</v>
      </c>
      <c r="F36" s="30">
        <v>0.88261384184663905</v>
      </c>
    </row>
    <row r="37" spans="1:9" x14ac:dyDescent="0.2">
      <c r="A37" s="27" t="s">
        <v>347</v>
      </c>
      <c r="B37" s="27" t="s">
        <v>346</v>
      </c>
      <c r="C37" s="27" t="s">
        <v>90</v>
      </c>
      <c r="D37" s="31">
        <v>267</v>
      </c>
      <c r="E37" s="29">
        <v>402.61153530000001</v>
      </c>
      <c r="F37" s="30">
        <v>0.76154328533756699</v>
      </c>
    </row>
    <row r="38" spans="1:9" x14ac:dyDescent="0.2">
      <c r="A38" s="27" t="s">
        <v>349</v>
      </c>
      <c r="B38" s="27" t="s">
        <v>348</v>
      </c>
      <c r="C38" s="27" t="s">
        <v>90</v>
      </c>
      <c r="D38" s="31">
        <v>1310</v>
      </c>
      <c r="E38" s="29">
        <v>267.42044199999998</v>
      </c>
      <c r="F38" s="30">
        <v>0.50582813484307099</v>
      </c>
    </row>
    <row r="39" spans="1:9" x14ac:dyDescent="0.2">
      <c r="A39" s="27" t="s">
        <v>351</v>
      </c>
      <c r="B39" s="27" t="s">
        <v>350</v>
      </c>
      <c r="C39" s="27" t="s">
        <v>90</v>
      </c>
      <c r="D39" s="31">
        <v>110</v>
      </c>
      <c r="E39" s="29">
        <v>248.82900770000001</v>
      </c>
      <c r="F39" s="30">
        <v>0.47066227218240603</v>
      </c>
    </row>
    <row r="40" spans="1:9" x14ac:dyDescent="0.2">
      <c r="A40" s="27" t="s">
        <v>353</v>
      </c>
      <c r="B40" s="27" t="s">
        <v>352</v>
      </c>
      <c r="C40" s="27" t="s">
        <v>90</v>
      </c>
      <c r="D40" s="31">
        <v>1100</v>
      </c>
      <c r="E40" s="29">
        <v>189.60859170000001</v>
      </c>
      <c r="F40" s="30">
        <v>0.35864633074621999</v>
      </c>
    </row>
    <row r="41" spans="1:9" x14ac:dyDescent="0.2">
      <c r="A41" s="26" t="s">
        <v>34</v>
      </c>
      <c r="B41" s="26"/>
      <c r="C41" s="26"/>
      <c r="D41" s="32"/>
      <c r="E41" s="33">
        <f>SUM(E25:E40)</f>
        <v>10013.707179200001</v>
      </c>
      <c r="F41" s="34">
        <f>SUM(F25:F40)</f>
        <v>18.941015830492894</v>
      </c>
      <c r="G41" s="18"/>
      <c r="H41" s="18"/>
      <c r="I41" s="18"/>
    </row>
    <row r="42" spans="1:9" x14ac:dyDescent="0.2">
      <c r="A42" s="27"/>
      <c r="B42" s="27"/>
      <c r="C42" s="27"/>
      <c r="D42" s="28"/>
      <c r="E42" s="29"/>
      <c r="F42" s="30"/>
    </row>
    <row r="43" spans="1:9" x14ac:dyDescent="0.2">
      <c r="A43" s="26" t="s">
        <v>354</v>
      </c>
      <c r="B43" s="27"/>
      <c r="C43" s="27"/>
      <c r="D43" s="28"/>
      <c r="E43" s="29"/>
      <c r="F43" s="30"/>
    </row>
    <row r="44" spans="1:9" x14ac:dyDescent="0.2">
      <c r="A44" s="27" t="s">
        <v>356</v>
      </c>
      <c r="B44" s="27" t="s">
        <v>355</v>
      </c>
      <c r="C44" s="27" t="s">
        <v>357</v>
      </c>
      <c r="D44" s="31">
        <v>91868.481</v>
      </c>
      <c r="E44" s="29">
        <v>3755.8694</v>
      </c>
      <c r="F44" s="30">
        <v>7.1042602394478296</v>
      </c>
    </row>
    <row r="45" spans="1:9" x14ac:dyDescent="0.2">
      <c r="A45" s="26" t="s">
        <v>34</v>
      </c>
      <c r="B45" s="26"/>
      <c r="C45" s="26"/>
      <c r="D45" s="32"/>
      <c r="E45" s="33">
        <f>SUM(E44:E44)</f>
        <v>3755.8694</v>
      </c>
      <c r="F45" s="34">
        <f>SUM(F44:F44)</f>
        <v>7.1042602394478296</v>
      </c>
      <c r="G45" s="18"/>
      <c r="H45" s="18"/>
      <c r="I45" s="18"/>
    </row>
    <row r="46" spans="1:9" x14ac:dyDescent="0.2">
      <c r="A46" s="27"/>
      <c r="B46" s="27"/>
      <c r="C46" s="27"/>
      <c r="D46" s="28"/>
      <c r="E46" s="29"/>
      <c r="F46" s="30"/>
    </row>
    <row r="47" spans="1:9" x14ac:dyDescent="0.2">
      <c r="A47" s="26" t="s">
        <v>36</v>
      </c>
      <c r="B47" s="26"/>
      <c r="C47" s="26"/>
      <c r="D47" s="32"/>
      <c r="E47" s="33">
        <f>E19+E23+E41+E45</f>
        <v>49268.152512700006</v>
      </c>
      <c r="F47" s="34">
        <f>F19+F23+F41+F45</f>
        <v>93.191146893187124</v>
      </c>
      <c r="G47" s="18"/>
      <c r="H47" s="18"/>
      <c r="I47" s="18"/>
    </row>
    <row r="48" spans="1:9" x14ac:dyDescent="0.2">
      <c r="A48" s="26"/>
      <c r="B48" s="26"/>
      <c r="C48" s="26"/>
      <c r="D48" s="32"/>
      <c r="E48" s="33"/>
      <c r="F48" s="34"/>
      <c r="G48" s="18"/>
      <c r="H48" s="18"/>
      <c r="I48" s="18"/>
    </row>
    <row r="49" spans="1:9" x14ac:dyDescent="0.2">
      <c r="A49" s="26" t="s">
        <v>38</v>
      </c>
      <c r="B49" s="26"/>
      <c r="C49" s="26"/>
      <c r="D49" s="32"/>
      <c r="E49" s="33">
        <f>E51-(E19+E23+E41+E45)</f>
        <v>3599.6940104999958</v>
      </c>
      <c r="F49" s="34">
        <f>F51-(F19+F23+F41+F45)</f>
        <v>6.8088531068128759</v>
      </c>
      <c r="G49" s="18"/>
      <c r="H49" s="18"/>
      <c r="I49" s="18"/>
    </row>
    <row r="50" spans="1:9" x14ac:dyDescent="0.2">
      <c r="A50" s="26"/>
      <c r="B50" s="26"/>
      <c r="C50" s="26"/>
      <c r="D50" s="32"/>
      <c r="E50" s="33"/>
      <c r="F50" s="34"/>
      <c r="G50" s="18"/>
      <c r="H50" s="18"/>
      <c r="I50" s="18"/>
    </row>
    <row r="51" spans="1:9" x14ac:dyDescent="0.2">
      <c r="A51" s="35" t="s">
        <v>37</v>
      </c>
      <c r="B51" s="35"/>
      <c r="C51" s="35"/>
      <c r="D51" s="36"/>
      <c r="E51" s="37">
        <v>52867.846523200002</v>
      </c>
      <c r="F51" s="38">
        <v>100</v>
      </c>
      <c r="G51" s="18"/>
      <c r="H51" s="18"/>
      <c r="I51" s="18"/>
    </row>
    <row r="52" spans="1:9" x14ac:dyDescent="0.2">
      <c r="F52" s="20" t="s">
        <v>497</v>
      </c>
    </row>
    <row r="53" spans="1:9" x14ac:dyDescent="0.2">
      <c r="A53" s="18" t="s">
        <v>39</v>
      </c>
    </row>
    <row r="54" spans="1:9" x14ac:dyDescent="0.2">
      <c r="A54" s="18" t="s">
        <v>716</v>
      </c>
    </row>
    <row r="56" spans="1:9" x14ac:dyDescent="0.2">
      <c r="A56" s="18" t="s">
        <v>40</v>
      </c>
    </row>
    <row r="57" spans="1:9" x14ac:dyDescent="0.2">
      <c r="A57" s="18" t="s">
        <v>41</v>
      </c>
    </row>
    <row r="58" spans="1:9" x14ac:dyDescent="0.2">
      <c r="A58" s="18" t="s">
        <v>42</v>
      </c>
      <c r="B58" s="18"/>
      <c r="C58" s="39" t="s">
        <v>44</v>
      </c>
      <c r="D58" s="19" t="s">
        <v>43</v>
      </c>
    </row>
    <row r="59" spans="1:9" x14ac:dyDescent="0.2">
      <c r="A59" s="9" t="s">
        <v>65</v>
      </c>
      <c r="C59" s="40">
        <v>215.2448</v>
      </c>
      <c r="D59" s="40">
        <v>276.75400000000002</v>
      </c>
    </row>
    <row r="60" spans="1:9" x14ac:dyDescent="0.2">
      <c r="A60" s="9" t="s">
        <v>1003</v>
      </c>
      <c r="C60" s="40">
        <v>31.4087</v>
      </c>
      <c r="D60" s="40">
        <v>37.289400000000001</v>
      </c>
    </row>
    <row r="61" spans="1:9" x14ac:dyDescent="0.2">
      <c r="A61" s="9" t="s">
        <v>66</v>
      </c>
      <c r="C61" s="40">
        <v>225.9</v>
      </c>
      <c r="D61" s="40">
        <v>291.71609999999998</v>
      </c>
    </row>
    <row r="62" spans="1:9" x14ac:dyDescent="0.2">
      <c r="A62" s="9" t="s">
        <v>1004</v>
      </c>
      <c r="C62" s="40">
        <v>33.234999999999999</v>
      </c>
      <c r="D62" s="40">
        <v>39.798499999999997</v>
      </c>
    </row>
    <row r="64" spans="1:9" x14ac:dyDescent="0.2">
      <c r="A64" s="18" t="s">
        <v>1560</v>
      </c>
    </row>
    <row r="65" spans="1:4" x14ac:dyDescent="0.2">
      <c r="A65" s="94" t="s">
        <v>64</v>
      </c>
      <c r="B65" s="95"/>
      <c r="C65" s="44" t="s">
        <v>1544</v>
      </c>
    </row>
    <row r="66" spans="1:4" x14ac:dyDescent="0.2">
      <c r="A66" s="88" t="s">
        <v>1003</v>
      </c>
      <c r="B66" s="89"/>
      <c r="C66" s="45">
        <v>2.5</v>
      </c>
    </row>
    <row r="67" spans="1:4" x14ac:dyDescent="0.2">
      <c r="A67" s="88" t="s">
        <v>1004</v>
      </c>
      <c r="B67" s="89"/>
      <c r="C67" s="45">
        <v>2.5</v>
      </c>
    </row>
    <row r="68" spans="1:4" x14ac:dyDescent="0.2">
      <c r="A68" s="9" t="s">
        <v>1545</v>
      </c>
    </row>
    <row r="69" spans="1:4" x14ac:dyDescent="0.2">
      <c r="A69" s="9" t="s">
        <v>782</v>
      </c>
    </row>
    <row r="71" spans="1:4" x14ac:dyDescent="0.2">
      <c r="A71" s="18" t="s">
        <v>215</v>
      </c>
      <c r="D71" s="46">
        <v>6.1262935731501281E-2</v>
      </c>
    </row>
    <row r="73" spans="1:4" x14ac:dyDescent="0.2">
      <c r="A73" s="18" t="s">
        <v>717</v>
      </c>
      <c r="D73" s="41">
        <v>1</v>
      </c>
    </row>
    <row r="74" spans="1:4" x14ac:dyDescent="0.2">
      <c r="A74" s="9" t="s">
        <v>712</v>
      </c>
      <c r="D74" s="41"/>
    </row>
    <row r="75" spans="1:4" x14ac:dyDescent="0.2">
      <c r="A75" s="50" t="s">
        <v>713</v>
      </c>
      <c r="D75" s="41"/>
    </row>
    <row r="77" spans="1:4" x14ac:dyDescent="0.2">
      <c r="A77" s="18" t="s">
        <v>718</v>
      </c>
    </row>
    <row r="78" spans="1:4" x14ac:dyDescent="0.2">
      <c r="A78" s="50" t="s">
        <v>47</v>
      </c>
    </row>
    <row r="80" spans="1:4" x14ac:dyDescent="0.2">
      <c r="A80" s="70" t="s">
        <v>1505</v>
      </c>
    </row>
  </sheetData>
  <mergeCells count="4">
    <mergeCell ref="A1:F1"/>
    <mergeCell ref="A65:B65"/>
    <mergeCell ref="A66:B66"/>
    <mergeCell ref="A67:B67"/>
  </mergeCells>
  <conditionalFormatting sqref="F2:F3 F5:F51 F53:F65539">
    <cfRule type="cellIs" dxfId="100" priority="2" stopIfTrue="1" operator="between">
      <formula>0.009</formula>
      <formula>-0.009</formula>
    </cfRule>
  </conditionalFormatting>
  <conditionalFormatting sqref="F52">
    <cfRule type="cellIs" dxfId="99" priority="1" stopIfTrue="1" operator="between">
      <formula>0.009</formula>
      <formula>-0.009</formula>
    </cfRule>
  </conditionalFormatting>
  <hyperlinks>
    <hyperlink ref="A75" r:id="rId1" xr:uid="{00000000-0004-0000-2300-000000000000}"/>
    <hyperlink ref="A78" r:id="rId2" xr:uid="{00000000-0004-0000-2300-000001000000}"/>
  </hyperlinks>
  <pageMargins left="0.7" right="0.7" top="0.75" bottom="0.75" header="0.3" footer="0.3"/>
  <pageSetup paperSize="9" scale="54" orientation="portrait" r:id="rId3"/>
  <headerFooter>
    <oddFooter>&amp;R&amp;1#&amp;"Calibri"&amp;10&amp;KFF0000|PUBLIC|</oddFooter>
    <evenFooter>&amp;LPUBLIC</evenFooter>
    <firstFooter>&amp;LPUBLIC</firstFooter>
  </headerFooter>
  <colBreaks count="1" manualBreakCount="1">
    <brk id="6" max="1048575" man="1"/>
  </colBreak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I93"/>
  <sheetViews>
    <sheetView view="pageBreakPreview" zoomScaleNormal="100" zoomScaleSheetLayoutView="100" workbookViewId="0">
      <selection sqref="A1:F1"/>
    </sheetView>
  </sheetViews>
  <sheetFormatPr defaultColWidth="9.21875" defaultRowHeight="10.199999999999999" x14ac:dyDescent="0.2"/>
  <cols>
    <col min="1" max="1" width="38.77734375" style="9" bestFit="1" customWidth="1"/>
    <col min="2" max="2" width="33.77734375" style="9" customWidth="1"/>
    <col min="3" max="3" width="22.77734375" style="9" customWidth="1"/>
    <col min="4" max="4" width="16.21875" style="10" customWidth="1"/>
    <col min="5" max="5" width="23" style="13" bestFit="1" customWidth="1"/>
    <col min="6" max="6" width="13.5546875" style="14" bestFit="1" customWidth="1"/>
    <col min="7" max="16384" width="9.21875" style="9"/>
  </cols>
  <sheetData>
    <row r="1" spans="1:6" s="1" customFormat="1" ht="13.8" x14ac:dyDescent="0.2">
      <c r="A1" s="92" t="s">
        <v>11</v>
      </c>
      <c r="B1" s="93"/>
      <c r="C1" s="93"/>
      <c r="D1" s="93"/>
      <c r="E1" s="93"/>
      <c r="F1" s="93"/>
    </row>
    <row r="2" spans="1:6" s="1" customFormat="1" ht="11.4" x14ac:dyDescent="0.2">
      <c r="D2" s="6"/>
      <c r="E2" s="7"/>
      <c r="F2" s="12"/>
    </row>
    <row r="3" spans="1:6" s="1" customFormat="1" ht="12" x14ac:dyDescent="0.2">
      <c r="A3" s="11" t="s">
        <v>7</v>
      </c>
      <c r="B3" s="2"/>
      <c r="C3" s="3"/>
      <c r="D3" s="4"/>
      <c r="E3" s="5"/>
      <c r="F3" s="12"/>
    </row>
    <row r="4" spans="1:6" s="1" customFormat="1" ht="17.55" customHeight="1" x14ac:dyDescent="0.2">
      <c r="A4" s="8" t="s">
        <v>2</v>
      </c>
      <c r="B4" s="8" t="s">
        <v>0</v>
      </c>
      <c r="C4" s="17" t="s">
        <v>259</v>
      </c>
      <c r="D4" s="16" t="s">
        <v>1</v>
      </c>
      <c r="E4" s="15" t="s">
        <v>3</v>
      </c>
      <c r="F4" s="15" t="s">
        <v>4</v>
      </c>
    </row>
    <row r="5" spans="1:6" x14ac:dyDescent="0.2">
      <c r="A5" s="21" t="s">
        <v>84</v>
      </c>
      <c r="B5" s="22"/>
      <c r="C5" s="22"/>
      <c r="D5" s="23"/>
      <c r="E5" s="24"/>
      <c r="F5" s="25"/>
    </row>
    <row r="6" spans="1:6" x14ac:dyDescent="0.2">
      <c r="A6" s="26" t="s">
        <v>27</v>
      </c>
      <c r="B6" s="27"/>
      <c r="C6" s="27"/>
      <c r="D6" s="28"/>
      <c r="E6" s="29"/>
      <c r="F6" s="30"/>
    </row>
    <row r="7" spans="1:6" x14ac:dyDescent="0.2">
      <c r="A7" s="27" t="s">
        <v>359</v>
      </c>
      <c r="B7" s="27" t="s">
        <v>358</v>
      </c>
      <c r="C7" s="27" t="s">
        <v>247</v>
      </c>
      <c r="D7" s="31">
        <v>3167967</v>
      </c>
      <c r="E7" s="29">
        <v>52477.373359999998</v>
      </c>
      <c r="F7" s="30">
        <v>8.33019297201513</v>
      </c>
    </row>
    <row r="8" spans="1:6" x14ac:dyDescent="0.2">
      <c r="A8" s="27" t="s">
        <v>361</v>
      </c>
      <c r="B8" s="27" t="s">
        <v>360</v>
      </c>
      <c r="C8" s="27" t="s">
        <v>362</v>
      </c>
      <c r="D8" s="31">
        <v>7737595</v>
      </c>
      <c r="E8" s="29">
        <v>21498.907709999999</v>
      </c>
      <c r="F8" s="30">
        <v>3.41270986798955</v>
      </c>
    </row>
    <row r="9" spans="1:6" x14ac:dyDescent="0.2">
      <c r="A9" s="27" t="s">
        <v>364</v>
      </c>
      <c r="B9" s="27" t="s">
        <v>363</v>
      </c>
      <c r="C9" s="27" t="s">
        <v>127</v>
      </c>
      <c r="D9" s="31">
        <v>1346988</v>
      </c>
      <c r="E9" s="29">
        <v>16910.760849999999</v>
      </c>
      <c r="F9" s="30">
        <v>2.6843931425019498</v>
      </c>
    </row>
    <row r="10" spans="1:6" x14ac:dyDescent="0.2">
      <c r="A10" s="27" t="s">
        <v>366</v>
      </c>
      <c r="B10" s="27" t="s">
        <v>365</v>
      </c>
      <c r="C10" s="27" t="s">
        <v>367</v>
      </c>
      <c r="D10" s="31">
        <v>2410139</v>
      </c>
      <c r="E10" s="29">
        <v>16842.051329999998</v>
      </c>
      <c r="F10" s="30">
        <v>2.6734862787630198</v>
      </c>
    </row>
    <row r="11" spans="1:6" x14ac:dyDescent="0.2">
      <c r="A11" s="27" t="s">
        <v>369</v>
      </c>
      <c r="B11" s="27" t="s">
        <v>368</v>
      </c>
      <c r="C11" s="27" t="s">
        <v>106</v>
      </c>
      <c r="D11" s="31">
        <v>1708713</v>
      </c>
      <c r="E11" s="29">
        <v>15962.796850000001</v>
      </c>
      <c r="F11" s="30">
        <v>2.53391451628812</v>
      </c>
    </row>
    <row r="12" spans="1:6" x14ac:dyDescent="0.2">
      <c r="A12" s="27" t="s">
        <v>283</v>
      </c>
      <c r="B12" s="27" t="s">
        <v>282</v>
      </c>
      <c r="C12" s="27" t="s">
        <v>90</v>
      </c>
      <c r="D12" s="31">
        <v>2446486</v>
      </c>
      <c r="E12" s="29">
        <v>15839.77361</v>
      </c>
      <c r="F12" s="30">
        <v>2.5143859601957201</v>
      </c>
    </row>
    <row r="13" spans="1:6" x14ac:dyDescent="0.2">
      <c r="A13" s="27" t="s">
        <v>237</v>
      </c>
      <c r="B13" s="27" t="s">
        <v>236</v>
      </c>
      <c r="C13" s="27" t="s">
        <v>203</v>
      </c>
      <c r="D13" s="31">
        <v>4112021</v>
      </c>
      <c r="E13" s="29">
        <v>15664.744000000001</v>
      </c>
      <c r="F13" s="30">
        <v>2.4866019776188</v>
      </c>
    </row>
    <row r="14" spans="1:6" x14ac:dyDescent="0.2">
      <c r="A14" s="27" t="s">
        <v>270</v>
      </c>
      <c r="B14" s="27" t="s">
        <v>269</v>
      </c>
      <c r="C14" s="27" t="s">
        <v>200</v>
      </c>
      <c r="D14" s="31">
        <v>1430886</v>
      </c>
      <c r="E14" s="29">
        <v>15259.68375</v>
      </c>
      <c r="F14" s="30">
        <v>2.42230321737703</v>
      </c>
    </row>
    <row r="15" spans="1:6" x14ac:dyDescent="0.2">
      <c r="A15" s="27" t="s">
        <v>371</v>
      </c>
      <c r="B15" s="27" t="s">
        <v>370</v>
      </c>
      <c r="C15" s="27" t="s">
        <v>225</v>
      </c>
      <c r="D15" s="31">
        <v>393029</v>
      </c>
      <c r="E15" s="29">
        <v>14823.67828</v>
      </c>
      <c r="F15" s="30">
        <v>2.35309225140435</v>
      </c>
    </row>
    <row r="16" spans="1:6" x14ac:dyDescent="0.2">
      <c r="A16" s="27" t="s">
        <v>121</v>
      </c>
      <c r="B16" s="27" t="s">
        <v>120</v>
      </c>
      <c r="C16" s="27" t="s">
        <v>122</v>
      </c>
      <c r="D16" s="31">
        <v>6289744</v>
      </c>
      <c r="E16" s="29">
        <v>14749.44968</v>
      </c>
      <c r="F16" s="30">
        <v>2.34130929577125</v>
      </c>
    </row>
    <row r="17" spans="1:6" x14ac:dyDescent="0.2">
      <c r="A17" s="27" t="s">
        <v>251</v>
      </c>
      <c r="B17" s="27" t="s">
        <v>250</v>
      </c>
      <c r="C17" s="27" t="s">
        <v>176</v>
      </c>
      <c r="D17" s="31">
        <v>16272603</v>
      </c>
      <c r="E17" s="29">
        <v>14197.84612</v>
      </c>
      <c r="F17" s="30">
        <v>2.2537484327812498</v>
      </c>
    </row>
    <row r="18" spans="1:6" x14ac:dyDescent="0.2">
      <c r="A18" s="27" t="s">
        <v>373</v>
      </c>
      <c r="B18" s="27" t="s">
        <v>372</v>
      </c>
      <c r="C18" s="27" t="s">
        <v>117</v>
      </c>
      <c r="D18" s="31">
        <v>10263765</v>
      </c>
      <c r="E18" s="29">
        <v>14040.83052</v>
      </c>
      <c r="F18" s="30">
        <v>2.2288239717446001</v>
      </c>
    </row>
    <row r="19" spans="1:6" x14ac:dyDescent="0.2">
      <c r="A19" s="27" t="s">
        <v>375</v>
      </c>
      <c r="B19" s="27" t="s">
        <v>374</v>
      </c>
      <c r="C19" s="27" t="s">
        <v>225</v>
      </c>
      <c r="D19" s="31">
        <v>2647305</v>
      </c>
      <c r="E19" s="29">
        <v>13930.118909999999</v>
      </c>
      <c r="F19" s="30">
        <v>2.2112497484843101</v>
      </c>
    </row>
    <row r="20" spans="1:6" x14ac:dyDescent="0.2">
      <c r="A20" s="27" t="s">
        <v>94</v>
      </c>
      <c r="B20" s="27" t="s">
        <v>93</v>
      </c>
      <c r="C20" s="27" t="s">
        <v>87</v>
      </c>
      <c r="D20" s="31">
        <v>2259945</v>
      </c>
      <c r="E20" s="29">
        <v>13155.13985</v>
      </c>
      <c r="F20" s="30">
        <v>2.0882305364748999</v>
      </c>
    </row>
    <row r="21" spans="1:6" x14ac:dyDescent="0.2">
      <c r="A21" s="27" t="s">
        <v>272</v>
      </c>
      <c r="B21" s="27" t="s">
        <v>271</v>
      </c>
      <c r="C21" s="27" t="s">
        <v>273</v>
      </c>
      <c r="D21" s="31">
        <v>1013633</v>
      </c>
      <c r="E21" s="29">
        <v>13153.915440000001</v>
      </c>
      <c r="F21" s="30">
        <v>2.0880361751545</v>
      </c>
    </row>
    <row r="22" spans="1:6" x14ac:dyDescent="0.2">
      <c r="A22" s="27" t="s">
        <v>377</v>
      </c>
      <c r="B22" s="27" t="s">
        <v>376</v>
      </c>
      <c r="C22" s="27" t="s">
        <v>117</v>
      </c>
      <c r="D22" s="31">
        <v>5562185</v>
      </c>
      <c r="E22" s="29">
        <v>13012.731809999999</v>
      </c>
      <c r="F22" s="30">
        <v>2.0656248613427102</v>
      </c>
    </row>
    <row r="23" spans="1:6" x14ac:dyDescent="0.2">
      <c r="A23" s="27" t="s">
        <v>105</v>
      </c>
      <c r="B23" s="27" t="s">
        <v>104</v>
      </c>
      <c r="C23" s="27" t="s">
        <v>106</v>
      </c>
      <c r="D23" s="31">
        <v>1261210</v>
      </c>
      <c r="E23" s="29">
        <v>12636.693600000001</v>
      </c>
      <c r="F23" s="30">
        <v>2.0059330236308299</v>
      </c>
    </row>
    <row r="24" spans="1:6" x14ac:dyDescent="0.2">
      <c r="A24" s="27" t="s">
        <v>379</v>
      </c>
      <c r="B24" s="27" t="s">
        <v>378</v>
      </c>
      <c r="C24" s="27" t="s">
        <v>362</v>
      </c>
      <c r="D24" s="31">
        <v>2829248</v>
      </c>
      <c r="E24" s="29">
        <v>12362.39914</v>
      </c>
      <c r="F24" s="30">
        <v>1.9623918622377099</v>
      </c>
    </row>
    <row r="25" spans="1:6" x14ac:dyDescent="0.2">
      <c r="A25" s="27" t="s">
        <v>86</v>
      </c>
      <c r="B25" s="27" t="s">
        <v>85</v>
      </c>
      <c r="C25" s="27" t="s">
        <v>87</v>
      </c>
      <c r="D25" s="31">
        <v>822910</v>
      </c>
      <c r="E25" s="29">
        <v>12291.39522</v>
      </c>
      <c r="F25" s="30">
        <v>1.9511207882967201</v>
      </c>
    </row>
    <row r="26" spans="1:6" x14ac:dyDescent="0.2">
      <c r="A26" s="27" t="s">
        <v>381</v>
      </c>
      <c r="B26" s="27" t="s">
        <v>380</v>
      </c>
      <c r="C26" s="27" t="s">
        <v>203</v>
      </c>
      <c r="D26" s="31">
        <v>2365995</v>
      </c>
      <c r="E26" s="29">
        <v>12054.74453</v>
      </c>
      <c r="F26" s="30">
        <v>1.9135551521293599</v>
      </c>
    </row>
    <row r="27" spans="1:6" x14ac:dyDescent="0.2">
      <c r="A27" s="27" t="s">
        <v>383</v>
      </c>
      <c r="B27" s="27" t="s">
        <v>382</v>
      </c>
      <c r="C27" s="27" t="s">
        <v>106</v>
      </c>
      <c r="D27" s="31">
        <v>165265</v>
      </c>
      <c r="E27" s="29">
        <v>11981.54724</v>
      </c>
      <c r="F27" s="30">
        <v>1.90193590536284</v>
      </c>
    </row>
    <row r="28" spans="1:6" x14ac:dyDescent="0.2">
      <c r="A28" s="27" t="s">
        <v>385</v>
      </c>
      <c r="B28" s="27" t="s">
        <v>384</v>
      </c>
      <c r="C28" s="27" t="s">
        <v>100</v>
      </c>
      <c r="D28" s="31">
        <v>1000416</v>
      </c>
      <c r="E28" s="29">
        <v>11938.46434</v>
      </c>
      <c r="F28" s="30">
        <v>1.89509697940646</v>
      </c>
    </row>
    <row r="29" spans="1:6" x14ac:dyDescent="0.2">
      <c r="A29" s="27" t="s">
        <v>387</v>
      </c>
      <c r="B29" s="27" t="s">
        <v>386</v>
      </c>
      <c r="C29" s="27" t="s">
        <v>127</v>
      </c>
      <c r="D29" s="31">
        <v>1875900</v>
      </c>
      <c r="E29" s="29">
        <v>11349.195</v>
      </c>
      <c r="F29" s="30">
        <v>1.80155709735068</v>
      </c>
    </row>
    <row r="30" spans="1:6" x14ac:dyDescent="0.2">
      <c r="A30" s="27" t="s">
        <v>389</v>
      </c>
      <c r="B30" s="27" t="s">
        <v>388</v>
      </c>
      <c r="C30" s="27" t="s">
        <v>362</v>
      </c>
      <c r="D30" s="31">
        <v>5211254</v>
      </c>
      <c r="E30" s="29">
        <v>11120.81604</v>
      </c>
      <c r="F30" s="30">
        <v>1.76530450531454</v>
      </c>
    </row>
    <row r="31" spans="1:6" x14ac:dyDescent="0.2">
      <c r="A31" s="27" t="s">
        <v>143</v>
      </c>
      <c r="B31" s="27" t="s">
        <v>142</v>
      </c>
      <c r="C31" s="27" t="s">
        <v>87</v>
      </c>
      <c r="D31" s="31">
        <v>19398917</v>
      </c>
      <c r="E31" s="29">
        <v>10785.797850000001</v>
      </c>
      <c r="F31" s="30">
        <v>1.7121241345537901</v>
      </c>
    </row>
    <row r="32" spans="1:6" x14ac:dyDescent="0.2">
      <c r="A32" s="27" t="s">
        <v>168</v>
      </c>
      <c r="B32" s="27" t="s">
        <v>167</v>
      </c>
      <c r="C32" s="27" t="s">
        <v>127</v>
      </c>
      <c r="D32" s="31">
        <v>235825</v>
      </c>
      <c r="E32" s="29">
        <v>10649.857</v>
      </c>
      <c r="F32" s="30">
        <v>1.6905450531178401</v>
      </c>
    </row>
    <row r="33" spans="1:6" x14ac:dyDescent="0.2">
      <c r="A33" s="27" t="s">
        <v>391</v>
      </c>
      <c r="B33" s="27" t="s">
        <v>390</v>
      </c>
      <c r="C33" s="27" t="s">
        <v>247</v>
      </c>
      <c r="D33" s="31">
        <v>145642</v>
      </c>
      <c r="E33" s="29">
        <v>10315.89568</v>
      </c>
      <c r="F33" s="30">
        <v>1.6375324485862801</v>
      </c>
    </row>
    <row r="34" spans="1:6" x14ac:dyDescent="0.2">
      <c r="A34" s="27" t="s">
        <v>393</v>
      </c>
      <c r="B34" s="27" t="s">
        <v>392</v>
      </c>
      <c r="C34" s="27" t="s">
        <v>87</v>
      </c>
      <c r="D34" s="31">
        <v>9949095</v>
      </c>
      <c r="E34" s="29">
        <v>10207.77147</v>
      </c>
      <c r="F34" s="30">
        <v>1.6203689459835899</v>
      </c>
    </row>
    <row r="35" spans="1:6" x14ac:dyDescent="0.2">
      <c r="A35" s="27" t="s">
        <v>395</v>
      </c>
      <c r="B35" s="27" t="s">
        <v>394</v>
      </c>
      <c r="C35" s="27" t="s">
        <v>90</v>
      </c>
      <c r="D35" s="31">
        <v>5600639</v>
      </c>
      <c r="E35" s="29">
        <v>9943.9345450000001</v>
      </c>
      <c r="F35" s="30">
        <v>1.5784878006885299</v>
      </c>
    </row>
    <row r="36" spans="1:6" x14ac:dyDescent="0.2">
      <c r="A36" s="27" t="s">
        <v>397</v>
      </c>
      <c r="B36" s="27" t="s">
        <v>396</v>
      </c>
      <c r="C36" s="27" t="s">
        <v>362</v>
      </c>
      <c r="D36" s="31">
        <v>3270913</v>
      </c>
      <c r="E36" s="29">
        <v>9786.5716960000009</v>
      </c>
      <c r="F36" s="30">
        <v>1.5535082177775601</v>
      </c>
    </row>
    <row r="37" spans="1:6" x14ac:dyDescent="0.2">
      <c r="A37" s="27" t="s">
        <v>258</v>
      </c>
      <c r="B37" s="27" t="s">
        <v>257</v>
      </c>
      <c r="C37" s="27" t="s">
        <v>122</v>
      </c>
      <c r="D37" s="31">
        <v>1275143</v>
      </c>
      <c r="E37" s="29">
        <v>9209.082746</v>
      </c>
      <c r="F37" s="30">
        <v>1.46183834017707</v>
      </c>
    </row>
    <row r="38" spans="1:6" x14ac:dyDescent="0.2">
      <c r="A38" s="27" t="s">
        <v>399</v>
      </c>
      <c r="B38" s="27" t="s">
        <v>398</v>
      </c>
      <c r="C38" s="27" t="s">
        <v>176</v>
      </c>
      <c r="D38" s="31">
        <v>1603836</v>
      </c>
      <c r="E38" s="29">
        <v>8962.2355680000001</v>
      </c>
      <c r="F38" s="30">
        <v>1.4226541261877199</v>
      </c>
    </row>
    <row r="39" spans="1:6" x14ac:dyDescent="0.2">
      <c r="A39" s="27" t="s">
        <v>401</v>
      </c>
      <c r="B39" s="27" t="s">
        <v>400</v>
      </c>
      <c r="C39" s="27" t="s">
        <v>402</v>
      </c>
      <c r="D39" s="31">
        <v>393330</v>
      </c>
      <c r="E39" s="29">
        <v>8815.3119600000009</v>
      </c>
      <c r="F39" s="30">
        <v>1.39933165540801</v>
      </c>
    </row>
    <row r="40" spans="1:6" x14ac:dyDescent="0.2">
      <c r="A40" s="27" t="s">
        <v>404</v>
      </c>
      <c r="B40" s="27" t="s">
        <v>403</v>
      </c>
      <c r="C40" s="27" t="s">
        <v>247</v>
      </c>
      <c r="D40" s="31">
        <v>3836227</v>
      </c>
      <c r="E40" s="29">
        <v>8804.1409650000005</v>
      </c>
      <c r="F40" s="30">
        <v>1.397558385557</v>
      </c>
    </row>
    <row r="41" spans="1:6" x14ac:dyDescent="0.2">
      <c r="A41" s="27" t="s">
        <v>406</v>
      </c>
      <c r="B41" s="27" t="s">
        <v>405</v>
      </c>
      <c r="C41" s="27" t="s">
        <v>87</v>
      </c>
      <c r="D41" s="31">
        <v>14244569</v>
      </c>
      <c r="E41" s="29">
        <v>8582.3528229999993</v>
      </c>
      <c r="F41" s="30">
        <v>1.36235201177205</v>
      </c>
    </row>
    <row r="42" spans="1:6" x14ac:dyDescent="0.2">
      <c r="A42" s="27" t="s">
        <v>408</v>
      </c>
      <c r="B42" s="27" t="s">
        <v>407</v>
      </c>
      <c r="C42" s="27" t="s">
        <v>195</v>
      </c>
      <c r="D42" s="31">
        <v>23086857</v>
      </c>
      <c r="E42" s="29">
        <v>8542.1370900000002</v>
      </c>
      <c r="F42" s="30">
        <v>1.35596821633886</v>
      </c>
    </row>
    <row r="43" spans="1:6" x14ac:dyDescent="0.2">
      <c r="A43" s="27" t="s">
        <v>410</v>
      </c>
      <c r="B43" s="27" t="s">
        <v>409</v>
      </c>
      <c r="C43" s="27" t="s">
        <v>411</v>
      </c>
      <c r="D43" s="31">
        <v>10177038</v>
      </c>
      <c r="E43" s="29">
        <v>8151.8074379999998</v>
      </c>
      <c r="F43" s="30">
        <v>1.2940077729006301</v>
      </c>
    </row>
    <row r="44" spans="1:6" x14ac:dyDescent="0.2">
      <c r="A44" s="27" t="s">
        <v>319</v>
      </c>
      <c r="B44" s="27" t="s">
        <v>318</v>
      </c>
      <c r="C44" s="27" t="s">
        <v>154</v>
      </c>
      <c r="D44" s="31">
        <v>103243</v>
      </c>
      <c r="E44" s="29">
        <v>7988.8917190000002</v>
      </c>
      <c r="F44" s="30">
        <v>1.26814673431292</v>
      </c>
    </row>
    <row r="45" spans="1:6" x14ac:dyDescent="0.2">
      <c r="A45" s="27" t="s">
        <v>413</v>
      </c>
      <c r="B45" s="27" t="s">
        <v>412</v>
      </c>
      <c r="C45" s="27" t="s">
        <v>179</v>
      </c>
      <c r="D45" s="31">
        <v>2713308</v>
      </c>
      <c r="E45" s="29">
        <v>7201.1194320000004</v>
      </c>
      <c r="F45" s="30">
        <v>1.14309674136267</v>
      </c>
    </row>
    <row r="46" spans="1:6" x14ac:dyDescent="0.2">
      <c r="A46" s="27" t="s">
        <v>149</v>
      </c>
      <c r="B46" s="27" t="s">
        <v>148</v>
      </c>
      <c r="C46" s="27" t="s">
        <v>87</v>
      </c>
      <c r="D46" s="31">
        <v>4408453</v>
      </c>
      <c r="E46" s="29">
        <v>6874.982454</v>
      </c>
      <c r="F46" s="30">
        <v>1.0913261631477</v>
      </c>
    </row>
    <row r="47" spans="1:6" x14ac:dyDescent="0.2">
      <c r="A47" s="27" t="s">
        <v>415</v>
      </c>
      <c r="B47" s="27" t="s">
        <v>414</v>
      </c>
      <c r="C47" s="27" t="s">
        <v>416</v>
      </c>
      <c r="D47" s="31">
        <v>454140</v>
      </c>
      <c r="E47" s="29">
        <v>6870.9111300000004</v>
      </c>
      <c r="F47" s="30">
        <v>1.0906798862401501</v>
      </c>
    </row>
    <row r="48" spans="1:6" x14ac:dyDescent="0.2">
      <c r="A48" s="27" t="s">
        <v>418</v>
      </c>
      <c r="B48" s="27" t="s">
        <v>417</v>
      </c>
      <c r="C48" s="27" t="s">
        <v>106</v>
      </c>
      <c r="D48" s="31">
        <v>1846602</v>
      </c>
      <c r="E48" s="29">
        <v>6539.7409829999997</v>
      </c>
      <c r="F48" s="30">
        <v>1.03811034903874</v>
      </c>
    </row>
    <row r="49" spans="1:6" x14ac:dyDescent="0.2">
      <c r="A49" s="27" t="s">
        <v>420</v>
      </c>
      <c r="B49" s="27" t="s">
        <v>419</v>
      </c>
      <c r="C49" s="27" t="s">
        <v>171</v>
      </c>
      <c r="D49" s="31">
        <v>1488061</v>
      </c>
      <c r="E49" s="29">
        <v>6442.5600999999997</v>
      </c>
      <c r="F49" s="30">
        <v>1.02268397655193</v>
      </c>
    </row>
    <row r="50" spans="1:6" x14ac:dyDescent="0.2">
      <c r="A50" s="27" t="s">
        <v>422</v>
      </c>
      <c r="B50" s="27" t="s">
        <v>421</v>
      </c>
      <c r="C50" s="27" t="s">
        <v>362</v>
      </c>
      <c r="D50" s="31">
        <v>6313159</v>
      </c>
      <c r="E50" s="29">
        <v>6433.1090210000002</v>
      </c>
      <c r="F50" s="30">
        <v>1.02118372402741</v>
      </c>
    </row>
    <row r="51" spans="1:6" x14ac:dyDescent="0.2">
      <c r="A51" s="27" t="s">
        <v>424</v>
      </c>
      <c r="B51" s="27" t="s">
        <v>423</v>
      </c>
      <c r="C51" s="27" t="s">
        <v>203</v>
      </c>
      <c r="D51" s="31">
        <v>1197202</v>
      </c>
      <c r="E51" s="29">
        <v>6260.1692579999999</v>
      </c>
      <c r="F51" s="30">
        <v>0.99373148116376597</v>
      </c>
    </row>
    <row r="52" spans="1:6" x14ac:dyDescent="0.2">
      <c r="A52" s="27" t="s">
        <v>426</v>
      </c>
      <c r="B52" s="27" t="s">
        <v>425</v>
      </c>
      <c r="C52" s="27" t="s">
        <v>184</v>
      </c>
      <c r="D52" s="31">
        <v>2017424</v>
      </c>
      <c r="E52" s="29">
        <v>6190.4655439999997</v>
      </c>
      <c r="F52" s="30">
        <v>0.98266680030592501</v>
      </c>
    </row>
    <row r="53" spans="1:6" x14ac:dyDescent="0.2">
      <c r="A53" s="27" t="s">
        <v>219</v>
      </c>
      <c r="B53" s="27" t="s">
        <v>218</v>
      </c>
      <c r="C53" s="27" t="s">
        <v>90</v>
      </c>
      <c r="D53" s="31">
        <v>193545</v>
      </c>
      <c r="E53" s="29">
        <v>6150.5697829999999</v>
      </c>
      <c r="F53" s="30">
        <v>0.97633379683001797</v>
      </c>
    </row>
    <row r="54" spans="1:6" x14ac:dyDescent="0.2">
      <c r="A54" s="27" t="s">
        <v>428</v>
      </c>
      <c r="B54" s="27" t="s">
        <v>427</v>
      </c>
      <c r="C54" s="27" t="s">
        <v>203</v>
      </c>
      <c r="D54" s="31">
        <v>1196703</v>
      </c>
      <c r="E54" s="29">
        <v>5914.1062259999999</v>
      </c>
      <c r="F54" s="30">
        <v>0.93879786592230696</v>
      </c>
    </row>
    <row r="55" spans="1:6" x14ac:dyDescent="0.2">
      <c r="A55" s="27" t="s">
        <v>430</v>
      </c>
      <c r="B55" s="27" t="s">
        <v>429</v>
      </c>
      <c r="C55" s="27" t="s">
        <v>179</v>
      </c>
      <c r="D55" s="31">
        <v>24421468</v>
      </c>
      <c r="E55" s="29">
        <v>5751.2557139999999</v>
      </c>
      <c r="F55" s="30">
        <v>0.91294717821266802</v>
      </c>
    </row>
    <row r="56" spans="1:6" x14ac:dyDescent="0.2">
      <c r="A56" s="27" t="s">
        <v>432</v>
      </c>
      <c r="B56" s="27" t="s">
        <v>431</v>
      </c>
      <c r="C56" s="27" t="s">
        <v>117</v>
      </c>
      <c r="D56" s="31">
        <v>1667102</v>
      </c>
      <c r="E56" s="29">
        <v>5611.4653319999998</v>
      </c>
      <c r="F56" s="30">
        <v>0.89075702685537295</v>
      </c>
    </row>
    <row r="57" spans="1:6" x14ac:dyDescent="0.2">
      <c r="A57" s="27" t="s">
        <v>199</v>
      </c>
      <c r="B57" s="27" t="s">
        <v>198</v>
      </c>
      <c r="C57" s="27" t="s">
        <v>200</v>
      </c>
      <c r="D57" s="31">
        <v>3774220</v>
      </c>
      <c r="E57" s="29">
        <v>5466.9576699999998</v>
      </c>
      <c r="F57" s="30">
        <v>0.86781806033857101</v>
      </c>
    </row>
    <row r="58" spans="1:6" x14ac:dyDescent="0.2">
      <c r="A58" s="27" t="s">
        <v>434</v>
      </c>
      <c r="B58" s="27" t="s">
        <v>433</v>
      </c>
      <c r="C58" s="27" t="s">
        <v>203</v>
      </c>
      <c r="D58" s="31">
        <v>1915648</v>
      </c>
      <c r="E58" s="29">
        <v>4716.3253759999998</v>
      </c>
      <c r="F58" s="30">
        <v>0.74866362367973205</v>
      </c>
    </row>
    <row r="59" spans="1:6" x14ac:dyDescent="0.2">
      <c r="A59" s="27" t="s">
        <v>261</v>
      </c>
      <c r="B59" s="27" t="s">
        <v>260</v>
      </c>
      <c r="C59" s="27" t="s">
        <v>203</v>
      </c>
      <c r="D59" s="31">
        <v>741126</v>
      </c>
      <c r="E59" s="29">
        <v>4713.5613599999997</v>
      </c>
      <c r="F59" s="30">
        <v>0.74822486721797499</v>
      </c>
    </row>
    <row r="60" spans="1:6" x14ac:dyDescent="0.2">
      <c r="A60" s="27" t="s">
        <v>436</v>
      </c>
      <c r="B60" s="27" t="s">
        <v>435</v>
      </c>
      <c r="C60" s="27" t="s">
        <v>416</v>
      </c>
      <c r="D60" s="31">
        <v>1054022</v>
      </c>
      <c r="E60" s="29">
        <v>4332.03042</v>
      </c>
      <c r="F60" s="30">
        <v>0.68766112037814398</v>
      </c>
    </row>
    <row r="61" spans="1:6" x14ac:dyDescent="0.2">
      <c r="A61" s="27" t="s">
        <v>438</v>
      </c>
      <c r="B61" s="27" t="s">
        <v>437</v>
      </c>
      <c r="C61" s="27" t="s">
        <v>154</v>
      </c>
      <c r="D61" s="31">
        <v>988899</v>
      </c>
      <c r="E61" s="29">
        <v>4066.8471380000001</v>
      </c>
      <c r="F61" s="30">
        <v>0.64556625604760298</v>
      </c>
    </row>
    <row r="62" spans="1:6" x14ac:dyDescent="0.2">
      <c r="A62" s="27" t="s">
        <v>440</v>
      </c>
      <c r="B62" s="27" t="s">
        <v>439</v>
      </c>
      <c r="C62" s="27" t="s">
        <v>159</v>
      </c>
      <c r="D62" s="31">
        <v>11046869</v>
      </c>
      <c r="E62" s="29">
        <v>2297.748752</v>
      </c>
      <c r="F62" s="30">
        <v>0.36474177878644798</v>
      </c>
    </row>
    <row r="63" spans="1:6" x14ac:dyDescent="0.2">
      <c r="A63" s="27" t="s">
        <v>442</v>
      </c>
      <c r="B63" s="27" t="s">
        <v>441</v>
      </c>
      <c r="C63" s="27" t="s">
        <v>127</v>
      </c>
      <c r="D63" s="31">
        <v>545275</v>
      </c>
      <c r="E63" s="29">
        <v>1567.938263</v>
      </c>
      <c r="F63" s="30">
        <v>0.248892569553641</v>
      </c>
    </row>
    <row r="64" spans="1:6" x14ac:dyDescent="0.2">
      <c r="A64" s="27" t="s">
        <v>444</v>
      </c>
      <c r="B64" s="27" t="s">
        <v>443</v>
      </c>
      <c r="C64" s="27" t="s">
        <v>103</v>
      </c>
      <c r="D64" s="31">
        <v>7989354</v>
      </c>
      <c r="E64" s="29">
        <v>1302.2647019999999</v>
      </c>
      <c r="F64" s="30">
        <v>0.20671987894448601</v>
      </c>
    </row>
    <row r="65" spans="1:9" x14ac:dyDescent="0.2">
      <c r="A65" s="27" t="s">
        <v>446</v>
      </c>
      <c r="B65" s="27" t="s">
        <v>445</v>
      </c>
      <c r="C65" s="27" t="s">
        <v>233</v>
      </c>
      <c r="D65" s="31">
        <v>94686</v>
      </c>
      <c r="E65" s="29">
        <v>969.30058199999996</v>
      </c>
      <c r="F65" s="30">
        <v>0.153865568700533</v>
      </c>
    </row>
    <row r="66" spans="1:9" x14ac:dyDescent="0.2">
      <c r="A66" s="26" t="s">
        <v>34</v>
      </c>
      <c r="B66" s="26"/>
      <c r="C66" s="26"/>
      <c r="D66" s="32"/>
      <c r="E66" s="33">
        <f>SUM(E7:E65)</f>
        <v>613674.27497000014</v>
      </c>
      <c r="F66" s="34">
        <f>SUM(F7:F65)</f>
        <v>97.413891076303983</v>
      </c>
      <c r="G66" s="18"/>
      <c r="H66" s="18"/>
      <c r="I66" s="18"/>
    </row>
    <row r="67" spans="1:9" x14ac:dyDescent="0.2">
      <c r="A67" s="27"/>
      <c r="B67" s="27"/>
      <c r="C67" s="27"/>
      <c r="D67" s="28"/>
      <c r="E67" s="29"/>
      <c r="F67" s="30"/>
    </row>
    <row r="68" spans="1:9" x14ac:dyDescent="0.2">
      <c r="A68" s="26" t="s">
        <v>36</v>
      </c>
      <c r="B68" s="26"/>
      <c r="C68" s="26"/>
      <c r="D68" s="32"/>
      <c r="E68" s="33">
        <f>E66</f>
        <v>613674.27497000014</v>
      </c>
      <c r="F68" s="34">
        <f>F66</f>
        <v>97.413891076303983</v>
      </c>
      <c r="G68" s="18"/>
      <c r="H68" s="18"/>
      <c r="I68" s="18"/>
    </row>
    <row r="69" spans="1:9" x14ac:dyDescent="0.2">
      <c r="A69" s="26"/>
      <c r="B69" s="26"/>
      <c r="C69" s="26"/>
      <c r="D69" s="32"/>
      <c r="E69" s="33"/>
      <c r="F69" s="34"/>
      <c r="G69" s="18"/>
      <c r="H69" s="18"/>
      <c r="I69" s="18"/>
    </row>
    <row r="70" spans="1:9" x14ac:dyDescent="0.2">
      <c r="A70" s="26" t="s">
        <v>38</v>
      </c>
      <c r="B70" s="26"/>
      <c r="C70" s="26"/>
      <c r="D70" s="32"/>
      <c r="E70" s="33">
        <f>E72-(E66)</f>
        <v>16291.603807299864</v>
      </c>
      <c r="F70" s="34">
        <f>F72-(F66)</f>
        <v>2.5861089236960169</v>
      </c>
      <c r="G70" s="18"/>
      <c r="H70" s="18"/>
      <c r="I70" s="18"/>
    </row>
    <row r="71" spans="1:9" x14ac:dyDescent="0.2">
      <c r="A71" s="26"/>
      <c r="B71" s="26"/>
      <c r="C71" s="26"/>
      <c r="D71" s="32"/>
      <c r="E71" s="33"/>
      <c r="F71" s="34"/>
      <c r="G71" s="18"/>
      <c r="H71" s="18"/>
      <c r="I71" s="18"/>
    </row>
    <row r="72" spans="1:9" x14ac:dyDescent="0.2">
      <c r="A72" s="35" t="s">
        <v>37</v>
      </c>
      <c r="B72" s="35"/>
      <c r="C72" s="35"/>
      <c r="D72" s="36"/>
      <c r="E72" s="37">
        <v>629965.87877730001</v>
      </c>
      <c r="F72" s="38">
        <v>100</v>
      </c>
      <c r="G72" s="18"/>
      <c r="H72" s="18"/>
      <c r="I72" s="18"/>
    </row>
    <row r="75" spans="1:9" x14ac:dyDescent="0.2">
      <c r="A75" s="18" t="s">
        <v>40</v>
      </c>
    </row>
    <row r="76" spans="1:9" x14ac:dyDescent="0.2">
      <c r="A76" s="18" t="s">
        <v>41</v>
      </c>
    </row>
    <row r="77" spans="1:9" x14ac:dyDescent="0.2">
      <c r="A77" s="18" t="s">
        <v>42</v>
      </c>
      <c r="B77" s="18"/>
      <c r="C77" s="39" t="s">
        <v>44</v>
      </c>
      <c r="D77" s="41" t="s">
        <v>43</v>
      </c>
    </row>
    <row r="78" spans="1:9" x14ac:dyDescent="0.2">
      <c r="A78" s="9" t="s">
        <v>65</v>
      </c>
      <c r="C78" s="40">
        <v>47.578499999999998</v>
      </c>
      <c r="D78" s="40">
        <v>67.509600000000006</v>
      </c>
    </row>
    <row r="79" spans="1:9" x14ac:dyDescent="0.2">
      <c r="A79" s="9" t="s">
        <v>1003</v>
      </c>
      <c r="C79" s="40">
        <v>20.047599999999999</v>
      </c>
      <c r="D79" s="40">
        <v>27.098500000000001</v>
      </c>
    </row>
    <row r="80" spans="1:9" x14ac:dyDescent="0.2">
      <c r="A80" s="9" t="s">
        <v>66</v>
      </c>
      <c r="C80" s="40">
        <v>51.728200000000001</v>
      </c>
      <c r="D80" s="40">
        <v>73.700800000000001</v>
      </c>
    </row>
    <row r="81" spans="1:4" x14ac:dyDescent="0.2">
      <c r="A81" s="9" t="s">
        <v>1004</v>
      </c>
      <c r="C81" s="40">
        <v>22.456299999999999</v>
      </c>
      <c r="D81" s="40">
        <v>30.6464</v>
      </c>
    </row>
    <row r="83" spans="1:4" x14ac:dyDescent="0.2">
      <c r="A83" s="18" t="s">
        <v>1560</v>
      </c>
    </row>
    <row r="84" spans="1:4" x14ac:dyDescent="0.2">
      <c r="A84" s="94" t="s">
        <v>64</v>
      </c>
      <c r="B84" s="95"/>
      <c r="C84" s="44" t="s">
        <v>1544</v>
      </c>
    </row>
    <row r="85" spans="1:4" x14ac:dyDescent="0.2">
      <c r="A85" s="88" t="s">
        <v>1003</v>
      </c>
      <c r="B85" s="89"/>
      <c r="C85" s="45">
        <v>1.3</v>
      </c>
    </row>
    <row r="86" spans="1:4" x14ac:dyDescent="0.2">
      <c r="A86" s="88" t="s">
        <v>1004</v>
      </c>
      <c r="B86" s="89"/>
      <c r="C86" s="45">
        <v>1.3</v>
      </c>
    </row>
    <row r="87" spans="1:4" x14ac:dyDescent="0.2">
      <c r="A87" s="9" t="s">
        <v>1545</v>
      </c>
    </row>
    <row r="88" spans="1:4" x14ac:dyDescent="0.2">
      <c r="A88" s="9" t="s">
        <v>782</v>
      </c>
    </row>
    <row r="90" spans="1:4" x14ac:dyDescent="0.2">
      <c r="A90" s="18" t="s">
        <v>215</v>
      </c>
      <c r="D90" s="46">
        <v>9.3165695794958772E-2</v>
      </c>
    </row>
    <row r="92" spans="1:4" x14ac:dyDescent="0.2">
      <c r="A92" s="18" t="s">
        <v>715</v>
      </c>
    </row>
    <row r="93" spans="1:4" x14ac:dyDescent="0.2">
      <c r="A93" s="50" t="s">
        <v>47</v>
      </c>
    </row>
  </sheetData>
  <mergeCells count="4">
    <mergeCell ref="A1:F1"/>
    <mergeCell ref="A84:B84"/>
    <mergeCell ref="A85:B85"/>
    <mergeCell ref="A86:B86"/>
  </mergeCells>
  <conditionalFormatting sqref="F2:F3 F5:F65535">
    <cfRule type="cellIs" dxfId="98" priority="1" stopIfTrue="1" operator="between">
      <formula>0.009</formula>
      <formula>-0.009</formula>
    </cfRule>
  </conditionalFormatting>
  <hyperlinks>
    <hyperlink ref="A93" r:id="rId1" xr:uid="{00000000-0004-0000-2400-000000000000}"/>
  </hyperlinks>
  <pageMargins left="0.7" right="0.7" top="0.75" bottom="0.75" header="0.3" footer="0.3"/>
  <pageSetup paperSize="9" scale="59" orientation="portrait" r:id="rId2"/>
  <headerFooter>
    <oddFooter>&amp;R&amp;1#&amp;"Calibri"&amp;10&amp;KFF0000|PUBLIC|</oddFooter>
    <evenFooter>&amp;LPUBLIC</evenFooter>
    <firstFooter>&amp;LPUBLIC</firstFooter>
  </headerFooter>
  <colBreaks count="1" manualBreakCount="1">
    <brk id="6" max="1048575" man="1"/>
  </colBreak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I106"/>
  <sheetViews>
    <sheetView view="pageBreakPreview" zoomScaleNormal="100" zoomScaleSheetLayoutView="100" workbookViewId="0">
      <selection sqref="A1:F1"/>
    </sheetView>
  </sheetViews>
  <sheetFormatPr defaultColWidth="9.21875" defaultRowHeight="10.199999999999999" x14ac:dyDescent="0.2"/>
  <cols>
    <col min="1" max="1" width="38.77734375" style="9" bestFit="1" customWidth="1"/>
    <col min="2" max="2" width="34.21875" style="9" bestFit="1" customWidth="1"/>
    <col min="3" max="3" width="25" style="9" customWidth="1"/>
    <col min="4" max="4" width="15.44140625" style="10" bestFit="1" customWidth="1"/>
    <col min="5" max="5" width="23" style="13" bestFit="1" customWidth="1"/>
    <col min="6" max="6" width="14.77734375" style="14" bestFit="1" customWidth="1"/>
    <col min="7" max="16384" width="9.21875" style="9"/>
  </cols>
  <sheetData>
    <row r="1" spans="1:6" s="1" customFormat="1" ht="13.8" x14ac:dyDescent="0.2">
      <c r="A1" s="92" t="s">
        <v>12</v>
      </c>
      <c r="B1" s="93"/>
      <c r="C1" s="93"/>
      <c r="D1" s="93"/>
      <c r="E1" s="93"/>
      <c r="F1" s="93"/>
    </row>
    <row r="2" spans="1:6" s="1" customFormat="1" ht="11.4" x14ac:dyDescent="0.2">
      <c r="D2" s="6"/>
      <c r="E2" s="7"/>
      <c r="F2" s="12"/>
    </row>
    <row r="3" spans="1:6" s="1" customFormat="1" ht="12" x14ac:dyDescent="0.2">
      <c r="A3" s="11" t="s">
        <v>7</v>
      </c>
      <c r="B3" s="2"/>
      <c r="C3" s="3"/>
      <c r="D3" s="4"/>
      <c r="E3" s="5"/>
      <c r="F3" s="12"/>
    </row>
    <row r="4" spans="1:6" s="1" customFormat="1" ht="17.55" customHeight="1" x14ac:dyDescent="0.2">
      <c r="A4" s="8" t="s">
        <v>2</v>
      </c>
      <c r="B4" s="8" t="s">
        <v>0</v>
      </c>
      <c r="C4" s="17" t="s">
        <v>259</v>
      </c>
      <c r="D4" s="16" t="s">
        <v>1</v>
      </c>
      <c r="E4" s="15" t="s">
        <v>3</v>
      </c>
      <c r="F4" s="15" t="s">
        <v>4</v>
      </c>
    </row>
    <row r="5" spans="1:6" x14ac:dyDescent="0.2">
      <c r="A5" s="21" t="s">
        <v>84</v>
      </c>
      <c r="B5" s="22"/>
      <c r="C5" s="22"/>
      <c r="D5" s="23"/>
      <c r="E5" s="24"/>
      <c r="F5" s="25"/>
    </row>
    <row r="6" spans="1:6" x14ac:dyDescent="0.2">
      <c r="A6" s="26" t="s">
        <v>27</v>
      </c>
      <c r="B6" s="27"/>
      <c r="C6" s="27"/>
      <c r="D6" s="28"/>
      <c r="E6" s="29"/>
      <c r="F6" s="30"/>
    </row>
    <row r="7" spans="1:6" x14ac:dyDescent="0.2">
      <c r="A7" s="27" t="s">
        <v>448</v>
      </c>
      <c r="B7" s="27" t="s">
        <v>447</v>
      </c>
      <c r="C7" s="27" t="s">
        <v>171</v>
      </c>
      <c r="D7" s="31">
        <v>2918543</v>
      </c>
      <c r="E7" s="29">
        <v>29259.852849999999</v>
      </c>
      <c r="F7" s="30">
        <v>4.0038131625807001</v>
      </c>
    </row>
    <row r="8" spans="1:6" x14ac:dyDescent="0.2">
      <c r="A8" s="27" t="s">
        <v>450</v>
      </c>
      <c r="B8" s="27" t="s">
        <v>449</v>
      </c>
      <c r="C8" s="27" t="s">
        <v>106</v>
      </c>
      <c r="D8" s="31">
        <v>7341052</v>
      </c>
      <c r="E8" s="29">
        <v>28813.629099999998</v>
      </c>
      <c r="F8" s="30">
        <v>3.9427535074667501</v>
      </c>
    </row>
    <row r="9" spans="1:6" x14ac:dyDescent="0.2">
      <c r="A9" s="27" t="s">
        <v>86</v>
      </c>
      <c r="B9" s="27" t="s">
        <v>85</v>
      </c>
      <c r="C9" s="27" t="s">
        <v>87</v>
      </c>
      <c r="D9" s="31">
        <v>1807637</v>
      </c>
      <c r="E9" s="29">
        <v>26999.770049999999</v>
      </c>
      <c r="F9" s="30">
        <v>3.6945515504478101</v>
      </c>
    </row>
    <row r="10" spans="1:6" x14ac:dyDescent="0.2">
      <c r="A10" s="27" t="s">
        <v>94</v>
      </c>
      <c r="B10" s="27" t="s">
        <v>93</v>
      </c>
      <c r="C10" s="27" t="s">
        <v>87</v>
      </c>
      <c r="D10" s="31">
        <v>4592911</v>
      </c>
      <c r="E10" s="29">
        <v>26735.334930000001</v>
      </c>
      <c r="F10" s="30">
        <v>3.6583671984781598</v>
      </c>
    </row>
    <row r="11" spans="1:6" x14ac:dyDescent="0.2">
      <c r="A11" s="27" t="s">
        <v>105</v>
      </c>
      <c r="B11" s="27" t="s">
        <v>104</v>
      </c>
      <c r="C11" s="27" t="s">
        <v>106</v>
      </c>
      <c r="D11" s="31">
        <v>2622087</v>
      </c>
      <c r="E11" s="29">
        <v>26272.000700000001</v>
      </c>
      <c r="F11" s="30">
        <v>3.59496620674186</v>
      </c>
    </row>
    <row r="12" spans="1:6" x14ac:dyDescent="0.2">
      <c r="A12" s="27" t="s">
        <v>145</v>
      </c>
      <c r="B12" s="27" t="s">
        <v>144</v>
      </c>
      <c r="C12" s="27" t="s">
        <v>117</v>
      </c>
      <c r="D12" s="31">
        <v>3798612</v>
      </c>
      <c r="E12" s="29">
        <v>22831.557430000001</v>
      </c>
      <c r="F12" s="30">
        <v>3.1241883077498498</v>
      </c>
    </row>
    <row r="13" spans="1:6" x14ac:dyDescent="0.2">
      <c r="A13" s="27" t="s">
        <v>149</v>
      </c>
      <c r="B13" s="27" t="s">
        <v>148</v>
      </c>
      <c r="C13" s="27" t="s">
        <v>87</v>
      </c>
      <c r="D13" s="31">
        <v>13160416</v>
      </c>
      <c r="E13" s="29">
        <v>20523.668750000001</v>
      </c>
      <c r="F13" s="30">
        <v>2.8083851107165199</v>
      </c>
    </row>
    <row r="14" spans="1:6" x14ac:dyDescent="0.2">
      <c r="A14" s="27" t="s">
        <v>311</v>
      </c>
      <c r="B14" s="27" t="s">
        <v>310</v>
      </c>
      <c r="C14" s="27" t="s">
        <v>154</v>
      </c>
      <c r="D14" s="31">
        <v>458016</v>
      </c>
      <c r="E14" s="29">
        <v>19605.603889999999</v>
      </c>
      <c r="F14" s="30">
        <v>2.6827604129637801</v>
      </c>
    </row>
    <row r="15" spans="1:6" x14ac:dyDescent="0.2">
      <c r="A15" s="27" t="s">
        <v>279</v>
      </c>
      <c r="B15" s="27" t="s">
        <v>278</v>
      </c>
      <c r="C15" s="27" t="s">
        <v>135</v>
      </c>
      <c r="D15" s="31">
        <v>16589858</v>
      </c>
      <c r="E15" s="29">
        <v>18829.488829999998</v>
      </c>
      <c r="F15" s="30">
        <v>2.5765596159592601</v>
      </c>
    </row>
    <row r="16" spans="1:6" x14ac:dyDescent="0.2">
      <c r="A16" s="27" t="s">
        <v>359</v>
      </c>
      <c r="B16" s="27" t="s">
        <v>358</v>
      </c>
      <c r="C16" s="27" t="s">
        <v>247</v>
      </c>
      <c r="D16" s="31">
        <v>1125123</v>
      </c>
      <c r="E16" s="29">
        <v>18637.662499999999</v>
      </c>
      <c r="F16" s="30">
        <v>2.55031079000238</v>
      </c>
    </row>
    <row r="17" spans="1:6" x14ac:dyDescent="0.2">
      <c r="A17" s="27" t="s">
        <v>108</v>
      </c>
      <c r="B17" s="27" t="s">
        <v>107</v>
      </c>
      <c r="C17" s="27" t="s">
        <v>87</v>
      </c>
      <c r="D17" s="31">
        <v>1037898</v>
      </c>
      <c r="E17" s="29">
        <v>18194.35194</v>
      </c>
      <c r="F17" s="30">
        <v>2.4896497653438399</v>
      </c>
    </row>
    <row r="18" spans="1:6" x14ac:dyDescent="0.2">
      <c r="A18" s="27" t="s">
        <v>211</v>
      </c>
      <c r="B18" s="27" t="s">
        <v>210</v>
      </c>
      <c r="C18" s="27" t="s">
        <v>87</v>
      </c>
      <c r="D18" s="31">
        <v>23869927</v>
      </c>
      <c r="E18" s="29">
        <v>18093.40467</v>
      </c>
      <c r="F18" s="30">
        <v>2.4758365035197101</v>
      </c>
    </row>
    <row r="19" spans="1:6" x14ac:dyDescent="0.2">
      <c r="A19" s="27" t="s">
        <v>99</v>
      </c>
      <c r="B19" s="27" t="s">
        <v>98</v>
      </c>
      <c r="C19" s="27" t="s">
        <v>100</v>
      </c>
      <c r="D19" s="31">
        <v>1061879</v>
      </c>
      <c r="E19" s="29">
        <v>17929.82692</v>
      </c>
      <c r="F19" s="30">
        <v>2.4534531117811098</v>
      </c>
    </row>
    <row r="20" spans="1:6" x14ac:dyDescent="0.2">
      <c r="A20" s="27" t="s">
        <v>277</v>
      </c>
      <c r="B20" s="27" t="s">
        <v>276</v>
      </c>
      <c r="C20" s="27" t="s">
        <v>171</v>
      </c>
      <c r="D20" s="31">
        <v>607739</v>
      </c>
      <c r="E20" s="29">
        <v>17607.71818</v>
      </c>
      <c r="F20" s="30">
        <v>2.4093769088143402</v>
      </c>
    </row>
    <row r="21" spans="1:6" x14ac:dyDescent="0.2">
      <c r="A21" s="27" t="s">
        <v>452</v>
      </c>
      <c r="B21" s="27" t="s">
        <v>451</v>
      </c>
      <c r="C21" s="27" t="s">
        <v>176</v>
      </c>
      <c r="D21" s="31">
        <v>674058</v>
      </c>
      <c r="E21" s="29">
        <v>17326.32386</v>
      </c>
      <c r="F21" s="30">
        <v>2.37087192083415</v>
      </c>
    </row>
    <row r="22" spans="1:6" x14ac:dyDescent="0.2">
      <c r="A22" s="27" t="s">
        <v>192</v>
      </c>
      <c r="B22" s="27" t="s">
        <v>191</v>
      </c>
      <c r="C22" s="27" t="s">
        <v>176</v>
      </c>
      <c r="D22" s="31">
        <v>2871175</v>
      </c>
      <c r="E22" s="29">
        <v>17204.080600000001</v>
      </c>
      <c r="F22" s="30">
        <v>2.3541445922336299</v>
      </c>
    </row>
    <row r="23" spans="1:6" x14ac:dyDescent="0.2">
      <c r="A23" s="27" t="s">
        <v>454</v>
      </c>
      <c r="B23" s="27" t="s">
        <v>453</v>
      </c>
      <c r="C23" s="27" t="s">
        <v>90</v>
      </c>
      <c r="D23" s="31">
        <v>934481</v>
      </c>
      <c r="E23" s="29">
        <v>16601.054970000001</v>
      </c>
      <c r="F23" s="30">
        <v>2.2716287310929499</v>
      </c>
    </row>
    <row r="24" spans="1:6" x14ac:dyDescent="0.2">
      <c r="A24" s="27" t="s">
        <v>139</v>
      </c>
      <c r="B24" s="27" t="s">
        <v>138</v>
      </c>
      <c r="C24" s="27" t="s">
        <v>122</v>
      </c>
      <c r="D24" s="31">
        <v>3864460</v>
      </c>
      <c r="E24" s="29">
        <v>16537.956569999998</v>
      </c>
      <c r="F24" s="30">
        <v>2.2629945726864502</v>
      </c>
    </row>
    <row r="25" spans="1:6" x14ac:dyDescent="0.2">
      <c r="A25" s="27" t="s">
        <v>456</v>
      </c>
      <c r="B25" s="27" t="s">
        <v>455</v>
      </c>
      <c r="C25" s="27" t="s">
        <v>402</v>
      </c>
      <c r="D25" s="31">
        <v>537865</v>
      </c>
      <c r="E25" s="29">
        <v>15612.33842</v>
      </c>
      <c r="F25" s="30">
        <v>2.1363363098615298</v>
      </c>
    </row>
    <row r="26" spans="1:6" x14ac:dyDescent="0.2">
      <c r="A26" s="27" t="s">
        <v>263</v>
      </c>
      <c r="B26" s="27" t="s">
        <v>262</v>
      </c>
      <c r="C26" s="27" t="s">
        <v>117</v>
      </c>
      <c r="D26" s="31">
        <v>2435553</v>
      </c>
      <c r="E26" s="29">
        <v>15560.74812</v>
      </c>
      <c r="F26" s="30">
        <v>2.1292768785219298</v>
      </c>
    </row>
    <row r="27" spans="1:6" x14ac:dyDescent="0.2">
      <c r="A27" s="27" t="s">
        <v>458</v>
      </c>
      <c r="B27" s="27" t="s">
        <v>457</v>
      </c>
      <c r="C27" s="27" t="s">
        <v>117</v>
      </c>
      <c r="D27" s="31">
        <v>3091673</v>
      </c>
      <c r="E27" s="29">
        <v>15025.530779999999</v>
      </c>
      <c r="F27" s="30">
        <v>2.0560396602174098</v>
      </c>
    </row>
    <row r="28" spans="1:6" x14ac:dyDescent="0.2">
      <c r="A28" s="27" t="s">
        <v>460</v>
      </c>
      <c r="B28" s="27" t="s">
        <v>459</v>
      </c>
      <c r="C28" s="27" t="s">
        <v>362</v>
      </c>
      <c r="D28" s="31">
        <v>2606125</v>
      </c>
      <c r="E28" s="29">
        <v>14989.12794</v>
      </c>
      <c r="F28" s="30">
        <v>2.0510584263508398</v>
      </c>
    </row>
    <row r="29" spans="1:6" x14ac:dyDescent="0.2">
      <c r="A29" s="27" t="s">
        <v>232</v>
      </c>
      <c r="B29" s="27" t="s">
        <v>231</v>
      </c>
      <c r="C29" s="27" t="s">
        <v>233</v>
      </c>
      <c r="D29" s="31">
        <v>11687252</v>
      </c>
      <c r="E29" s="29">
        <v>14620.75225</v>
      </c>
      <c r="F29" s="30">
        <v>2.0006512201369899</v>
      </c>
    </row>
    <row r="30" spans="1:6" x14ac:dyDescent="0.2">
      <c r="A30" s="27" t="s">
        <v>462</v>
      </c>
      <c r="B30" s="27" t="s">
        <v>461</v>
      </c>
      <c r="C30" s="27" t="s">
        <v>247</v>
      </c>
      <c r="D30" s="31">
        <v>1096739</v>
      </c>
      <c r="E30" s="29">
        <v>14448.98796</v>
      </c>
      <c r="F30" s="30">
        <v>1.97714761167085</v>
      </c>
    </row>
    <row r="31" spans="1:6" x14ac:dyDescent="0.2">
      <c r="A31" s="27" t="s">
        <v>119</v>
      </c>
      <c r="B31" s="27" t="s">
        <v>118</v>
      </c>
      <c r="C31" s="27" t="s">
        <v>111</v>
      </c>
      <c r="D31" s="31">
        <v>5251482</v>
      </c>
      <c r="E31" s="29">
        <v>14354.92605</v>
      </c>
      <c r="F31" s="30">
        <v>1.9642765177768999</v>
      </c>
    </row>
    <row r="32" spans="1:6" x14ac:dyDescent="0.2">
      <c r="A32" s="27" t="s">
        <v>237</v>
      </c>
      <c r="B32" s="27" t="s">
        <v>236</v>
      </c>
      <c r="C32" s="27" t="s">
        <v>203</v>
      </c>
      <c r="D32" s="31">
        <v>3744415</v>
      </c>
      <c r="E32" s="29">
        <v>14264.34894</v>
      </c>
      <c r="F32" s="30">
        <v>1.9518822713975501</v>
      </c>
    </row>
    <row r="33" spans="1:6" x14ac:dyDescent="0.2">
      <c r="A33" s="27" t="s">
        <v>464</v>
      </c>
      <c r="B33" s="27" t="s">
        <v>463</v>
      </c>
      <c r="C33" s="27" t="s">
        <v>100</v>
      </c>
      <c r="D33" s="31">
        <v>1775821</v>
      </c>
      <c r="E33" s="29">
        <v>14214.55919</v>
      </c>
      <c r="F33" s="30">
        <v>1.9450692208523701</v>
      </c>
    </row>
    <row r="34" spans="1:6" x14ac:dyDescent="0.2">
      <c r="A34" s="27" t="s">
        <v>194</v>
      </c>
      <c r="B34" s="27" t="s">
        <v>193</v>
      </c>
      <c r="C34" s="27" t="s">
        <v>195</v>
      </c>
      <c r="D34" s="31">
        <v>12640848</v>
      </c>
      <c r="E34" s="29">
        <v>14012.380010000001</v>
      </c>
      <c r="F34" s="30">
        <v>1.9174037480889401</v>
      </c>
    </row>
    <row r="35" spans="1:6" x14ac:dyDescent="0.2">
      <c r="A35" s="27" t="s">
        <v>466</v>
      </c>
      <c r="B35" s="27" t="s">
        <v>465</v>
      </c>
      <c r="C35" s="27" t="s">
        <v>154</v>
      </c>
      <c r="D35" s="31">
        <v>1790964</v>
      </c>
      <c r="E35" s="29">
        <v>13451.03512</v>
      </c>
      <c r="F35" s="30">
        <v>1.8405913296926</v>
      </c>
    </row>
    <row r="36" spans="1:6" x14ac:dyDescent="0.2">
      <c r="A36" s="27" t="s">
        <v>468</v>
      </c>
      <c r="B36" s="27" t="s">
        <v>467</v>
      </c>
      <c r="C36" s="27" t="s">
        <v>100</v>
      </c>
      <c r="D36" s="31">
        <v>5510107</v>
      </c>
      <c r="E36" s="29">
        <v>12326.10936</v>
      </c>
      <c r="F36" s="30">
        <v>1.6866605294283701</v>
      </c>
    </row>
    <row r="37" spans="1:6" x14ac:dyDescent="0.2">
      <c r="A37" s="27" t="s">
        <v>470</v>
      </c>
      <c r="B37" s="27" t="s">
        <v>469</v>
      </c>
      <c r="C37" s="27" t="s">
        <v>471</v>
      </c>
      <c r="D37" s="31">
        <v>1586228</v>
      </c>
      <c r="E37" s="29">
        <v>12286.12897</v>
      </c>
      <c r="F37" s="30">
        <v>1.68118975647036</v>
      </c>
    </row>
    <row r="38" spans="1:6" x14ac:dyDescent="0.2">
      <c r="A38" s="27" t="s">
        <v>473</v>
      </c>
      <c r="B38" s="27" t="s">
        <v>472</v>
      </c>
      <c r="C38" s="27" t="s">
        <v>127</v>
      </c>
      <c r="D38" s="31">
        <v>630458</v>
      </c>
      <c r="E38" s="29">
        <v>12002.34418</v>
      </c>
      <c r="F38" s="30">
        <v>1.64235766516194</v>
      </c>
    </row>
    <row r="39" spans="1:6" x14ac:dyDescent="0.2">
      <c r="A39" s="27" t="s">
        <v>475</v>
      </c>
      <c r="B39" s="27" t="s">
        <v>474</v>
      </c>
      <c r="C39" s="27" t="s">
        <v>295</v>
      </c>
      <c r="D39" s="31">
        <v>1940126</v>
      </c>
      <c r="E39" s="29">
        <v>11601.95348</v>
      </c>
      <c r="F39" s="30">
        <v>1.58756963997763</v>
      </c>
    </row>
    <row r="40" spans="1:6" x14ac:dyDescent="0.2">
      <c r="A40" s="27" t="s">
        <v>477</v>
      </c>
      <c r="B40" s="27" t="s">
        <v>476</v>
      </c>
      <c r="C40" s="27" t="s">
        <v>87</v>
      </c>
      <c r="D40" s="31">
        <v>5234341</v>
      </c>
      <c r="E40" s="29">
        <v>10863.874750000001</v>
      </c>
      <c r="F40" s="30">
        <v>1.48657359774378</v>
      </c>
    </row>
    <row r="41" spans="1:6" x14ac:dyDescent="0.2">
      <c r="A41" s="27" t="s">
        <v>479</v>
      </c>
      <c r="B41" s="27" t="s">
        <v>478</v>
      </c>
      <c r="C41" s="27" t="s">
        <v>480</v>
      </c>
      <c r="D41" s="31">
        <v>474936</v>
      </c>
      <c r="E41" s="29">
        <v>10724.76728</v>
      </c>
      <c r="F41" s="30">
        <v>1.46753863122312</v>
      </c>
    </row>
    <row r="42" spans="1:6" x14ac:dyDescent="0.2">
      <c r="A42" s="27" t="s">
        <v>401</v>
      </c>
      <c r="B42" s="27" t="s">
        <v>400</v>
      </c>
      <c r="C42" s="27" t="s">
        <v>402</v>
      </c>
      <c r="D42" s="31">
        <v>452925</v>
      </c>
      <c r="E42" s="29">
        <v>10150.955099999999</v>
      </c>
      <c r="F42" s="30">
        <v>1.3890202336457</v>
      </c>
    </row>
    <row r="43" spans="1:6" x14ac:dyDescent="0.2">
      <c r="A43" s="27" t="s">
        <v>251</v>
      </c>
      <c r="B43" s="27" t="s">
        <v>250</v>
      </c>
      <c r="C43" s="27" t="s">
        <v>176</v>
      </c>
      <c r="D43" s="31">
        <v>11253507</v>
      </c>
      <c r="E43" s="29">
        <v>9818.6848580000005</v>
      </c>
      <c r="F43" s="30">
        <v>1.34355356724537</v>
      </c>
    </row>
    <row r="44" spans="1:6" x14ac:dyDescent="0.2">
      <c r="A44" s="27" t="s">
        <v>242</v>
      </c>
      <c r="B44" s="27" t="s">
        <v>241</v>
      </c>
      <c r="C44" s="27" t="s">
        <v>100</v>
      </c>
      <c r="D44" s="31">
        <v>68736</v>
      </c>
      <c r="E44" s="29">
        <v>9683.8026239999999</v>
      </c>
      <c r="F44" s="30">
        <v>1.3250967668419</v>
      </c>
    </row>
    <row r="45" spans="1:6" x14ac:dyDescent="0.2">
      <c r="A45" s="27" t="s">
        <v>482</v>
      </c>
      <c r="B45" s="27" t="s">
        <v>481</v>
      </c>
      <c r="C45" s="27" t="s">
        <v>203</v>
      </c>
      <c r="D45" s="31">
        <v>177505</v>
      </c>
      <c r="E45" s="29">
        <v>9659.9108529999994</v>
      </c>
      <c r="F45" s="30">
        <v>1.3218275027175199</v>
      </c>
    </row>
    <row r="46" spans="1:6" x14ac:dyDescent="0.2">
      <c r="A46" s="27" t="s">
        <v>151</v>
      </c>
      <c r="B46" s="27" t="s">
        <v>150</v>
      </c>
      <c r="C46" s="27" t="s">
        <v>135</v>
      </c>
      <c r="D46" s="31">
        <v>1574208</v>
      </c>
      <c r="E46" s="29">
        <v>9209.9039040000007</v>
      </c>
      <c r="F46" s="30">
        <v>1.26025016824166</v>
      </c>
    </row>
    <row r="47" spans="1:6" x14ac:dyDescent="0.2">
      <c r="A47" s="27" t="s">
        <v>153</v>
      </c>
      <c r="B47" s="27" t="s">
        <v>152</v>
      </c>
      <c r="C47" s="27" t="s">
        <v>154</v>
      </c>
      <c r="D47" s="31">
        <v>4468223</v>
      </c>
      <c r="E47" s="29">
        <v>8992.2987880000001</v>
      </c>
      <c r="F47" s="30">
        <v>1.23047386580596</v>
      </c>
    </row>
    <row r="48" spans="1:6" x14ac:dyDescent="0.2">
      <c r="A48" s="27" t="s">
        <v>484</v>
      </c>
      <c r="B48" s="27" t="s">
        <v>483</v>
      </c>
      <c r="C48" s="27" t="s">
        <v>106</v>
      </c>
      <c r="D48" s="31">
        <v>968720</v>
      </c>
      <c r="E48" s="29">
        <v>8979.0656799999997</v>
      </c>
      <c r="F48" s="30">
        <v>1.2286630948405699</v>
      </c>
    </row>
    <row r="49" spans="1:9" x14ac:dyDescent="0.2">
      <c r="A49" s="27" t="s">
        <v>486</v>
      </c>
      <c r="B49" s="27" t="s">
        <v>485</v>
      </c>
      <c r="C49" s="27" t="s">
        <v>203</v>
      </c>
      <c r="D49" s="31">
        <v>400362</v>
      </c>
      <c r="E49" s="29">
        <v>8218.2307739999997</v>
      </c>
      <c r="F49" s="30">
        <v>1.1245531792230801</v>
      </c>
    </row>
    <row r="50" spans="1:9" x14ac:dyDescent="0.2">
      <c r="A50" s="27" t="s">
        <v>143</v>
      </c>
      <c r="B50" s="27" t="s">
        <v>142</v>
      </c>
      <c r="C50" s="27" t="s">
        <v>87</v>
      </c>
      <c r="D50" s="31">
        <v>12530441</v>
      </c>
      <c r="E50" s="29">
        <v>6966.9251960000001</v>
      </c>
      <c r="F50" s="30">
        <v>0.95332901862013097</v>
      </c>
    </row>
    <row r="51" spans="1:9" x14ac:dyDescent="0.2">
      <c r="A51" s="27" t="s">
        <v>488</v>
      </c>
      <c r="B51" s="27" t="s">
        <v>487</v>
      </c>
      <c r="C51" s="27" t="s">
        <v>362</v>
      </c>
      <c r="D51" s="31">
        <v>821062</v>
      </c>
      <c r="E51" s="29">
        <v>6409.6205030000001</v>
      </c>
      <c r="F51" s="30">
        <v>0.87706944626888494</v>
      </c>
    </row>
    <row r="52" spans="1:9" x14ac:dyDescent="0.2">
      <c r="A52" s="27" t="s">
        <v>490</v>
      </c>
      <c r="B52" s="27" t="s">
        <v>489</v>
      </c>
      <c r="C52" s="27" t="s">
        <v>203</v>
      </c>
      <c r="D52" s="31">
        <v>2553763</v>
      </c>
      <c r="E52" s="29">
        <v>6031.988206</v>
      </c>
      <c r="F52" s="30">
        <v>0.82539559920289796</v>
      </c>
    </row>
    <row r="53" spans="1:9" x14ac:dyDescent="0.2">
      <c r="A53" s="27" t="s">
        <v>492</v>
      </c>
      <c r="B53" s="27" t="s">
        <v>491</v>
      </c>
      <c r="C53" s="27" t="s">
        <v>203</v>
      </c>
      <c r="D53" s="31">
        <v>613983</v>
      </c>
      <c r="E53" s="29">
        <v>3659.0316889999999</v>
      </c>
      <c r="F53" s="30">
        <v>0.50068875307819904</v>
      </c>
    </row>
    <row r="54" spans="1:9" x14ac:dyDescent="0.2">
      <c r="A54" s="27" t="s">
        <v>391</v>
      </c>
      <c r="B54" s="27" t="s">
        <v>390</v>
      </c>
      <c r="C54" s="27" t="s">
        <v>247</v>
      </c>
      <c r="D54" s="31">
        <v>44595</v>
      </c>
      <c r="E54" s="29">
        <v>3158.6861479999998</v>
      </c>
      <c r="F54" s="30">
        <v>0.43222326648931703</v>
      </c>
    </row>
    <row r="55" spans="1:9" x14ac:dyDescent="0.2">
      <c r="A55" s="27" t="s">
        <v>494</v>
      </c>
      <c r="B55" s="27" t="s">
        <v>493</v>
      </c>
      <c r="C55" s="27" t="s">
        <v>106</v>
      </c>
      <c r="D55" s="31">
        <v>220000</v>
      </c>
      <c r="E55" s="29">
        <v>3093.64</v>
      </c>
      <c r="F55" s="30">
        <v>0.42332258524280902</v>
      </c>
    </row>
    <row r="56" spans="1:9" x14ac:dyDescent="0.2">
      <c r="A56" s="27" t="s">
        <v>496</v>
      </c>
      <c r="B56" s="27" t="s">
        <v>495</v>
      </c>
      <c r="C56" s="27" t="s">
        <v>203</v>
      </c>
      <c r="D56" s="31">
        <v>63689</v>
      </c>
      <c r="E56" s="29">
        <v>1432.6203660000001</v>
      </c>
      <c r="F56" s="30">
        <v>0.196034624910015</v>
      </c>
    </row>
    <row r="57" spans="1:9" x14ac:dyDescent="0.2">
      <c r="A57" s="27" t="s">
        <v>161</v>
      </c>
      <c r="B57" s="27" t="s">
        <v>160</v>
      </c>
      <c r="C57" s="27" t="s">
        <v>154</v>
      </c>
      <c r="D57" s="31">
        <v>387844</v>
      </c>
      <c r="E57" s="29">
        <v>655.06851600000005</v>
      </c>
      <c r="F57" s="30">
        <v>8.9637222722841095E-2</v>
      </c>
    </row>
    <row r="58" spans="1:9" x14ac:dyDescent="0.2">
      <c r="A58" s="26" t="s">
        <v>34</v>
      </c>
      <c r="B58" s="26"/>
      <c r="C58" s="26"/>
      <c r="D58" s="32"/>
      <c r="E58" s="33">
        <f>SUM(E7:E57)</f>
        <v>714483.63274499995</v>
      </c>
      <c r="F58" s="34">
        <f>SUM(F7:F57)</f>
        <v>97.767373879083195</v>
      </c>
      <c r="G58" s="18"/>
      <c r="H58" s="18"/>
      <c r="I58" s="18"/>
    </row>
    <row r="59" spans="1:9" x14ac:dyDescent="0.2">
      <c r="A59" s="27"/>
      <c r="B59" s="27"/>
      <c r="C59" s="27"/>
      <c r="D59" s="28"/>
      <c r="E59" s="29"/>
      <c r="F59" s="30"/>
    </row>
    <row r="60" spans="1:9" x14ac:dyDescent="0.2">
      <c r="A60" s="26" t="s">
        <v>1479</v>
      </c>
      <c r="B60" s="27"/>
      <c r="C60" s="27"/>
      <c r="D60" s="28"/>
      <c r="E60" s="29"/>
      <c r="F60" s="30"/>
    </row>
    <row r="61" spans="1:9" x14ac:dyDescent="0.2">
      <c r="A61" s="27"/>
      <c r="B61" s="27" t="s">
        <v>720</v>
      </c>
      <c r="C61" s="27" t="s">
        <v>176</v>
      </c>
      <c r="D61" s="31">
        <v>8100</v>
      </c>
      <c r="E61" s="29">
        <v>8.0999999999999996E-4</v>
      </c>
      <c r="F61" s="30">
        <v>1.10837490479395E-7</v>
      </c>
    </row>
    <row r="62" spans="1:9" x14ac:dyDescent="0.2">
      <c r="A62" s="26" t="s">
        <v>34</v>
      </c>
      <c r="B62" s="26"/>
      <c r="C62" s="26"/>
      <c r="D62" s="32"/>
      <c r="E62" s="33">
        <f>SUM(E60:E61)</f>
        <v>8.0999999999999996E-4</v>
      </c>
      <c r="F62" s="34">
        <f>SUM(F60:F61)</f>
        <v>1.10837490479395E-7</v>
      </c>
      <c r="G62" s="18"/>
      <c r="H62" s="71"/>
      <c r="I62" s="18"/>
    </row>
    <row r="63" spans="1:9" x14ac:dyDescent="0.2">
      <c r="A63" s="27"/>
      <c r="B63" s="27"/>
      <c r="C63" s="27"/>
      <c r="D63" s="28"/>
      <c r="E63" s="29"/>
      <c r="F63" s="30"/>
    </row>
    <row r="64" spans="1:9" x14ac:dyDescent="0.2">
      <c r="A64" s="26" t="s">
        <v>36</v>
      </c>
      <c r="B64" s="26"/>
      <c r="C64" s="26"/>
      <c r="D64" s="32"/>
      <c r="E64" s="33">
        <f>E58+E62</f>
        <v>714483.63355499995</v>
      </c>
      <c r="F64" s="34">
        <f>F58+F62</f>
        <v>97.767373989920685</v>
      </c>
      <c r="G64" s="18"/>
      <c r="H64" s="18"/>
      <c r="I64" s="18"/>
    </row>
    <row r="65" spans="1:9" x14ac:dyDescent="0.2">
      <c r="A65" s="26"/>
      <c r="B65" s="26"/>
      <c r="C65" s="26"/>
      <c r="D65" s="32"/>
      <c r="E65" s="33"/>
      <c r="F65" s="34"/>
      <c r="G65" s="18"/>
      <c r="H65" s="18"/>
      <c r="I65" s="18"/>
    </row>
    <row r="66" spans="1:9" x14ac:dyDescent="0.2">
      <c r="A66" s="26" t="s">
        <v>38</v>
      </c>
      <c r="B66" s="26"/>
      <c r="C66" s="26"/>
      <c r="D66" s="32"/>
      <c r="E66" s="33">
        <f>E68-(E58+E62)</f>
        <v>16316.02321870008</v>
      </c>
      <c r="F66" s="34">
        <f>F68-(F58+F62)</f>
        <v>2.2326260100793149</v>
      </c>
      <c r="G66" s="18"/>
      <c r="H66" s="18"/>
      <c r="I66" s="18"/>
    </row>
    <row r="67" spans="1:9" x14ac:dyDescent="0.2">
      <c r="A67" s="26"/>
      <c r="B67" s="26"/>
      <c r="C67" s="26"/>
      <c r="D67" s="32"/>
      <c r="E67" s="33"/>
      <c r="F67" s="34"/>
      <c r="G67" s="18"/>
      <c r="H67" s="18"/>
      <c r="I67" s="18"/>
    </row>
    <row r="68" spans="1:9" x14ac:dyDescent="0.2">
      <c r="A68" s="35" t="s">
        <v>37</v>
      </c>
      <c r="B68" s="35"/>
      <c r="C68" s="35"/>
      <c r="D68" s="36"/>
      <c r="E68" s="37">
        <v>730799.65677370003</v>
      </c>
      <c r="F68" s="38">
        <v>100</v>
      </c>
      <c r="G68" s="18"/>
      <c r="H68" s="18"/>
      <c r="I68" s="18"/>
    </row>
    <row r="69" spans="1:9" x14ac:dyDescent="0.2">
      <c r="F69" s="20" t="s">
        <v>497</v>
      </c>
    </row>
    <row r="70" spans="1:9" x14ac:dyDescent="0.2">
      <c r="A70" s="18" t="s">
        <v>39</v>
      </c>
      <c r="F70" s="20"/>
    </row>
    <row r="71" spans="1:9" x14ac:dyDescent="0.2">
      <c r="A71" s="18" t="s">
        <v>716</v>
      </c>
    </row>
    <row r="72" spans="1:9" x14ac:dyDescent="0.2">
      <c r="A72" s="18"/>
    </row>
    <row r="73" spans="1:9" x14ac:dyDescent="0.2">
      <c r="A73" s="18" t="s">
        <v>40</v>
      </c>
    </row>
    <row r="74" spans="1:9" x14ac:dyDescent="0.2">
      <c r="A74" s="18" t="s">
        <v>41</v>
      </c>
    </row>
    <row r="75" spans="1:9" x14ac:dyDescent="0.2">
      <c r="A75" s="18" t="s">
        <v>42</v>
      </c>
      <c r="B75" s="18"/>
      <c r="C75" s="39" t="s">
        <v>44</v>
      </c>
      <c r="D75" s="41" t="s">
        <v>43</v>
      </c>
    </row>
    <row r="76" spans="1:9" x14ac:dyDescent="0.2">
      <c r="A76" s="9" t="s">
        <v>65</v>
      </c>
      <c r="C76" s="40">
        <v>916.60530000000006</v>
      </c>
      <c r="D76" s="40">
        <v>1253.4259999999999</v>
      </c>
    </row>
    <row r="77" spans="1:9" x14ac:dyDescent="0.2">
      <c r="A77" s="9" t="s">
        <v>1003</v>
      </c>
      <c r="C77" s="40">
        <v>48.1158</v>
      </c>
      <c r="D77" s="40">
        <v>65.7971</v>
      </c>
    </row>
    <row r="78" spans="1:9" x14ac:dyDescent="0.2">
      <c r="A78" s="9" t="s">
        <v>66</v>
      </c>
      <c r="C78" s="40">
        <v>990.79110000000003</v>
      </c>
      <c r="D78" s="40">
        <v>1360.3939</v>
      </c>
    </row>
    <row r="79" spans="1:9" x14ac:dyDescent="0.2">
      <c r="A79" s="9" t="s">
        <v>1004</v>
      </c>
      <c r="C79" s="40">
        <v>54.028500000000001</v>
      </c>
      <c r="D79" s="40">
        <v>74.181299999999993</v>
      </c>
    </row>
    <row r="81" spans="1:4" x14ac:dyDescent="0.2">
      <c r="A81" s="9" t="s">
        <v>782</v>
      </c>
    </row>
    <row r="83" spans="1:4" x14ac:dyDescent="0.2">
      <c r="A83" s="18" t="s">
        <v>1560</v>
      </c>
      <c r="D83" s="41" t="s">
        <v>45</v>
      </c>
    </row>
    <row r="85" spans="1:4" x14ac:dyDescent="0.2">
      <c r="A85" s="18" t="s">
        <v>215</v>
      </c>
      <c r="D85" s="46">
        <v>0.117814721084013</v>
      </c>
    </row>
    <row r="87" spans="1:4" x14ac:dyDescent="0.2">
      <c r="A87" s="18" t="s">
        <v>717</v>
      </c>
      <c r="D87" s="41">
        <v>1</v>
      </c>
    </row>
    <row r="88" spans="1:4" x14ac:dyDescent="0.2">
      <c r="A88" s="9" t="s">
        <v>712</v>
      </c>
      <c r="D88" s="41"/>
    </row>
    <row r="89" spans="1:4" x14ac:dyDescent="0.2">
      <c r="A89" s="50" t="s">
        <v>713</v>
      </c>
      <c r="D89" s="41"/>
    </row>
    <row r="91" spans="1:4" x14ac:dyDescent="0.2">
      <c r="A91" s="18" t="s">
        <v>718</v>
      </c>
    </row>
    <row r="92" spans="1:4" x14ac:dyDescent="0.2">
      <c r="A92" s="50" t="s">
        <v>47</v>
      </c>
    </row>
    <row r="94" spans="1:4" x14ac:dyDescent="0.2">
      <c r="A94" s="70" t="s">
        <v>1480</v>
      </c>
    </row>
    <row r="106" spans="5:5" x14ac:dyDescent="0.2">
      <c r="E106" s="74"/>
    </row>
  </sheetData>
  <mergeCells count="1">
    <mergeCell ref="A1:F1"/>
  </mergeCells>
  <conditionalFormatting sqref="F2:F3 F5:F65540">
    <cfRule type="cellIs" dxfId="97" priority="1" stopIfTrue="1" operator="between">
      <formula>0.009</formula>
      <formula>-0.009</formula>
    </cfRule>
  </conditionalFormatting>
  <hyperlinks>
    <hyperlink ref="A89" r:id="rId1" xr:uid="{00000000-0004-0000-2500-000000000000}"/>
    <hyperlink ref="A92" r:id="rId2" xr:uid="{00000000-0004-0000-2500-000001000000}"/>
  </hyperlinks>
  <pageMargins left="0.7" right="0.7" top="0.75" bottom="0.75" header="0.3" footer="0.3"/>
  <pageSetup paperSize="9" scale="57" orientation="portrait" r:id="rId3"/>
  <headerFooter>
    <oddFooter>&amp;R&amp;1#&amp;"Calibri"&amp;10&amp;KFF0000|PUBLIC|</oddFooter>
    <evenFooter>&amp;LPUBLIC</evenFooter>
    <firstFooter>&amp;LPUBLIC</firstFooter>
  </headerFooter>
  <colBreaks count="1" manualBreakCount="1">
    <brk id="6" max="1048575" man="1"/>
  </colBreak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I86"/>
  <sheetViews>
    <sheetView view="pageBreakPreview" zoomScale="106" zoomScaleNormal="100" zoomScaleSheetLayoutView="106" workbookViewId="0">
      <selection activeCell="A5" sqref="A5"/>
    </sheetView>
  </sheetViews>
  <sheetFormatPr defaultColWidth="9.21875" defaultRowHeight="10.199999999999999" x14ac:dyDescent="0.2"/>
  <cols>
    <col min="1" max="1" width="38.77734375" style="9" bestFit="1" customWidth="1"/>
    <col min="2" max="2" width="35.21875" style="9" bestFit="1" customWidth="1"/>
    <col min="3" max="3" width="21.21875" style="9" bestFit="1" customWidth="1"/>
    <col min="4" max="4" width="15.44140625" style="10" bestFit="1" customWidth="1"/>
    <col min="5" max="5" width="23" style="13" bestFit="1" customWidth="1"/>
    <col min="6" max="6" width="14.77734375" style="14" bestFit="1" customWidth="1"/>
    <col min="7" max="16384" width="9.21875" style="9"/>
  </cols>
  <sheetData>
    <row r="1" spans="1:6" s="1" customFormat="1" ht="13.8" x14ac:dyDescent="0.2">
      <c r="A1" s="92" t="s">
        <v>13</v>
      </c>
      <c r="B1" s="93"/>
      <c r="C1" s="93"/>
      <c r="D1" s="93"/>
      <c r="E1" s="93"/>
      <c r="F1" s="93"/>
    </row>
    <row r="2" spans="1:6" s="1" customFormat="1" ht="11.4" x14ac:dyDescent="0.2">
      <c r="D2" s="6"/>
      <c r="E2" s="7"/>
      <c r="F2" s="12"/>
    </row>
    <row r="3" spans="1:6" s="1" customFormat="1" ht="12" x14ac:dyDescent="0.2">
      <c r="A3" s="11" t="s">
        <v>7</v>
      </c>
      <c r="B3" s="2"/>
      <c r="C3" s="3"/>
      <c r="D3" s="4"/>
      <c r="E3" s="5"/>
      <c r="F3" s="12"/>
    </row>
    <row r="4" spans="1:6" s="1" customFormat="1" ht="17.55" customHeight="1" x14ac:dyDescent="0.2">
      <c r="A4" s="8" t="s">
        <v>2</v>
      </c>
      <c r="B4" s="8" t="s">
        <v>0</v>
      </c>
      <c r="C4" s="17" t="s">
        <v>259</v>
      </c>
      <c r="D4" s="16" t="s">
        <v>1</v>
      </c>
      <c r="E4" s="15" t="s">
        <v>3</v>
      </c>
      <c r="F4" s="15" t="s">
        <v>4</v>
      </c>
    </row>
    <row r="5" spans="1:6" x14ac:dyDescent="0.2">
      <c r="A5" s="21" t="s">
        <v>84</v>
      </c>
      <c r="B5" s="22"/>
      <c r="C5" s="22"/>
      <c r="D5" s="23"/>
      <c r="E5" s="24"/>
      <c r="F5" s="25"/>
    </row>
    <row r="6" spans="1:6" x14ac:dyDescent="0.2">
      <c r="A6" s="26" t="s">
        <v>27</v>
      </c>
      <c r="B6" s="27"/>
      <c r="C6" s="27"/>
      <c r="D6" s="28"/>
      <c r="E6" s="29"/>
      <c r="F6" s="30"/>
    </row>
    <row r="7" spans="1:6" x14ac:dyDescent="0.2">
      <c r="A7" s="27" t="s">
        <v>86</v>
      </c>
      <c r="B7" s="27" t="s">
        <v>85</v>
      </c>
      <c r="C7" s="27" t="s">
        <v>87</v>
      </c>
      <c r="D7" s="31">
        <v>395485</v>
      </c>
      <c r="E7" s="29">
        <v>5907.1617029999998</v>
      </c>
      <c r="F7" s="30">
        <v>9.5899720473321803</v>
      </c>
    </row>
    <row r="8" spans="1:6" x14ac:dyDescent="0.2">
      <c r="A8" s="27" t="s">
        <v>89</v>
      </c>
      <c r="B8" s="27" t="s">
        <v>88</v>
      </c>
      <c r="C8" s="27" t="s">
        <v>90</v>
      </c>
      <c r="D8" s="31">
        <v>405492</v>
      </c>
      <c r="E8" s="29">
        <v>5547.3333060000004</v>
      </c>
      <c r="F8" s="30">
        <v>9.0058092221781205</v>
      </c>
    </row>
    <row r="9" spans="1:6" x14ac:dyDescent="0.2">
      <c r="A9" s="27" t="s">
        <v>311</v>
      </c>
      <c r="B9" s="27" t="s">
        <v>310</v>
      </c>
      <c r="C9" s="27" t="s">
        <v>154</v>
      </c>
      <c r="D9" s="31">
        <v>85910</v>
      </c>
      <c r="E9" s="29">
        <v>3677.420505</v>
      </c>
      <c r="F9" s="30">
        <v>5.9701023304179897</v>
      </c>
    </row>
    <row r="10" spans="1:6" x14ac:dyDescent="0.2">
      <c r="A10" s="27" t="s">
        <v>94</v>
      </c>
      <c r="B10" s="27" t="s">
        <v>93</v>
      </c>
      <c r="C10" s="27" t="s">
        <v>87</v>
      </c>
      <c r="D10" s="31">
        <v>583651</v>
      </c>
      <c r="E10" s="29">
        <v>3397.4324710000001</v>
      </c>
      <c r="F10" s="30">
        <v>5.5155562125617896</v>
      </c>
    </row>
    <row r="11" spans="1:6" x14ac:dyDescent="0.2">
      <c r="A11" s="27" t="s">
        <v>92</v>
      </c>
      <c r="B11" s="27" t="s">
        <v>91</v>
      </c>
      <c r="C11" s="27" t="s">
        <v>87</v>
      </c>
      <c r="D11" s="31">
        <v>458037</v>
      </c>
      <c r="E11" s="29">
        <v>3194.5790569999999</v>
      </c>
      <c r="F11" s="30">
        <v>5.1862341679361998</v>
      </c>
    </row>
    <row r="12" spans="1:6" x14ac:dyDescent="0.2">
      <c r="A12" s="27" t="s">
        <v>242</v>
      </c>
      <c r="B12" s="27" t="s">
        <v>241</v>
      </c>
      <c r="C12" s="27" t="s">
        <v>100</v>
      </c>
      <c r="D12" s="31">
        <v>21180</v>
      </c>
      <c r="E12" s="29">
        <v>2983.9231199999999</v>
      </c>
      <c r="F12" s="30">
        <v>4.8442451300521396</v>
      </c>
    </row>
    <row r="13" spans="1:6" x14ac:dyDescent="0.2">
      <c r="A13" s="27" t="s">
        <v>108</v>
      </c>
      <c r="B13" s="27" t="s">
        <v>107</v>
      </c>
      <c r="C13" s="27" t="s">
        <v>87</v>
      </c>
      <c r="D13" s="31">
        <v>169031</v>
      </c>
      <c r="E13" s="29">
        <v>2963.1134299999999</v>
      </c>
      <c r="F13" s="30">
        <v>4.8104616727087697</v>
      </c>
    </row>
    <row r="14" spans="1:6" x14ac:dyDescent="0.2">
      <c r="A14" s="27" t="s">
        <v>244</v>
      </c>
      <c r="B14" s="27" t="s">
        <v>243</v>
      </c>
      <c r="C14" s="27" t="s">
        <v>90</v>
      </c>
      <c r="D14" s="31">
        <v>229692</v>
      </c>
      <c r="E14" s="29">
        <v>2257.0684379999998</v>
      </c>
      <c r="F14" s="30">
        <v>3.66423408019168</v>
      </c>
    </row>
    <row r="15" spans="1:6" x14ac:dyDescent="0.2">
      <c r="A15" s="27" t="s">
        <v>139</v>
      </c>
      <c r="B15" s="27" t="s">
        <v>138</v>
      </c>
      <c r="C15" s="27" t="s">
        <v>122</v>
      </c>
      <c r="D15" s="31">
        <v>523765</v>
      </c>
      <c r="E15" s="29">
        <v>2241.4523180000001</v>
      </c>
      <c r="F15" s="30">
        <v>3.63888211560745</v>
      </c>
    </row>
    <row r="16" spans="1:6" x14ac:dyDescent="0.2">
      <c r="A16" s="27" t="s">
        <v>134</v>
      </c>
      <c r="B16" s="27" t="s">
        <v>133</v>
      </c>
      <c r="C16" s="27" t="s">
        <v>135</v>
      </c>
      <c r="D16" s="31">
        <v>274264</v>
      </c>
      <c r="E16" s="29">
        <v>2181.08446</v>
      </c>
      <c r="F16" s="30">
        <v>3.5408780148422201</v>
      </c>
    </row>
    <row r="17" spans="1:6" x14ac:dyDescent="0.2">
      <c r="A17" s="27" t="s">
        <v>499</v>
      </c>
      <c r="B17" s="27" t="s">
        <v>498</v>
      </c>
      <c r="C17" s="27" t="s">
        <v>117</v>
      </c>
      <c r="D17" s="31">
        <v>73037</v>
      </c>
      <c r="E17" s="29">
        <v>1853.2408379999999</v>
      </c>
      <c r="F17" s="30">
        <v>3.0086408205769199</v>
      </c>
    </row>
    <row r="18" spans="1:6" x14ac:dyDescent="0.2">
      <c r="A18" s="27" t="s">
        <v>277</v>
      </c>
      <c r="B18" s="27" t="s">
        <v>276</v>
      </c>
      <c r="C18" s="27" t="s">
        <v>171</v>
      </c>
      <c r="D18" s="31">
        <v>60992</v>
      </c>
      <c r="E18" s="29">
        <v>1767.0907199999999</v>
      </c>
      <c r="F18" s="30">
        <v>2.8687805517993099</v>
      </c>
    </row>
    <row r="19" spans="1:6" x14ac:dyDescent="0.2">
      <c r="A19" s="27" t="s">
        <v>168</v>
      </c>
      <c r="B19" s="27" t="s">
        <v>167</v>
      </c>
      <c r="C19" s="27" t="s">
        <v>127</v>
      </c>
      <c r="D19" s="31">
        <v>38978</v>
      </c>
      <c r="E19" s="29">
        <v>1760.24648</v>
      </c>
      <c r="F19" s="30">
        <v>2.8576692815166802</v>
      </c>
    </row>
    <row r="20" spans="1:6" x14ac:dyDescent="0.2">
      <c r="A20" s="27" t="s">
        <v>183</v>
      </c>
      <c r="B20" s="27" t="s">
        <v>182</v>
      </c>
      <c r="C20" s="27" t="s">
        <v>184</v>
      </c>
      <c r="D20" s="31">
        <v>116490</v>
      </c>
      <c r="E20" s="29">
        <v>1652.87661</v>
      </c>
      <c r="F20" s="30">
        <v>2.6833598409095698</v>
      </c>
    </row>
    <row r="21" spans="1:6" x14ac:dyDescent="0.2">
      <c r="A21" s="27" t="s">
        <v>126</v>
      </c>
      <c r="B21" s="27" t="s">
        <v>125</v>
      </c>
      <c r="C21" s="27" t="s">
        <v>127</v>
      </c>
      <c r="D21" s="31">
        <v>354144</v>
      </c>
      <c r="E21" s="29">
        <v>1561.4208960000001</v>
      </c>
      <c r="F21" s="30">
        <v>2.5348862109455599</v>
      </c>
    </row>
    <row r="22" spans="1:6" x14ac:dyDescent="0.2">
      <c r="A22" s="27" t="s">
        <v>156</v>
      </c>
      <c r="B22" s="27" t="s">
        <v>155</v>
      </c>
      <c r="C22" s="27" t="s">
        <v>135</v>
      </c>
      <c r="D22" s="31">
        <v>484457</v>
      </c>
      <c r="E22" s="29">
        <v>1462.091226</v>
      </c>
      <c r="F22" s="30">
        <v>2.37362961993554</v>
      </c>
    </row>
    <row r="23" spans="1:6" x14ac:dyDescent="0.2">
      <c r="A23" s="27" t="s">
        <v>170</v>
      </c>
      <c r="B23" s="27" t="s">
        <v>169</v>
      </c>
      <c r="C23" s="27" t="s">
        <v>171</v>
      </c>
      <c r="D23" s="31">
        <v>93194</v>
      </c>
      <c r="E23" s="29">
        <v>1351.8255670000001</v>
      </c>
      <c r="F23" s="30">
        <v>2.19461901539196</v>
      </c>
    </row>
    <row r="24" spans="1:6" x14ac:dyDescent="0.2">
      <c r="A24" s="27" t="s">
        <v>434</v>
      </c>
      <c r="B24" s="27" t="s">
        <v>433</v>
      </c>
      <c r="C24" s="27" t="s">
        <v>203</v>
      </c>
      <c r="D24" s="31">
        <v>538877</v>
      </c>
      <c r="E24" s="29">
        <v>1326.7151739999999</v>
      </c>
      <c r="F24" s="30">
        <v>2.1538535887666499</v>
      </c>
    </row>
    <row r="25" spans="1:6" x14ac:dyDescent="0.2">
      <c r="A25" s="27" t="s">
        <v>121</v>
      </c>
      <c r="B25" s="27" t="s">
        <v>120</v>
      </c>
      <c r="C25" s="27" t="s">
        <v>122</v>
      </c>
      <c r="D25" s="31">
        <v>551423</v>
      </c>
      <c r="E25" s="29">
        <v>1293.086935</v>
      </c>
      <c r="F25" s="30">
        <v>2.0992598789233501</v>
      </c>
    </row>
    <row r="26" spans="1:6" x14ac:dyDescent="0.2">
      <c r="A26" s="27" t="s">
        <v>422</v>
      </c>
      <c r="B26" s="27" t="s">
        <v>421</v>
      </c>
      <c r="C26" s="27" t="s">
        <v>362</v>
      </c>
      <c r="D26" s="31">
        <v>1262673</v>
      </c>
      <c r="E26" s="29">
        <v>1286.663787</v>
      </c>
      <c r="F26" s="30">
        <v>2.0888322297623998</v>
      </c>
    </row>
    <row r="27" spans="1:6" x14ac:dyDescent="0.2">
      <c r="A27" s="27" t="s">
        <v>96</v>
      </c>
      <c r="B27" s="27" t="s">
        <v>95</v>
      </c>
      <c r="C27" s="27" t="s">
        <v>97</v>
      </c>
      <c r="D27" s="31">
        <v>242272</v>
      </c>
      <c r="E27" s="29">
        <v>1253.273056</v>
      </c>
      <c r="F27" s="30">
        <v>2.03462410189494</v>
      </c>
    </row>
    <row r="28" spans="1:6" x14ac:dyDescent="0.2">
      <c r="A28" s="27" t="s">
        <v>251</v>
      </c>
      <c r="B28" s="27" t="s">
        <v>250</v>
      </c>
      <c r="C28" s="27" t="s">
        <v>176</v>
      </c>
      <c r="D28" s="31">
        <v>1247117</v>
      </c>
      <c r="E28" s="29">
        <v>1088.1095829999999</v>
      </c>
      <c r="F28" s="30">
        <v>1.76648973061036</v>
      </c>
    </row>
    <row r="29" spans="1:6" x14ac:dyDescent="0.2">
      <c r="A29" s="27" t="s">
        <v>415</v>
      </c>
      <c r="B29" s="27" t="s">
        <v>414</v>
      </c>
      <c r="C29" s="27" t="s">
        <v>416</v>
      </c>
      <c r="D29" s="31">
        <v>71018</v>
      </c>
      <c r="E29" s="29">
        <v>1074.466831</v>
      </c>
      <c r="F29" s="30">
        <v>1.7443414270922299</v>
      </c>
    </row>
    <row r="30" spans="1:6" x14ac:dyDescent="0.2">
      <c r="A30" s="27" t="s">
        <v>319</v>
      </c>
      <c r="B30" s="27" t="s">
        <v>318</v>
      </c>
      <c r="C30" s="27" t="s">
        <v>154</v>
      </c>
      <c r="D30" s="31">
        <v>11431</v>
      </c>
      <c r="E30" s="29">
        <v>884.52506449999998</v>
      </c>
      <c r="F30" s="30">
        <v>1.4359807755748</v>
      </c>
    </row>
    <row r="31" spans="1:6" x14ac:dyDescent="0.2">
      <c r="A31" s="27" t="s">
        <v>401</v>
      </c>
      <c r="B31" s="27" t="s">
        <v>400</v>
      </c>
      <c r="C31" s="27" t="s">
        <v>402</v>
      </c>
      <c r="D31" s="31">
        <v>34087</v>
      </c>
      <c r="E31" s="29">
        <v>763.95784400000002</v>
      </c>
      <c r="F31" s="30">
        <v>1.2402461177894299</v>
      </c>
    </row>
    <row r="32" spans="1:6" x14ac:dyDescent="0.2">
      <c r="A32" s="27" t="s">
        <v>501</v>
      </c>
      <c r="B32" s="27" t="s">
        <v>500</v>
      </c>
      <c r="C32" s="27" t="s">
        <v>179</v>
      </c>
      <c r="D32" s="31">
        <v>583460</v>
      </c>
      <c r="E32" s="29">
        <v>698.69335000000001</v>
      </c>
      <c r="F32" s="30">
        <v>1.13429258128383</v>
      </c>
    </row>
    <row r="33" spans="1:9" x14ac:dyDescent="0.2">
      <c r="A33" s="27" t="s">
        <v>263</v>
      </c>
      <c r="B33" s="27" t="s">
        <v>262</v>
      </c>
      <c r="C33" s="27" t="s">
        <v>117</v>
      </c>
      <c r="D33" s="31">
        <v>106104</v>
      </c>
      <c r="E33" s="29">
        <v>677.89845600000001</v>
      </c>
      <c r="F33" s="30">
        <v>1.1005331444825801</v>
      </c>
    </row>
    <row r="34" spans="1:9" x14ac:dyDescent="0.2">
      <c r="A34" s="27" t="s">
        <v>503</v>
      </c>
      <c r="B34" s="27" t="s">
        <v>502</v>
      </c>
      <c r="C34" s="27" t="s">
        <v>127</v>
      </c>
      <c r="D34" s="31">
        <v>159673</v>
      </c>
      <c r="E34" s="29">
        <v>644.20071849999999</v>
      </c>
      <c r="F34" s="30">
        <v>1.0458266074126299</v>
      </c>
    </row>
    <row r="35" spans="1:9" x14ac:dyDescent="0.2">
      <c r="A35" s="27" t="s">
        <v>317</v>
      </c>
      <c r="B35" s="27" t="s">
        <v>316</v>
      </c>
      <c r="C35" s="27" t="s">
        <v>154</v>
      </c>
      <c r="D35" s="31">
        <v>58588</v>
      </c>
      <c r="E35" s="29">
        <v>505.58514600000001</v>
      </c>
      <c r="F35" s="30">
        <v>0.820791381963353</v>
      </c>
    </row>
    <row r="36" spans="1:9" x14ac:dyDescent="0.2">
      <c r="A36" s="27" t="s">
        <v>153</v>
      </c>
      <c r="B36" s="27" t="s">
        <v>152</v>
      </c>
      <c r="C36" s="27" t="s">
        <v>154</v>
      </c>
      <c r="D36" s="31">
        <v>226247</v>
      </c>
      <c r="E36" s="29">
        <v>455.32208750000001</v>
      </c>
      <c r="F36" s="30">
        <v>0.73919190149143199</v>
      </c>
    </row>
    <row r="37" spans="1:9" x14ac:dyDescent="0.2">
      <c r="A37" s="27" t="s">
        <v>505</v>
      </c>
      <c r="B37" s="27" t="s">
        <v>504</v>
      </c>
      <c r="C37" s="27" t="s">
        <v>176</v>
      </c>
      <c r="D37" s="31">
        <v>12795</v>
      </c>
      <c r="E37" s="29">
        <v>201.31653</v>
      </c>
      <c r="F37" s="30">
        <v>0.32682699279849198</v>
      </c>
    </row>
    <row r="38" spans="1:9" x14ac:dyDescent="0.2">
      <c r="A38" s="27" t="s">
        <v>507</v>
      </c>
      <c r="B38" s="27" t="s">
        <v>506</v>
      </c>
      <c r="C38" s="27" t="s">
        <v>90</v>
      </c>
      <c r="D38" s="31">
        <v>176709</v>
      </c>
      <c r="E38" s="29">
        <v>116.5395855</v>
      </c>
      <c r="F38" s="30">
        <v>0.18919600030334199</v>
      </c>
    </row>
    <row r="39" spans="1:9" x14ac:dyDescent="0.2">
      <c r="A39" s="27" t="s">
        <v>161</v>
      </c>
      <c r="B39" s="27" t="s">
        <v>160</v>
      </c>
      <c r="C39" s="27" t="s">
        <v>154</v>
      </c>
      <c r="D39" s="31">
        <v>26444</v>
      </c>
      <c r="E39" s="29">
        <v>44.663916</v>
      </c>
      <c r="F39" s="30">
        <v>7.2509561698110306E-2</v>
      </c>
    </row>
    <row r="40" spans="1:9" x14ac:dyDescent="0.2">
      <c r="A40" s="26" t="s">
        <v>34</v>
      </c>
      <c r="B40" s="26"/>
      <c r="C40" s="26"/>
      <c r="D40" s="32"/>
      <c r="E40" s="33">
        <f>SUM(E7:E39)</f>
        <v>58074.37920899997</v>
      </c>
      <c r="F40" s="34">
        <f>SUM(F7:F39)</f>
        <v>94.280756356752022</v>
      </c>
      <c r="G40" s="18"/>
      <c r="H40" s="18"/>
      <c r="I40" s="18"/>
    </row>
    <row r="41" spans="1:9" x14ac:dyDescent="0.2">
      <c r="A41" s="27"/>
      <c r="B41" s="27"/>
      <c r="C41" s="27"/>
      <c r="D41" s="28"/>
      <c r="E41" s="29"/>
      <c r="F41" s="30"/>
    </row>
    <row r="42" spans="1:9" x14ac:dyDescent="0.2">
      <c r="A42" s="26" t="s">
        <v>1479</v>
      </c>
      <c r="B42" s="27"/>
      <c r="C42" s="27"/>
      <c r="D42" s="28"/>
      <c r="E42" s="29"/>
      <c r="F42" s="30"/>
    </row>
    <row r="43" spans="1:9" x14ac:dyDescent="0.2">
      <c r="A43" s="27"/>
      <c r="B43" s="27" t="s">
        <v>1478</v>
      </c>
      <c r="C43" s="27" t="s">
        <v>90</v>
      </c>
      <c r="D43" s="31">
        <v>489000</v>
      </c>
      <c r="E43" s="29">
        <v>4.8899999999999999E-2</v>
      </c>
      <c r="F43" s="30">
        <v>7.9386625369741304E-5</v>
      </c>
    </row>
    <row r="44" spans="1:9" x14ac:dyDescent="0.2">
      <c r="A44" s="27"/>
      <c r="B44" s="27" t="s">
        <v>720</v>
      </c>
      <c r="C44" s="27" t="s">
        <v>176</v>
      </c>
      <c r="D44" s="31">
        <v>98000</v>
      </c>
      <c r="E44" s="29">
        <v>9.7999999999999997E-3</v>
      </c>
      <c r="F44" s="30">
        <v>1.5909794041379601E-5</v>
      </c>
    </row>
    <row r="45" spans="1:9" x14ac:dyDescent="0.2">
      <c r="A45" s="27" t="s">
        <v>508</v>
      </c>
      <c r="B45" s="27" t="s">
        <v>722</v>
      </c>
      <c r="C45" s="27" t="s">
        <v>367</v>
      </c>
      <c r="D45" s="31">
        <v>44170</v>
      </c>
      <c r="E45" s="29">
        <v>4.4169999999999999E-3</v>
      </c>
      <c r="F45" s="30">
        <v>7.1707714572218203E-6</v>
      </c>
    </row>
    <row r="46" spans="1:9" x14ac:dyDescent="0.2">
      <c r="A46" s="27"/>
      <c r="B46" s="27" t="s">
        <v>1481</v>
      </c>
      <c r="C46" s="27" t="s">
        <v>90</v>
      </c>
      <c r="D46" s="31">
        <v>23815</v>
      </c>
      <c r="E46" s="29">
        <v>2.3814999999999999E-3</v>
      </c>
      <c r="F46" s="30">
        <v>3.8662422968924098E-6</v>
      </c>
    </row>
    <row r="47" spans="1:9" x14ac:dyDescent="0.2">
      <c r="A47" s="26" t="s">
        <v>34</v>
      </c>
      <c r="B47" s="26"/>
      <c r="C47" s="26"/>
      <c r="D47" s="32"/>
      <c r="E47" s="33">
        <f>SUM(E42:E46)</f>
        <v>6.5498500000000001E-2</v>
      </c>
      <c r="F47" s="34">
        <f>SUM(F42:F46)</f>
        <v>1.0633343316523514E-4</v>
      </c>
      <c r="G47" s="18"/>
      <c r="H47" s="18"/>
      <c r="I47" s="18"/>
    </row>
    <row r="48" spans="1:9" x14ac:dyDescent="0.2">
      <c r="A48" s="27"/>
      <c r="B48" s="27"/>
      <c r="C48" s="27"/>
      <c r="D48" s="28"/>
      <c r="E48" s="29"/>
      <c r="F48" s="30"/>
    </row>
    <row r="49" spans="1:9" x14ac:dyDescent="0.2">
      <c r="A49" s="26" t="s">
        <v>36</v>
      </c>
      <c r="B49" s="26"/>
      <c r="C49" s="26"/>
      <c r="D49" s="32"/>
      <c r="E49" s="33">
        <f>E40+E47</f>
        <v>58074.44470749997</v>
      </c>
      <c r="F49" s="34">
        <f>F40+F47</f>
        <v>94.280862690185188</v>
      </c>
      <c r="G49" s="18"/>
      <c r="H49" s="18"/>
      <c r="I49" s="18"/>
    </row>
    <row r="50" spans="1:9" x14ac:dyDescent="0.2">
      <c r="A50" s="26"/>
      <c r="B50" s="26"/>
      <c r="C50" s="26"/>
      <c r="D50" s="32"/>
      <c r="E50" s="33"/>
      <c r="F50" s="34"/>
      <c r="G50" s="18"/>
      <c r="H50" s="18"/>
      <c r="I50" s="18"/>
    </row>
    <row r="51" spans="1:9" x14ac:dyDescent="0.2">
      <c r="A51" s="26" t="s">
        <v>38</v>
      </c>
      <c r="B51" s="26"/>
      <c r="C51" s="26"/>
      <c r="D51" s="32"/>
      <c r="E51" s="33">
        <f>E53-(E40+E47)</f>
        <v>3522.8328846000295</v>
      </c>
      <c r="F51" s="34">
        <f>F53-(F40+F47)</f>
        <v>5.7191373098148119</v>
      </c>
      <c r="G51" s="18"/>
      <c r="H51" s="18"/>
      <c r="I51" s="18"/>
    </row>
    <row r="52" spans="1:9" x14ac:dyDescent="0.2">
      <c r="A52" s="26"/>
      <c r="B52" s="26"/>
      <c r="C52" s="26"/>
      <c r="D52" s="32"/>
      <c r="E52" s="33"/>
      <c r="F52" s="34"/>
      <c r="G52" s="18"/>
      <c r="H52" s="18"/>
      <c r="I52" s="18"/>
    </row>
    <row r="53" spans="1:9" x14ac:dyDescent="0.2">
      <c r="A53" s="35" t="s">
        <v>37</v>
      </c>
      <c r="B53" s="35"/>
      <c r="C53" s="35"/>
      <c r="D53" s="36"/>
      <c r="E53" s="37">
        <v>61597.277592099999</v>
      </c>
      <c r="F53" s="38">
        <v>100</v>
      </c>
      <c r="G53" s="18"/>
      <c r="H53" s="18"/>
      <c r="I53" s="18"/>
    </row>
    <row r="54" spans="1:9" x14ac:dyDescent="0.2">
      <c r="F54" s="20" t="s">
        <v>497</v>
      </c>
    </row>
    <row r="55" spans="1:9" x14ac:dyDescent="0.2">
      <c r="A55" s="18" t="s">
        <v>39</v>
      </c>
      <c r="F55" s="20"/>
    </row>
    <row r="56" spans="1:9" x14ac:dyDescent="0.2">
      <c r="A56" s="18" t="s">
        <v>716</v>
      </c>
      <c r="F56" s="20"/>
    </row>
    <row r="58" spans="1:9" x14ac:dyDescent="0.2">
      <c r="A58" s="18" t="s">
        <v>40</v>
      </c>
    </row>
    <row r="59" spans="1:9" x14ac:dyDescent="0.2">
      <c r="A59" s="18" t="s">
        <v>41</v>
      </c>
    </row>
    <row r="60" spans="1:9" x14ac:dyDescent="0.2">
      <c r="A60" s="18" t="s">
        <v>42</v>
      </c>
      <c r="B60" s="18"/>
      <c r="C60" s="39" t="s">
        <v>44</v>
      </c>
      <c r="D60" s="41" t="s">
        <v>43</v>
      </c>
    </row>
    <row r="61" spans="1:9" x14ac:dyDescent="0.2">
      <c r="A61" s="9" t="s">
        <v>65</v>
      </c>
      <c r="C61" s="40">
        <v>72.165000000000006</v>
      </c>
      <c r="D61" s="40">
        <v>99.359099999999998</v>
      </c>
    </row>
    <row r="62" spans="1:9" x14ac:dyDescent="0.2">
      <c r="A62" s="9" t="s">
        <v>1003</v>
      </c>
      <c r="C62" s="40">
        <v>16.855899999999998</v>
      </c>
      <c r="D62" s="40">
        <v>21.911799999999999</v>
      </c>
    </row>
    <row r="63" spans="1:9" x14ac:dyDescent="0.2">
      <c r="A63" s="9" t="s">
        <v>66</v>
      </c>
      <c r="C63" s="40">
        <v>76.130300000000005</v>
      </c>
      <c r="D63" s="40">
        <v>105.2443</v>
      </c>
    </row>
    <row r="64" spans="1:9" x14ac:dyDescent="0.2">
      <c r="A64" s="9" t="s">
        <v>1004</v>
      </c>
      <c r="C64" s="40">
        <v>18.045999999999999</v>
      </c>
      <c r="D64" s="40">
        <v>23.6448</v>
      </c>
    </row>
    <row r="66" spans="1:4" x14ac:dyDescent="0.2">
      <c r="A66" s="18" t="s">
        <v>1560</v>
      </c>
    </row>
    <row r="67" spans="1:4" x14ac:dyDescent="0.2">
      <c r="A67" s="94" t="s">
        <v>64</v>
      </c>
      <c r="B67" s="95"/>
      <c r="C67" s="44" t="s">
        <v>1544</v>
      </c>
    </row>
    <row r="68" spans="1:4" x14ac:dyDescent="0.2">
      <c r="A68" s="88" t="s">
        <v>1003</v>
      </c>
      <c r="B68" s="89"/>
      <c r="C68" s="45">
        <v>1</v>
      </c>
    </row>
    <row r="69" spans="1:4" x14ac:dyDescent="0.2">
      <c r="A69" s="88" t="s">
        <v>1004</v>
      </c>
      <c r="B69" s="89"/>
      <c r="C69" s="45">
        <v>1</v>
      </c>
    </row>
    <row r="70" spans="1:4" x14ac:dyDescent="0.2">
      <c r="A70" s="9" t="s">
        <v>1545</v>
      </c>
    </row>
    <row r="71" spans="1:4" x14ac:dyDescent="0.2">
      <c r="A71" s="9" t="s">
        <v>782</v>
      </c>
    </row>
    <row r="73" spans="1:4" x14ac:dyDescent="0.2">
      <c r="A73" s="18" t="s">
        <v>215</v>
      </c>
      <c r="D73" s="46">
        <v>0.20008818387603211</v>
      </c>
    </row>
    <row r="75" spans="1:4" x14ac:dyDescent="0.2">
      <c r="A75" s="18" t="s">
        <v>717</v>
      </c>
      <c r="D75" s="41">
        <v>1</v>
      </c>
    </row>
    <row r="76" spans="1:4" x14ac:dyDescent="0.2">
      <c r="A76" s="9" t="s">
        <v>712</v>
      </c>
      <c r="D76" s="41"/>
    </row>
    <row r="77" spans="1:4" x14ac:dyDescent="0.2">
      <c r="A77" s="50" t="s">
        <v>713</v>
      </c>
      <c r="D77" s="41"/>
    </row>
    <row r="79" spans="1:4" x14ac:dyDescent="0.2">
      <c r="A79" s="18" t="s">
        <v>718</v>
      </c>
    </row>
    <row r="80" spans="1:4" x14ac:dyDescent="0.2">
      <c r="A80" s="50" t="s">
        <v>47</v>
      </c>
    </row>
    <row r="82" spans="1:5" x14ac:dyDescent="0.2">
      <c r="A82" s="70" t="s">
        <v>1482</v>
      </c>
    </row>
    <row r="86" spans="1:5" x14ac:dyDescent="0.2">
      <c r="E86" s="73"/>
    </row>
  </sheetData>
  <mergeCells count="4">
    <mergeCell ref="A1:F1"/>
    <mergeCell ref="A67:B67"/>
    <mergeCell ref="A68:B68"/>
    <mergeCell ref="A69:B69"/>
  </mergeCells>
  <conditionalFormatting sqref="F2:F3 F5:F65539">
    <cfRule type="cellIs" dxfId="96" priority="1" stopIfTrue="1" operator="between">
      <formula>0.009</formula>
      <formula>-0.009</formula>
    </cfRule>
  </conditionalFormatting>
  <hyperlinks>
    <hyperlink ref="A77" r:id="rId1" xr:uid="{00000000-0004-0000-2600-000000000000}"/>
    <hyperlink ref="A80" r:id="rId2" xr:uid="{00000000-0004-0000-2600-000001000000}"/>
  </hyperlinks>
  <pageMargins left="0.7" right="0.7" top="0.75" bottom="0.75" header="0.3" footer="0.3"/>
  <pageSetup paperSize="9" scale="59" orientation="portrait" r:id="rId3"/>
  <headerFooter>
    <oddFooter>&amp;R&amp;1#&amp;"Calibri"&amp;10&amp;KFF0000|PUBLIC|</oddFooter>
    <evenFooter>&amp;LPUBLIC</evenFooter>
    <firstFooter>&amp;LPUBLIC</firstFooter>
  </headerFooter>
  <colBreaks count="1" manualBreakCount="1">
    <brk id="6" max="1048575" man="1"/>
  </colBreak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I60"/>
  <sheetViews>
    <sheetView view="pageBreakPreview" zoomScaleNormal="100" zoomScaleSheetLayoutView="100" workbookViewId="0">
      <selection sqref="A1:F1"/>
    </sheetView>
  </sheetViews>
  <sheetFormatPr defaultColWidth="9.21875" defaultRowHeight="10.199999999999999" x14ac:dyDescent="0.2"/>
  <cols>
    <col min="1" max="1" width="38.77734375" style="9" bestFit="1" customWidth="1"/>
    <col min="2" max="2" width="24.21875" style="9" bestFit="1" customWidth="1"/>
    <col min="3" max="3" width="20" style="9" bestFit="1" customWidth="1"/>
    <col min="4" max="4" width="15.44140625" style="10" bestFit="1" customWidth="1"/>
    <col min="5" max="5" width="23" style="13" bestFit="1" customWidth="1"/>
    <col min="6" max="6" width="13.5546875" style="14" bestFit="1" customWidth="1"/>
    <col min="7" max="16384" width="9.21875" style="9"/>
  </cols>
  <sheetData>
    <row r="1" spans="1:6" s="1" customFormat="1" ht="13.8" x14ac:dyDescent="0.2">
      <c r="A1" s="92" t="s">
        <v>1483</v>
      </c>
      <c r="B1" s="93"/>
      <c r="C1" s="93"/>
      <c r="D1" s="93"/>
      <c r="E1" s="93"/>
      <c r="F1" s="93"/>
    </row>
    <row r="2" spans="1:6" s="1" customFormat="1" ht="11.4" x14ac:dyDescent="0.2">
      <c r="D2" s="6"/>
      <c r="E2" s="7"/>
      <c r="F2" s="12"/>
    </row>
    <row r="3" spans="1:6" s="1" customFormat="1" ht="12" x14ac:dyDescent="0.2">
      <c r="A3" s="11" t="s">
        <v>7</v>
      </c>
      <c r="B3" s="2"/>
      <c r="C3" s="3"/>
      <c r="D3" s="4"/>
      <c r="E3" s="5"/>
      <c r="F3" s="12"/>
    </row>
    <row r="4" spans="1:6" s="1" customFormat="1" ht="17.55" customHeight="1" x14ac:dyDescent="0.2">
      <c r="A4" s="8" t="s">
        <v>2</v>
      </c>
      <c r="B4" s="8" t="s">
        <v>0</v>
      </c>
      <c r="C4" s="17" t="s">
        <v>259</v>
      </c>
      <c r="D4" s="16" t="s">
        <v>1</v>
      </c>
      <c r="E4" s="15" t="s">
        <v>3</v>
      </c>
      <c r="F4" s="15" t="s">
        <v>4</v>
      </c>
    </row>
    <row r="5" spans="1:6" x14ac:dyDescent="0.2">
      <c r="A5" s="21" t="s">
        <v>84</v>
      </c>
      <c r="B5" s="22"/>
      <c r="C5" s="22"/>
      <c r="D5" s="23"/>
      <c r="E5" s="24"/>
      <c r="F5" s="25"/>
    </row>
    <row r="6" spans="1:6" x14ac:dyDescent="0.2">
      <c r="A6" s="26" t="s">
        <v>27</v>
      </c>
      <c r="B6" s="27"/>
      <c r="C6" s="27"/>
      <c r="D6" s="28"/>
      <c r="E6" s="29"/>
      <c r="F6" s="30"/>
    </row>
    <row r="7" spans="1:6" x14ac:dyDescent="0.2">
      <c r="A7" s="27" t="s">
        <v>124</v>
      </c>
      <c r="B7" s="27" t="s">
        <v>123</v>
      </c>
      <c r="C7" s="27" t="s">
        <v>87</v>
      </c>
      <c r="D7" s="31">
        <v>21769231</v>
      </c>
      <c r="E7" s="29">
        <v>79305.308529999995</v>
      </c>
      <c r="F7" s="30">
        <v>10.168055356134801</v>
      </c>
    </row>
    <row r="8" spans="1:6" x14ac:dyDescent="0.2">
      <c r="A8" s="27" t="s">
        <v>94</v>
      </c>
      <c r="B8" s="27" t="s">
        <v>93</v>
      </c>
      <c r="C8" s="27" t="s">
        <v>87</v>
      </c>
      <c r="D8" s="31">
        <v>12400000</v>
      </c>
      <c r="E8" s="29">
        <v>72180.399999999994</v>
      </c>
      <c r="F8" s="30">
        <v>9.2545419270428209</v>
      </c>
    </row>
    <row r="9" spans="1:6" x14ac:dyDescent="0.2">
      <c r="A9" s="27" t="s">
        <v>92</v>
      </c>
      <c r="B9" s="27" t="s">
        <v>91</v>
      </c>
      <c r="C9" s="27" t="s">
        <v>87</v>
      </c>
      <c r="D9" s="31">
        <v>10000000</v>
      </c>
      <c r="E9" s="29">
        <v>69745</v>
      </c>
      <c r="F9" s="30">
        <v>8.94228941238344</v>
      </c>
    </row>
    <row r="10" spans="1:6" x14ac:dyDescent="0.2">
      <c r="A10" s="27" t="s">
        <v>96</v>
      </c>
      <c r="B10" s="27" t="s">
        <v>95</v>
      </c>
      <c r="C10" s="27" t="s">
        <v>97</v>
      </c>
      <c r="D10" s="31">
        <v>9000000</v>
      </c>
      <c r="E10" s="29">
        <v>46557</v>
      </c>
      <c r="F10" s="30">
        <v>5.9692618563672797</v>
      </c>
    </row>
    <row r="11" spans="1:6" x14ac:dyDescent="0.2">
      <c r="A11" s="27" t="s">
        <v>139</v>
      </c>
      <c r="B11" s="27" t="s">
        <v>138</v>
      </c>
      <c r="C11" s="27" t="s">
        <v>122</v>
      </c>
      <c r="D11" s="31">
        <v>8687248</v>
      </c>
      <c r="E11" s="29">
        <v>37177.077819999999</v>
      </c>
      <c r="F11" s="30">
        <v>4.7666239783947404</v>
      </c>
    </row>
    <row r="12" spans="1:6" x14ac:dyDescent="0.2">
      <c r="A12" s="27" t="s">
        <v>132</v>
      </c>
      <c r="B12" s="27" t="s">
        <v>131</v>
      </c>
      <c r="C12" s="27" t="s">
        <v>130</v>
      </c>
      <c r="D12" s="31">
        <v>32000000</v>
      </c>
      <c r="E12" s="29">
        <v>34096</v>
      </c>
      <c r="F12" s="30">
        <v>4.3715864908541899</v>
      </c>
    </row>
    <row r="13" spans="1:6" x14ac:dyDescent="0.2">
      <c r="A13" s="27" t="s">
        <v>183</v>
      </c>
      <c r="B13" s="27" t="s">
        <v>182</v>
      </c>
      <c r="C13" s="27" t="s">
        <v>184</v>
      </c>
      <c r="D13" s="31">
        <v>2300000</v>
      </c>
      <c r="E13" s="29">
        <v>32634.7</v>
      </c>
      <c r="F13" s="30">
        <v>4.1842272892151398</v>
      </c>
    </row>
    <row r="14" spans="1:6" x14ac:dyDescent="0.2">
      <c r="A14" s="27" t="s">
        <v>211</v>
      </c>
      <c r="B14" s="27" t="s">
        <v>210</v>
      </c>
      <c r="C14" s="27" t="s">
        <v>87</v>
      </c>
      <c r="D14" s="31">
        <v>40000000</v>
      </c>
      <c r="E14" s="29">
        <v>30320</v>
      </c>
      <c r="F14" s="30">
        <v>3.8874502112476299</v>
      </c>
    </row>
    <row r="15" spans="1:6" x14ac:dyDescent="0.2">
      <c r="A15" s="27" t="s">
        <v>86</v>
      </c>
      <c r="B15" s="27" t="s">
        <v>85</v>
      </c>
      <c r="C15" s="27" t="s">
        <v>87</v>
      </c>
      <c r="D15" s="31">
        <v>2000000</v>
      </c>
      <c r="E15" s="29">
        <v>29873</v>
      </c>
      <c r="F15" s="30">
        <v>3.8301385277242899</v>
      </c>
    </row>
    <row r="16" spans="1:6" x14ac:dyDescent="0.2">
      <c r="A16" s="27" t="s">
        <v>256</v>
      </c>
      <c r="B16" s="27" t="s">
        <v>255</v>
      </c>
      <c r="C16" s="27" t="s">
        <v>171</v>
      </c>
      <c r="D16" s="31">
        <v>1500000</v>
      </c>
      <c r="E16" s="29">
        <v>28548.75</v>
      </c>
      <c r="F16" s="30">
        <v>3.6603510626106801</v>
      </c>
    </row>
    <row r="17" spans="1:6" x14ac:dyDescent="0.2">
      <c r="A17" s="27" t="s">
        <v>197</v>
      </c>
      <c r="B17" s="27" t="s">
        <v>196</v>
      </c>
      <c r="C17" s="27" t="s">
        <v>122</v>
      </c>
      <c r="D17" s="31">
        <v>31000000</v>
      </c>
      <c r="E17" s="29">
        <v>28473.5</v>
      </c>
      <c r="F17" s="30">
        <v>3.6507029548139598</v>
      </c>
    </row>
    <row r="18" spans="1:6" x14ac:dyDescent="0.2">
      <c r="A18" s="27" t="s">
        <v>510</v>
      </c>
      <c r="B18" s="27" t="s">
        <v>509</v>
      </c>
      <c r="C18" s="27" t="s">
        <v>127</v>
      </c>
      <c r="D18" s="31">
        <v>2600000</v>
      </c>
      <c r="E18" s="29">
        <v>26531.7</v>
      </c>
      <c r="F18" s="30">
        <v>3.40173689873874</v>
      </c>
    </row>
    <row r="19" spans="1:6" x14ac:dyDescent="0.2">
      <c r="A19" s="27" t="s">
        <v>209</v>
      </c>
      <c r="B19" s="27" t="s">
        <v>208</v>
      </c>
      <c r="C19" s="27" t="s">
        <v>111</v>
      </c>
      <c r="D19" s="31">
        <v>19110919</v>
      </c>
      <c r="E19" s="29">
        <v>25895.295249999999</v>
      </c>
      <c r="F19" s="30">
        <v>3.3201408637840402</v>
      </c>
    </row>
    <row r="20" spans="1:6" x14ac:dyDescent="0.2">
      <c r="A20" s="27" t="s">
        <v>512</v>
      </c>
      <c r="B20" s="27" t="s">
        <v>511</v>
      </c>
      <c r="C20" s="27" t="s">
        <v>295</v>
      </c>
      <c r="D20" s="31">
        <v>1500000</v>
      </c>
      <c r="E20" s="29">
        <v>24479.25</v>
      </c>
      <c r="F20" s="30">
        <v>3.1385839572454999</v>
      </c>
    </row>
    <row r="21" spans="1:6" x14ac:dyDescent="0.2">
      <c r="A21" s="27" t="s">
        <v>379</v>
      </c>
      <c r="B21" s="27" t="s">
        <v>378</v>
      </c>
      <c r="C21" s="27" t="s">
        <v>362</v>
      </c>
      <c r="D21" s="31">
        <v>4800000</v>
      </c>
      <c r="E21" s="29">
        <v>20973.599999999999</v>
      </c>
      <c r="F21" s="30">
        <v>2.6891103479757001</v>
      </c>
    </row>
    <row r="22" spans="1:6" x14ac:dyDescent="0.2">
      <c r="A22" s="27" t="s">
        <v>514</v>
      </c>
      <c r="B22" s="27" t="s">
        <v>513</v>
      </c>
      <c r="C22" s="27" t="s">
        <v>203</v>
      </c>
      <c r="D22" s="31">
        <v>4000000</v>
      </c>
      <c r="E22" s="29">
        <v>20908</v>
      </c>
      <c r="F22" s="30">
        <v>2.6806995058299901</v>
      </c>
    </row>
    <row r="23" spans="1:6" x14ac:dyDescent="0.2">
      <c r="A23" s="27" t="s">
        <v>420</v>
      </c>
      <c r="B23" s="27" t="s">
        <v>419</v>
      </c>
      <c r="C23" s="27" t="s">
        <v>171</v>
      </c>
      <c r="D23" s="31">
        <v>4800000</v>
      </c>
      <c r="E23" s="29">
        <v>20781.599999999999</v>
      </c>
      <c r="F23" s="30">
        <v>2.6644932490126498</v>
      </c>
    </row>
    <row r="24" spans="1:6" x14ac:dyDescent="0.2">
      <c r="A24" s="27" t="s">
        <v>516</v>
      </c>
      <c r="B24" s="27" t="s">
        <v>515</v>
      </c>
      <c r="C24" s="27" t="s">
        <v>127</v>
      </c>
      <c r="D24" s="31">
        <v>2508280</v>
      </c>
      <c r="E24" s="29">
        <v>20444.990280000002</v>
      </c>
      <c r="F24" s="30">
        <v>2.6213351511524299</v>
      </c>
    </row>
    <row r="25" spans="1:6" x14ac:dyDescent="0.2">
      <c r="A25" s="27" t="s">
        <v>518</v>
      </c>
      <c r="B25" s="27" t="s">
        <v>517</v>
      </c>
      <c r="C25" s="27" t="s">
        <v>171</v>
      </c>
      <c r="D25" s="31">
        <v>16000000</v>
      </c>
      <c r="E25" s="29">
        <v>15648</v>
      </c>
      <c r="F25" s="30">
        <v>2.0062935654882201</v>
      </c>
    </row>
    <row r="26" spans="1:6" x14ac:dyDescent="0.2">
      <c r="A26" s="27" t="s">
        <v>520</v>
      </c>
      <c r="B26" s="27" t="s">
        <v>519</v>
      </c>
      <c r="C26" s="27" t="s">
        <v>171</v>
      </c>
      <c r="D26" s="31">
        <v>200000</v>
      </c>
      <c r="E26" s="29">
        <v>13475.9</v>
      </c>
      <c r="F26" s="30">
        <v>1.72779981206306</v>
      </c>
    </row>
    <row r="27" spans="1:6" x14ac:dyDescent="0.2">
      <c r="A27" s="27" t="s">
        <v>522</v>
      </c>
      <c r="B27" s="27" t="s">
        <v>521</v>
      </c>
      <c r="C27" s="27" t="s">
        <v>106</v>
      </c>
      <c r="D27" s="31">
        <v>3100000</v>
      </c>
      <c r="E27" s="29">
        <v>13240.1</v>
      </c>
      <c r="F27" s="30">
        <v>1.6975669373990701</v>
      </c>
    </row>
    <row r="28" spans="1:6" x14ac:dyDescent="0.2">
      <c r="A28" s="27" t="s">
        <v>456</v>
      </c>
      <c r="B28" s="27" t="s">
        <v>455</v>
      </c>
      <c r="C28" s="27" t="s">
        <v>402</v>
      </c>
      <c r="D28" s="31">
        <v>425000</v>
      </c>
      <c r="E28" s="29">
        <v>12336.262500000001</v>
      </c>
      <c r="F28" s="30">
        <v>1.5816822645656701</v>
      </c>
    </row>
    <row r="29" spans="1:6" x14ac:dyDescent="0.2">
      <c r="A29" s="27" t="s">
        <v>524</v>
      </c>
      <c r="B29" s="27" t="s">
        <v>523</v>
      </c>
      <c r="C29" s="27" t="s">
        <v>362</v>
      </c>
      <c r="D29" s="31">
        <v>15000000</v>
      </c>
      <c r="E29" s="29">
        <v>11677.5</v>
      </c>
      <c r="F29" s="30">
        <v>1.49721965177586</v>
      </c>
    </row>
    <row r="30" spans="1:6" x14ac:dyDescent="0.2">
      <c r="A30" s="27" t="s">
        <v>526</v>
      </c>
      <c r="B30" s="27" t="s">
        <v>525</v>
      </c>
      <c r="C30" s="27" t="s">
        <v>117</v>
      </c>
      <c r="D30" s="31">
        <v>1000000</v>
      </c>
      <c r="E30" s="29">
        <v>5563.5</v>
      </c>
      <c r="F30" s="30">
        <v>0.71331890667137798</v>
      </c>
    </row>
    <row r="31" spans="1:6" x14ac:dyDescent="0.2">
      <c r="A31" s="27" t="s">
        <v>528</v>
      </c>
      <c r="B31" s="27" t="s">
        <v>527</v>
      </c>
      <c r="C31" s="27" t="s">
        <v>233</v>
      </c>
      <c r="D31" s="31">
        <v>300000</v>
      </c>
      <c r="E31" s="29">
        <v>2984.85</v>
      </c>
      <c r="F31" s="30">
        <v>0.38269972833253602</v>
      </c>
    </row>
    <row r="32" spans="1:6" x14ac:dyDescent="0.2">
      <c r="A32" s="27" t="s">
        <v>89</v>
      </c>
      <c r="B32" s="27" t="s">
        <v>88</v>
      </c>
      <c r="C32" s="27" t="s">
        <v>90</v>
      </c>
      <c r="D32" s="31">
        <v>200000</v>
      </c>
      <c r="E32" s="29">
        <v>2736.1</v>
      </c>
      <c r="F32" s="30">
        <v>0.35080648162911099</v>
      </c>
    </row>
    <row r="33" spans="1:9" x14ac:dyDescent="0.2">
      <c r="A33" s="27" t="s">
        <v>530</v>
      </c>
      <c r="B33" s="27" t="s">
        <v>529</v>
      </c>
      <c r="C33" s="27" t="s">
        <v>295</v>
      </c>
      <c r="D33" s="31">
        <v>1469972</v>
      </c>
      <c r="E33" s="29">
        <v>1018.690596</v>
      </c>
      <c r="F33" s="30">
        <v>0.130610454241958</v>
      </c>
    </row>
    <row r="34" spans="1:9" x14ac:dyDescent="0.2">
      <c r="A34" s="26" t="s">
        <v>34</v>
      </c>
      <c r="B34" s="26"/>
      <c r="C34" s="26"/>
      <c r="D34" s="32"/>
      <c r="E34" s="33">
        <f>SUM(E7:E33)</f>
        <v>727606.07497599989</v>
      </c>
      <c r="F34" s="34">
        <f>SUM(F7:F33)</f>
        <v>93.289326842694891</v>
      </c>
      <c r="G34" s="18"/>
      <c r="H34" s="18"/>
      <c r="I34" s="18"/>
    </row>
    <row r="35" spans="1:9" x14ac:dyDescent="0.2">
      <c r="A35" s="27"/>
      <c r="B35" s="27"/>
      <c r="C35" s="27"/>
      <c r="D35" s="28"/>
      <c r="E35" s="29"/>
      <c r="F35" s="30"/>
    </row>
    <row r="36" spans="1:9" x14ac:dyDescent="0.2">
      <c r="A36" s="26" t="s">
        <v>36</v>
      </c>
      <c r="B36" s="26"/>
      <c r="C36" s="26"/>
      <c r="D36" s="32"/>
      <c r="E36" s="33">
        <f>E34</f>
        <v>727606.07497599989</v>
      </c>
      <c r="F36" s="34">
        <f>F34</f>
        <v>93.289326842694891</v>
      </c>
      <c r="G36" s="18"/>
      <c r="H36" s="18"/>
      <c r="I36" s="18"/>
    </row>
    <row r="37" spans="1:9" x14ac:dyDescent="0.2">
      <c r="A37" s="26"/>
      <c r="B37" s="26"/>
      <c r="C37" s="26"/>
      <c r="D37" s="32"/>
      <c r="E37" s="33"/>
      <c r="F37" s="34"/>
      <c r="G37" s="18"/>
      <c r="H37" s="18"/>
      <c r="I37" s="18"/>
    </row>
    <row r="38" spans="1:9" x14ac:dyDescent="0.2">
      <c r="A38" s="26" t="s">
        <v>38</v>
      </c>
      <c r="B38" s="26"/>
      <c r="C38" s="26"/>
      <c r="D38" s="32"/>
      <c r="E38" s="33">
        <f>E40-(E34)</f>
        <v>52339.605415600119</v>
      </c>
      <c r="F38" s="34">
        <f>F40-(F34)</f>
        <v>6.7106731573051093</v>
      </c>
      <c r="G38" s="18"/>
      <c r="H38" s="18"/>
      <c r="I38" s="18"/>
    </row>
    <row r="39" spans="1:9" x14ac:dyDescent="0.2">
      <c r="A39" s="26"/>
      <c r="B39" s="26"/>
      <c r="C39" s="26"/>
      <c r="D39" s="32"/>
      <c r="E39" s="33"/>
      <c r="F39" s="34"/>
      <c r="G39" s="18"/>
      <c r="H39" s="18"/>
      <c r="I39" s="18"/>
    </row>
    <row r="40" spans="1:9" x14ac:dyDescent="0.2">
      <c r="A40" s="35" t="s">
        <v>37</v>
      </c>
      <c r="B40" s="35"/>
      <c r="C40" s="35"/>
      <c r="D40" s="36"/>
      <c r="E40" s="37">
        <v>779945.68039160001</v>
      </c>
      <c r="F40" s="38">
        <v>100</v>
      </c>
      <c r="G40" s="18"/>
      <c r="H40" s="18"/>
      <c r="I40" s="18"/>
    </row>
    <row r="43" spans="1:9" x14ac:dyDescent="0.2">
      <c r="A43" s="18" t="s">
        <v>40</v>
      </c>
    </row>
    <row r="44" spans="1:9" x14ac:dyDescent="0.2">
      <c r="A44" s="18" t="s">
        <v>41</v>
      </c>
    </row>
    <row r="45" spans="1:9" x14ac:dyDescent="0.2">
      <c r="A45" s="18" t="s">
        <v>42</v>
      </c>
      <c r="B45" s="18"/>
      <c r="C45" s="39" t="s">
        <v>44</v>
      </c>
      <c r="D45" s="19" t="s">
        <v>43</v>
      </c>
    </row>
    <row r="46" spans="1:9" x14ac:dyDescent="0.2">
      <c r="A46" s="9" t="s">
        <v>65</v>
      </c>
      <c r="C46" s="40">
        <v>35.159300000000002</v>
      </c>
      <c r="D46" s="40">
        <v>52.396500000000003</v>
      </c>
    </row>
    <row r="47" spans="1:9" x14ac:dyDescent="0.2">
      <c r="A47" s="9" t="s">
        <v>1003</v>
      </c>
      <c r="C47" s="40">
        <v>17.668099999999999</v>
      </c>
      <c r="D47" s="40">
        <v>26.330300000000001</v>
      </c>
    </row>
    <row r="48" spans="1:9" x14ac:dyDescent="0.2">
      <c r="A48" s="9" t="s">
        <v>66</v>
      </c>
      <c r="C48" s="40">
        <v>38.092399999999998</v>
      </c>
      <c r="D48" s="40">
        <v>57.008299999999998</v>
      </c>
    </row>
    <row r="49" spans="1:4" x14ac:dyDescent="0.2">
      <c r="A49" s="9" t="s">
        <v>1004</v>
      </c>
      <c r="C49" s="40">
        <v>19.777200000000001</v>
      </c>
      <c r="D49" s="40">
        <v>29.597899999999999</v>
      </c>
    </row>
    <row r="51" spans="1:4" x14ac:dyDescent="0.2">
      <c r="A51" s="9" t="s">
        <v>782</v>
      </c>
    </row>
    <row r="53" spans="1:4" x14ac:dyDescent="0.2">
      <c r="A53" s="18" t="s">
        <v>1560</v>
      </c>
      <c r="D53" s="41" t="s">
        <v>45</v>
      </c>
    </row>
    <row r="55" spans="1:4" x14ac:dyDescent="0.2">
      <c r="A55" s="18" t="s">
        <v>215</v>
      </c>
      <c r="D55" s="46">
        <v>6.2626048241044424E-2</v>
      </c>
    </row>
    <row r="57" spans="1:4" x14ac:dyDescent="0.2">
      <c r="A57" s="18" t="s">
        <v>715</v>
      </c>
    </row>
    <row r="58" spans="1:4" x14ac:dyDescent="0.2">
      <c r="A58" s="50" t="s">
        <v>47</v>
      </c>
    </row>
    <row r="59" spans="1:4" x14ac:dyDescent="0.2">
      <c r="A59" s="18"/>
    </row>
    <row r="60" spans="1:4" x14ac:dyDescent="0.2">
      <c r="A60" s="18" t="s">
        <v>1484</v>
      </c>
    </row>
  </sheetData>
  <mergeCells count="1">
    <mergeCell ref="A1:F1"/>
  </mergeCells>
  <conditionalFormatting sqref="F2:F3 F5:F65538">
    <cfRule type="cellIs" dxfId="95" priority="1" stopIfTrue="1" operator="between">
      <formula>0.009</formula>
      <formula>-0.009</formula>
    </cfRule>
  </conditionalFormatting>
  <hyperlinks>
    <hyperlink ref="A58" r:id="rId1" xr:uid="{00000000-0004-0000-2700-000000000000}"/>
  </hyperlinks>
  <pageMargins left="0.7" right="0.7" top="0.75" bottom="0.75" header="0.3" footer="0.3"/>
  <pageSetup paperSize="9" scale="60" orientation="portrait" r:id="rId2"/>
  <headerFooter>
    <oddFooter>&amp;R&amp;1#&amp;"Calibri"&amp;10&amp;KFF0000|PUBLIC|</oddFooter>
    <evenFooter>&amp;LPUBLIC</evenFooter>
    <firstFooter>&amp;LPUBLIC</firstFooter>
  </headerFooter>
  <colBreaks count="1" manualBreakCount="1">
    <brk id="6" max="1048575" man="1"/>
  </colBreak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H107"/>
  <sheetViews>
    <sheetView view="pageBreakPreview" zoomScaleNormal="100" zoomScaleSheetLayoutView="100" workbookViewId="0">
      <selection sqref="A1:F1"/>
    </sheetView>
  </sheetViews>
  <sheetFormatPr defaultColWidth="9.21875" defaultRowHeight="10.199999999999999" x14ac:dyDescent="0.2"/>
  <cols>
    <col min="1" max="1" width="38.77734375" style="9" bestFit="1" customWidth="1"/>
    <col min="2" max="2" width="34.21875" style="9" bestFit="1" customWidth="1"/>
    <col min="3" max="3" width="23.44140625" style="9" customWidth="1"/>
    <col min="4" max="4" width="15.44140625" style="10" bestFit="1" customWidth="1"/>
    <col min="5" max="5" width="23" style="13" bestFit="1" customWidth="1"/>
    <col min="6" max="6" width="14.77734375" style="14" bestFit="1" customWidth="1"/>
    <col min="7" max="8" width="9.21875" style="9"/>
    <col min="9" max="9" width="10.21875" style="9" bestFit="1" customWidth="1"/>
    <col min="10" max="16384" width="9.21875" style="9"/>
  </cols>
  <sheetData>
    <row r="1" spans="1:6" s="1" customFormat="1" ht="15" customHeight="1" x14ac:dyDescent="0.2">
      <c r="A1" s="92" t="s">
        <v>719</v>
      </c>
      <c r="B1" s="93"/>
      <c r="C1" s="93"/>
      <c r="D1" s="93"/>
      <c r="E1" s="93"/>
      <c r="F1" s="93"/>
    </row>
    <row r="2" spans="1:6" s="1" customFormat="1" ht="11.4" x14ac:dyDescent="0.2">
      <c r="D2" s="6"/>
      <c r="E2" s="7"/>
      <c r="F2" s="12"/>
    </row>
    <row r="3" spans="1:6" s="1" customFormat="1" ht="12" x14ac:dyDescent="0.2">
      <c r="A3" s="11" t="s">
        <v>7</v>
      </c>
      <c r="B3" s="2"/>
      <c r="C3" s="3"/>
      <c r="D3" s="4"/>
      <c r="E3" s="5"/>
      <c r="F3" s="12"/>
    </row>
    <row r="4" spans="1:6" s="1" customFormat="1" ht="17.55" customHeight="1" x14ac:dyDescent="0.2">
      <c r="A4" s="8" t="s">
        <v>2</v>
      </c>
      <c r="B4" s="8" t="s">
        <v>0</v>
      </c>
      <c r="C4" s="17" t="s">
        <v>259</v>
      </c>
      <c r="D4" s="16" t="s">
        <v>1</v>
      </c>
      <c r="E4" s="15" t="s">
        <v>3</v>
      </c>
      <c r="F4" s="15" t="s">
        <v>4</v>
      </c>
    </row>
    <row r="5" spans="1:6" x14ac:dyDescent="0.2">
      <c r="A5" s="21" t="s">
        <v>84</v>
      </c>
      <c r="B5" s="22"/>
      <c r="C5" s="22"/>
      <c r="D5" s="23"/>
      <c r="E5" s="24"/>
      <c r="F5" s="25"/>
    </row>
    <row r="6" spans="1:6" x14ac:dyDescent="0.2">
      <c r="A6" s="26" t="s">
        <v>27</v>
      </c>
      <c r="B6" s="27"/>
      <c r="C6" s="27"/>
      <c r="D6" s="28"/>
      <c r="E6" s="29"/>
      <c r="F6" s="30"/>
    </row>
    <row r="7" spans="1:6" x14ac:dyDescent="0.2">
      <c r="A7" s="27" t="s">
        <v>86</v>
      </c>
      <c r="B7" s="27" t="s">
        <v>85</v>
      </c>
      <c r="C7" s="27" t="s">
        <v>87</v>
      </c>
      <c r="D7" s="31">
        <v>5000000</v>
      </c>
      <c r="E7" s="29">
        <v>74682.5</v>
      </c>
      <c r="F7" s="30">
        <v>7.8950926729234201</v>
      </c>
    </row>
    <row r="8" spans="1:6" x14ac:dyDescent="0.2">
      <c r="A8" s="27" t="s">
        <v>89</v>
      </c>
      <c r="B8" s="27" t="s">
        <v>88</v>
      </c>
      <c r="C8" s="27" t="s">
        <v>90</v>
      </c>
      <c r="D8" s="31">
        <v>5300000</v>
      </c>
      <c r="E8" s="29">
        <v>72506.649999999994</v>
      </c>
      <c r="F8" s="30">
        <v>7.6650717524617296</v>
      </c>
    </row>
    <row r="9" spans="1:6" x14ac:dyDescent="0.2">
      <c r="A9" s="27" t="s">
        <v>94</v>
      </c>
      <c r="B9" s="27" t="s">
        <v>93</v>
      </c>
      <c r="C9" s="27" t="s">
        <v>87</v>
      </c>
      <c r="D9" s="31">
        <v>11000000</v>
      </c>
      <c r="E9" s="29">
        <v>64031</v>
      </c>
      <c r="F9" s="30">
        <v>6.7690647600168701</v>
      </c>
    </row>
    <row r="10" spans="1:6" x14ac:dyDescent="0.2">
      <c r="A10" s="27" t="s">
        <v>92</v>
      </c>
      <c r="B10" s="27" t="s">
        <v>91</v>
      </c>
      <c r="C10" s="27" t="s">
        <v>87</v>
      </c>
      <c r="D10" s="31">
        <v>8500000</v>
      </c>
      <c r="E10" s="29">
        <v>59283.25</v>
      </c>
      <c r="F10" s="30">
        <v>6.2671543226604296</v>
      </c>
    </row>
    <row r="11" spans="1:6" x14ac:dyDescent="0.2">
      <c r="A11" s="27" t="s">
        <v>96</v>
      </c>
      <c r="B11" s="27" t="s">
        <v>95</v>
      </c>
      <c r="C11" s="27" t="s">
        <v>97</v>
      </c>
      <c r="D11" s="31">
        <v>11200000</v>
      </c>
      <c r="E11" s="29">
        <v>57937.599999999999</v>
      </c>
      <c r="F11" s="30">
        <v>6.1248983529845402</v>
      </c>
    </row>
    <row r="12" spans="1:6" x14ac:dyDescent="0.2">
      <c r="A12" s="27" t="s">
        <v>183</v>
      </c>
      <c r="B12" s="27" t="s">
        <v>182</v>
      </c>
      <c r="C12" s="27" t="s">
        <v>184</v>
      </c>
      <c r="D12" s="31">
        <v>2900000</v>
      </c>
      <c r="E12" s="29">
        <v>41148.1</v>
      </c>
      <c r="F12" s="30">
        <v>4.3499891248246998</v>
      </c>
    </row>
    <row r="13" spans="1:6" x14ac:dyDescent="0.2">
      <c r="A13" s="27" t="s">
        <v>124</v>
      </c>
      <c r="B13" s="27" t="s">
        <v>123</v>
      </c>
      <c r="C13" s="27" t="s">
        <v>87</v>
      </c>
      <c r="D13" s="31">
        <v>10000000</v>
      </c>
      <c r="E13" s="29">
        <v>36430</v>
      </c>
      <c r="F13" s="30">
        <v>3.8512131499963198</v>
      </c>
    </row>
    <row r="14" spans="1:6" x14ac:dyDescent="0.2">
      <c r="A14" s="27" t="s">
        <v>156</v>
      </c>
      <c r="B14" s="27" t="s">
        <v>155</v>
      </c>
      <c r="C14" s="27" t="s">
        <v>135</v>
      </c>
      <c r="D14" s="31">
        <v>9500000</v>
      </c>
      <c r="E14" s="29">
        <v>28671</v>
      </c>
      <c r="F14" s="30">
        <v>3.0309671211513698</v>
      </c>
    </row>
    <row r="15" spans="1:6" x14ac:dyDescent="0.2">
      <c r="A15" s="27" t="s">
        <v>244</v>
      </c>
      <c r="B15" s="27" t="s">
        <v>243</v>
      </c>
      <c r="C15" s="27" t="s">
        <v>90</v>
      </c>
      <c r="D15" s="31">
        <v>2500000</v>
      </c>
      <c r="E15" s="29">
        <v>24566.25</v>
      </c>
      <c r="F15" s="30">
        <v>2.5970317059044001</v>
      </c>
    </row>
    <row r="16" spans="1:6" x14ac:dyDescent="0.2">
      <c r="A16" s="27" t="s">
        <v>137</v>
      </c>
      <c r="B16" s="27" t="s">
        <v>136</v>
      </c>
      <c r="C16" s="27" t="s">
        <v>117</v>
      </c>
      <c r="D16" s="31">
        <v>1970000</v>
      </c>
      <c r="E16" s="29">
        <v>24456.564999999999</v>
      </c>
      <c r="F16" s="30">
        <v>2.5854363088591801</v>
      </c>
    </row>
    <row r="17" spans="1:6" x14ac:dyDescent="0.2">
      <c r="A17" s="27" t="s">
        <v>132</v>
      </c>
      <c r="B17" s="27" t="s">
        <v>131</v>
      </c>
      <c r="C17" s="27" t="s">
        <v>130</v>
      </c>
      <c r="D17" s="31">
        <v>22000000</v>
      </c>
      <c r="E17" s="29">
        <v>23441</v>
      </c>
      <c r="F17" s="30">
        <v>2.4780754172128399</v>
      </c>
    </row>
    <row r="18" spans="1:6" x14ac:dyDescent="0.2">
      <c r="A18" s="27" t="s">
        <v>170</v>
      </c>
      <c r="B18" s="27" t="s">
        <v>169</v>
      </c>
      <c r="C18" s="27" t="s">
        <v>171</v>
      </c>
      <c r="D18" s="31">
        <v>1600000</v>
      </c>
      <c r="E18" s="29">
        <v>23208.799999999999</v>
      </c>
      <c r="F18" s="30">
        <v>2.45352829414314</v>
      </c>
    </row>
    <row r="19" spans="1:6" x14ac:dyDescent="0.2">
      <c r="A19" s="27" t="s">
        <v>134</v>
      </c>
      <c r="B19" s="27" t="s">
        <v>133</v>
      </c>
      <c r="C19" s="27" t="s">
        <v>135</v>
      </c>
      <c r="D19" s="31">
        <v>2900000</v>
      </c>
      <c r="E19" s="29">
        <v>23062.25</v>
      </c>
      <c r="F19" s="30">
        <v>2.4380356977354598</v>
      </c>
    </row>
    <row r="20" spans="1:6" x14ac:dyDescent="0.2">
      <c r="A20" s="27" t="s">
        <v>153</v>
      </c>
      <c r="B20" s="27" t="s">
        <v>152</v>
      </c>
      <c r="C20" s="27" t="s">
        <v>154</v>
      </c>
      <c r="D20" s="31">
        <v>11111093</v>
      </c>
      <c r="E20" s="29">
        <v>22361.074659999998</v>
      </c>
      <c r="F20" s="30">
        <v>2.3639106444864502</v>
      </c>
    </row>
    <row r="21" spans="1:6" x14ac:dyDescent="0.2">
      <c r="A21" s="27" t="s">
        <v>105</v>
      </c>
      <c r="B21" s="27" t="s">
        <v>104</v>
      </c>
      <c r="C21" s="27" t="s">
        <v>106</v>
      </c>
      <c r="D21" s="31">
        <v>2200000</v>
      </c>
      <c r="E21" s="29">
        <v>22042.9</v>
      </c>
      <c r="F21" s="30">
        <v>2.3302746731829198</v>
      </c>
    </row>
    <row r="22" spans="1:6" x14ac:dyDescent="0.2">
      <c r="A22" s="27" t="s">
        <v>526</v>
      </c>
      <c r="B22" s="27" t="s">
        <v>525</v>
      </c>
      <c r="C22" s="27" t="s">
        <v>117</v>
      </c>
      <c r="D22" s="31">
        <v>3600000</v>
      </c>
      <c r="E22" s="29">
        <v>20028.599999999999</v>
      </c>
      <c r="F22" s="30">
        <v>2.11733208059337</v>
      </c>
    </row>
    <row r="23" spans="1:6" x14ac:dyDescent="0.2">
      <c r="A23" s="27" t="s">
        <v>121</v>
      </c>
      <c r="B23" s="27" t="s">
        <v>120</v>
      </c>
      <c r="C23" s="27" t="s">
        <v>122</v>
      </c>
      <c r="D23" s="31">
        <v>8500000</v>
      </c>
      <c r="E23" s="29">
        <v>19932.5</v>
      </c>
      <c r="F23" s="30">
        <v>2.1071728276777799</v>
      </c>
    </row>
    <row r="24" spans="1:6" x14ac:dyDescent="0.2">
      <c r="A24" s="27" t="s">
        <v>532</v>
      </c>
      <c r="B24" s="27" t="s">
        <v>531</v>
      </c>
      <c r="C24" s="27" t="s">
        <v>117</v>
      </c>
      <c r="D24" s="31">
        <v>4800000</v>
      </c>
      <c r="E24" s="29">
        <v>19742.400000000001</v>
      </c>
      <c r="F24" s="30">
        <v>2.0870763242516399</v>
      </c>
    </row>
    <row r="25" spans="1:6" x14ac:dyDescent="0.2">
      <c r="A25" s="27" t="s">
        <v>190</v>
      </c>
      <c r="B25" s="27" t="s">
        <v>189</v>
      </c>
      <c r="C25" s="27" t="s">
        <v>90</v>
      </c>
      <c r="D25" s="31">
        <v>1900000</v>
      </c>
      <c r="E25" s="29">
        <v>18837.55</v>
      </c>
      <c r="F25" s="30">
        <v>1.9914197165444201</v>
      </c>
    </row>
    <row r="26" spans="1:6" x14ac:dyDescent="0.2">
      <c r="A26" s="27" t="s">
        <v>534</v>
      </c>
      <c r="B26" s="27" t="s">
        <v>533</v>
      </c>
      <c r="C26" s="27" t="s">
        <v>127</v>
      </c>
      <c r="D26" s="31">
        <v>3000000</v>
      </c>
      <c r="E26" s="29">
        <v>17934</v>
      </c>
      <c r="F26" s="30">
        <v>1.8959005388974499</v>
      </c>
    </row>
    <row r="27" spans="1:6" x14ac:dyDescent="0.2">
      <c r="A27" s="27" t="s">
        <v>209</v>
      </c>
      <c r="B27" s="27" t="s">
        <v>208</v>
      </c>
      <c r="C27" s="27" t="s">
        <v>111</v>
      </c>
      <c r="D27" s="31">
        <v>12000000</v>
      </c>
      <c r="E27" s="29">
        <v>16260</v>
      </c>
      <c r="F27" s="30">
        <v>1.7189329074647299</v>
      </c>
    </row>
    <row r="28" spans="1:6" x14ac:dyDescent="0.2">
      <c r="A28" s="27" t="s">
        <v>510</v>
      </c>
      <c r="B28" s="27" t="s">
        <v>509</v>
      </c>
      <c r="C28" s="27" t="s">
        <v>127</v>
      </c>
      <c r="D28" s="31">
        <v>1550000</v>
      </c>
      <c r="E28" s="29">
        <v>15816.975</v>
      </c>
      <c r="F28" s="30">
        <v>1.67209832866218</v>
      </c>
    </row>
    <row r="29" spans="1:6" x14ac:dyDescent="0.2">
      <c r="A29" s="27" t="s">
        <v>536</v>
      </c>
      <c r="B29" s="27" t="s">
        <v>535</v>
      </c>
      <c r="C29" s="27" t="s">
        <v>176</v>
      </c>
      <c r="D29" s="31">
        <v>12000000</v>
      </c>
      <c r="E29" s="29">
        <v>14316</v>
      </c>
      <c r="F29" s="30">
        <v>1.5134221096719001</v>
      </c>
    </row>
    <row r="30" spans="1:6" x14ac:dyDescent="0.2">
      <c r="A30" s="27" t="s">
        <v>256</v>
      </c>
      <c r="B30" s="27" t="s">
        <v>255</v>
      </c>
      <c r="C30" s="27" t="s">
        <v>171</v>
      </c>
      <c r="D30" s="31">
        <v>720000</v>
      </c>
      <c r="E30" s="29">
        <v>13703.4</v>
      </c>
      <c r="F30" s="30">
        <v>1.4486608366637299</v>
      </c>
    </row>
    <row r="31" spans="1:6" x14ac:dyDescent="0.2">
      <c r="A31" s="27" t="s">
        <v>538</v>
      </c>
      <c r="B31" s="27" t="s">
        <v>537</v>
      </c>
      <c r="C31" s="27" t="s">
        <v>539</v>
      </c>
      <c r="D31" s="31">
        <v>3000000</v>
      </c>
      <c r="E31" s="29">
        <v>13368</v>
      </c>
      <c r="F31" s="30">
        <v>1.4132038811186101</v>
      </c>
    </row>
    <row r="32" spans="1:6" x14ac:dyDescent="0.2">
      <c r="A32" s="27" t="s">
        <v>168</v>
      </c>
      <c r="B32" s="27" t="s">
        <v>167</v>
      </c>
      <c r="C32" s="27" t="s">
        <v>127</v>
      </c>
      <c r="D32" s="31">
        <v>295102</v>
      </c>
      <c r="E32" s="29">
        <v>13326.80632</v>
      </c>
      <c r="F32" s="30">
        <v>1.4088490734844401</v>
      </c>
    </row>
    <row r="33" spans="1:6" x14ac:dyDescent="0.2">
      <c r="A33" s="27" t="s">
        <v>373</v>
      </c>
      <c r="B33" s="27" t="s">
        <v>372</v>
      </c>
      <c r="C33" s="27" t="s">
        <v>117</v>
      </c>
      <c r="D33" s="31">
        <v>9200000</v>
      </c>
      <c r="E33" s="29">
        <v>12585.6</v>
      </c>
      <c r="F33" s="30">
        <v>1.3304921279328501</v>
      </c>
    </row>
    <row r="34" spans="1:6" x14ac:dyDescent="0.2">
      <c r="A34" s="27" t="s">
        <v>496</v>
      </c>
      <c r="B34" s="27" t="s">
        <v>495</v>
      </c>
      <c r="C34" s="27" t="s">
        <v>203</v>
      </c>
      <c r="D34" s="31">
        <v>400000</v>
      </c>
      <c r="E34" s="29">
        <v>8997.6</v>
      </c>
      <c r="F34" s="30">
        <v>0.95118516163620404</v>
      </c>
    </row>
    <row r="35" spans="1:6" x14ac:dyDescent="0.2">
      <c r="A35" s="27" t="s">
        <v>541</v>
      </c>
      <c r="B35" s="27" t="s">
        <v>540</v>
      </c>
      <c r="C35" s="27" t="s">
        <v>176</v>
      </c>
      <c r="D35" s="31">
        <v>950000</v>
      </c>
      <c r="E35" s="29">
        <v>8818.375</v>
      </c>
      <c r="F35" s="30">
        <v>0.93223831352178999</v>
      </c>
    </row>
    <row r="36" spans="1:6" x14ac:dyDescent="0.2">
      <c r="A36" s="27" t="s">
        <v>520</v>
      </c>
      <c r="B36" s="27" t="s">
        <v>519</v>
      </c>
      <c r="C36" s="27" t="s">
        <v>171</v>
      </c>
      <c r="D36" s="31">
        <v>130000</v>
      </c>
      <c r="E36" s="29">
        <v>8759.3349999999991</v>
      </c>
      <c r="F36" s="30">
        <v>0.92599687447771195</v>
      </c>
    </row>
    <row r="37" spans="1:6" x14ac:dyDescent="0.2">
      <c r="A37" s="27" t="s">
        <v>232</v>
      </c>
      <c r="B37" s="27" t="s">
        <v>231</v>
      </c>
      <c r="C37" s="27" t="s">
        <v>233</v>
      </c>
      <c r="D37" s="31">
        <v>6145427</v>
      </c>
      <c r="E37" s="29">
        <v>7687.929177</v>
      </c>
      <c r="F37" s="30">
        <v>0.81273274616257996</v>
      </c>
    </row>
    <row r="38" spans="1:6" x14ac:dyDescent="0.2">
      <c r="A38" s="27" t="s">
        <v>230</v>
      </c>
      <c r="B38" s="27" t="s">
        <v>229</v>
      </c>
      <c r="C38" s="27" t="s">
        <v>135</v>
      </c>
      <c r="D38" s="31">
        <v>6000000</v>
      </c>
      <c r="E38" s="29">
        <v>7683</v>
      </c>
      <c r="F38" s="30">
        <v>0.81221165609172996</v>
      </c>
    </row>
    <row r="39" spans="1:6" x14ac:dyDescent="0.2">
      <c r="A39" s="27" t="s">
        <v>253</v>
      </c>
      <c r="B39" s="27" t="s">
        <v>252</v>
      </c>
      <c r="C39" s="27" t="s">
        <v>254</v>
      </c>
      <c r="D39" s="31">
        <v>1600000</v>
      </c>
      <c r="E39" s="29">
        <v>7440.8</v>
      </c>
      <c r="F39" s="30">
        <v>0.78660737871239705</v>
      </c>
    </row>
    <row r="40" spans="1:6" x14ac:dyDescent="0.2">
      <c r="A40" s="27" t="s">
        <v>420</v>
      </c>
      <c r="B40" s="27" t="s">
        <v>419</v>
      </c>
      <c r="C40" s="27" t="s">
        <v>171</v>
      </c>
      <c r="D40" s="31">
        <v>1700000</v>
      </c>
      <c r="E40" s="29">
        <v>7360.15</v>
      </c>
      <c r="F40" s="30">
        <v>0.77808142920519996</v>
      </c>
    </row>
    <row r="41" spans="1:6" x14ac:dyDescent="0.2">
      <c r="A41" s="27" t="s">
        <v>197</v>
      </c>
      <c r="B41" s="27" t="s">
        <v>196</v>
      </c>
      <c r="C41" s="27" t="s">
        <v>122</v>
      </c>
      <c r="D41" s="31">
        <v>8000000</v>
      </c>
      <c r="E41" s="29">
        <v>7348</v>
      </c>
      <c r="F41" s="30">
        <v>0.776796986718995</v>
      </c>
    </row>
    <row r="42" spans="1:6" x14ac:dyDescent="0.2">
      <c r="A42" s="27" t="s">
        <v>258</v>
      </c>
      <c r="B42" s="27" t="s">
        <v>257</v>
      </c>
      <c r="C42" s="27" t="s">
        <v>122</v>
      </c>
      <c r="D42" s="31">
        <v>1000000</v>
      </c>
      <c r="E42" s="29">
        <v>7222</v>
      </c>
      <c r="F42" s="30">
        <v>0.76347684241760705</v>
      </c>
    </row>
    <row r="43" spans="1:6" x14ac:dyDescent="0.2">
      <c r="A43" s="27" t="s">
        <v>126</v>
      </c>
      <c r="B43" s="27" t="s">
        <v>125</v>
      </c>
      <c r="C43" s="27" t="s">
        <v>127</v>
      </c>
      <c r="D43" s="31">
        <v>1500000</v>
      </c>
      <c r="E43" s="29">
        <v>6613.5</v>
      </c>
      <c r="F43" s="30">
        <v>0.69914900267638402</v>
      </c>
    </row>
    <row r="44" spans="1:6" x14ac:dyDescent="0.2">
      <c r="A44" s="27" t="s">
        <v>261</v>
      </c>
      <c r="B44" s="27" t="s">
        <v>260</v>
      </c>
      <c r="C44" s="27" t="s">
        <v>203</v>
      </c>
      <c r="D44" s="31">
        <v>1000000</v>
      </c>
      <c r="E44" s="29">
        <v>6360</v>
      </c>
      <c r="F44" s="30">
        <v>0.67235014092716505</v>
      </c>
    </row>
    <row r="45" spans="1:6" x14ac:dyDescent="0.2">
      <c r="A45" s="27" t="s">
        <v>494</v>
      </c>
      <c r="B45" s="27" t="s">
        <v>493</v>
      </c>
      <c r="C45" s="27" t="s">
        <v>106</v>
      </c>
      <c r="D45" s="31">
        <v>400000</v>
      </c>
      <c r="E45" s="29">
        <v>5624.8</v>
      </c>
      <c r="F45" s="30">
        <v>0.59462815608288</v>
      </c>
    </row>
    <row r="46" spans="1:6" x14ac:dyDescent="0.2">
      <c r="A46" s="27" t="s">
        <v>450</v>
      </c>
      <c r="B46" s="27" t="s">
        <v>449</v>
      </c>
      <c r="C46" s="27" t="s">
        <v>106</v>
      </c>
      <c r="D46" s="31">
        <v>1400000</v>
      </c>
      <c r="E46" s="29">
        <v>5495</v>
      </c>
      <c r="F46" s="30">
        <v>0.58090629314383202</v>
      </c>
    </row>
    <row r="47" spans="1:6" x14ac:dyDescent="0.2">
      <c r="A47" s="27" t="s">
        <v>401</v>
      </c>
      <c r="B47" s="27" t="s">
        <v>400</v>
      </c>
      <c r="C47" s="27" t="s">
        <v>402</v>
      </c>
      <c r="D47" s="31">
        <v>230000</v>
      </c>
      <c r="E47" s="29">
        <v>5154.76</v>
      </c>
      <c r="F47" s="30">
        <v>0.54493767491284795</v>
      </c>
    </row>
    <row r="48" spans="1:6" x14ac:dyDescent="0.2">
      <c r="A48" s="27" t="s">
        <v>158</v>
      </c>
      <c r="B48" s="27" t="s">
        <v>157</v>
      </c>
      <c r="C48" s="27" t="s">
        <v>159</v>
      </c>
      <c r="D48" s="31">
        <v>7000000</v>
      </c>
      <c r="E48" s="29">
        <v>4112.5</v>
      </c>
      <c r="F48" s="30">
        <v>0.43475470983694398</v>
      </c>
    </row>
    <row r="49" spans="1:8" x14ac:dyDescent="0.2">
      <c r="A49" s="27" t="s">
        <v>543</v>
      </c>
      <c r="B49" s="27" t="s">
        <v>542</v>
      </c>
      <c r="C49" s="27" t="s">
        <v>295</v>
      </c>
      <c r="D49" s="31">
        <v>4136465</v>
      </c>
      <c r="E49" s="29">
        <v>4014.4392830000002</v>
      </c>
      <c r="F49" s="30">
        <v>0.42438817887871</v>
      </c>
    </row>
    <row r="50" spans="1:8" x14ac:dyDescent="0.2">
      <c r="A50" s="27" t="s">
        <v>143</v>
      </c>
      <c r="B50" s="27" t="s">
        <v>142</v>
      </c>
      <c r="C50" s="27" t="s">
        <v>87</v>
      </c>
      <c r="D50" s="31">
        <v>7000000</v>
      </c>
      <c r="E50" s="29">
        <v>3892</v>
      </c>
      <c r="F50" s="30">
        <v>0.41144445730951601</v>
      </c>
    </row>
    <row r="51" spans="1:8" x14ac:dyDescent="0.2">
      <c r="A51" s="27" t="s">
        <v>545</v>
      </c>
      <c r="B51" s="27" t="s">
        <v>544</v>
      </c>
      <c r="C51" s="27" t="s">
        <v>154</v>
      </c>
      <c r="D51" s="31">
        <v>2800000</v>
      </c>
      <c r="E51" s="29">
        <v>3890.6</v>
      </c>
      <c r="F51" s="30">
        <v>0.41129645570616802</v>
      </c>
    </row>
    <row r="52" spans="1:8" x14ac:dyDescent="0.2">
      <c r="A52" s="27" t="s">
        <v>242</v>
      </c>
      <c r="B52" s="27" t="s">
        <v>241</v>
      </c>
      <c r="C52" s="27" t="s">
        <v>100</v>
      </c>
      <c r="D52" s="31">
        <v>20000</v>
      </c>
      <c r="E52" s="29">
        <v>2817.68</v>
      </c>
      <c r="F52" s="30">
        <v>0.29787225551692698</v>
      </c>
    </row>
    <row r="53" spans="1:8" x14ac:dyDescent="0.2">
      <c r="A53" s="27" t="s">
        <v>161</v>
      </c>
      <c r="B53" s="27" t="s">
        <v>160</v>
      </c>
      <c r="C53" s="27" t="s">
        <v>154</v>
      </c>
      <c r="D53" s="31">
        <v>1344155</v>
      </c>
      <c r="E53" s="29">
        <v>2270.277795</v>
      </c>
      <c r="F53" s="30">
        <v>0.24000339550504099</v>
      </c>
    </row>
    <row r="54" spans="1:8" x14ac:dyDescent="0.2">
      <c r="A54" s="27" t="s">
        <v>446</v>
      </c>
      <c r="B54" s="27" t="s">
        <v>445</v>
      </c>
      <c r="C54" s="27" t="s">
        <v>233</v>
      </c>
      <c r="D54" s="31">
        <v>94712</v>
      </c>
      <c r="E54" s="29">
        <v>969.56674399999997</v>
      </c>
      <c r="F54" s="30">
        <v>0.102498166189731</v>
      </c>
    </row>
    <row r="55" spans="1:8" x14ac:dyDescent="0.2">
      <c r="A55" s="27" t="s">
        <v>546</v>
      </c>
      <c r="B55" s="27" t="s">
        <v>1546</v>
      </c>
      <c r="C55" s="27" t="s">
        <v>154</v>
      </c>
      <c r="D55" s="31">
        <v>413663</v>
      </c>
      <c r="E55" s="29">
        <v>305.90378850000002</v>
      </c>
      <c r="F55" s="30">
        <v>3.23387508346114E-2</v>
      </c>
    </row>
    <row r="56" spans="1:8" x14ac:dyDescent="0.2">
      <c r="A56" s="26" t="s">
        <v>34</v>
      </c>
      <c r="B56" s="26"/>
      <c r="C56" s="26"/>
      <c r="D56" s="32"/>
      <c r="E56" s="33">
        <f>SUM(E7:E55)</f>
        <v>916518.98776749999</v>
      </c>
      <c r="F56" s="34">
        <f>SUM(F7:F55)</f>
        <v>96.89019977797183</v>
      </c>
      <c r="G56" s="18"/>
      <c r="H56" s="18"/>
    </row>
    <row r="57" spans="1:8" x14ac:dyDescent="0.2">
      <c r="A57" s="27"/>
      <c r="B57" s="27"/>
      <c r="C57" s="27"/>
      <c r="D57" s="28"/>
      <c r="E57" s="29"/>
      <c r="F57" s="30"/>
    </row>
    <row r="58" spans="1:8" x14ac:dyDescent="0.2">
      <c r="A58" s="26" t="s">
        <v>1479</v>
      </c>
      <c r="B58" s="27"/>
      <c r="C58" s="27"/>
      <c r="D58" s="28"/>
      <c r="E58" s="29"/>
      <c r="F58" s="30"/>
    </row>
    <row r="59" spans="1:8" x14ac:dyDescent="0.2">
      <c r="A59" s="27"/>
      <c r="B59" s="27" t="s">
        <v>720</v>
      </c>
      <c r="C59" s="27" t="s">
        <v>176</v>
      </c>
      <c r="D59" s="31">
        <v>73500</v>
      </c>
      <c r="E59" s="29">
        <v>7.3499999999999998E-3</v>
      </c>
      <c r="F59" s="30">
        <v>7.77008417580921E-7</v>
      </c>
    </row>
    <row r="60" spans="1:8" x14ac:dyDescent="0.2">
      <c r="A60" s="27"/>
      <c r="B60" s="27" t="s">
        <v>721</v>
      </c>
      <c r="C60" s="27" t="s">
        <v>90</v>
      </c>
      <c r="D60" s="31">
        <v>45000</v>
      </c>
      <c r="E60" s="29">
        <v>4.4999999999999997E-3</v>
      </c>
      <c r="F60" s="30">
        <v>4.7571943933525797E-7</v>
      </c>
    </row>
    <row r="61" spans="1:8" x14ac:dyDescent="0.2">
      <c r="A61" s="27" t="s">
        <v>508</v>
      </c>
      <c r="B61" s="27" t="s">
        <v>722</v>
      </c>
      <c r="C61" s="27" t="s">
        <v>367</v>
      </c>
      <c r="D61" s="31">
        <v>38000</v>
      </c>
      <c r="E61" s="29">
        <v>3.8E-3</v>
      </c>
      <c r="F61" s="30">
        <v>4.0171863766088402E-7</v>
      </c>
    </row>
    <row r="62" spans="1:8" x14ac:dyDescent="0.2">
      <c r="A62" s="26" t="s">
        <v>34</v>
      </c>
      <c r="B62" s="26"/>
      <c r="C62" s="26"/>
      <c r="D62" s="32"/>
      <c r="E62" s="33">
        <f>SUM(E58:E61)</f>
        <v>1.5650000000000001E-2</v>
      </c>
      <c r="F62" s="34">
        <f>SUM(F58:F61)</f>
        <v>1.6544464945770629E-6</v>
      </c>
      <c r="G62" s="18"/>
      <c r="H62" s="18"/>
    </row>
    <row r="63" spans="1:8" x14ac:dyDescent="0.2">
      <c r="A63" s="27"/>
      <c r="B63" s="27"/>
      <c r="C63" s="27"/>
      <c r="D63" s="28"/>
      <c r="E63" s="29"/>
      <c r="F63" s="30"/>
    </row>
    <row r="64" spans="1:8" x14ac:dyDescent="0.2">
      <c r="A64" s="26" t="s">
        <v>36</v>
      </c>
      <c r="B64" s="26"/>
      <c r="C64" s="26"/>
      <c r="D64" s="32"/>
      <c r="E64" s="33">
        <f>E56+E62</f>
        <v>916519.00341749995</v>
      </c>
      <c r="F64" s="34">
        <f>F56+F62</f>
        <v>96.890201432418323</v>
      </c>
      <c r="G64" s="18"/>
      <c r="H64" s="18"/>
    </row>
    <row r="65" spans="1:8" x14ac:dyDescent="0.2">
      <c r="A65" s="26"/>
      <c r="B65" s="26"/>
      <c r="C65" s="26"/>
      <c r="D65" s="32"/>
      <c r="E65" s="33"/>
      <c r="F65" s="34"/>
      <c r="G65" s="18"/>
      <c r="H65" s="18"/>
    </row>
    <row r="66" spans="1:8" x14ac:dyDescent="0.2">
      <c r="A66" s="26" t="s">
        <v>38</v>
      </c>
      <c r="B66" s="26"/>
      <c r="C66" s="26"/>
      <c r="D66" s="32"/>
      <c r="E66" s="33">
        <f>E68-(E56+E62)</f>
        <v>29416.694793200004</v>
      </c>
      <c r="F66" s="34">
        <f>F68-(F56+F62)</f>
        <v>3.1097985675816773</v>
      </c>
      <c r="G66" s="18"/>
      <c r="H66" s="18"/>
    </row>
    <row r="67" spans="1:8" x14ac:dyDescent="0.2">
      <c r="A67" s="26"/>
      <c r="B67" s="26"/>
      <c r="C67" s="26"/>
      <c r="D67" s="32"/>
      <c r="E67" s="33"/>
      <c r="F67" s="34"/>
      <c r="G67" s="18"/>
      <c r="H67" s="18"/>
    </row>
    <row r="68" spans="1:8" x14ac:dyDescent="0.2">
      <c r="A68" s="35" t="s">
        <v>37</v>
      </c>
      <c r="B68" s="35"/>
      <c r="C68" s="35"/>
      <c r="D68" s="36"/>
      <c r="E68" s="37">
        <v>945935.69821069995</v>
      </c>
      <c r="F68" s="38">
        <v>100</v>
      </c>
      <c r="G68" s="18"/>
      <c r="H68" s="18"/>
    </row>
    <row r="69" spans="1:8" x14ac:dyDescent="0.2">
      <c r="F69" s="20" t="s">
        <v>497</v>
      </c>
    </row>
    <row r="70" spans="1:8" x14ac:dyDescent="0.2">
      <c r="A70" s="18" t="s">
        <v>39</v>
      </c>
      <c r="F70" s="20"/>
    </row>
    <row r="71" spans="1:8" x14ac:dyDescent="0.2">
      <c r="A71" s="18" t="s">
        <v>723</v>
      </c>
      <c r="F71" s="20"/>
    </row>
    <row r="72" spans="1:8" x14ac:dyDescent="0.2">
      <c r="A72" s="18" t="s">
        <v>716</v>
      </c>
      <c r="F72" s="20"/>
    </row>
    <row r="74" spans="1:8" x14ac:dyDescent="0.2">
      <c r="A74" s="18" t="s">
        <v>40</v>
      </c>
    </row>
    <row r="75" spans="1:8" x14ac:dyDescent="0.2">
      <c r="A75" s="18" t="s">
        <v>41</v>
      </c>
    </row>
    <row r="76" spans="1:8" x14ac:dyDescent="0.2">
      <c r="A76" s="18" t="s">
        <v>42</v>
      </c>
      <c r="B76" s="18"/>
      <c r="C76" s="39" t="s">
        <v>44</v>
      </c>
      <c r="D76" s="19" t="s">
        <v>43</v>
      </c>
    </row>
    <row r="77" spans="1:8" x14ac:dyDescent="0.2">
      <c r="A77" s="9" t="s">
        <v>65</v>
      </c>
      <c r="C77" s="40">
        <v>538.6087</v>
      </c>
      <c r="D77" s="40">
        <v>768.52980000000002</v>
      </c>
    </row>
    <row r="78" spans="1:8" x14ac:dyDescent="0.2">
      <c r="A78" s="9" t="s">
        <v>1003</v>
      </c>
      <c r="C78" s="40">
        <v>30.394400000000001</v>
      </c>
      <c r="D78" s="40">
        <v>40.700800000000001</v>
      </c>
    </row>
    <row r="79" spans="1:8" x14ac:dyDescent="0.2">
      <c r="A79" s="9" t="s">
        <v>66</v>
      </c>
      <c r="C79" s="40">
        <v>578.28120000000001</v>
      </c>
      <c r="D79" s="40">
        <v>828.22410000000002</v>
      </c>
    </row>
    <row r="80" spans="1:8" x14ac:dyDescent="0.2">
      <c r="A80" s="9" t="s">
        <v>1004</v>
      </c>
      <c r="C80" s="40">
        <v>33.413200000000003</v>
      </c>
      <c r="D80" s="40">
        <v>45.185200000000002</v>
      </c>
    </row>
    <row r="82" spans="1:4" x14ac:dyDescent="0.2">
      <c r="A82" s="18" t="s">
        <v>1560</v>
      </c>
    </row>
    <row r="83" spans="1:4" x14ac:dyDescent="0.2">
      <c r="A83" s="94" t="s">
        <v>64</v>
      </c>
      <c r="B83" s="95"/>
      <c r="C83" s="44" t="s">
        <v>1544</v>
      </c>
    </row>
    <row r="84" spans="1:4" x14ac:dyDescent="0.2">
      <c r="A84" s="88" t="s">
        <v>1003</v>
      </c>
      <c r="B84" s="89"/>
      <c r="C84" s="45">
        <v>2.75</v>
      </c>
    </row>
    <row r="85" spans="1:4" x14ac:dyDescent="0.2">
      <c r="A85" s="88" t="s">
        <v>1004</v>
      </c>
      <c r="B85" s="89"/>
      <c r="C85" s="45">
        <v>2.75</v>
      </c>
    </row>
    <row r="86" spans="1:4" x14ac:dyDescent="0.2">
      <c r="A86" s="9" t="s">
        <v>1545</v>
      </c>
    </row>
    <row r="87" spans="1:4" x14ac:dyDescent="0.2">
      <c r="A87" s="9" t="s">
        <v>782</v>
      </c>
    </row>
    <row r="89" spans="1:4" x14ac:dyDescent="0.2">
      <c r="A89" s="18" t="s">
        <v>215</v>
      </c>
      <c r="D89" s="46">
        <v>7.7132348917020394E-2</v>
      </c>
    </row>
    <row r="91" spans="1:4" x14ac:dyDescent="0.2">
      <c r="A91" s="18" t="s">
        <v>717</v>
      </c>
      <c r="D91" s="41">
        <v>1</v>
      </c>
    </row>
    <row r="92" spans="1:4" x14ac:dyDescent="0.2">
      <c r="A92" s="9" t="s">
        <v>712</v>
      </c>
      <c r="D92" s="41"/>
    </row>
    <row r="93" spans="1:4" x14ac:dyDescent="0.2">
      <c r="A93" s="50" t="s">
        <v>713</v>
      </c>
      <c r="D93" s="41"/>
    </row>
    <row r="95" spans="1:4" x14ac:dyDescent="0.2">
      <c r="A95" s="18" t="s">
        <v>718</v>
      </c>
    </row>
    <row r="96" spans="1:4" x14ac:dyDescent="0.2">
      <c r="A96" s="50" t="s">
        <v>47</v>
      </c>
    </row>
    <row r="98" spans="1:5" x14ac:dyDescent="0.2">
      <c r="A98" s="70" t="s">
        <v>1501</v>
      </c>
    </row>
    <row r="100" spans="1:5" x14ac:dyDescent="0.2">
      <c r="A100" s="18" t="s">
        <v>724</v>
      </c>
    </row>
    <row r="107" spans="1:5" x14ac:dyDescent="0.2">
      <c r="E107" s="72"/>
    </row>
  </sheetData>
  <mergeCells count="4">
    <mergeCell ref="A1:F1"/>
    <mergeCell ref="A83:B83"/>
    <mergeCell ref="A84:B84"/>
    <mergeCell ref="A85:B85"/>
  </mergeCells>
  <conditionalFormatting sqref="F2:F3 F5:F65542">
    <cfRule type="cellIs" dxfId="94" priority="1" stopIfTrue="1" operator="between">
      <formula>0.009</formula>
      <formula>-0.009</formula>
    </cfRule>
  </conditionalFormatting>
  <hyperlinks>
    <hyperlink ref="A93" r:id="rId1" xr:uid="{00000000-0004-0000-2800-000000000000}"/>
    <hyperlink ref="A96" r:id="rId2" xr:uid="{00000000-0004-0000-2800-000001000000}"/>
  </hyperlinks>
  <pageMargins left="0.7" right="0.7" top="0.75" bottom="0.75" header="0.3" footer="0.3"/>
  <pageSetup paperSize="9" scale="55" orientation="portrait" r:id="rId3"/>
  <headerFooter>
    <oddFooter>&amp;R&amp;1#&amp;"Calibri"&amp;10&amp;KFF0000|PUBLIC|</oddFooter>
    <evenFooter>&amp;LPUBLIC</evenFooter>
    <firstFooter>&amp;LPUBLIC</firstFooter>
  </headerFooter>
  <colBreaks count="1" manualBreakCount="1">
    <brk id="6" max="96" man="1"/>
  </colBreak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I87"/>
  <sheetViews>
    <sheetView view="pageBreakPreview" zoomScaleNormal="100" zoomScaleSheetLayoutView="100" workbookViewId="0">
      <selection sqref="A1:F1"/>
    </sheetView>
  </sheetViews>
  <sheetFormatPr defaultColWidth="9.21875" defaultRowHeight="10.199999999999999" x14ac:dyDescent="0.2"/>
  <cols>
    <col min="1" max="1" width="38.77734375" style="9" bestFit="1" customWidth="1"/>
    <col min="2" max="2" width="34.21875" style="9" bestFit="1" customWidth="1"/>
    <col min="3" max="3" width="22.44140625" style="9" customWidth="1"/>
    <col min="4" max="4" width="15.44140625" style="10" bestFit="1" customWidth="1"/>
    <col min="5" max="5" width="23" style="13" bestFit="1" customWidth="1"/>
    <col min="6" max="6" width="13.5546875" style="14" bestFit="1" customWidth="1"/>
    <col min="7" max="16384" width="9.21875" style="9"/>
  </cols>
  <sheetData>
    <row r="1" spans="1:6" s="1" customFormat="1" ht="13.8" x14ac:dyDescent="0.2">
      <c r="A1" s="92" t="s">
        <v>1485</v>
      </c>
      <c r="B1" s="93"/>
      <c r="C1" s="93"/>
      <c r="D1" s="93"/>
      <c r="E1" s="93"/>
      <c r="F1" s="93"/>
    </row>
    <row r="2" spans="1:6" s="1" customFormat="1" ht="11.4" x14ac:dyDescent="0.2">
      <c r="D2" s="6"/>
      <c r="E2" s="7"/>
      <c r="F2" s="12"/>
    </row>
    <row r="3" spans="1:6" s="1" customFormat="1" ht="12" x14ac:dyDescent="0.2">
      <c r="A3" s="11" t="s">
        <v>7</v>
      </c>
      <c r="B3" s="2"/>
      <c r="C3" s="3"/>
      <c r="D3" s="4"/>
      <c r="E3" s="5"/>
      <c r="F3" s="12"/>
    </row>
    <row r="4" spans="1:6" s="1" customFormat="1" ht="17.55" customHeight="1" x14ac:dyDescent="0.2">
      <c r="A4" s="8" t="s">
        <v>2</v>
      </c>
      <c r="B4" s="8" t="s">
        <v>0</v>
      </c>
      <c r="C4" s="17" t="s">
        <v>259</v>
      </c>
      <c r="D4" s="16" t="s">
        <v>1</v>
      </c>
      <c r="E4" s="15" t="s">
        <v>3</v>
      </c>
      <c r="F4" s="15" t="s">
        <v>4</v>
      </c>
    </row>
    <row r="5" spans="1:6" x14ac:dyDescent="0.2">
      <c r="A5" s="21" t="s">
        <v>84</v>
      </c>
      <c r="B5" s="22"/>
      <c r="C5" s="22"/>
      <c r="D5" s="23"/>
      <c r="E5" s="24"/>
      <c r="F5" s="25"/>
    </row>
    <row r="6" spans="1:6" x14ac:dyDescent="0.2">
      <c r="A6" s="26" t="s">
        <v>27</v>
      </c>
      <c r="B6" s="27"/>
      <c r="C6" s="27"/>
      <c r="D6" s="28"/>
      <c r="E6" s="29"/>
      <c r="F6" s="30"/>
    </row>
    <row r="7" spans="1:6" x14ac:dyDescent="0.2">
      <c r="A7" s="27" t="s">
        <v>89</v>
      </c>
      <c r="B7" s="27" t="s">
        <v>88</v>
      </c>
      <c r="C7" s="27" t="s">
        <v>90</v>
      </c>
      <c r="D7" s="31">
        <v>1729339</v>
      </c>
      <c r="E7" s="29">
        <v>23658.22219</v>
      </c>
      <c r="F7" s="30">
        <v>9.6206861866141296</v>
      </c>
    </row>
    <row r="8" spans="1:6" x14ac:dyDescent="0.2">
      <c r="A8" s="27" t="s">
        <v>86</v>
      </c>
      <c r="B8" s="27" t="s">
        <v>85</v>
      </c>
      <c r="C8" s="27" t="s">
        <v>87</v>
      </c>
      <c r="D8" s="31">
        <v>1288046</v>
      </c>
      <c r="E8" s="29">
        <v>19238.899079999999</v>
      </c>
      <c r="F8" s="30">
        <v>7.8235553431759897</v>
      </c>
    </row>
    <row r="9" spans="1:6" x14ac:dyDescent="0.2">
      <c r="A9" s="27" t="s">
        <v>92</v>
      </c>
      <c r="B9" s="27" t="s">
        <v>91</v>
      </c>
      <c r="C9" s="27" t="s">
        <v>87</v>
      </c>
      <c r="D9" s="31">
        <v>2494468</v>
      </c>
      <c r="E9" s="29">
        <v>17397.66707</v>
      </c>
      <c r="F9" s="30">
        <v>7.0748128881133203</v>
      </c>
    </row>
    <row r="10" spans="1:6" x14ac:dyDescent="0.2">
      <c r="A10" s="27" t="s">
        <v>94</v>
      </c>
      <c r="B10" s="27" t="s">
        <v>93</v>
      </c>
      <c r="C10" s="27" t="s">
        <v>87</v>
      </c>
      <c r="D10" s="31">
        <v>2285871</v>
      </c>
      <c r="E10" s="29">
        <v>13306.05509</v>
      </c>
      <c r="F10" s="30">
        <v>5.4109467471650996</v>
      </c>
    </row>
    <row r="11" spans="1:6" x14ac:dyDescent="0.2">
      <c r="A11" s="27" t="s">
        <v>188</v>
      </c>
      <c r="B11" s="27" t="s">
        <v>187</v>
      </c>
      <c r="C11" s="27" t="s">
        <v>130</v>
      </c>
      <c r="D11" s="31">
        <v>10377483</v>
      </c>
      <c r="E11" s="29">
        <v>10714.751200000001</v>
      </c>
      <c r="F11" s="30">
        <v>4.3571853385677901</v>
      </c>
    </row>
    <row r="12" spans="1:6" x14ac:dyDescent="0.2">
      <c r="A12" s="27" t="s">
        <v>456</v>
      </c>
      <c r="B12" s="27" t="s">
        <v>455</v>
      </c>
      <c r="C12" s="27" t="s">
        <v>402</v>
      </c>
      <c r="D12" s="31">
        <v>257232</v>
      </c>
      <c r="E12" s="29">
        <v>7466.5446480000001</v>
      </c>
      <c r="F12" s="30">
        <v>3.0362925151288098</v>
      </c>
    </row>
    <row r="13" spans="1:6" x14ac:dyDescent="0.2">
      <c r="A13" s="27" t="s">
        <v>96</v>
      </c>
      <c r="B13" s="27" t="s">
        <v>95</v>
      </c>
      <c r="C13" s="27" t="s">
        <v>97</v>
      </c>
      <c r="D13" s="31">
        <v>1433873</v>
      </c>
      <c r="E13" s="29">
        <v>7417.425029</v>
      </c>
      <c r="F13" s="30">
        <v>3.0163178764509802</v>
      </c>
    </row>
    <row r="14" spans="1:6" x14ac:dyDescent="0.2">
      <c r="A14" s="27" t="s">
        <v>194</v>
      </c>
      <c r="B14" s="27" t="s">
        <v>193</v>
      </c>
      <c r="C14" s="27" t="s">
        <v>195</v>
      </c>
      <c r="D14" s="31">
        <v>6017530</v>
      </c>
      <c r="E14" s="29">
        <v>6670.4320049999997</v>
      </c>
      <c r="F14" s="30">
        <v>2.71255094883578</v>
      </c>
    </row>
    <row r="15" spans="1:6" x14ac:dyDescent="0.2">
      <c r="A15" s="27" t="s">
        <v>149</v>
      </c>
      <c r="B15" s="27" t="s">
        <v>148</v>
      </c>
      <c r="C15" s="27" t="s">
        <v>87</v>
      </c>
      <c r="D15" s="31">
        <v>4236879</v>
      </c>
      <c r="E15" s="29">
        <v>6607.4128010000004</v>
      </c>
      <c r="F15" s="30">
        <v>2.6869240027134098</v>
      </c>
    </row>
    <row r="16" spans="1:6" x14ac:dyDescent="0.2">
      <c r="A16" s="27" t="s">
        <v>211</v>
      </c>
      <c r="B16" s="27" t="s">
        <v>210</v>
      </c>
      <c r="C16" s="27" t="s">
        <v>87</v>
      </c>
      <c r="D16" s="31">
        <v>8330054</v>
      </c>
      <c r="E16" s="29">
        <v>6314.1809320000002</v>
      </c>
      <c r="F16" s="30">
        <v>2.5676803939203698</v>
      </c>
    </row>
    <row r="17" spans="1:6" x14ac:dyDescent="0.2">
      <c r="A17" s="27" t="s">
        <v>183</v>
      </c>
      <c r="B17" s="27" t="s">
        <v>182</v>
      </c>
      <c r="C17" s="27" t="s">
        <v>184</v>
      </c>
      <c r="D17" s="31">
        <v>399838</v>
      </c>
      <c r="E17" s="29">
        <v>5673.3013819999996</v>
      </c>
      <c r="F17" s="30">
        <v>2.3070648250728198</v>
      </c>
    </row>
    <row r="18" spans="1:6" x14ac:dyDescent="0.2">
      <c r="A18" s="27" t="s">
        <v>119</v>
      </c>
      <c r="B18" s="27" t="s">
        <v>118</v>
      </c>
      <c r="C18" s="27" t="s">
        <v>111</v>
      </c>
      <c r="D18" s="31">
        <v>1965841</v>
      </c>
      <c r="E18" s="29">
        <v>5373.6263740000004</v>
      </c>
      <c r="F18" s="30">
        <v>2.1852010947052101</v>
      </c>
    </row>
    <row r="19" spans="1:6" x14ac:dyDescent="0.2">
      <c r="A19" s="27" t="s">
        <v>147</v>
      </c>
      <c r="B19" s="27" t="s">
        <v>146</v>
      </c>
      <c r="C19" s="27" t="s">
        <v>117</v>
      </c>
      <c r="D19" s="31">
        <v>210633</v>
      </c>
      <c r="E19" s="29">
        <v>5121.5413950000002</v>
      </c>
      <c r="F19" s="30">
        <v>2.0826899907075802</v>
      </c>
    </row>
    <row r="20" spans="1:6" x14ac:dyDescent="0.2">
      <c r="A20" s="27" t="s">
        <v>137</v>
      </c>
      <c r="B20" s="27" t="s">
        <v>136</v>
      </c>
      <c r="C20" s="27" t="s">
        <v>117</v>
      </c>
      <c r="D20" s="31">
        <v>397050</v>
      </c>
      <c r="E20" s="29">
        <v>4929.1772250000004</v>
      </c>
      <c r="F20" s="30">
        <v>2.00446453072772</v>
      </c>
    </row>
    <row r="21" spans="1:6" x14ac:dyDescent="0.2">
      <c r="A21" s="27" t="s">
        <v>246</v>
      </c>
      <c r="B21" s="27" t="s">
        <v>245</v>
      </c>
      <c r="C21" s="27" t="s">
        <v>247</v>
      </c>
      <c r="D21" s="31">
        <v>651059</v>
      </c>
      <c r="E21" s="29">
        <v>4894.6615620000002</v>
      </c>
      <c r="F21" s="30">
        <v>1.99042863404964</v>
      </c>
    </row>
    <row r="22" spans="1:6" x14ac:dyDescent="0.2">
      <c r="A22" s="27" t="s">
        <v>99</v>
      </c>
      <c r="B22" s="27" t="s">
        <v>98</v>
      </c>
      <c r="C22" s="27" t="s">
        <v>100</v>
      </c>
      <c r="D22" s="31">
        <v>282387</v>
      </c>
      <c r="E22" s="29">
        <v>4768.1044949999996</v>
      </c>
      <c r="F22" s="30">
        <v>1.9389638275850201</v>
      </c>
    </row>
    <row r="23" spans="1:6" x14ac:dyDescent="0.2">
      <c r="A23" s="27" t="s">
        <v>548</v>
      </c>
      <c r="B23" s="27" t="s">
        <v>547</v>
      </c>
      <c r="C23" s="27" t="s">
        <v>87</v>
      </c>
      <c r="D23" s="31">
        <v>480528</v>
      </c>
      <c r="E23" s="29">
        <v>4586.399496</v>
      </c>
      <c r="F23" s="30">
        <v>1.8650729510906301</v>
      </c>
    </row>
    <row r="24" spans="1:6" x14ac:dyDescent="0.2">
      <c r="A24" s="27" t="s">
        <v>232</v>
      </c>
      <c r="B24" s="27" t="s">
        <v>231</v>
      </c>
      <c r="C24" s="27" t="s">
        <v>233</v>
      </c>
      <c r="D24" s="31">
        <v>3644411</v>
      </c>
      <c r="E24" s="29">
        <v>4559.1581610000003</v>
      </c>
      <c r="F24" s="30">
        <v>1.8539951814579601</v>
      </c>
    </row>
    <row r="25" spans="1:6" x14ac:dyDescent="0.2">
      <c r="A25" s="27" t="s">
        <v>221</v>
      </c>
      <c r="B25" s="27" t="s">
        <v>220</v>
      </c>
      <c r="C25" s="27" t="s">
        <v>130</v>
      </c>
      <c r="D25" s="31">
        <v>18217899</v>
      </c>
      <c r="E25" s="29">
        <v>4454.2763059999997</v>
      </c>
      <c r="F25" s="30">
        <v>1.81134466420771</v>
      </c>
    </row>
    <row r="26" spans="1:6" x14ac:dyDescent="0.2">
      <c r="A26" s="27" t="s">
        <v>279</v>
      </c>
      <c r="B26" s="27" t="s">
        <v>278</v>
      </c>
      <c r="C26" s="27" t="s">
        <v>135</v>
      </c>
      <c r="D26" s="31">
        <v>3769680</v>
      </c>
      <c r="E26" s="29">
        <v>4278.5868</v>
      </c>
      <c r="F26" s="30">
        <v>1.73990000577425</v>
      </c>
    </row>
    <row r="27" spans="1:6" x14ac:dyDescent="0.2">
      <c r="A27" s="27" t="s">
        <v>126</v>
      </c>
      <c r="B27" s="27" t="s">
        <v>125</v>
      </c>
      <c r="C27" s="27" t="s">
        <v>127</v>
      </c>
      <c r="D27" s="31">
        <v>952564</v>
      </c>
      <c r="E27" s="29">
        <v>4199.8546759999999</v>
      </c>
      <c r="F27" s="30">
        <v>1.7078833541540901</v>
      </c>
    </row>
    <row r="28" spans="1:6" x14ac:dyDescent="0.2">
      <c r="A28" s="27" t="s">
        <v>263</v>
      </c>
      <c r="B28" s="27" t="s">
        <v>262</v>
      </c>
      <c r="C28" s="27" t="s">
        <v>117</v>
      </c>
      <c r="D28" s="31">
        <v>641207</v>
      </c>
      <c r="E28" s="29">
        <v>4096.671523</v>
      </c>
      <c r="F28" s="30">
        <v>1.6659236191078099</v>
      </c>
    </row>
    <row r="29" spans="1:6" x14ac:dyDescent="0.2">
      <c r="A29" s="27" t="s">
        <v>105</v>
      </c>
      <c r="B29" s="27" t="s">
        <v>104</v>
      </c>
      <c r="C29" s="27" t="s">
        <v>106</v>
      </c>
      <c r="D29" s="31">
        <v>408797</v>
      </c>
      <c r="E29" s="29">
        <v>4095.941542</v>
      </c>
      <c r="F29" s="30">
        <v>1.6656267701701899</v>
      </c>
    </row>
    <row r="30" spans="1:6" x14ac:dyDescent="0.2">
      <c r="A30" s="27" t="s">
        <v>202</v>
      </c>
      <c r="B30" s="27" t="s">
        <v>201</v>
      </c>
      <c r="C30" s="27" t="s">
        <v>203</v>
      </c>
      <c r="D30" s="31">
        <v>2493349</v>
      </c>
      <c r="E30" s="29">
        <v>4020.525263</v>
      </c>
      <c r="F30" s="30">
        <v>1.6349585167488601</v>
      </c>
    </row>
    <row r="31" spans="1:6" x14ac:dyDescent="0.2">
      <c r="A31" s="27" t="s">
        <v>470</v>
      </c>
      <c r="B31" s="27" t="s">
        <v>469</v>
      </c>
      <c r="C31" s="27" t="s">
        <v>471</v>
      </c>
      <c r="D31" s="31">
        <v>511291</v>
      </c>
      <c r="E31" s="29">
        <v>3960.2044409999999</v>
      </c>
      <c r="F31" s="30">
        <v>1.61042887566594</v>
      </c>
    </row>
    <row r="32" spans="1:6" x14ac:dyDescent="0.2">
      <c r="A32" s="27" t="s">
        <v>270</v>
      </c>
      <c r="B32" s="27" t="s">
        <v>269</v>
      </c>
      <c r="C32" s="27" t="s">
        <v>200</v>
      </c>
      <c r="D32" s="31">
        <v>351404</v>
      </c>
      <c r="E32" s="29">
        <v>3747.5479580000001</v>
      </c>
      <c r="F32" s="30">
        <v>1.52395148644957</v>
      </c>
    </row>
    <row r="33" spans="1:6" x14ac:dyDescent="0.2">
      <c r="A33" s="27" t="s">
        <v>205</v>
      </c>
      <c r="B33" s="27" t="s">
        <v>204</v>
      </c>
      <c r="C33" s="27" t="s">
        <v>176</v>
      </c>
      <c r="D33" s="31">
        <v>974352</v>
      </c>
      <c r="E33" s="29">
        <v>3652.845648</v>
      </c>
      <c r="F33" s="30">
        <v>1.4854405113500699</v>
      </c>
    </row>
    <row r="34" spans="1:6" x14ac:dyDescent="0.2">
      <c r="A34" s="27" t="s">
        <v>197</v>
      </c>
      <c r="B34" s="27" t="s">
        <v>196</v>
      </c>
      <c r="C34" s="27" t="s">
        <v>122</v>
      </c>
      <c r="D34" s="31">
        <v>3938381</v>
      </c>
      <c r="E34" s="29">
        <v>3617.4029489999998</v>
      </c>
      <c r="F34" s="30">
        <v>1.47102763273446</v>
      </c>
    </row>
    <row r="35" spans="1:6" x14ac:dyDescent="0.2">
      <c r="A35" s="27" t="s">
        <v>192</v>
      </c>
      <c r="B35" s="27" t="s">
        <v>191</v>
      </c>
      <c r="C35" s="27" t="s">
        <v>176</v>
      </c>
      <c r="D35" s="31">
        <v>560390</v>
      </c>
      <c r="E35" s="29">
        <v>3357.8568799999998</v>
      </c>
      <c r="F35" s="30">
        <v>1.36548245437047</v>
      </c>
    </row>
    <row r="36" spans="1:6" x14ac:dyDescent="0.2">
      <c r="A36" s="27" t="s">
        <v>510</v>
      </c>
      <c r="B36" s="27" t="s">
        <v>509</v>
      </c>
      <c r="C36" s="27" t="s">
        <v>127</v>
      </c>
      <c r="D36" s="31">
        <v>311893</v>
      </c>
      <c r="E36" s="29">
        <v>3182.7121189999998</v>
      </c>
      <c r="F36" s="30">
        <v>1.2942593181061299</v>
      </c>
    </row>
    <row r="37" spans="1:6" x14ac:dyDescent="0.2">
      <c r="A37" s="27" t="s">
        <v>230</v>
      </c>
      <c r="B37" s="27" t="s">
        <v>229</v>
      </c>
      <c r="C37" s="27" t="s">
        <v>135</v>
      </c>
      <c r="D37" s="31">
        <v>2415915</v>
      </c>
      <c r="E37" s="29">
        <v>3093.579158</v>
      </c>
      <c r="F37" s="30">
        <v>1.25801313528741</v>
      </c>
    </row>
    <row r="38" spans="1:6" x14ac:dyDescent="0.2">
      <c r="A38" s="27" t="s">
        <v>168</v>
      </c>
      <c r="B38" s="27" t="s">
        <v>167</v>
      </c>
      <c r="C38" s="27" t="s">
        <v>127</v>
      </c>
      <c r="D38" s="31">
        <v>67295</v>
      </c>
      <c r="E38" s="29">
        <v>3039.0421999999999</v>
      </c>
      <c r="F38" s="30">
        <v>1.2358355196459301</v>
      </c>
    </row>
    <row r="39" spans="1:6" x14ac:dyDescent="0.2">
      <c r="A39" s="27" t="s">
        <v>190</v>
      </c>
      <c r="B39" s="27" t="s">
        <v>189</v>
      </c>
      <c r="C39" s="27" t="s">
        <v>90</v>
      </c>
      <c r="D39" s="31">
        <v>283932</v>
      </c>
      <c r="E39" s="29">
        <v>2815.0438140000001</v>
      </c>
      <c r="F39" s="30">
        <v>1.14474591195237</v>
      </c>
    </row>
    <row r="40" spans="1:6" x14ac:dyDescent="0.2">
      <c r="A40" s="27" t="s">
        <v>475</v>
      </c>
      <c r="B40" s="27" t="s">
        <v>474</v>
      </c>
      <c r="C40" s="27" t="s">
        <v>295</v>
      </c>
      <c r="D40" s="31">
        <v>441969</v>
      </c>
      <c r="E40" s="29">
        <v>2642.97462</v>
      </c>
      <c r="F40" s="30">
        <v>1.0747734641258699</v>
      </c>
    </row>
    <row r="41" spans="1:6" x14ac:dyDescent="0.2">
      <c r="A41" s="27" t="s">
        <v>134</v>
      </c>
      <c r="B41" s="27" t="s">
        <v>133</v>
      </c>
      <c r="C41" s="27" t="s">
        <v>135</v>
      </c>
      <c r="D41" s="31">
        <v>326570</v>
      </c>
      <c r="E41" s="29">
        <v>2597.0479249999999</v>
      </c>
      <c r="F41" s="30">
        <v>1.0560972374578199</v>
      </c>
    </row>
    <row r="42" spans="1:6" x14ac:dyDescent="0.2">
      <c r="A42" s="27" t="s">
        <v>496</v>
      </c>
      <c r="B42" s="27" t="s">
        <v>495</v>
      </c>
      <c r="C42" s="27" t="s">
        <v>203</v>
      </c>
      <c r="D42" s="31">
        <v>90000</v>
      </c>
      <c r="E42" s="29">
        <v>2024.46</v>
      </c>
      <c r="F42" s="30">
        <v>0.82325266036200195</v>
      </c>
    </row>
    <row r="43" spans="1:6" x14ac:dyDescent="0.2">
      <c r="A43" s="27" t="s">
        <v>408</v>
      </c>
      <c r="B43" s="27" t="s">
        <v>407</v>
      </c>
      <c r="C43" s="27" t="s">
        <v>195</v>
      </c>
      <c r="D43" s="31">
        <v>5150797</v>
      </c>
      <c r="E43" s="29">
        <v>1905.7948899999999</v>
      </c>
      <c r="F43" s="30">
        <v>0.77499714160655597</v>
      </c>
    </row>
    <row r="44" spans="1:6" x14ac:dyDescent="0.2">
      <c r="A44" s="27" t="s">
        <v>145</v>
      </c>
      <c r="B44" s="27" t="s">
        <v>144</v>
      </c>
      <c r="C44" s="27" t="s">
        <v>117</v>
      </c>
      <c r="D44" s="31">
        <v>312320</v>
      </c>
      <c r="E44" s="29">
        <v>1877.1993600000001</v>
      </c>
      <c r="F44" s="30">
        <v>0.763368684562722</v>
      </c>
    </row>
    <row r="45" spans="1:6" x14ac:dyDescent="0.2">
      <c r="A45" s="27" t="s">
        <v>385</v>
      </c>
      <c r="B45" s="27" t="s">
        <v>384</v>
      </c>
      <c r="C45" s="27" t="s">
        <v>100</v>
      </c>
      <c r="D45" s="31">
        <v>150123</v>
      </c>
      <c r="E45" s="29">
        <v>1791.492821</v>
      </c>
      <c r="F45" s="30">
        <v>0.72851586640767296</v>
      </c>
    </row>
    <row r="46" spans="1:6" x14ac:dyDescent="0.2">
      <c r="A46" s="27" t="s">
        <v>275</v>
      </c>
      <c r="B46" s="27" t="s">
        <v>274</v>
      </c>
      <c r="C46" s="27" t="s">
        <v>114</v>
      </c>
      <c r="D46" s="31">
        <v>3050843</v>
      </c>
      <c r="E46" s="29">
        <v>1648.980642</v>
      </c>
      <c r="F46" s="30">
        <v>0.67056286635050399</v>
      </c>
    </row>
    <row r="47" spans="1:6" x14ac:dyDescent="0.2">
      <c r="A47" s="27" t="s">
        <v>153</v>
      </c>
      <c r="B47" s="27" t="s">
        <v>152</v>
      </c>
      <c r="C47" s="27" t="s">
        <v>154</v>
      </c>
      <c r="D47" s="31">
        <v>805716</v>
      </c>
      <c r="E47" s="29">
        <v>1621.5034499999999</v>
      </c>
      <c r="F47" s="30">
        <v>0.65938918476959996</v>
      </c>
    </row>
    <row r="48" spans="1:6" x14ac:dyDescent="0.2">
      <c r="A48" s="27" t="s">
        <v>237</v>
      </c>
      <c r="B48" s="27" t="s">
        <v>236</v>
      </c>
      <c r="C48" s="27" t="s">
        <v>203</v>
      </c>
      <c r="D48" s="31">
        <v>360275</v>
      </c>
      <c r="E48" s="29">
        <v>1372.467613</v>
      </c>
      <c r="F48" s="30">
        <v>0.55811802340522199</v>
      </c>
    </row>
    <row r="49" spans="1:9" x14ac:dyDescent="0.2">
      <c r="A49" s="27" t="s">
        <v>249</v>
      </c>
      <c r="B49" s="27" t="s">
        <v>248</v>
      </c>
      <c r="C49" s="27" t="s">
        <v>100</v>
      </c>
      <c r="D49" s="31">
        <v>42129</v>
      </c>
      <c r="E49" s="29">
        <v>1298.1208770000001</v>
      </c>
      <c r="F49" s="30">
        <v>0.52788470281541999</v>
      </c>
    </row>
    <row r="50" spans="1:9" x14ac:dyDescent="0.2">
      <c r="A50" s="27" t="s">
        <v>186</v>
      </c>
      <c r="B50" s="27" t="s">
        <v>185</v>
      </c>
      <c r="C50" s="27" t="s">
        <v>117</v>
      </c>
      <c r="D50" s="31">
        <v>202514</v>
      </c>
      <c r="E50" s="29">
        <v>1094.58817</v>
      </c>
      <c r="F50" s="30">
        <v>0.44511752415620698</v>
      </c>
    </row>
    <row r="51" spans="1:9" x14ac:dyDescent="0.2">
      <c r="A51" s="27" t="s">
        <v>110</v>
      </c>
      <c r="B51" s="27" t="s">
        <v>109</v>
      </c>
      <c r="C51" s="27" t="s">
        <v>111</v>
      </c>
      <c r="D51" s="31">
        <v>432307</v>
      </c>
      <c r="E51" s="29">
        <v>971.17767549999996</v>
      </c>
      <c r="F51" s="30">
        <v>0.394932280726495</v>
      </c>
    </row>
    <row r="52" spans="1:9" x14ac:dyDescent="0.2">
      <c r="A52" s="27" t="s">
        <v>251</v>
      </c>
      <c r="B52" s="27" t="s">
        <v>250</v>
      </c>
      <c r="C52" s="27" t="s">
        <v>176</v>
      </c>
      <c r="D52" s="31">
        <v>1113029</v>
      </c>
      <c r="E52" s="29">
        <v>971.11780250000004</v>
      </c>
      <c r="F52" s="30">
        <v>0.39490793319355599</v>
      </c>
    </row>
    <row r="53" spans="1:9" x14ac:dyDescent="0.2">
      <c r="A53" s="27" t="s">
        <v>199</v>
      </c>
      <c r="B53" s="27" t="s">
        <v>198</v>
      </c>
      <c r="C53" s="27" t="s">
        <v>200</v>
      </c>
      <c r="D53" s="31">
        <v>656332</v>
      </c>
      <c r="E53" s="29">
        <v>950.69690200000002</v>
      </c>
      <c r="F53" s="30">
        <v>0.38660371346898098</v>
      </c>
    </row>
    <row r="54" spans="1:9" x14ac:dyDescent="0.2">
      <c r="A54" s="27" t="s">
        <v>158</v>
      </c>
      <c r="B54" s="27" t="s">
        <v>157</v>
      </c>
      <c r="C54" s="27" t="s">
        <v>159</v>
      </c>
      <c r="D54" s="31">
        <v>1601194</v>
      </c>
      <c r="E54" s="29">
        <v>940.70147499999996</v>
      </c>
      <c r="F54" s="30">
        <v>0.38253904344872702</v>
      </c>
    </row>
    <row r="55" spans="1:9" x14ac:dyDescent="0.2">
      <c r="A55" s="27" t="s">
        <v>121</v>
      </c>
      <c r="B55" s="27" t="s">
        <v>120</v>
      </c>
      <c r="C55" s="27" t="s">
        <v>122</v>
      </c>
      <c r="D55" s="31">
        <v>275067</v>
      </c>
      <c r="E55" s="29">
        <v>645.03211499999998</v>
      </c>
      <c r="F55" s="30">
        <v>0.26230422171476803</v>
      </c>
    </row>
    <row r="56" spans="1:9" x14ac:dyDescent="0.2">
      <c r="A56" s="27" t="s">
        <v>488</v>
      </c>
      <c r="B56" s="27" t="s">
        <v>487</v>
      </c>
      <c r="C56" s="27" t="s">
        <v>362</v>
      </c>
      <c r="D56" s="31">
        <v>20675</v>
      </c>
      <c r="E56" s="29">
        <v>161.39938749999999</v>
      </c>
      <c r="F56" s="30">
        <v>6.5633539383427003E-2</v>
      </c>
    </row>
    <row r="57" spans="1:9" x14ac:dyDescent="0.2">
      <c r="A57" s="27" t="s">
        <v>161</v>
      </c>
      <c r="B57" s="27" t="s">
        <v>160</v>
      </c>
      <c r="C57" s="27" t="s">
        <v>154</v>
      </c>
      <c r="D57" s="31">
        <v>94174</v>
      </c>
      <c r="E57" s="29">
        <v>159.05988600000001</v>
      </c>
      <c r="F57" s="30">
        <v>6.4682174163172804E-2</v>
      </c>
    </row>
    <row r="58" spans="1:9" x14ac:dyDescent="0.2">
      <c r="A58" s="26" t="s">
        <v>34</v>
      </c>
      <c r="B58" s="26"/>
      <c r="C58" s="26"/>
      <c r="D58" s="32"/>
      <c r="E58" s="33">
        <f>SUM(E7:E57)</f>
        <v>238983.46702349992</v>
      </c>
      <c r="F58" s="34">
        <f>SUM(F7:F57)</f>
        <v>97.18333531392625</v>
      </c>
      <c r="G58" s="18"/>
      <c r="H58" s="18"/>
      <c r="I58" s="18"/>
    </row>
    <row r="59" spans="1:9" x14ac:dyDescent="0.2">
      <c r="A59" s="27"/>
      <c r="B59" s="27"/>
      <c r="C59" s="27"/>
      <c r="D59" s="28"/>
      <c r="E59" s="29"/>
      <c r="F59" s="30"/>
    </row>
    <row r="60" spans="1:9" x14ac:dyDescent="0.2">
      <c r="A60" s="26" t="s">
        <v>36</v>
      </c>
      <c r="B60" s="26"/>
      <c r="C60" s="26"/>
      <c r="D60" s="32"/>
      <c r="E60" s="33">
        <f>E58</f>
        <v>238983.46702349992</v>
      </c>
      <c r="F60" s="34">
        <f>F58</f>
        <v>97.18333531392625</v>
      </c>
      <c r="G60" s="18"/>
      <c r="H60" s="18"/>
      <c r="I60" s="18"/>
    </row>
    <row r="61" spans="1:9" x14ac:dyDescent="0.2">
      <c r="A61" s="26"/>
      <c r="B61" s="26"/>
      <c r="C61" s="26"/>
      <c r="D61" s="32"/>
      <c r="E61" s="33"/>
      <c r="F61" s="34"/>
      <c r="G61" s="18"/>
      <c r="H61" s="18"/>
      <c r="I61" s="18"/>
    </row>
    <row r="62" spans="1:9" x14ac:dyDescent="0.2">
      <c r="A62" s="26" t="s">
        <v>38</v>
      </c>
      <c r="B62" s="26"/>
      <c r="C62" s="26"/>
      <c r="D62" s="32"/>
      <c r="E62" s="33">
        <f>E64-(E58)</f>
        <v>6926.4580182000645</v>
      </c>
      <c r="F62" s="34">
        <f>F64-(F58)</f>
        <v>2.8166646860737501</v>
      </c>
      <c r="G62" s="18"/>
      <c r="H62" s="18"/>
      <c r="I62" s="18"/>
    </row>
    <row r="63" spans="1:9" x14ac:dyDescent="0.2">
      <c r="A63" s="26"/>
      <c r="B63" s="26"/>
      <c r="C63" s="26"/>
      <c r="D63" s="32"/>
      <c r="E63" s="33"/>
      <c r="F63" s="34"/>
      <c r="G63" s="18"/>
      <c r="H63" s="18"/>
      <c r="I63" s="18"/>
    </row>
    <row r="64" spans="1:9" x14ac:dyDescent="0.2">
      <c r="A64" s="35" t="s">
        <v>37</v>
      </c>
      <c r="B64" s="35"/>
      <c r="C64" s="35"/>
      <c r="D64" s="36"/>
      <c r="E64" s="37">
        <v>245909.92504169999</v>
      </c>
      <c r="F64" s="38">
        <v>100</v>
      </c>
      <c r="G64" s="18"/>
      <c r="H64" s="18"/>
      <c r="I64" s="18"/>
    </row>
    <row r="67" spans="1:4" x14ac:dyDescent="0.2">
      <c r="A67" s="18" t="s">
        <v>40</v>
      </c>
    </row>
    <row r="68" spans="1:4" x14ac:dyDescent="0.2">
      <c r="A68" s="18" t="s">
        <v>41</v>
      </c>
    </row>
    <row r="69" spans="1:4" x14ac:dyDescent="0.2">
      <c r="A69" s="18" t="s">
        <v>42</v>
      </c>
      <c r="B69" s="18"/>
      <c r="C69" s="39" t="s">
        <v>44</v>
      </c>
      <c r="D69" s="19" t="s">
        <v>43</v>
      </c>
    </row>
    <row r="70" spans="1:4" x14ac:dyDescent="0.2">
      <c r="A70" s="9" t="s">
        <v>65</v>
      </c>
      <c r="C70" s="40">
        <v>70.690799999999996</v>
      </c>
      <c r="D70" s="40">
        <v>98.4298</v>
      </c>
    </row>
    <row r="71" spans="1:4" x14ac:dyDescent="0.2">
      <c r="A71" s="9" t="s">
        <v>1003</v>
      </c>
      <c r="C71" s="40">
        <v>12.392300000000001</v>
      </c>
      <c r="D71" s="40">
        <v>15.759399999999999</v>
      </c>
    </row>
    <row r="72" spans="1:4" x14ac:dyDescent="0.2">
      <c r="A72" s="9" t="s">
        <v>66</v>
      </c>
      <c r="C72" s="40">
        <v>74.942800000000005</v>
      </c>
      <c r="D72" s="40">
        <v>104.7728</v>
      </c>
    </row>
    <row r="73" spans="1:4" x14ac:dyDescent="0.2">
      <c r="A73" s="9" t="s">
        <v>1004</v>
      </c>
      <c r="C73" s="40">
        <v>13.465999999999999</v>
      </c>
      <c r="D73" s="40">
        <v>17.329699999999999</v>
      </c>
    </row>
    <row r="75" spans="1:4" x14ac:dyDescent="0.2">
      <c r="A75" s="18" t="s">
        <v>1560</v>
      </c>
    </row>
    <row r="76" spans="1:4" x14ac:dyDescent="0.2">
      <c r="A76" s="94" t="s">
        <v>64</v>
      </c>
      <c r="B76" s="95"/>
      <c r="C76" s="44" t="s">
        <v>1544</v>
      </c>
    </row>
    <row r="77" spans="1:4" x14ac:dyDescent="0.2">
      <c r="A77" s="88" t="s">
        <v>1003</v>
      </c>
      <c r="B77" s="89"/>
      <c r="C77" s="45">
        <v>1.5</v>
      </c>
    </row>
    <row r="78" spans="1:4" x14ac:dyDescent="0.2">
      <c r="A78" s="88" t="s">
        <v>1004</v>
      </c>
      <c r="B78" s="89"/>
      <c r="C78" s="45">
        <v>1.5</v>
      </c>
    </row>
    <row r="79" spans="1:4" x14ac:dyDescent="0.2">
      <c r="A79" s="9" t="s">
        <v>1545</v>
      </c>
    </row>
    <row r="80" spans="1:4" x14ac:dyDescent="0.2">
      <c r="A80" s="9" t="s">
        <v>782</v>
      </c>
    </row>
    <row r="82" spans="1:4" x14ac:dyDescent="0.2">
      <c r="A82" s="18" t="s">
        <v>215</v>
      </c>
      <c r="D82" s="46">
        <v>7.856919089171284E-2</v>
      </c>
    </row>
    <row r="84" spans="1:4" x14ac:dyDescent="0.2">
      <c r="A84" s="18" t="s">
        <v>715</v>
      </c>
    </row>
    <row r="85" spans="1:4" x14ac:dyDescent="0.2">
      <c r="A85" s="50" t="s">
        <v>47</v>
      </c>
    </row>
    <row r="87" spans="1:4" x14ac:dyDescent="0.2">
      <c r="A87" s="18" t="s">
        <v>1486</v>
      </c>
    </row>
  </sheetData>
  <mergeCells count="4">
    <mergeCell ref="A1:F1"/>
    <mergeCell ref="A76:B76"/>
    <mergeCell ref="A77:B77"/>
    <mergeCell ref="A78:B78"/>
  </mergeCells>
  <conditionalFormatting sqref="F2:F3 F5:F65537">
    <cfRule type="cellIs" dxfId="93" priority="1" stopIfTrue="1" operator="between">
      <formula>0.009</formula>
      <formula>-0.009</formula>
    </cfRule>
  </conditionalFormatting>
  <hyperlinks>
    <hyperlink ref="A85" r:id="rId1" xr:uid="{00000000-0004-0000-2900-000000000000}"/>
  </hyperlinks>
  <pageMargins left="0.7" right="0.7" top="0.75" bottom="0.75" header="0.3" footer="0.3"/>
  <pageSetup paperSize="9" scale="59" orientation="portrait" r:id="rId2"/>
  <headerFooter>
    <oddFooter>&amp;R&amp;1#&amp;"Calibri"&amp;10&amp;KFF0000|PUBLIC|</oddFooter>
    <evenFooter>&amp;LPUBLIC</evenFooter>
    <firstFooter>&amp;LPUBLIC</firstFooter>
  </headerFooter>
  <colBreaks count="1" manualBreakCount="1">
    <brk id="6" max="1048575" man="1"/>
  </colBreak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I61"/>
  <sheetViews>
    <sheetView view="pageBreakPreview" zoomScaleNormal="100" zoomScaleSheetLayoutView="100" workbookViewId="0">
      <selection sqref="A1:F1"/>
    </sheetView>
  </sheetViews>
  <sheetFormatPr defaultColWidth="9.21875" defaultRowHeight="10.199999999999999" x14ac:dyDescent="0.2"/>
  <cols>
    <col min="1" max="1" width="38.77734375" style="9" bestFit="1" customWidth="1"/>
    <col min="2" max="2" width="25.44140625" style="9" customWidth="1"/>
    <col min="3" max="3" width="22.44140625" style="9" customWidth="1"/>
    <col min="4" max="4" width="15.44140625" style="10" bestFit="1" customWidth="1"/>
    <col min="5" max="5" width="23" style="13" bestFit="1" customWidth="1"/>
    <col min="6" max="6" width="13.5546875" style="14" bestFit="1" customWidth="1"/>
    <col min="7" max="16384" width="9.21875" style="9"/>
  </cols>
  <sheetData>
    <row r="1" spans="1:6" s="1" customFormat="1" ht="13.8" x14ac:dyDescent="0.2">
      <c r="A1" s="92" t="s">
        <v>14</v>
      </c>
      <c r="B1" s="93"/>
      <c r="C1" s="93"/>
      <c r="D1" s="93"/>
      <c r="E1" s="93"/>
      <c r="F1" s="93"/>
    </row>
    <row r="2" spans="1:6" s="1" customFormat="1" ht="11.4" x14ac:dyDescent="0.2">
      <c r="D2" s="6"/>
      <c r="E2" s="7"/>
      <c r="F2" s="12"/>
    </row>
    <row r="3" spans="1:6" s="1" customFormat="1" ht="12" x14ac:dyDescent="0.2">
      <c r="A3" s="11" t="s">
        <v>7</v>
      </c>
      <c r="B3" s="2"/>
      <c r="C3" s="3"/>
      <c r="D3" s="4"/>
      <c r="E3" s="5"/>
      <c r="F3" s="12"/>
    </row>
    <row r="4" spans="1:6" s="1" customFormat="1" ht="17.55" customHeight="1" x14ac:dyDescent="0.2">
      <c r="A4" s="8" t="s">
        <v>2</v>
      </c>
      <c r="B4" s="8" t="s">
        <v>0</v>
      </c>
      <c r="C4" s="17" t="s">
        <v>259</v>
      </c>
      <c r="D4" s="16" t="s">
        <v>1</v>
      </c>
      <c r="E4" s="15" t="s">
        <v>3</v>
      </c>
      <c r="F4" s="15" t="s">
        <v>4</v>
      </c>
    </row>
    <row r="5" spans="1:6" x14ac:dyDescent="0.2">
      <c r="A5" s="21" t="s">
        <v>84</v>
      </c>
      <c r="B5" s="22"/>
      <c r="C5" s="22"/>
      <c r="D5" s="23"/>
      <c r="E5" s="24"/>
      <c r="F5" s="25"/>
    </row>
    <row r="6" spans="1:6" x14ac:dyDescent="0.2">
      <c r="A6" s="26" t="s">
        <v>27</v>
      </c>
      <c r="B6" s="27"/>
      <c r="C6" s="27"/>
      <c r="D6" s="28"/>
      <c r="E6" s="29"/>
      <c r="F6" s="30"/>
    </row>
    <row r="7" spans="1:6" x14ac:dyDescent="0.2">
      <c r="A7" s="27" t="s">
        <v>94</v>
      </c>
      <c r="B7" s="27" t="s">
        <v>93</v>
      </c>
      <c r="C7" s="27" t="s">
        <v>87</v>
      </c>
      <c r="D7" s="31">
        <v>9500000</v>
      </c>
      <c r="E7" s="29">
        <v>55299.5</v>
      </c>
      <c r="F7" s="30">
        <v>9.3303342450233107</v>
      </c>
    </row>
    <row r="8" spans="1:6" x14ac:dyDescent="0.2">
      <c r="A8" s="27" t="s">
        <v>92</v>
      </c>
      <c r="B8" s="27" t="s">
        <v>91</v>
      </c>
      <c r="C8" s="27" t="s">
        <v>87</v>
      </c>
      <c r="D8" s="31">
        <v>7500000</v>
      </c>
      <c r="E8" s="29">
        <v>52308.75</v>
      </c>
      <c r="F8" s="30">
        <v>8.8257239475829401</v>
      </c>
    </row>
    <row r="9" spans="1:6" x14ac:dyDescent="0.2">
      <c r="A9" s="27" t="s">
        <v>124</v>
      </c>
      <c r="B9" s="27" t="s">
        <v>123</v>
      </c>
      <c r="C9" s="27" t="s">
        <v>87</v>
      </c>
      <c r="D9" s="31">
        <v>14269231</v>
      </c>
      <c r="E9" s="29">
        <v>51982.808530000002</v>
      </c>
      <c r="F9" s="30">
        <v>8.7707299085877608</v>
      </c>
    </row>
    <row r="10" spans="1:6" x14ac:dyDescent="0.2">
      <c r="A10" s="27" t="s">
        <v>96</v>
      </c>
      <c r="B10" s="27" t="s">
        <v>95</v>
      </c>
      <c r="C10" s="27" t="s">
        <v>97</v>
      </c>
      <c r="D10" s="31">
        <v>6500000</v>
      </c>
      <c r="E10" s="29">
        <v>33624.5</v>
      </c>
      <c r="F10" s="30">
        <v>5.6732488326618897</v>
      </c>
    </row>
    <row r="11" spans="1:6" x14ac:dyDescent="0.2">
      <c r="A11" s="27" t="s">
        <v>86</v>
      </c>
      <c r="B11" s="27" t="s">
        <v>85</v>
      </c>
      <c r="C11" s="27" t="s">
        <v>87</v>
      </c>
      <c r="D11" s="31">
        <v>1900000</v>
      </c>
      <c r="E11" s="29">
        <v>28379.35</v>
      </c>
      <c r="F11" s="30">
        <v>4.7882679076031804</v>
      </c>
    </row>
    <row r="12" spans="1:6" x14ac:dyDescent="0.2">
      <c r="A12" s="27" t="s">
        <v>183</v>
      </c>
      <c r="B12" s="27" t="s">
        <v>182</v>
      </c>
      <c r="C12" s="27" t="s">
        <v>184</v>
      </c>
      <c r="D12" s="31">
        <v>2000000</v>
      </c>
      <c r="E12" s="29">
        <v>28378</v>
      </c>
      <c r="F12" s="30">
        <v>4.7880401306570803</v>
      </c>
    </row>
    <row r="13" spans="1:6" x14ac:dyDescent="0.2">
      <c r="A13" s="27" t="s">
        <v>89</v>
      </c>
      <c r="B13" s="27" t="s">
        <v>88</v>
      </c>
      <c r="C13" s="27" t="s">
        <v>90</v>
      </c>
      <c r="D13" s="31">
        <v>2000000</v>
      </c>
      <c r="E13" s="29">
        <v>27361</v>
      </c>
      <c r="F13" s="30">
        <v>4.6164481645961102</v>
      </c>
    </row>
    <row r="14" spans="1:6" x14ac:dyDescent="0.2">
      <c r="A14" s="27" t="s">
        <v>132</v>
      </c>
      <c r="B14" s="27" t="s">
        <v>131</v>
      </c>
      <c r="C14" s="27" t="s">
        <v>130</v>
      </c>
      <c r="D14" s="31">
        <v>23503715</v>
      </c>
      <c r="E14" s="29">
        <v>25043.208330000001</v>
      </c>
      <c r="F14" s="30">
        <v>4.2253818621624397</v>
      </c>
    </row>
    <row r="15" spans="1:6" x14ac:dyDescent="0.2">
      <c r="A15" s="27" t="s">
        <v>510</v>
      </c>
      <c r="B15" s="27" t="s">
        <v>509</v>
      </c>
      <c r="C15" s="27" t="s">
        <v>127</v>
      </c>
      <c r="D15" s="31">
        <v>2100000</v>
      </c>
      <c r="E15" s="29">
        <v>21429.45</v>
      </c>
      <c r="F15" s="30">
        <v>3.6156553167210301</v>
      </c>
    </row>
    <row r="16" spans="1:6" x14ac:dyDescent="0.2">
      <c r="A16" s="27" t="s">
        <v>256</v>
      </c>
      <c r="B16" s="27" t="s">
        <v>255</v>
      </c>
      <c r="C16" s="27" t="s">
        <v>171</v>
      </c>
      <c r="D16" s="31">
        <v>1123148</v>
      </c>
      <c r="E16" s="29">
        <v>21376.314310000002</v>
      </c>
      <c r="F16" s="30">
        <v>3.6066900684269299</v>
      </c>
    </row>
    <row r="17" spans="1:6" x14ac:dyDescent="0.2">
      <c r="A17" s="27" t="s">
        <v>512</v>
      </c>
      <c r="B17" s="27" t="s">
        <v>511</v>
      </c>
      <c r="C17" s="27" t="s">
        <v>295</v>
      </c>
      <c r="D17" s="31">
        <v>1250000</v>
      </c>
      <c r="E17" s="29">
        <v>20399.375</v>
      </c>
      <c r="F17" s="30">
        <v>3.44185728875618</v>
      </c>
    </row>
    <row r="18" spans="1:6" x14ac:dyDescent="0.2">
      <c r="A18" s="27" t="s">
        <v>197</v>
      </c>
      <c r="B18" s="27" t="s">
        <v>196</v>
      </c>
      <c r="C18" s="27" t="s">
        <v>122</v>
      </c>
      <c r="D18" s="31">
        <v>22000000</v>
      </c>
      <c r="E18" s="29">
        <v>20207</v>
      </c>
      <c r="F18" s="30">
        <v>3.4093990739371201</v>
      </c>
    </row>
    <row r="19" spans="1:6" x14ac:dyDescent="0.2">
      <c r="A19" s="27" t="s">
        <v>139</v>
      </c>
      <c r="B19" s="27" t="s">
        <v>138</v>
      </c>
      <c r="C19" s="27" t="s">
        <v>122</v>
      </c>
      <c r="D19" s="31">
        <v>4700000</v>
      </c>
      <c r="E19" s="29">
        <v>20113.650000000001</v>
      </c>
      <c r="F19" s="30">
        <v>3.3936487199235601</v>
      </c>
    </row>
    <row r="20" spans="1:6" x14ac:dyDescent="0.2">
      <c r="A20" s="27" t="s">
        <v>209</v>
      </c>
      <c r="B20" s="27" t="s">
        <v>208</v>
      </c>
      <c r="C20" s="27" t="s">
        <v>111</v>
      </c>
      <c r="D20" s="31">
        <v>14110919</v>
      </c>
      <c r="E20" s="29">
        <v>19120.295249999999</v>
      </c>
      <c r="F20" s="30">
        <v>3.2260462670735102</v>
      </c>
    </row>
    <row r="21" spans="1:6" x14ac:dyDescent="0.2">
      <c r="A21" s="27" t="s">
        <v>516</v>
      </c>
      <c r="B21" s="27" t="s">
        <v>515</v>
      </c>
      <c r="C21" s="27" t="s">
        <v>127</v>
      </c>
      <c r="D21" s="31">
        <v>2108281</v>
      </c>
      <c r="E21" s="29">
        <v>17184.598429999998</v>
      </c>
      <c r="F21" s="30">
        <v>2.8994484076420699</v>
      </c>
    </row>
    <row r="22" spans="1:6" x14ac:dyDescent="0.2">
      <c r="A22" s="27" t="s">
        <v>520</v>
      </c>
      <c r="B22" s="27" t="s">
        <v>519</v>
      </c>
      <c r="C22" s="27" t="s">
        <v>171</v>
      </c>
      <c r="D22" s="31">
        <v>250000</v>
      </c>
      <c r="E22" s="29">
        <v>16844.875</v>
      </c>
      <c r="F22" s="30">
        <v>2.8421290258616598</v>
      </c>
    </row>
    <row r="23" spans="1:6" x14ac:dyDescent="0.2">
      <c r="A23" s="27" t="s">
        <v>211</v>
      </c>
      <c r="B23" s="27" t="s">
        <v>210</v>
      </c>
      <c r="C23" s="27" t="s">
        <v>87</v>
      </c>
      <c r="D23" s="31">
        <v>20000000</v>
      </c>
      <c r="E23" s="29">
        <v>15160</v>
      </c>
      <c r="F23" s="30">
        <v>2.5578507428557802</v>
      </c>
    </row>
    <row r="24" spans="1:6" x14ac:dyDescent="0.2">
      <c r="A24" s="27" t="s">
        <v>526</v>
      </c>
      <c r="B24" s="27" t="s">
        <v>525</v>
      </c>
      <c r="C24" s="27" t="s">
        <v>117</v>
      </c>
      <c r="D24" s="31">
        <v>2000000</v>
      </c>
      <c r="E24" s="29">
        <v>11127</v>
      </c>
      <c r="F24" s="30">
        <v>1.8773882068440799</v>
      </c>
    </row>
    <row r="25" spans="1:6" x14ac:dyDescent="0.2">
      <c r="A25" s="27" t="s">
        <v>456</v>
      </c>
      <c r="B25" s="27" t="s">
        <v>455</v>
      </c>
      <c r="C25" s="27" t="s">
        <v>402</v>
      </c>
      <c r="D25" s="31">
        <v>375000</v>
      </c>
      <c r="E25" s="29">
        <v>10884.9375</v>
      </c>
      <c r="F25" s="30">
        <v>1.8365465349811201</v>
      </c>
    </row>
    <row r="26" spans="1:6" x14ac:dyDescent="0.2">
      <c r="A26" s="27" t="s">
        <v>170</v>
      </c>
      <c r="B26" s="27" t="s">
        <v>169</v>
      </c>
      <c r="C26" s="27" t="s">
        <v>171</v>
      </c>
      <c r="D26" s="31">
        <v>750000</v>
      </c>
      <c r="E26" s="29">
        <v>10879.125</v>
      </c>
      <c r="F26" s="30">
        <v>1.83556582868542</v>
      </c>
    </row>
    <row r="27" spans="1:6" x14ac:dyDescent="0.2">
      <c r="A27" s="27" t="s">
        <v>550</v>
      </c>
      <c r="B27" s="27" t="s">
        <v>549</v>
      </c>
      <c r="C27" s="27" t="s">
        <v>171</v>
      </c>
      <c r="D27" s="31">
        <v>3000000</v>
      </c>
      <c r="E27" s="29">
        <v>9265.5</v>
      </c>
      <c r="F27" s="30">
        <v>1.56330910672363</v>
      </c>
    </row>
    <row r="28" spans="1:6" x14ac:dyDescent="0.2">
      <c r="A28" s="27" t="s">
        <v>141</v>
      </c>
      <c r="B28" s="27" t="s">
        <v>140</v>
      </c>
      <c r="C28" s="27" t="s">
        <v>135</v>
      </c>
      <c r="D28" s="31">
        <v>250000</v>
      </c>
      <c r="E28" s="29">
        <v>9176.5</v>
      </c>
      <c r="F28" s="30">
        <v>1.5482927006475</v>
      </c>
    </row>
    <row r="29" spans="1:6" x14ac:dyDescent="0.2">
      <c r="A29" s="27" t="s">
        <v>168</v>
      </c>
      <c r="B29" s="27" t="s">
        <v>167</v>
      </c>
      <c r="C29" s="27" t="s">
        <v>127</v>
      </c>
      <c r="D29" s="31">
        <v>150000</v>
      </c>
      <c r="E29" s="29">
        <v>6774</v>
      </c>
      <c r="F29" s="30">
        <v>1.1429340984238201</v>
      </c>
    </row>
    <row r="30" spans="1:6" x14ac:dyDescent="0.2">
      <c r="A30" s="27" t="s">
        <v>552</v>
      </c>
      <c r="B30" s="27" t="s">
        <v>551</v>
      </c>
      <c r="C30" s="27" t="s">
        <v>539</v>
      </c>
      <c r="D30" s="31">
        <v>750000</v>
      </c>
      <c r="E30" s="29">
        <v>6606.375</v>
      </c>
      <c r="F30" s="30">
        <v>1.1146517942832399</v>
      </c>
    </row>
    <row r="31" spans="1:6" x14ac:dyDescent="0.2">
      <c r="A31" s="27" t="s">
        <v>113</v>
      </c>
      <c r="B31" s="27" t="s">
        <v>112</v>
      </c>
      <c r="C31" s="27" t="s">
        <v>114</v>
      </c>
      <c r="D31" s="31">
        <v>2000000</v>
      </c>
      <c r="E31" s="29">
        <v>6537</v>
      </c>
      <c r="F31" s="30">
        <v>1.1029465901087201</v>
      </c>
    </row>
    <row r="32" spans="1:6" x14ac:dyDescent="0.2">
      <c r="A32" s="27" t="s">
        <v>129</v>
      </c>
      <c r="B32" s="27" t="s">
        <v>128</v>
      </c>
      <c r="C32" s="27" t="s">
        <v>130</v>
      </c>
      <c r="D32" s="31">
        <v>1500000</v>
      </c>
      <c r="E32" s="29">
        <v>3234.75</v>
      </c>
      <c r="F32" s="30">
        <v>0.54577887140189596</v>
      </c>
    </row>
    <row r="33" spans="1:9" x14ac:dyDescent="0.2">
      <c r="A33" s="27" t="s">
        <v>126</v>
      </c>
      <c r="B33" s="27" t="s">
        <v>125</v>
      </c>
      <c r="C33" s="27" t="s">
        <v>127</v>
      </c>
      <c r="D33" s="31">
        <v>500000</v>
      </c>
      <c r="E33" s="29">
        <v>2204.5</v>
      </c>
      <c r="F33" s="30">
        <v>0.371951316795882</v>
      </c>
    </row>
    <row r="34" spans="1:9" x14ac:dyDescent="0.2">
      <c r="A34" s="26" t="s">
        <v>34</v>
      </c>
      <c r="B34" s="26"/>
      <c r="C34" s="26"/>
      <c r="D34" s="32"/>
      <c r="E34" s="33">
        <f>SUM(E7:E33)</f>
        <v>550902.36235000007</v>
      </c>
      <c r="F34" s="34">
        <f>SUM(F7:F33)</f>
        <v>92.950264958967864</v>
      </c>
      <c r="G34" s="18"/>
      <c r="H34" s="18"/>
      <c r="I34" s="18"/>
    </row>
    <row r="35" spans="1:9" x14ac:dyDescent="0.2">
      <c r="A35" s="27"/>
      <c r="B35" s="27"/>
      <c r="C35" s="27"/>
      <c r="D35" s="28"/>
      <c r="E35" s="29"/>
      <c r="F35" s="30"/>
    </row>
    <row r="36" spans="1:9" x14ac:dyDescent="0.2">
      <c r="A36" s="26" t="s">
        <v>36</v>
      </c>
      <c r="B36" s="26"/>
      <c r="C36" s="26"/>
      <c r="D36" s="32"/>
      <c r="E36" s="33">
        <f>E34</f>
        <v>550902.36235000007</v>
      </c>
      <c r="F36" s="34">
        <f>F34</f>
        <v>92.950264958967864</v>
      </c>
      <c r="G36" s="18"/>
      <c r="H36" s="18"/>
      <c r="I36" s="18"/>
    </row>
    <row r="37" spans="1:9" x14ac:dyDescent="0.2">
      <c r="A37" s="26"/>
      <c r="B37" s="26"/>
      <c r="C37" s="26"/>
      <c r="D37" s="32"/>
      <c r="E37" s="33"/>
      <c r="F37" s="34"/>
      <c r="G37" s="18"/>
      <c r="H37" s="18"/>
      <c r="I37" s="18"/>
    </row>
    <row r="38" spans="1:9" x14ac:dyDescent="0.2">
      <c r="A38" s="26" t="s">
        <v>38</v>
      </c>
      <c r="B38" s="26"/>
      <c r="C38" s="26"/>
      <c r="D38" s="32"/>
      <c r="E38" s="33">
        <f>E40-(E34)</f>
        <v>41782.728535099886</v>
      </c>
      <c r="F38" s="34">
        <f>F40-(F34)</f>
        <v>7.049735041032136</v>
      </c>
      <c r="G38" s="18"/>
      <c r="H38" s="18"/>
      <c r="I38" s="18"/>
    </row>
    <row r="39" spans="1:9" x14ac:dyDescent="0.2">
      <c r="A39" s="26"/>
      <c r="B39" s="26"/>
      <c r="C39" s="26"/>
      <c r="D39" s="32"/>
      <c r="E39" s="33"/>
      <c r="F39" s="34"/>
      <c r="G39" s="18"/>
      <c r="H39" s="18"/>
      <c r="I39" s="18"/>
    </row>
    <row r="40" spans="1:9" x14ac:dyDescent="0.2">
      <c r="A40" s="35" t="s">
        <v>37</v>
      </c>
      <c r="B40" s="35"/>
      <c r="C40" s="35"/>
      <c r="D40" s="36"/>
      <c r="E40" s="37">
        <v>592685.09088509995</v>
      </c>
      <c r="F40" s="38">
        <v>100</v>
      </c>
      <c r="G40" s="18"/>
      <c r="H40" s="18"/>
      <c r="I40" s="18"/>
    </row>
    <row r="43" spans="1:9" x14ac:dyDescent="0.2">
      <c r="A43" s="18" t="s">
        <v>40</v>
      </c>
    </row>
    <row r="44" spans="1:9" x14ac:dyDescent="0.2">
      <c r="A44" s="18" t="s">
        <v>41</v>
      </c>
    </row>
    <row r="45" spans="1:9" x14ac:dyDescent="0.2">
      <c r="A45" s="18" t="s">
        <v>42</v>
      </c>
      <c r="B45" s="18"/>
      <c r="C45" s="39" t="s">
        <v>44</v>
      </c>
      <c r="D45" s="19" t="s">
        <v>43</v>
      </c>
    </row>
    <row r="46" spans="1:9" x14ac:dyDescent="0.2">
      <c r="A46" s="9" t="s">
        <v>65</v>
      </c>
      <c r="C46" s="40">
        <v>414.5197</v>
      </c>
      <c r="D46" s="40">
        <v>596.50530000000003</v>
      </c>
    </row>
    <row r="47" spans="1:9" x14ac:dyDescent="0.2">
      <c r="A47" s="9" t="s">
        <v>1003</v>
      </c>
      <c r="C47" s="40">
        <v>30.5319</v>
      </c>
      <c r="D47" s="40">
        <v>40.201900000000002</v>
      </c>
    </row>
    <row r="48" spans="1:9" x14ac:dyDescent="0.2">
      <c r="A48" s="9" t="s">
        <v>66</v>
      </c>
      <c r="C48" s="40">
        <v>441.86360000000002</v>
      </c>
      <c r="D48" s="40">
        <v>638.1499</v>
      </c>
    </row>
    <row r="49" spans="1:4" x14ac:dyDescent="0.2">
      <c r="A49" s="9" t="s">
        <v>1004</v>
      </c>
      <c r="C49" s="40">
        <v>33.456400000000002</v>
      </c>
      <c r="D49" s="40">
        <v>44.578400000000002</v>
      </c>
    </row>
    <row r="51" spans="1:4" x14ac:dyDescent="0.2">
      <c r="A51" s="18" t="s">
        <v>1560</v>
      </c>
    </row>
    <row r="52" spans="1:4" x14ac:dyDescent="0.2">
      <c r="A52" s="94" t="s">
        <v>64</v>
      </c>
      <c r="B52" s="95"/>
      <c r="C52" s="44" t="s">
        <v>1544</v>
      </c>
    </row>
    <row r="53" spans="1:4" x14ac:dyDescent="0.2">
      <c r="A53" s="88" t="s">
        <v>1003</v>
      </c>
      <c r="B53" s="89"/>
      <c r="C53" s="45">
        <v>3.5</v>
      </c>
    </row>
    <row r="54" spans="1:4" x14ac:dyDescent="0.2">
      <c r="A54" s="88" t="s">
        <v>1004</v>
      </c>
      <c r="B54" s="89"/>
      <c r="C54" s="45">
        <v>3.5</v>
      </c>
    </row>
    <row r="55" spans="1:4" x14ac:dyDescent="0.2">
      <c r="A55" s="9" t="s">
        <v>1545</v>
      </c>
    </row>
    <row r="56" spans="1:4" x14ac:dyDescent="0.2">
      <c r="A56" s="9" t="s">
        <v>782</v>
      </c>
    </row>
    <row r="58" spans="1:4" x14ac:dyDescent="0.2">
      <c r="A58" s="18" t="s">
        <v>215</v>
      </c>
      <c r="D58" s="46">
        <v>9.9979276921354679E-2</v>
      </c>
    </row>
    <row r="60" spans="1:4" x14ac:dyDescent="0.2">
      <c r="A60" s="18" t="s">
        <v>715</v>
      </c>
    </row>
    <row r="61" spans="1:4" x14ac:dyDescent="0.2">
      <c r="A61" s="50" t="s">
        <v>47</v>
      </c>
    </row>
  </sheetData>
  <mergeCells count="4">
    <mergeCell ref="A1:F1"/>
    <mergeCell ref="A52:B52"/>
    <mergeCell ref="A53:B53"/>
    <mergeCell ref="A54:B54"/>
  </mergeCells>
  <conditionalFormatting sqref="F2:F3 F5:F65537">
    <cfRule type="cellIs" dxfId="92" priority="1" stopIfTrue="1" operator="between">
      <formula>0.009</formula>
      <formula>-0.009</formula>
    </cfRule>
  </conditionalFormatting>
  <hyperlinks>
    <hyperlink ref="A61" r:id="rId1" xr:uid="{00000000-0004-0000-2A00-000000000000}"/>
  </hyperlinks>
  <pageMargins left="0.7" right="0.7" top="0.75" bottom="0.75" header="0.3" footer="0.3"/>
  <pageSetup paperSize="9" scale="63" orientation="portrait" r:id="rId2"/>
  <headerFooter>
    <oddFooter>&amp;R&amp;1#&amp;"Calibri"&amp;10&amp;KFF0000|PUBLIC|</oddFooter>
    <evenFooter>&amp;LPUBLIC</evenFooter>
    <firstFooter>&amp;LPUBLIC</firstFooter>
  </headerFooter>
  <colBreaks count="1" manualBreakCount="1">
    <brk id="6" max="1048575" man="1"/>
  </colBreak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I61"/>
  <sheetViews>
    <sheetView view="pageBreakPreview" zoomScaleNormal="100" zoomScaleSheetLayoutView="100" workbookViewId="0">
      <selection sqref="A1:F1"/>
    </sheetView>
  </sheetViews>
  <sheetFormatPr defaultColWidth="9.21875" defaultRowHeight="10.199999999999999" x14ac:dyDescent="0.2"/>
  <cols>
    <col min="1" max="1" width="38.77734375" style="9" bestFit="1" customWidth="1"/>
    <col min="2" max="2" width="25.44140625" style="9" customWidth="1"/>
    <col min="3" max="3" width="23" style="9" customWidth="1"/>
    <col min="4" max="4" width="15" style="10" customWidth="1"/>
    <col min="5" max="5" width="23" style="13" bestFit="1" customWidth="1"/>
    <col min="6" max="6" width="13.5546875" style="14" bestFit="1" customWidth="1"/>
    <col min="7" max="16384" width="9.21875" style="9"/>
  </cols>
  <sheetData>
    <row r="1" spans="1:6" s="1" customFormat="1" ht="13.8" x14ac:dyDescent="0.2">
      <c r="A1" s="92" t="s">
        <v>15</v>
      </c>
      <c r="B1" s="93"/>
      <c r="C1" s="93"/>
      <c r="D1" s="93"/>
      <c r="E1" s="93"/>
      <c r="F1" s="93"/>
    </row>
    <row r="2" spans="1:6" s="1" customFormat="1" ht="11.4" x14ac:dyDescent="0.2">
      <c r="D2" s="6"/>
      <c r="E2" s="7"/>
      <c r="F2" s="12"/>
    </row>
    <row r="3" spans="1:6" s="1" customFormat="1" ht="12" x14ac:dyDescent="0.2">
      <c r="A3" s="11" t="s">
        <v>7</v>
      </c>
      <c r="B3" s="2"/>
      <c r="C3" s="3"/>
      <c r="D3" s="4"/>
      <c r="E3" s="5"/>
      <c r="F3" s="12"/>
    </row>
    <row r="4" spans="1:6" s="1" customFormat="1" ht="17.55" customHeight="1" x14ac:dyDescent="0.2">
      <c r="A4" s="8" t="s">
        <v>2</v>
      </c>
      <c r="B4" s="8" t="s">
        <v>0</v>
      </c>
      <c r="C4" s="17" t="s">
        <v>259</v>
      </c>
      <c r="D4" s="16" t="s">
        <v>1</v>
      </c>
      <c r="E4" s="15" t="s">
        <v>3</v>
      </c>
      <c r="F4" s="15" t="s">
        <v>4</v>
      </c>
    </row>
    <row r="5" spans="1:6" x14ac:dyDescent="0.2">
      <c r="A5" s="21" t="s">
        <v>84</v>
      </c>
      <c r="B5" s="22"/>
      <c r="C5" s="22"/>
      <c r="D5" s="23"/>
      <c r="E5" s="24"/>
      <c r="F5" s="25"/>
    </row>
    <row r="6" spans="1:6" x14ac:dyDescent="0.2">
      <c r="A6" s="26" t="s">
        <v>27</v>
      </c>
      <c r="B6" s="27"/>
      <c r="C6" s="27"/>
      <c r="D6" s="28"/>
      <c r="E6" s="29"/>
      <c r="F6" s="30"/>
    </row>
    <row r="7" spans="1:6" x14ac:dyDescent="0.2">
      <c r="A7" s="27" t="s">
        <v>124</v>
      </c>
      <c r="B7" s="27" t="s">
        <v>123</v>
      </c>
      <c r="C7" s="27" t="s">
        <v>87</v>
      </c>
      <c r="D7" s="31">
        <v>2861538</v>
      </c>
      <c r="E7" s="29">
        <v>10424.58293</v>
      </c>
      <c r="F7" s="30">
        <v>10.9326236216115</v>
      </c>
    </row>
    <row r="8" spans="1:6" x14ac:dyDescent="0.2">
      <c r="A8" s="27" t="s">
        <v>92</v>
      </c>
      <c r="B8" s="27" t="s">
        <v>91</v>
      </c>
      <c r="C8" s="27" t="s">
        <v>87</v>
      </c>
      <c r="D8" s="31">
        <v>1275000</v>
      </c>
      <c r="E8" s="29">
        <v>8892.4874999999993</v>
      </c>
      <c r="F8" s="30">
        <v>9.3258617203388603</v>
      </c>
    </row>
    <row r="9" spans="1:6" x14ac:dyDescent="0.2">
      <c r="A9" s="27" t="s">
        <v>94</v>
      </c>
      <c r="B9" s="27" t="s">
        <v>93</v>
      </c>
      <c r="C9" s="27" t="s">
        <v>87</v>
      </c>
      <c r="D9" s="31">
        <v>1525000</v>
      </c>
      <c r="E9" s="29">
        <v>8877.0249999999996</v>
      </c>
      <c r="F9" s="30">
        <v>9.3096456574148707</v>
      </c>
    </row>
    <row r="10" spans="1:6" x14ac:dyDescent="0.2">
      <c r="A10" s="27" t="s">
        <v>96</v>
      </c>
      <c r="B10" s="27" t="s">
        <v>95</v>
      </c>
      <c r="C10" s="27" t="s">
        <v>97</v>
      </c>
      <c r="D10" s="31">
        <v>1000000</v>
      </c>
      <c r="E10" s="29">
        <v>5173</v>
      </c>
      <c r="F10" s="30">
        <v>5.4251054813754704</v>
      </c>
    </row>
    <row r="11" spans="1:6" x14ac:dyDescent="0.2">
      <c r="A11" s="27" t="s">
        <v>132</v>
      </c>
      <c r="B11" s="27" t="s">
        <v>131</v>
      </c>
      <c r="C11" s="27" t="s">
        <v>130</v>
      </c>
      <c r="D11" s="31">
        <v>4688274</v>
      </c>
      <c r="E11" s="29">
        <v>4995.355947</v>
      </c>
      <c r="F11" s="30">
        <v>5.2388039685852101</v>
      </c>
    </row>
    <row r="12" spans="1:6" x14ac:dyDescent="0.2">
      <c r="A12" s="27" t="s">
        <v>139</v>
      </c>
      <c r="B12" s="27" t="s">
        <v>138</v>
      </c>
      <c r="C12" s="27" t="s">
        <v>122</v>
      </c>
      <c r="D12" s="31">
        <v>1000000</v>
      </c>
      <c r="E12" s="29">
        <v>4279.5</v>
      </c>
      <c r="F12" s="30">
        <v>4.4880608752264299</v>
      </c>
    </row>
    <row r="13" spans="1:6" x14ac:dyDescent="0.2">
      <c r="A13" s="27" t="s">
        <v>197</v>
      </c>
      <c r="B13" s="27" t="s">
        <v>196</v>
      </c>
      <c r="C13" s="27" t="s">
        <v>122</v>
      </c>
      <c r="D13" s="31">
        <v>4500000</v>
      </c>
      <c r="E13" s="29">
        <v>4133.25</v>
      </c>
      <c r="F13" s="30">
        <v>4.3346834005210102</v>
      </c>
    </row>
    <row r="14" spans="1:6" x14ac:dyDescent="0.2">
      <c r="A14" s="27" t="s">
        <v>420</v>
      </c>
      <c r="B14" s="27" t="s">
        <v>419</v>
      </c>
      <c r="C14" s="27" t="s">
        <v>171</v>
      </c>
      <c r="D14" s="31">
        <v>900000</v>
      </c>
      <c r="E14" s="29">
        <v>3896.55</v>
      </c>
      <c r="F14" s="30">
        <v>4.08644785684392</v>
      </c>
    </row>
    <row r="15" spans="1:6" x14ac:dyDescent="0.2">
      <c r="A15" s="27" t="s">
        <v>256</v>
      </c>
      <c r="B15" s="27" t="s">
        <v>255</v>
      </c>
      <c r="C15" s="27" t="s">
        <v>171</v>
      </c>
      <c r="D15" s="31">
        <v>200000</v>
      </c>
      <c r="E15" s="29">
        <v>3806.5</v>
      </c>
      <c r="F15" s="30">
        <v>3.9920092818201698</v>
      </c>
    </row>
    <row r="16" spans="1:6" x14ac:dyDescent="0.2">
      <c r="A16" s="27" t="s">
        <v>514</v>
      </c>
      <c r="B16" s="27" t="s">
        <v>513</v>
      </c>
      <c r="C16" s="27" t="s">
        <v>203</v>
      </c>
      <c r="D16" s="31">
        <v>675000</v>
      </c>
      <c r="E16" s="29">
        <v>3528.2249999999999</v>
      </c>
      <c r="F16" s="30">
        <v>3.7001725859319499</v>
      </c>
    </row>
    <row r="17" spans="1:6" x14ac:dyDescent="0.2">
      <c r="A17" s="27" t="s">
        <v>183</v>
      </c>
      <c r="B17" s="27" t="s">
        <v>182</v>
      </c>
      <c r="C17" s="27" t="s">
        <v>184</v>
      </c>
      <c r="D17" s="31">
        <v>235000</v>
      </c>
      <c r="E17" s="29">
        <v>3334.415</v>
      </c>
      <c r="F17" s="30">
        <v>3.4969172808197602</v>
      </c>
    </row>
    <row r="18" spans="1:6" x14ac:dyDescent="0.2">
      <c r="A18" s="27" t="s">
        <v>512</v>
      </c>
      <c r="B18" s="27" t="s">
        <v>511</v>
      </c>
      <c r="C18" s="27" t="s">
        <v>295</v>
      </c>
      <c r="D18" s="31">
        <v>200000</v>
      </c>
      <c r="E18" s="29">
        <v>3263.9</v>
      </c>
      <c r="F18" s="30">
        <v>3.4229657414771699</v>
      </c>
    </row>
    <row r="19" spans="1:6" x14ac:dyDescent="0.2">
      <c r="A19" s="27" t="s">
        <v>209</v>
      </c>
      <c r="B19" s="27" t="s">
        <v>208</v>
      </c>
      <c r="C19" s="27" t="s">
        <v>111</v>
      </c>
      <c r="D19" s="31">
        <v>2400000</v>
      </c>
      <c r="E19" s="29">
        <v>3252</v>
      </c>
      <c r="F19" s="30">
        <v>3.4104857965267801</v>
      </c>
    </row>
    <row r="20" spans="1:6" x14ac:dyDescent="0.2">
      <c r="A20" s="27" t="s">
        <v>379</v>
      </c>
      <c r="B20" s="27" t="s">
        <v>378</v>
      </c>
      <c r="C20" s="27" t="s">
        <v>362</v>
      </c>
      <c r="D20" s="31">
        <v>700000</v>
      </c>
      <c r="E20" s="29">
        <v>3058.65</v>
      </c>
      <c r="F20" s="30">
        <v>3.2077129094546901</v>
      </c>
    </row>
    <row r="21" spans="1:6" x14ac:dyDescent="0.2">
      <c r="A21" s="27" t="s">
        <v>522</v>
      </c>
      <c r="B21" s="27" t="s">
        <v>521</v>
      </c>
      <c r="C21" s="27" t="s">
        <v>106</v>
      </c>
      <c r="D21" s="31">
        <v>550000</v>
      </c>
      <c r="E21" s="29">
        <v>2349.0500000000002</v>
      </c>
      <c r="F21" s="30">
        <v>2.4635306458583099</v>
      </c>
    </row>
    <row r="22" spans="1:6" x14ac:dyDescent="0.2">
      <c r="A22" s="27" t="s">
        <v>554</v>
      </c>
      <c r="B22" s="27" t="s">
        <v>553</v>
      </c>
      <c r="C22" s="27" t="s">
        <v>295</v>
      </c>
      <c r="D22" s="31">
        <v>1200000</v>
      </c>
      <c r="E22" s="29">
        <v>2130</v>
      </c>
      <c r="F22" s="30">
        <v>2.2338052726328601</v>
      </c>
    </row>
    <row r="23" spans="1:6" x14ac:dyDescent="0.2">
      <c r="A23" s="27" t="s">
        <v>520</v>
      </c>
      <c r="B23" s="27" t="s">
        <v>519</v>
      </c>
      <c r="C23" s="27" t="s">
        <v>171</v>
      </c>
      <c r="D23" s="31">
        <v>30000</v>
      </c>
      <c r="E23" s="29">
        <v>2021.385</v>
      </c>
      <c r="F23" s="30">
        <v>2.1198969347516301</v>
      </c>
    </row>
    <row r="24" spans="1:6" x14ac:dyDescent="0.2">
      <c r="A24" s="27" t="s">
        <v>237</v>
      </c>
      <c r="B24" s="27" t="s">
        <v>236</v>
      </c>
      <c r="C24" s="27" t="s">
        <v>203</v>
      </c>
      <c r="D24" s="31">
        <v>525000</v>
      </c>
      <c r="E24" s="29">
        <v>1999.9875</v>
      </c>
      <c r="F24" s="30">
        <v>2.0974566303754898</v>
      </c>
    </row>
    <row r="25" spans="1:6" x14ac:dyDescent="0.2">
      <c r="A25" s="27" t="s">
        <v>543</v>
      </c>
      <c r="B25" s="27" t="s">
        <v>542</v>
      </c>
      <c r="C25" s="27" t="s">
        <v>295</v>
      </c>
      <c r="D25" s="31">
        <v>2000000</v>
      </c>
      <c r="E25" s="29">
        <v>1941</v>
      </c>
      <c r="F25" s="30">
        <v>2.0355943822443101</v>
      </c>
    </row>
    <row r="26" spans="1:6" x14ac:dyDescent="0.2">
      <c r="A26" s="27" t="s">
        <v>524</v>
      </c>
      <c r="B26" s="27" t="s">
        <v>523</v>
      </c>
      <c r="C26" s="27" t="s">
        <v>362</v>
      </c>
      <c r="D26" s="31">
        <v>2100000</v>
      </c>
      <c r="E26" s="29">
        <v>1634.85</v>
      </c>
      <c r="F26" s="30">
        <v>1.7145242018609499</v>
      </c>
    </row>
    <row r="27" spans="1:6" x14ac:dyDescent="0.2">
      <c r="A27" s="27" t="s">
        <v>556</v>
      </c>
      <c r="B27" s="27" t="s">
        <v>555</v>
      </c>
      <c r="C27" s="27" t="s">
        <v>362</v>
      </c>
      <c r="D27" s="31">
        <v>2233265</v>
      </c>
      <c r="E27" s="29">
        <v>1563.2855</v>
      </c>
      <c r="F27" s="30">
        <v>1.6394720152725299</v>
      </c>
    </row>
    <row r="28" spans="1:6" x14ac:dyDescent="0.2">
      <c r="A28" s="27" t="s">
        <v>239</v>
      </c>
      <c r="B28" s="27" t="s">
        <v>238</v>
      </c>
      <c r="C28" s="27" t="s">
        <v>240</v>
      </c>
      <c r="D28" s="31">
        <v>1400000</v>
      </c>
      <c r="E28" s="29">
        <v>1430.1</v>
      </c>
      <c r="F28" s="30">
        <v>1.4997957372733599</v>
      </c>
    </row>
    <row r="29" spans="1:6" x14ac:dyDescent="0.2">
      <c r="A29" s="27" t="s">
        <v>558</v>
      </c>
      <c r="B29" s="27" t="s">
        <v>557</v>
      </c>
      <c r="C29" s="27" t="s">
        <v>203</v>
      </c>
      <c r="D29" s="31">
        <v>1200000</v>
      </c>
      <c r="E29" s="29">
        <v>1306.2</v>
      </c>
      <c r="F29" s="30">
        <v>1.36985748690753</v>
      </c>
    </row>
    <row r="30" spans="1:6" x14ac:dyDescent="0.2">
      <c r="A30" s="27" t="s">
        <v>428</v>
      </c>
      <c r="B30" s="27" t="s">
        <v>427</v>
      </c>
      <c r="C30" s="27" t="s">
        <v>203</v>
      </c>
      <c r="D30" s="31">
        <v>250000</v>
      </c>
      <c r="E30" s="29">
        <v>1235.5</v>
      </c>
      <c r="F30" s="30">
        <v>1.29571193161403</v>
      </c>
    </row>
    <row r="31" spans="1:6" x14ac:dyDescent="0.2">
      <c r="A31" s="27" t="s">
        <v>475</v>
      </c>
      <c r="B31" s="27" t="s">
        <v>474</v>
      </c>
      <c r="C31" s="27" t="s">
        <v>295</v>
      </c>
      <c r="D31" s="31">
        <v>200000</v>
      </c>
      <c r="E31" s="29">
        <v>1196</v>
      </c>
      <c r="F31" s="30">
        <v>1.2542869042577001</v>
      </c>
    </row>
    <row r="32" spans="1:6" x14ac:dyDescent="0.2">
      <c r="A32" s="27" t="s">
        <v>560</v>
      </c>
      <c r="B32" s="27" t="s">
        <v>559</v>
      </c>
      <c r="C32" s="27" t="s">
        <v>539</v>
      </c>
      <c r="D32" s="31">
        <v>600000</v>
      </c>
      <c r="E32" s="29">
        <v>926.1</v>
      </c>
      <c r="F32" s="30">
        <v>0.97123336290389095</v>
      </c>
    </row>
    <row r="33" spans="1:9" x14ac:dyDescent="0.2">
      <c r="A33" s="27" t="s">
        <v>129</v>
      </c>
      <c r="B33" s="27" t="s">
        <v>128</v>
      </c>
      <c r="C33" s="27" t="s">
        <v>130</v>
      </c>
      <c r="D33" s="31">
        <v>400000</v>
      </c>
      <c r="E33" s="29">
        <v>862.6</v>
      </c>
      <c r="F33" s="30">
        <v>0.90463869867281699</v>
      </c>
    </row>
    <row r="34" spans="1:9" x14ac:dyDescent="0.2">
      <c r="A34" s="26" t="s">
        <v>34</v>
      </c>
      <c r="B34" s="26"/>
      <c r="C34" s="26"/>
      <c r="D34" s="32"/>
      <c r="E34" s="33">
        <f>SUM(E7:E33)</f>
        <v>91511.499377000029</v>
      </c>
      <c r="F34" s="34">
        <f>SUM(F7:F33)</f>
        <v>95.971300382573219</v>
      </c>
      <c r="G34" s="18"/>
      <c r="H34" s="18"/>
      <c r="I34" s="18"/>
    </row>
    <row r="35" spans="1:9" x14ac:dyDescent="0.2">
      <c r="A35" s="27"/>
      <c r="B35" s="27"/>
      <c r="C35" s="27"/>
      <c r="D35" s="28"/>
      <c r="E35" s="29"/>
      <c r="F35" s="30"/>
    </row>
    <row r="36" spans="1:9" x14ac:dyDescent="0.2">
      <c r="A36" s="26" t="s">
        <v>36</v>
      </c>
      <c r="B36" s="26"/>
      <c r="C36" s="26"/>
      <c r="D36" s="32"/>
      <c r="E36" s="33">
        <f>E34</f>
        <v>91511.499377000029</v>
      </c>
      <c r="F36" s="34">
        <f>F34</f>
        <v>95.971300382573219</v>
      </c>
      <c r="G36" s="18"/>
      <c r="H36" s="18"/>
      <c r="I36" s="18"/>
    </row>
    <row r="37" spans="1:9" x14ac:dyDescent="0.2">
      <c r="A37" s="26"/>
      <c r="B37" s="26"/>
      <c r="C37" s="26"/>
      <c r="D37" s="32"/>
      <c r="E37" s="33"/>
      <c r="F37" s="34"/>
      <c r="G37" s="18"/>
      <c r="H37" s="18"/>
      <c r="I37" s="18"/>
    </row>
    <row r="38" spans="1:9" x14ac:dyDescent="0.2">
      <c r="A38" s="26" t="s">
        <v>38</v>
      </c>
      <c r="B38" s="26"/>
      <c r="C38" s="26"/>
      <c r="D38" s="32"/>
      <c r="E38" s="33">
        <f>E40-(E34)</f>
        <v>3841.4853300999675</v>
      </c>
      <c r="F38" s="34">
        <f>F40-(F34)</f>
        <v>4.0286996174267813</v>
      </c>
      <c r="G38" s="18"/>
      <c r="H38" s="18"/>
      <c r="I38" s="18"/>
    </row>
    <row r="39" spans="1:9" x14ac:dyDescent="0.2">
      <c r="A39" s="26"/>
      <c r="B39" s="26"/>
      <c r="C39" s="26"/>
      <c r="D39" s="32"/>
      <c r="E39" s="33"/>
      <c r="F39" s="34"/>
      <c r="G39" s="18"/>
      <c r="H39" s="18"/>
      <c r="I39" s="18"/>
    </row>
    <row r="40" spans="1:9" x14ac:dyDescent="0.2">
      <c r="A40" s="35" t="s">
        <v>37</v>
      </c>
      <c r="B40" s="35"/>
      <c r="C40" s="35"/>
      <c r="D40" s="36"/>
      <c r="E40" s="37">
        <v>95352.984707099997</v>
      </c>
      <c r="F40" s="38">
        <v>100</v>
      </c>
      <c r="G40" s="18"/>
      <c r="H40" s="18"/>
      <c r="I40" s="18"/>
    </row>
    <row r="43" spans="1:9" x14ac:dyDescent="0.2">
      <c r="A43" s="18" t="s">
        <v>40</v>
      </c>
    </row>
    <row r="44" spans="1:9" x14ac:dyDescent="0.2">
      <c r="A44" s="18" t="s">
        <v>41</v>
      </c>
    </row>
    <row r="45" spans="1:9" x14ac:dyDescent="0.2">
      <c r="A45" s="18" t="s">
        <v>42</v>
      </c>
      <c r="B45" s="18"/>
      <c r="C45" s="39" t="s">
        <v>44</v>
      </c>
      <c r="D45" s="19" t="s">
        <v>43</v>
      </c>
    </row>
    <row r="46" spans="1:9" x14ac:dyDescent="0.2">
      <c r="A46" s="9" t="s">
        <v>65</v>
      </c>
      <c r="C46" s="40">
        <v>32.683799999999998</v>
      </c>
      <c r="D46" s="40">
        <v>49.849600000000002</v>
      </c>
    </row>
    <row r="47" spans="1:9" x14ac:dyDescent="0.2">
      <c r="A47" s="9" t="s">
        <v>1003</v>
      </c>
      <c r="C47" s="40">
        <v>15.620799999999999</v>
      </c>
      <c r="D47" s="40">
        <v>21.872299999999999</v>
      </c>
    </row>
    <row r="48" spans="1:9" x14ac:dyDescent="0.2">
      <c r="A48" s="9" t="s">
        <v>66</v>
      </c>
      <c r="C48" s="40">
        <v>35.770499999999998</v>
      </c>
      <c r="D48" s="40">
        <v>54.834000000000003</v>
      </c>
    </row>
    <row r="49" spans="1:4" x14ac:dyDescent="0.2">
      <c r="A49" s="9" t="s">
        <v>1004</v>
      </c>
      <c r="C49" s="40">
        <v>17.655100000000001</v>
      </c>
      <c r="D49" s="40">
        <v>25.105799999999999</v>
      </c>
    </row>
    <row r="51" spans="1:4" x14ac:dyDescent="0.2">
      <c r="A51" s="18" t="s">
        <v>1560</v>
      </c>
    </row>
    <row r="52" spans="1:4" x14ac:dyDescent="0.2">
      <c r="A52" s="94" t="s">
        <v>64</v>
      </c>
      <c r="B52" s="95"/>
      <c r="C52" s="44" t="s">
        <v>1544</v>
      </c>
    </row>
    <row r="53" spans="1:4" x14ac:dyDescent="0.2">
      <c r="A53" s="88" t="s">
        <v>1003</v>
      </c>
      <c r="B53" s="89"/>
      <c r="C53" s="45">
        <v>1.75</v>
      </c>
    </row>
    <row r="54" spans="1:4" x14ac:dyDescent="0.2">
      <c r="A54" s="88" t="s">
        <v>1004</v>
      </c>
      <c r="B54" s="89"/>
      <c r="C54" s="45">
        <v>1.75</v>
      </c>
    </row>
    <row r="55" spans="1:4" x14ac:dyDescent="0.2">
      <c r="A55" s="9" t="s">
        <v>1545</v>
      </c>
    </row>
    <row r="56" spans="1:4" x14ac:dyDescent="0.2">
      <c r="A56" s="9" t="s">
        <v>782</v>
      </c>
    </row>
    <row r="58" spans="1:4" x14ac:dyDescent="0.2">
      <c r="A58" s="18" t="s">
        <v>215</v>
      </c>
      <c r="D58" s="46">
        <v>1.7600166020019355E-2</v>
      </c>
    </row>
    <row r="60" spans="1:4" x14ac:dyDescent="0.2">
      <c r="A60" s="18" t="s">
        <v>715</v>
      </c>
    </row>
    <row r="61" spans="1:4" x14ac:dyDescent="0.2">
      <c r="A61" s="50" t="s">
        <v>47</v>
      </c>
    </row>
  </sheetData>
  <mergeCells count="4">
    <mergeCell ref="A1:F1"/>
    <mergeCell ref="A52:B52"/>
    <mergeCell ref="A53:B53"/>
    <mergeCell ref="A54:B54"/>
  </mergeCells>
  <conditionalFormatting sqref="F2:F3 F5:F65537">
    <cfRule type="cellIs" dxfId="91" priority="1" stopIfTrue="1" operator="between">
      <formula>0.009</formula>
      <formula>-0.009</formula>
    </cfRule>
  </conditionalFormatting>
  <hyperlinks>
    <hyperlink ref="A61" r:id="rId1" xr:uid="{00000000-0004-0000-2B00-000000000000}"/>
  </hyperlinks>
  <pageMargins left="0.7" right="0.7" top="0.75" bottom="0.75" header="0.3" footer="0.3"/>
  <pageSetup paperSize="9" scale="63" orientation="portrait" r:id="rId2"/>
  <headerFooter>
    <oddFooter>&amp;R&amp;1#&amp;"Calibri"&amp;10&amp;KFF0000|PUBLIC|</oddFooter>
    <evenFooter>&amp;LPUBLIC</evenFooter>
    <firstFooter>&amp;LPUBLIC</firstFooter>
  </headerFooter>
  <colBreaks count="1" manualBreakCount="1">
    <brk id="6" max="1048575" man="1"/>
  </colBreak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I98"/>
  <sheetViews>
    <sheetView view="pageBreakPreview" zoomScale="106" zoomScaleNormal="100" zoomScaleSheetLayoutView="106" workbookViewId="0">
      <selection sqref="A1:F1"/>
    </sheetView>
  </sheetViews>
  <sheetFormatPr defaultColWidth="9.21875" defaultRowHeight="10.199999999999999" x14ac:dyDescent="0.2"/>
  <cols>
    <col min="1" max="1" width="38.77734375" style="9" bestFit="1" customWidth="1"/>
    <col min="2" max="2" width="39.5546875" style="9" bestFit="1" customWidth="1"/>
    <col min="3" max="3" width="35.77734375" style="9" bestFit="1" customWidth="1"/>
    <col min="4" max="4" width="15.44140625" style="10" bestFit="1" customWidth="1"/>
    <col min="5" max="5" width="23" style="13" bestFit="1" customWidth="1"/>
    <col min="6" max="6" width="14.77734375" style="14" bestFit="1" customWidth="1"/>
    <col min="7" max="16384" width="9.21875" style="9"/>
  </cols>
  <sheetData>
    <row r="1" spans="1:6" s="1" customFormat="1" ht="13.8" x14ac:dyDescent="0.2">
      <c r="A1" s="92" t="s">
        <v>16</v>
      </c>
      <c r="B1" s="93"/>
      <c r="C1" s="93"/>
      <c r="D1" s="93"/>
      <c r="E1" s="93"/>
      <c r="F1" s="93"/>
    </row>
    <row r="2" spans="1:6" s="1" customFormat="1" ht="11.4" x14ac:dyDescent="0.2">
      <c r="D2" s="6"/>
      <c r="E2" s="7"/>
      <c r="F2" s="12"/>
    </row>
    <row r="3" spans="1:6" s="1" customFormat="1" ht="12" x14ac:dyDescent="0.2">
      <c r="A3" s="11" t="s">
        <v>7</v>
      </c>
      <c r="B3" s="2"/>
      <c r="C3" s="3"/>
      <c r="D3" s="4"/>
      <c r="E3" s="5"/>
      <c r="F3" s="12"/>
    </row>
    <row r="4" spans="1:6" s="1" customFormat="1" ht="17.55" customHeight="1" x14ac:dyDescent="0.2">
      <c r="A4" s="8" t="s">
        <v>2</v>
      </c>
      <c r="B4" s="8" t="s">
        <v>0</v>
      </c>
      <c r="C4" s="17" t="s">
        <v>259</v>
      </c>
      <c r="D4" s="16" t="s">
        <v>1</v>
      </c>
      <c r="E4" s="15" t="s">
        <v>3</v>
      </c>
      <c r="F4" s="15" t="s">
        <v>4</v>
      </c>
    </row>
    <row r="5" spans="1:6" x14ac:dyDescent="0.2">
      <c r="A5" s="21" t="s">
        <v>84</v>
      </c>
      <c r="B5" s="22"/>
      <c r="C5" s="22"/>
      <c r="D5" s="23"/>
      <c r="E5" s="24"/>
      <c r="F5" s="25"/>
    </row>
    <row r="6" spans="1:6" x14ac:dyDescent="0.2">
      <c r="A6" s="26" t="s">
        <v>27</v>
      </c>
      <c r="B6" s="27"/>
      <c r="C6" s="27"/>
      <c r="D6" s="28"/>
      <c r="E6" s="29"/>
      <c r="F6" s="30"/>
    </row>
    <row r="7" spans="1:6" x14ac:dyDescent="0.2">
      <c r="A7" s="27" t="s">
        <v>86</v>
      </c>
      <c r="B7" s="27" t="s">
        <v>85</v>
      </c>
      <c r="C7" s="27" t="s">
        <v>87</v>
      </c>
      <c r="D7" s="31">
        <v>30253</v>
      </c>
      <c r="E7" s="29">
        <v>451.87393450000002</v>
      </c>
      <c r="F7" s="30">
        <v>1.73184176492491</v>
      </c>
    </row>
    <row r="8" spans="1:6" x14ac:dyDescent="0.2">
      <c r="A8" s="27" t="s">
        <v>94</v>
      </c>
      <c r="B8" s="27" t="s">
        <v>93</v>
      </c>
      <c r="C8" s="27" t="s">
        <v>87</v>
      </c>
      <c r="D8" s="31">
        <v>75949</v>
      </c>
      <c r="E8" s="29">
        <v>442.099129</v>
      </c>
      <c r="F8" s="30">
        <v>1.6943790676625701</v>
      </c>
    </row>
    <row r="9" spans="1:6" x14ac:dyDescent="0.2">
      <c r="A9" s="27" t="s">
        <v>108</v>
      </c>
      <c r="B9" s="27" t="s">
        <v>107</v>
      </c>
      <c r="C9" s="27" t="s">
        <v>87</v>
      </c>
      <c r="D9" s="31">
        <v>22917</v>
      </c>
      <c r="E9" s="29">
        <v>401.73500999999999</v>
      </c>
      <c r="F9" s="30">
        <v>1.53968046313707</v>
      </c>
    </row>
    <row r="10" spans="1:6" x14ac:dyDescent="0.2">
      <c r="A10" s="27" t="s">
        <v>562</v>
      </c>
      <c r="B10" s="27" t="s">
        <v>561</v>
      </c>
      <c r="C10" s="27" t="s">
        <v>362</v>
      </c>
      <c r="D10" s="31">
        <v>20861</v>
      </c>
      <c r="E10" s="29">
        <v>293.46211749999998</v>
      </c>
      <c r="F10" s="30">
        <v>1.12471623766518</v>
      </c>
    </row>
    <row r="11" spans="1:6" x14ac:dyDescent="0.2">
      <c r="A11" s="27" t="s">
        <v>113</v>
      </c>
      <c r="B11" s="27" t="s">
        <v>112</v>
      </c>
      <c r="C11" s="27" t="s">
        <v>114</v>
      </c>
      <c r="D11" s="31">
        <v>83344</v>
      </c>
      <c r="E11" s="29">
        <v>272.40986400000003</v>
      </c>
      <c r="F11" s="30">
        <v>1.04403184966783</v>
      </c>
    </row>
    <row r="12" spans="1:6" x14ac:dyDescent="0.2">
      <c r="A12" s="27" t="s">
        <v>194</v>
      </c>
      <c r="B12" s="27" t="s">
        <v>193</v>
      </c>
      <c r="C12" s="27" t="s">
        <v>195</v>
      </c>
      <c r="D12" s="31">
        <v>235400</v>
      </c>
      <c r="E12" s="29">
        <v>260.9409</v>
      </c>
      <c r="F12" s="30">
        <v>1.00007615906665</v>
      </c>
    </row>
    <row r="13" spans="1:6" x14ac:dyDescent="0.2">
      <c r="A13" s="27" t="s">
        <v>183</v>
      </c>
      <c r="B13" s="27" t="s">
        <v>182</v>
      </c>
      <c r="C13" s="27" t="s">
        <v>184</v>
      </c>
      <c r="D13" s="31">
        <v>18232</v>
      </c>
      <c r="E13" s="29">
        <v>258.693848</v>
      </c>
      <c r="F13" s="30">
        <v>0.991464158673524</v>
      </c>
    </row>
    <row r="14" spans="1:6" x14ac:dyDescent="0.2">
      <c r="A14" s="27" t="s">
        <v>263</v>
      </c>
      <c r="B14" s="27" t="s">
        <v>262</v>
      </c>
      <c r="C14" s="27" t="s">
        <v>117</v>
      </c>
      <c r="D14" s="31">
        <v>40295</v>
      </c>
      <c r="E14" s="29">
        <v>257.44475499999999</v>
      </c>
      <c r="F14" s="30">
        <v>0.98667691324838303</v>
      </c>
    </row>
    <row r="15" spans="1:6" x14ac:dyDescent="0.2">
      <c r="A15" s="27" t="s">
        <v>466</v>
      </c>
      <c r="B15" s="27" t="s">
        <v>465</v>
      </c>
      <c r="C15" s="27" t="s">
        <v>154</v>
      </c>
      <c r="D15" s="31">
        <v>31095</v>
      </c>
      <c r="E15" s="29">
        <v>233.53899749999999</v>
      </c>
      <c r="F15" s="30">
        <v>0.89505625071453399</v>
      </c>
    </row>
    <row r="16" spans="1:6" x14ac:dyDescent="0.2">
      <c r="A16" s="27" t="s">
        <v>564</v>
      </c>
      <c r="B16" s="27" t="s">
        <v>563</v>
      </c>
      <c r="C16" s="27" t="s">
        <v>416</v>
      </c>
      <c r="D16" s="31">
        <v>32972</v>
      </c>
      <c r="E16" s="29">
        <v>206.00905599999999</v>
      </c>
      <c r="F16" s="30">
        <v>0.78954562300285802</v>
      </c>
    </row>
    <row r="17" spans="1:9" x14ac:dyDescent="0.2">
      <c r="A17" s="27" t="s">
        <v>460</v>
      </c>
      <c r="B17" s="27" t="s">
        <v>459</v>
      </c>
      <c r="C17" s="27" t="s">
        <v>362</v>
      </c>
      <c r="D17" s="31">
        <v>27579</v>
      </c>
      <c r="E17" s="29">
        <v>158.62061850000001</v>
      </c>
      <c r="F17" s="30">
        <v>0.60792577514010504</v>
      </c>
    </row>
    <row r="18" spans="1:9" x14ac:dyDescent="0.2">
      <c r="A18" s="27" t="s">
        <v>566</v>
      </c>
      <c r="B18" s="27" t="s">
        <v>565</v>
      </c>
      <c r="C18" s="27" t="s">
        <v>402</v>
      </c>
      <c r="D18" s="31">
        <v>36747</v>
      </c>
      <c r="E18" s="29">
        <v>149.1376995</v>
      </c>
      <c r="F18" s="30">
        <v>0.57158175543962797</v>
      </c>
    </row>
    <row r="19" spans="1:9" x14ac:dyDescent="0.2">
      <c r="A19" s="27" t="s">
        <v>526</v>
      </c>
      <c r="B19" s="27" t="s">
        <v>525</v>
      </c>
      <c r="C19" s="27" t="s">
        <v>117</v>
      </c>
      <c r="D19" s="31">
        <v>25284</v>
      </c>
      <c r="E19" s="29">
        <v>140.66753399999999</v>
      </c>
      <c r="F19" s="30">
        <v>0.53911919177138401</v>
      </c>
    </row>
    <row r="20" spans="1:9" x14ac:dyDescent="0.2">
      <c r="A20" s="27" t="s">
        <v>456</v>
      </c>
      <c r="B20" s="27" t="s">
        <v>455</v>
      </c>
      <c r="C20" s="27" t="s">
        <v>402</v>
      </c>
      <c r="D20" s="31">
        <v>4528</v>
      </c>
      <c r="E20" s="29">
        <v>131.43199200000001</v>
      </c>
      <c r="F20" s="30">
        <v>0.50372326353530195</v>
      </c>
    </row>
    <row r="21" spans="1:9" x14ac:dyDescent="0.2">
      <c r="A21" s="27" t="s">
        <v>311</v>
      </c>
      <c r="B21" s="27" t="s">
        <v>310</v>
      </c>
      <c r="C21" s="27" t="s">
        <v>154</v>
      </c>
      <c r="D21" s="31">
        <v>2435</v>
      </c>
      <c r="E21" s="29">
        <v>104.2313925</v>
      </c>
      <c r="F21" s="30">
        <v>0.39947486448298702</v>
      </c>
    </row>
    <row r="22" spans="1:9" x14ac:dyDescent="0.2">
      <c r="A22" s="26" t="s">
        <v>34</v>
      </c>
      <c r="B22" s="26"/>
      <c r="C22" s="26"/>
      <c r="D22" s="32"/>
      <c r="E22" s="33">
        <f>SUM(E7:E21)</f>
        <v>3762.2968479999995</v>
      </c>
      <c r="F22" s="34">
        <f>SUM(F7:F21)</f>
        <v>14.419293338132913</v>
      </c>
      <c r="G22" s="18"/>
      <c r="H22" s="18"/>
      <c r="I22" s="18"/>
    </row>
    <row r="23" spans="1:9" x14ac:dyDescent="0.2">
      <c r="A23" s="27"/>
      <c r="B23" s="27"/>
      <c r="C23" s="27"/>
      <c r="D23" s="28"/>
      <c r="E23" s="29"/>
      <c r="F23" s="30"/>
    </row>
    <row r="24" spans="1:9" x14ac:dyDescent="0.2">
      <c r="A24" s="26" t="s">
        <v>288</v>
      </c>
      <c r="B24" s="27"/>
      <c r="C24" s="27"/>
      <c r="D24" s="28"/>
      <c r="E24" s="29"/>
      <c r="F24" s="30"/>
    </row>
    <row r="25" spans="1:9" x14ac:dyDescent="0.2">
      <c r="A25" s="27" t="s">
        <v>325</v>
      </c>
      <c r="B25" s="27" t="s">
        <v>324</v>
      </c>
      <c r="C25" s="27" t="s">
        <v>305</v>
      </c>
      <c r="D25" s="31">
        <v>159714</v>
      </c>
      <c r="E25" s="29">
        <v>2405.7477869999998</v>
      </c>
      <c r="F25" s="30">
        <v>9.2202142573512091</v>
      </c>
    </row>
    <row r="26" spans="1:9" x14ac:dyDescent="0.2">
      <c r="A26" s="27" t="s">
        <v>329</v>
      </c>
      <c r="B26" s="27" t="s">
        <v>328</v>
      </c>
      <c r="C26" s="27" t="s">
        <v>305</v>
      </c>
      <c r="D26" s="31">
        <v>44987</v>
      </c>
      <c r="E26" s="29">
        <v>2371.1219510000001</v>
      </c>
      <c r="F26" s="30">
        <v>9.0875080657524503</v>
      </c>
    </row>
    <row r="27" spans="1:9" x14ac:dyDescent="0.2">
      <c r="A27" s="27" t="s">
        <v>568</v>
      </c>
      <c r="B27" s="27" t="s">
        <v>567</v>
      </c>
      <c r="C27" s="27" t="s">
        <v>90</v>
      </c>
      <c r="D27" s="31">
        <v>40700</v>
      </c>
      <c r="E27" s="29">
        <v>2334.8815319999999</v>
      </c>
      <c r="F27" s="30">
        <v>8.9486138600664606</v>
      </c>
    </row>
    <row r="28" spans="1:9" x14ac:dyDescent="0.2">
      <c r="A28" s="27" t="s">
        <v>343</v>
      </c>
      <c r="B28" s="27" t="s">
        <v>342</v>
      </c>
      <c r="C28" s="27" t="s">
        <v>154</v>
      </c>
      <c r="D28" s="31">
        <v>97004</v>
      </c>
      <c r="E28" s="29">
        <v>2007.0256810000001</v>
      </c>
      <c r="F28" s="30">
        <v>7.6920809815655904</v>
      </c>
    </row>
    <row r="29" spans="1:9" x14ac:dyDescent="0.2">
      <c r="A29" s="27" t="s">
        <v>570</v>
      </c>
      <c r="B29" s="27" t="s">
        <v>569</v>
      </c>
      <c r="C29" s="27" t="s">
        <v>176</v>
      </c>
      <c r="D29" s="31">
        <v>120524</v>
      </c>
      <c r="E29" s="29">
        <v>1068.8723319999999</v>
      </c>
      <c r="F29" s="30">
        <v>4.0965357915113101</v>
      </c>
    </row>
    <row r="30" spans="1:9" x14ac:dyDescent="0.2">
      <c r="A30" s="27" t="s">
        <v>572</v>
      </c>
      <c r="B30" s="27" t="s">
        <v>571</v>
      </c>
      <c r="C30" s="27" t="s">
        <v>90</v>
      </c>
      <c r="D30" s="31">
        <v>3076</v>
      </c>
      <c r="E30" s="29">
        <v>750.87930459999995</v>
      </c>
      <c r="F30" s="30">
        <v>2.8778029464411499</v>
      </c>
    </row>
    <row r="31" spans="1:9" x14ac:dyDescent="0.2">
      <c r="A31" s="27" t="s">
        <v>574</v>
      </c>
      <c r="B31" s="27" t="s">
        <v>573</v>
      </c>
      <c r="C31" s="27" t="s">
        <v>176</v>
      </c>
      <c r="D31" s="31">
        <v>82810</v>
      </c>
      <c r="E31" s="29">
        <v>720.77516390000005</v>
      </c>
      <c r="F31" s="30">
        <v>2.7624265014175502</v>
      </c>
    </row>
    <row r="32" spans="1:9" x14ac:dyDescent="0.2">
      <c r="A32" s="27" t="s">
        <v>576</v>
      </c>
      <c r="B32" s="27" t="s">
        <v>575</v>
      </c>
      <c r="C32" s="27" t="s">
        <v>154</v>
      </c>
      <c r="D32" s="31">
        <v>24800</v>
      </c>
      <c r="E32" s="29">
        <v>695.50447029999998</v>
      </c>
      <c r="F32" s="30">
        <v>2.6655746158279898</v>
      </c>
    </row>
    <row r="33" spans="1:6" x14ac:dyDescent="0.2">
      <c r="A33" s="27" t="s">
        <v>578</v>
      </c>
      <c r="B33" s="27" t="s">
        <v>577</v>
      </c>
      <c r="C33" s="27" t="s">
        <v>90</v>
      </c>
      <c r="D33" s="31">
        <v>16700</v>
      </c>
      <c r="E33" s="29">
        <v>505.72328299999998</v>
      </c>
      <c r="F33" s="30">
        <v>1.9382235533533301</v>
      </c>
    </row>
    <row r="34" spans="1:6" x14ac:dyDescent="0.2">
      <c r="A34" s="27" t="s">
        <v>580</v>
      </c>
      <c r="B34" s="27" t="s">
        <v>579</v>
      </c>
      <c r="C34" s="27" t="s">
        <v>87</v>
      </c>
      <c r="D34" s="31">
        <v>86000</v>
      </c>
      <c r="E34" s="29">
        <v>480.02049479999999</v>
      </c>
      <c r="F34" s="30">
        <v>1.8397156318264301</v>
      </c>
    </row>
    <row r="35" spans="1:6" x14ac:dyDescent="0.2">
      <c r="A35" s="27" t="s">
        <v>341</v>
      </c>
      <c r="B35" s="27" t="s">
        <v>340</v>
      </c>
      <c r="C35" s="27" t="s">
        <v>305</v>
      </c>
      <c r="D35" s="31">
        <v>19000</v>
      </c>
      <c r="E35" s="29">
        <v>472.43970000000002</v>
      </c>
      <c r="F35" s="30">
        <v>1.81066165007709</v>
      </c>
    </row>
    <row r="36" spans="1:6" x14ac:dyDescent="0.2">
      <c r="A36" s="27" t="s">
        <v>582</v>
      </c>
      <c r="B36" s="27" t="s">
        <v>581</v>
      </c>
      <c r="C36" s="27" t="s">
        <v>247</v>
      </c>
      <c r="D36" s="31">
        <v>902</v>
      </c>
      <c r="E36" s="29">
        <v>470.15912689999999</v>
      </c>
      <c r="F36" s="30">
        <v>1.8019211774784301</v>
      </c>
    </row>
    <row r="37" spans="1:6" x14ac:dyDescent="0.2">
      <c r="A37" s="27" t="s">
        <v>584</v>
      </c>
      <c r="B37" s="27" t="s">
        <v>583</v>
      </c>
      <c r="C37" s="27" t="s">
        <v>154</v>
      </c>
      <c r="D37" s="31">
        <v>36521</v>
      </c>
      <c r="E37" s="29">
        <v>456.80926890000001</v>
      </c>
      <c r="F37" s="30">
        <v>1.7507568153078199</v>
      </c>
    </row>
    <row r="38" spans="1:6" x14ac:dyDescent="0.2">
      <c r="A38" s="27" t="s">
        <v>586</v>
      </c>
      <c r="B38" s="27" t="s">
        <v>585</v>
      </c>
      <c r="C38" s="27" t="s">
        <v>117</v>
      </c>
      <c r="D38" s="31">
        <v>106000</v>
      </c>
      <c r="E38" s="29">
        <v>443.61526500000002</v>
      </c>
      <c r="F38" s="30">
        <v>1.7001897760164599</v>
      </c>
    </row>
    <row r="39" spans="1:6" x14ac:dyDescent="0.2">
      <c r="A39" s="27" t="s">
        <v>588</v>
      </c>
      <c r="B39" s="27" t="s">
        <v>587</v>
      </c>
      <c r="C39" s="27" t="s">
        <v>362</v>
      </c>
      <c r="D39" s="31">
        <v>122000</v>
      </c>
      <c r="E39" s="29">
        <v>431.98176740000002</v>
      </c>
      <c r="F39" s="30">
        <v>1.65560349768172</v>
      </c>
    </row>
    <row r="40" spans="1:6" x14ac:dyDescent="0.2">
      <c r="A40" s="27" t="s">
        <v>590</v>
      </c>
      <c r="B40" s="27" t="s">
        <v>589</v>
      </c>
      <c r="C40" s="27" t="s">
        <v>225</v>
      </c>
      <c r="D40" s="31">
        <v>57000</v>
      </c>
      <c r="E40" s="29">
        <v>422.41728310000002</v>
      </c>
      <c r="F40" s="30">
        <v>1.6189468726674101</v>
      </c>
    </row>
    <row r="41" spans="1:6" x14ac:dyDescent="0.2">
      <c r="A41" s="27" t="s">
        <v>592</v>
      </c>
      <c r="B41" s="27" t="s">
        <v>591</v>
      </c>
      <c r="C41" s="27" t="s">
        <v>117</v>
      </c>
      <c r="D41" s="31">
        <v>1800</v>
      </c>
      <c r="E41" s="29">
        <v>403.42168090000001</v>
      </c>
      <c r="F41" s="30">
        <v>1.5461447596704201</v>
      </c>
    </row>
    <row r="42" spans="1:6" x14ac:dyDescent="0.2">
      <c r="A42" s="27" t="s">
        <v>594</v>
      </c>
      <c r="B42" s="27" t="s">
        <v>593</v>
      </c>
      <c r="C42" s="27" t="s">
        <v>106</v>
      </c>
      <c r="D42" s="31">
        <v>41500</v>
      </c>
      <c r="E42" s="29">
        <v>380.7020187</v>
      </c>
      <c r="F42" s="30">
        <v>1.45906989900938</v>
      </c>
    </row>
    <row r="43" spans="1:6" x14ac:dyDescent="0.2">
      <c r="A43" s="27" t="s">
        <v>596</v>
      </c>
      <c r="B43" s="27" t="s">
        <v>595</v>
      </c>
      <c r="C43" s="27" t="s">
        <v>367</v>
      </c>
      <c r="D43" s="31">
        <v>35600</v>
      </c>
      <c r="E43" s="29">
        <v>355.89662390000001</v>
      </c>
      <c r="F43" s="30">
        <v>1.3640013070189501</v>
      </c>
    </row>
    <row r="44" spans="1:6" x14ac:dyDescent="0.2">
      <c r="A44" s="27" t="s">
        <v>598</v>
      </c>
      <c r="B44" s="27" t="s">
        <v>597</v>
      </c>
      <c r="C44" s="27" t="s">
        <v>171</v>
      </c>
      <c r="D44" s="31">
        <v>662300</v>
      </c>
      <c r="E44" s="29">
        <v>347.52932879999997</v>
      </c>
      <c r="F44" s="30">
        <v>1.3319330021062801</v>
      </c>
    </row>
    <row r="45" spans="1:6" x14ac:dyDescent="0.2">
      <c r="A45" s="27" t="s">
        <v>600</v>
      </c>
      <c r="B45" s="27" t="s">
        <v>599</v>
      </c>
      <c r="C45" s="27" t="s">
        <v>87</v>
      </c>
      <c r="D45" s="31">
        <v>211929</v>
      </c>
      <c r="E45" s="29">
        <v>331.48369330000003</v>
      </c>
      <c r="F45" s="30">
        <v>1.2704368643960799</v>
      </c>
    </row>
    <row r="46" spans="1:6" x14ac:dyDescent="0.2">
      <c r="A46" s="27" t="s">
        <v>602</v>
      </c>
      <c r="B46" s="27" t="s">
        <v>601</v>
      </c>
      <c r="C46" s="27" t="s">
        <v>117</v>
      </c>
      <c r="D46" s="31">
        <v>144400</v>
      </c>
      <c r="E46" s="29">
        <v>315.06182469999999</v>
      </c>
      <c r="F46" s="30">
        <v>1.20749878426305</v>
      </c>
    </row>
    <row r="47" spans="1:6" x14ac:dyDescent="0.2">
      <c r="A47" s="27" t="s">
        <v>604</v>
      </c>
      <c r="B47" s="27" t="s">
        <v>603</v>
      </c>
      <c r="C47" s="27" t="s">
        <v>171</v>
      </c>
      <c r="D47" s="31">
        <v>372000</v>
      </c>
      <c r="E47" s="29">
        <v>305.42022259999999</v>
      </c>
      <c r="F47" s="30">
        <v>1.1705465993222599</v>
      </c>
    </row>
    <row r="48" spans="1:6" x14ac:dyDescent="0.2">
      <c r="A48" s="27" t="s">
        <v>606</v>
      </c>
      <c r="B48" s="27" t="s">
        <v>605</v>
      </c>
      <c r="C48" s="27" t="s">
        <v>90</v>
      </c>
      <c r="D48" s="31">
        <v>1900</v>
      </c>
      <c r="E48" s="29">
        <v>297.7514415</v>
      </c>
      <c r="F48" s="30">
        <v>1.14115540328051</v>
      </c>
    </row>
    <row r="49" spans="1:6" x14ac:dyDescent="0.2">
      <c r="A49" s="27" t="s">
        <v>608</v>
      </c>
      <c r="B49" s="27" t="s">
        <v>607</v>
      </c>
      <c r="C49" s="27" t="s">
        <v>117</v>
      </c>
      <c r="D49" s="31">
        <v>6800</v>
      </c>
      <c r="E49" s="29">
        <v>291.47787240000002</v>
      </c>
      <c r="F49" s="30">
        <v>1.11711146502028</v>
      </c>
    </row>
    <row r="50" spans="1:6" x14ac:dyDescent="0.2">
      <c r="A50" s="27" t="s">
        <v>610</v>
      </c>
      <c r="B50" s="27" t="s">
        <v>609</v>
      </c>
      <c r="C50" s="27" t="s">
        <v>176</v>
      </c>
      <c r="D50" s="31">
        <v>17275</v>
      </c>
      <c r="E50" s="29">
        <v>249.87245469999999</v>
      </c>
      <c r="F50" s="30">
        <v>0.95765548732656203</v>
      </c>
    </row>
    <row r="51" spans="1:6" x14ac:dyDescent="0.2">
      <c r="A51" s="27" t="s">
        <v>612</v>
      </c>
      <c r="B51" s="27" t="s">
        <v>611</v>
      </c>
      <c r="C51" s="27" t="s">
        <v>171</v>
      </c>
      <c r="D51" s="31">
        <v>371100</v>
      </c>
      <c r="E51" s="29">
        <v>228.3497103</v>
      </c>
      <c r="F51" s="30">
        <v>0.87516790660569699</v>
      </c>
    </row>
    <row r="52" spans="1:6" x14ac:dyDescent="0.2">
      <c r="A52" s="27" t="s">
        <v>614</v>
      </c>
      <c r="B52" s="27" t="s">
        <v>613</v>
      </c>
      <c r="C52" s="27" t="s">
        <v>171</v>
      </c>
      <c r="D52" s="31">
        <v>24212</v>
      </c>
      <c r="E52" s="29">
        <v>225.90299659999999</v>
      </c>
      <c r="F52" s="30">
        <v>0.86579068732182196</v>
      </c>
    </row>
    <row r="53" spans="1:6" x14ac:dyDescent="0.2">
      <c r="A53" s="27" t="s">
        <v>616</v>
      </c>
      <c r="B53" s="27" t="s">
        <v>615</v>
      </c>
      <c r="C53" s="27" t="s">
        <v>295</v>
      </c>
      <c r="D53" s="31">
        <v>7538</v>
      </c>
      <c r="E53" s="29">
        <v>218.01641799999999</v>
      </c>
      <c r="F53" s="30">
        <v>0.83556476553468395</v>
      </c>
    </row>
    <row r="54" spans="1:6" x14ac:dyDescent="0.2">
      <c r="A54" s="27" t="s">
        <v>618</v>
      </c>
      <c r="B54" s="27" t="s">
        <v>617</v>
      </c>
      <c r="C54" s="27" t="s">
        <v>154</v>
      </c>
      <c r="D54" s="31">
        <v>2265900</v>
      </c>
      <c r="E54" s="29">
        <v>173.92868999999999</v>
      </c>
      <c r="F54" s="30">
        <v>0.66659514183745905</v>
      </c>
    </row>
    <row r="55" spans="1:6" x14ac:dyDescent="0.2">
      <c r="A55" s="27" t="s">
        <v>620</v>
      </c>
      <c r="B55" s="27" t="s">
        <v>619</v>
      </c>
      <c r="C55" s="27" t="s">
        <v>402</v>
      </c>
      <c r="D55" s="31">
        <v>84000</v>
      </c>
      <c r="E55" s="29">
        <v>173.79711889999999</v>
      </c>
      <c r="F55" s="30">
        <v>0.66609088543176698</v>
      </c>
    </row>
    <row r="56" spans="1:6" x14ac:dyDescent="0.2">
      <c r="A56" s="27" t="s">
        <v>622</v>
      </c>
      <c r="B56" s="27" t="s">
        <v>621</v>
      </c>
      <c r="C56" s="27" t="s">
        <v>305</v>
      </c>
      <c r="D56" s="31">
        <v>1942</v>
      </c>
      <c r="E56" s="29">
        <v>166.61249090000001</v>
      </c>
      <c r="F56" s="30">
        <v>0.63855524355054805</v>
      </c>
    </row>
    <row r="57" spans="1:6" x14ac:dyDescent="0.2">
      <c r="A57" s="27" t="s">
        <v>624</v>
      </c>
      <c r="B57" s="27" t="s">
        <v>623</v>
      </c>
      <c r="C57" s="27" t="s">
        <v>625</v>
      </c>
      <c r="D57" s="31">
        <v>217546</v>
      </c>
      <c r="E57" s="29">
        <v>165.33046770000001</v>
      </c>
      <c r="F57" s="30">
        <v>0.63364179058978098</v>
      </c>
    </row>
    <row r="58" spans="1:6" x14ac:dyDescent="0.2">
      <c r="A58" s="27" t="s">
        <v>323</v>
      </c>
      <c r="B58" s="27" t="s">
        <v>322</v>
      </c>
      <c r="C58" s="27" t="s">
        <v>90</v>
      </c>
      <c r="D58" s="31">
        <v>6700</v>
      </c>
      <c r="E58" s="29">
        <v>153.22101359999999</v>
      </c>
      <c r="F58" s="30">
        <v>0.58723137219725696</v>
      </c>
    </row>
    <row r="59" spans="1:6" x14ac:dyDescent="0.2">
      <c r="A59" s="27" t="s">
        <v>627</v>
      </c>
      <c r="B59" s="27" t="s">
        <v>626</v>
      </c>
      <c r="C59" s="27" t="s">
        <v>117</v>
      </c>
      <c r="D59" s="31">
        <v>101700</v>
      </c>
      <c r="E59" s="29">
        <v>143.4672645</v>
      </c>
      <c r="F59" s="30">
        <v>0.54984937521469102</v>
      </c>
    </row>
    <row r="60" spans="1:6" x14ac:dyDescent="0.2">
      <c r="A60" s="27" t="s">
        <v>629</v>
      </c>
      <c r="B60" s="27" t="s">
        <v>628</v>
      </c>
      <c r="C60" s="27" t="s">
        <v>90</v>
      </c>
      <c r="D60" s="31">
        <v>5100</v>
      </c>
      <c r="E60" s="29">
        <v>129.50142460000001</v>
      </c>
      <c r="F60" s="30">
        <v>0.49632421482269501</v>
      </c>
    </row>
    <row r="61" spans="1:6" x14ac:dyDescent="0.2">
      <c r="A61" s="27" t="s">
        <v>631</v>
      </c>
      <c r="B61" s="27" t="s">
        <v>630</v>
      </c>
      <c r="C61" s="27" t="s">
        <v>298</v>
      </c>
      <c r="D61" s="31">
        <v>60600</v>
      </c>
      <c r="E61" s="29">
        <v>128.1328786</v>
      </c>
      <c r="F61" s="30">
        <v>0.49107915654633499</v>
      </c>
    </row>
    <row r="62" spans="1:6" x14ac:dyDescent="0.2">
      <c r="A62" s="27" t="s">
        <v>633</v>
      </c>
      <c r="B62" s="27" t="s">
        <v>632</v>
      </c>
      <c r="C62" s="27" t="s">
        <v>634</v>
      </c>
      <c r="D62" s="31">
        <v>21250</v>
      </c>
      <c r="E62" s="29">
        <v>121.2819757</v>
      </c>
      <c r="F62" s="30">
        <v>0.46482254189385802</v>
      </c>
    </row>
    <row r="63" spans="1:6" x14ac:dyDescent="0.2">
      <c r="A63" s="27" t="s">
        <v>636</v>
      </c>
      <c r="B63" s="27" t="s">
        <v>635</v>
      </c>
      <c r="C63" s="27" t="s">
        <v>367</v>
      </c>
      <c r="D63" s="31">
        <v>2900</v>
      </c>
      <c r="E63" s="29">
        <v>113.26054980000001</v>
      </c>
      <c r="F63" s="30">
        <v>0.434079807411414</v>
      </c>
    </row>
    <row r="64" spans="1:6" x14ac:dyDescent="0.2">
      <c r="A64" s="27" t="s">
        <v>638</v>
      </c>
      <c r="B64" s="27" t="s">
        <v>637</v>
      </c>
      <c r="C64" s="27" t="s">
        <v>127</v>
      </c>
      <c r="D64" s="31">
        <v>13280</v>
      </c>
      <c r="E64" s="29">
        <v>101.48350050000001</v>
      </c>
      <c r="F64" s="30">
        <v>0.38894335609587699</v>
      </c>
    </row>
    <row r="65" spans="1:9" x14ac:dyDescent="0.2">
      <c r="A65" s="27" t="s">
        <v>640</v>
      </c>
      <c r="B65" s="27" t="s">
        <v>639</v>
      </c>
      <c r="C65" s="27" t="s">
        <v>402</v>
      </c>
      <c r="D65" s="31">
        <v>118300</v>
      </c>
      <c r="E65" s="29">
        <v>59.752616400000001</v>
      </c>
      <c r="F65" s="30">
        <v>0.22900651873085001</v>
      </c>
    </row>
    <row r="66" spans="1:9" x14ac:dyDescent="0.2">
      <c r="A66" s="27" t="s">
        <v>642</v>
      </c>
      <c r="B66" s="27" t="s">
        <v>641</v>
      </c>
      <c r="C66" s="27" t="s">
        <v>298</v>
      </c>
      <c r="D66" s="31">
        <v>5700</v>
      </c>
      <c r="E66" s="29">
        <v>55.958275299999997</v>
      </c>
      <c r="F66" s="30">
        <v>0.21446441332124699</v>
      </c>
    </row>
    <row r="67" spans="1:9" x14ac:dyDescent="0.2">
      <c r="A67" s="27" t="s">
        <v>297</v>
      </c>
      <c r="B67" s="27" t="s">
        <v>296</v>
      </c>
      <c r="C67" s="27" t="s">
        <v>298</v>
      </c>
      <c r="D67" s="31">
        <v>46000</v>
      </c>
      <c r="E67" s="29">
        <v>55.2877978</v>
      </c>
      <c r="F67" s="30">
        <v>0.21189475650263201</v>
      </c>
    </row>
    <row r="68" spans="1:9" x14ac:dyDescent="0.2">
      <c r="A68" s="27" t="s">
        <v>644</v>
      </c>
      <c r="B68" s="27" t="s">
        <v>643</v>
      </c>
      <c r="C68" s="27" t="s">
        <v>225</v>
      </c>
      <c r="D68" s="31">
        <v>646</v>
      </c>
      <c r="E68" s="29">
        <v>2.8128988000000001</v>
      </c>
      <c r="F68" s="30">
        <v>1.07806519704163E-2</v>
      </c>
    </row>
    <row r="69" spans="1:9" x14ac:dyDescent="0.2">
      <c r="A69" s="27" t="s">
        <v>646</v>
      </c>
      <c r="B69" s="27" t="s">
        <v>645</v>
      </c>
      <c r="C69" s="27" t="s">
        <v>625</v>
      </c>
      <c r="D69" s="31">
        <v>8388</v>
      </c>
      <c r="E69" s="29">
        <v>2.2360509999999998</v>
      </c>
      <c r="F69" s="30">
        <v>8.5698382107103292E-3</v>
      </c>
    </row>
    <row r="70" spans="1:9" x14ac:dyDescent="0.2">
      <c r="A70" s="27" t="s">
        <v>648</v>
      </c>
      <c r="B70" s="27" t="s">
        <v>647</v>
      </c>
      <c r="C70" s="27" t="s">
        <v>625</v>
      </c>
      <c r="D70" s="31">
        <v>8195</v>
      </c>
      <c r="E70" s="29">
        <v>0.19738069999999999</v>
      </c>
      <c r="F70" s="30">
        <v>7.5647678202185598E-4</v>
      </c>
    </row>
    <row r="71" spans="1:9" x14ac:dyDescent="0.2">
      <c r="A71" s="26" t="s">
        <v>34</v>
      </c>
      <c r="B71" s="26"/>
      <c r="C71" s="26"/>
      <c r="D71" s="32"/>
      <c r="E71" s="33">
        <f>SUM(E24:E70)</f>
        <v>21735.123092099999</v>
      </c>
      <c r="F71" s="34">
        <f>SUM(F24:F70)</f>
        <v>83.301538466327912</v>
      </c>
      <c r="G71" s="18"/>
      <c r="H71" s="18"/>
      <c r="I71" s="18"/>
    </row>
    <row r="72" spans="1:9" x14ac:dyDescent="0.2">
      <c r="A72" s="27"/>
      <c r="B72" s="27"/>
      <c r="C72" s="27"/>
      <c r="D72" s="28"/>
      <c r="E72" s="29"/>
      <c r="F72" s="30"/>
    </row>
    <row r="73" spans="1:9" x14ac:dyDescent="0.2">
      <c r="A73" s="26" t="s">
        <v>36</v>
      </c>
      <c r="B73" s="26"/>
      <c r="C73" s="26"/>
      <c r="D73" s="32"/>
      <c r="E73" s="33">
        <f>E22+E71</f>
        <v>25497.419940099997</v>
      </c>
      <c r="F73" s="34">
        <f>F22+F71</f>
        <v>97.720831804460829</v>
      </c>
      <c r="G73" s="18"/>
      <c r="H73" s="18"/>
      <c r="I73" s="18"/>
    </row>
    <row r="74" spans="1:9" x14ac:dyDescent="0.2">
      <c r="A74" s="26"/>
      <c r="B74" s="26"/>
      <c r="C74" s="26"/>
      <c r="D74" s="32"/>
      <c r="E74" s="33"/>
      <c r="F74" s="34"/>
      <c r="G74" s="18"/>
      <c r="H74" s="18"/>
      <c r="I74" s="18"/>
    </row>
    <row r="75" spans="1:9" x14ac:dyDescent="0.2">
      <c r="A75" s="26" t="s">
        <v>38</v>
      </c>
      <c r="B75" s="26"/>
      <c r="C75" s="26"/>
      <c r="D75" s="32"/>
      <c r="E75" s="33">
        <f>E77-(E22+E71)</f>
        <v>594.68290970000453</v>
      </c>
      <c r="F75" s="34">
        <f>F77-(F22+F71)</f>
        <v>2.2791681955391709</v>
      </c>
      <c r="G75" s="18"/>
      <c r="H75" s="18"/>
      <c r="I75" s="18"/>
    </row>
    <row r="76" spans="1:9" x14ac:dyDescent="0.2">
      <c r="A76" s="26"/>
      <c r="B76" s="26"/>
      <c r="C76" s="26"/>
      <c r="D76" s="32"/>
      <c r="E76" s="33"/>
      <c r="F76" s="34"/>
      <c r="G76" s="18"/>
      <c r="H76" s="18"/>
      <c r="I76" s="18"/>
    </row>
    <row r="77" spans="1:9" x14ac:dyDescent="0.2">
      <c r="A77" s="35" t="s">
        <v>37</v>
      </c>
      <c r="B77" s="35"/>
      <c r="C77" s="35"/>
      <c r="D77" s="36"/>
      <c r="E77" s="37">
        <v>26092.102849800001</v>
      </c>
      <c r="F77" s="38">
        <v>100</v>
      </c>
      <c r="G77" s="18"/>
      <c r="H77" s="18"/>
      <c r="I77" s="18"/>
    </row>
    <row r="78" spans="1:9" x14ac:dyDescent="0.2">
      <c r="F78" s="20" t="s">
        <v>497</v>
      </c>
    </row>
    <row r="80" spans="1:9" x14ac:dyDescent="0.2">
      <c r="A80" s="18" t="s">
        <v>40</v>
      </c>
    </row>
    <row r="81" spans="1:4" x14ac:dyDescent="0.2">
      <c r="A81" s="18" t="s">
        <v>41</v>
      </c>
    </row>
    <row r="82" spans="1:4" x14ac:dyDescent="0.2">
      <c r="A82" s="18" t="s">
        <v>42</v>
      </c>
      <c r="B82" s="18"/>
      <c r="C82" s="39" t="s">
        <v>44</v>
      </c>
      <c r="D82" s="41" t="s">
        <v>43</v>
      </c>
    </row>
    <row r="83" spans="1:4" x14ac:dyDescent="0.2">
      <c r="A83" s="9" t="s">
        <v>65</v>
      </c>
      <c r="C83" s="40">
        <v>26.255199999999999</v>
      </c>
      <c r="D83" s="40">
        <v>31.423300000000001</v>
      </c>
    </row>
    <row r="84" spans="1:4" x14ac:dyDescent="0.2">
      <c r="A84" s="9" t="s">
        <v>1003</v>
      </c>
      <c r="C84" s="40">
        <v>14.458399999999999</v>
      </c>
      <c r="D84" s="40">
        <v>16.5318</v>
      </c>
    </row>
    <row r="85" spans="1:4" x14ac:dyDescent="0.2">
      <c r="A85" s="9" t="s">
        <v>66</v>
      </c>
      <c r="C85" s="40">
        <v>27.566099999999999</v>
      </c>
      <c r="D85" s="40">
        <v>33.1021</v>
      </c>
    </row>
    <row r="86" spans="1:4" x14ac:dyDescent="0.2">
      <c r="A86" s="9" t="s">
        <v>1004</v>
      </c>
      <c r="C86" s="40">
        <v>15.292899999999999</v>
      </c>
      <c r="D86" s="40">
        <v>17.5869</v>
      </c>
    </row>
    <row r="88" spans="1:4" x14ac:dyDescent="0.2">
      <c r="A88" s="18" t="s">
        <v>1560</v>
      </c>
    </row>
    <row r="89" spans="1:4" x14ac:dyDescent="0.2">
      <c r="A89" s="94" t="s">
        <v>64</v>
      </c>
      <c r="B89" s="95"/>
      <c r="C89" s="44" t="s">
        <v>1544</v>
      </c>
    </row>
    <row r="90" spans="1:4" x14ac:dyDescent="0.2">
      <c r="A90" s="88" t="s">
        <v>1003</v>
      </c>
      <c r="B90" s="89"/>
      <c r="C90" s="45">
        <v>0.75</v>
      </c>
    </row>
    <row r="91" spans="1:4" x14ac:dyDescent="0.2">
      <c r="A91" s="88" t="s">
        <v>1004</v>
      </c>
      <c r="B91" s="89"/>
      <c r="C91" s="45">
        <v>0.75</v>
      </c>
    </row>
    <row r="92" spans="1:4" x14ac:dyDescent="0.2">
      <c r="A92" s="9" t="s">
        <v>1545</v>
      </c>
    </row>
    <row r="93" spans="1:4" x14ac:dyDescent="0.2">
      <c r="A93" s="9" t="s">
        <v>782</v>
      </c>
    </row>
    <row r="95" spans="1:4" x14ac:dyDescent="0.2">
      <c r="A95" s="18" t="s">
        <v>215</v>
      </c>
      <c r="D95" s="46">
        <v>0.17295183008389053</v>
      </c>
    </row>
    <row r="97" spans="1:1" x14ac:dyDescent="0.2">
      <c r="A97" s="18" t="s">
        <v>715</v>
      </c>
    </row>
    <row r="98" spans="1:1" x14ac:dyDescent="0.2">
      <c r="A98" s="50" t="s">
        <v>47</v>
      </c>
    </row>
  </sheetData>
  <mergeCells count="4">
    <mergeCell ref="A1:F1"/>
    <mergeCell ref="A89:B89"/>
    <mergeCell ref="A90:B90"/>
    <mergeCell ref="A91:B91"/>
  </mergeCells>
  <conditionalFormatting sqref="F2:F3 F5:F68 F70:F65537">
    <cfRule type="cellIs" dxfId="90" priority="1" stopIfTrue="1" operator="between">
      <formula>0.009</formula>
      <formula>-0.009</formula>
    </cfRule>
  </conditionalFormatting>
  <hyperlinks>
    <hyperlink ref="A98" r:id="rId1" xr:uid="{00000000-0004-0000-2C00-000000000000}"/>
  </hyperlinks>
  <pageMargins left="0.7" right="0.7" top="0.75" bottom="0.75" header="0.3" footer="0.3"/>
  <pageSetup paperSize="9" scale="52" orientation="portrait" r:id="rId2"/>
  <headerFooter>
    <oddFooter>&amp;R&amp;1#&amp;"Calibri"&amp;10&amp;KFF0000|PUBLIC|</oddFooter>
    <evenFooter>&amp;LPUBLIC</evenFooter>
    <firstFooter>&amp;LPUBLIC</firstFooter>
  </headerFooter>
  <colBreaks count="1" manualBreakCount="1">
    <brk id="6" max="1048575" man="1"/>
  </colBreak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I83"/>
  <sheetViews>
    <sheetView view="pageBreakPreview" zoomScale="106" zoomScaleNormal="100" zoomScaleSheetLayoutView="106" workbookViewId="0">
      <selection sqref="A1:F1"/>
    </sheetView>
  </sheetViews>
  <sheetFormatPr defaultColWidth="9.21875" defaultRowHeight="10.199999999999999" x14ac:dyDescent="0.2"/>
  <cols>
    <col min="1" max="1" width="38.77734375" style="9" bestFit="1" customWidth="1"/>
    <col min="2" max="2" width="33.44140625" style="9" bestFit="1" customWidth="1"/>
    <col min="3" max="3" width="20" style="9" bestFit="1" customWidth="1"/>
    <col min="4" max="4" width="15.44140625" style="10" bestFit="1" customWidth="1"/>
    <col min="5" max="5" width="23" style="13" bestFit="1" customWidth="1"/>
    <col min="6" max="6" width="14.77734375" style="14" bestFit="1" customWidth="1"/>
    <col min="7" max="16384" width="9.21875" style="9"/>
  </cols>
  <sheetData>
    <row r="1" spans="1:6" s="1" customFormat="1" ht="13.8" x14ac:dyDescent="0.2">
      <c r="A1" s="92" t="s">
        <v>17</v>
      </c>
      <c r="B1" s="93"/>
      <c r="C1" s="93"/>
      <c r="D1" s="93"/>
      <c r="E1" s="93"/>
      <c r="F1" s="93"/>
    </row>
    <row r="2" spans="1:6" s="1" customFormat="1" ht="11.4" x14ac:dyDescent="0.2">
      <c r="D2" s="6"/>
      <c r="E2" s="7"/>
      <c r="F2" s="12"/>
    </row>
    <row r="3" spans="1:6" s="1" customFormat="1" ht="12" x14ac:dyDescent="0.2">
      <c r="A3" s="11" t="s">
        <v>7</v>
      </c>
      <c r="B3" s="2"/>
      <c r="C3" s="3"/>
      <c r="D3" s="4"/>
      <c r="E3" s="5"/>
      <c r="F3" s="12"/>
    </row>
    <row r="4" spans="1:6" s="1" customFormat="1" ht="17.55" customHeight="1" x14ac:dyDescent="0.2">
      <c r="A4" s="8" t="s">
        <v>2</v>
      </c>
      <c r="B4" s="8" t="s">
        <v>0</v>
      </c>
      <c r="C4" s="17" t="s">
        <v>259</v>
      </c>
      <c r="D4" s="16" t="s">
        <v>1</v>
      </c>
      <c r="E4" s="15" t="s">
        <v>3</v>
      </c>
      <c r="F4" s="15" t="s">
        <v>4</v>
      </c>
    </row>
    <row r="5" spans="1:6" x14ac:dyDescent="0.2">
      <c r="A5" s="21" t="s">
        <v>84</v>
      </c>
      <c r="B5" s="22"/>
      <c r="C5" s="22"/>
      <c r="D5" s="23"/>
      <c r="E5" s="24"/>
      <c r="F5" s="25"/>
    </row>
    <row r="6" spans="1:6" x14ac:dyDescent="0.2">
      <c r="A6" s="26" t="s">
        <v>27</v>
      </c>
      <c r="B6" s="27"/>
      <c r="C6" s="27"/>
      <c r="D6" s="28"/>
      <c r="E6" s="29"/>
      <c r="F6" s="30"/>
    </row>
    <row r="7" spans="1:6" x14ac:dyDescent="0.2">
      <c r="A7" s="27" t="s">
        <v>86</v>
      </c>
      <c r="B7" s="27" t="s">
        <v>85</v>
      </c>
      <c r="C7" s="27" t="s">
        <v>87</v>
      </c>
      <c r="D7" s="31">
        <v>269426</v>
      </c>
      <c r="E7" s="29">
        <v>4024.2814490000001</v>
      </c>
      <c r="F7" s="30">
        <v>10.2518326220702</v>
      </c>
    </row>
    <row r="8" spans="1:6" x14ac:dyDescent="0.2">
      <c r="A8" s="27" t="s">
        <v>650</v>
      </c>
      <c r="B8" s="27" t="s">
        <v>649</v>
      </c>
      <c r="C8" s="27" t="s">
        <v>122</v>
      </c>
      <c r="D8" s="31">
        <v>200320</v>
      </c>
      <c r="E8" s="29">
        <v>4012.6099199999999</v>
      </c>
      <c r="F8" s="30">
        <v>10.2220994726203</v>
      </c>
    </row>
    <row r="9" spans="1:6" x14ac:dyDescent="0.2">
      <c r="A9" s="27" t="s">
        <v>89</v>
      </c>
      <c r="B9" s="27" t="s">
        <v>88</v>
      </c>
      <c r="C9" s="27" t="s">
        <v>90</v>
      </c>
      <c r="D9" s="31">
        <v>228375</v>
      </c>
      <c r="E9" s="29">
        <v>3124.2841880000001</v>
      </c>
      <c r="F9" s="30">
        <v>7.9590950496555299</v>
      </c>
    </row>
    <row r="10" spans="1:6" x14ac:dyDescent="0.2">
      <c r="A10" s="27" t="s">
        <v>175</v>
      </c>
      <c r="B10" s="27" t="s">
        <v>174</v>
      </c>
      <c r="C10" s="27" t="s">
        <v>176</v>
      </c>
      <c r="D10" s="31">
        <v>111426</v>
      </c>
      <c r="E10" s="29">
        <v>2783.5329059999999</v>
      </c>
      <c r="F10" s="30">
        <v>7.0910332221986296</v>
      </c>
    </row>
    <row r="11" spans="1:6" x14ac:dyDescent="0.2">
      <c r="A11" s="27" t="s">
        <v>94</v>
      </c>
      <c r="B11" s="27" t="s">
        <v>93</v>
      </c>
      <c r="C11" s="27" t="s">
        <v>87</v>
      </c>
      <c r="D11" s="31">
        <v>430892</v>
      </c>
      <c r="E11" s="29">
        <v>2508.2223319999998</v>
      </c>
      <c r="F11" s="30">
        <v>6.3896812020919302</v>
      </c>
    </row>
    <row r="12" spans="1:6" x14ac:dyDescent="0.2">
      <c r="A12" s="27" t="s">
        <v>219</v>
      </c>
      <c r="B12" s="27" t="s">
        <v>218</v>
      </c>
      <c r="C12" s="27" t="s">
        <v>90</v>
      </c>
      <c r="D12" s="31">
        <v>64223</v>
      </c>
      <c r="E12" s="29">
        <v>2040.9106059999999</v>
      </c>
      <c r="F12" s="30">
        <v>5.19920740993875</v>
      </c>
    </row>
    <row r="13" spans="1:6" x14ac:dyDescent="0.2">
      <c r="A13" s="27" t="s">
        <v>108</v>
      </c>
      <c r="B13" s="27" t="s">
        <v>107</v>
      </c>
      <c r="C13" s="27" t="s">
        <v>87</v>
      </c>
      <c r="D13" s="31">
        <v>91938</v>
      </c>
      <c r="E13" s="29">
        <v>1611.6731400000001</v>
      </c>
      <c r="F13" s="30">
        <v>4.1057275645747904</v>
      </c>
    </row>
    <row r="14" spans="1:6" x14ac:dyDescent="0.2">
      <c r="A14" s="27" t="s">
        <v>147</v>
      </c>
      <c r="B14" s="27" t="s">
        <v>146</v>
      </c>
      <c r="C14" s="27" t="s">
        <v>117</v>
      </c>
      <c r="D14" s="31">
        <v>55344</v>
      </c>
      <c r="E14" s="29">
        <v>1345.6893600000001</v>
      </c>
      <c r="F14" s="30">
        <v>3.4281354957041801</v>
      </c>
    </row>
    <row r="15" spans="1:6" x14ac:dyDescent="0.2">
      <c r="A15" s="27" t="s">
        <v>235</v>
      </c>
      <c r="B15" s="27" t="s">
        <v>234</v>
      </c>
      <c r="C15" s="27" t="s">
        <v>117</v>
      </c>
      <c r="D15" s="31">
        <v>539710</v>
      </c>
      <c r="E15" s="29">
        <v>1179.2663500000001</v>
      </c>
      <c r="F15" s="30">
        <v>3.0041738855128601</v>
      </c>
    </row>
    <row r="16" spans="1:6" x14ac:dyDescent="0.2">
      <c r="A16" s="27" t="s">
        <v>183</v>
      </c>
      <c r="B16" s="27" t="s">
        <v>182</v>
      </c>
      <c r="C16" s="27" t="s">
        <v>184</v>
      </c>
      <c r="D16" s="31">
        <v>75178</v>
      </c>
      <c r="E16" s="29">
        <v>1066.700642</v>
      </c>
      <c r="F16" s="30">
        <v>2.7174134260306801</v>
      </c>
    </row>
    <row r="17" spans="1:6" x14ac:dyDescent="0.2">
      <c r="A17" s="27" t="s">
        <v>92</v>
      </c>
      <c r="B17" s="27" t="s">
        <v>91</v>
      </c>
      <c r="C17" s="27" t="s">
        <v>87</v>
      </c>
      <c r="D17" s="31">
        <v>151079</v>
      </c>
      <c r="E17" s="29">
        <v>1053.700486</v>
      </c>
      <c r="F17" s="30">
        <v>2.6842956073438402</v>
      </c>
    </row>
    <row r="18" spans="1:6" x14ac:dyDescent="0.2">
      <c r="A18" s="27" t="s">
        <v>124</v>
      </c>
      <c r="B18" s="27" t="s">
        <v>123</v>
      </c>
      <c r="C18" s="27" t="s">
        <v>87</v>
      </c>
      <c r="D18" s="31">
        <v>234249</v>
      </c>
      <c r="E18" s="29">
        <v>853.36910699999999</v>
      </c>
      <c r="F18" s="30">
        <v>2.1739526324590099</v>
      </c>
    </row>
    <row r="19" spans="1:6" x14ac:dyDescent="0.2">
      <c r="A19" s="27" t="s">
        <v>652</v>
      </c>
      <c r="B19" s="27" t="s">
        <v>651</v>
      </c>
      <c r="C19" s="27" t="s">
        <v>176</v>
      </c>
      <c r="D19" s="31">
        <v>16438</v>
      </c>
      <c r="E19" s="29">
        <v>846.53234299999997</v>
      </c>
      <c r="F19" s="30">
        <v>2.1565360175694099</v>
      </c>
    </row>
    <row r="20" spans="1:6" x14ac:dyDescent="0.2">
      <c r="A20" s="27" t="s">
        <v>96</v>
      </c>
      <c r="B20" s="27" t="s">
        <v>95</v>
      </c>
      <c r="C20" s="27" t="s">
        <v>97</v>
      </c>
      <c r="D20" s="31">
        <v>145301</v>
      </c>
      <c r="E20" s="29">
        <v>751.64207299999998</v>
      </c>
      <c r="F20" s="30">
        <v>1.91480362935765</v>
      </c>
    </row>
    <row r="21" spans="1:6" x14ac:dyDescent="0.2">
      <c r="A21" s="27" t="s">
        <v>499</v>
      </c>
      <c r="B21" s="27" t="s">
        <v>498</v>
      </c>
      <c r="C21" s="27" t="s">
        <v>117</v>
      </c>
      <c r="D21" s="31">
        <v>27893</v>
      </c>
      <c r="E21" s="29">
        <v>707.75698199999999</v>
      </c>
      <c r="F21" s="30">
        <v>1.8030066257837301</v>
      </c>
    </row>
    <row r="22" spans="1:6" x14ac:dyDescent="0.2">
      <c r="A22" s="27" t="s">
        <v>244</v>
      </c>
      <c r="B22" s="27" t="s">
        <v>243</v>
      </c>
      <c r="C22" s="27" t="s">
        <v>90</v>
      </c>
      <c r="D22" s="31">
        <v>67654</v>
      </c>
      <c r="E22" s="29">
        <v>664.80203100000006</v>
      </c>
      <c r="F22" s="30">
        <v>1.6935791482272899</v>
      </c>
    </row>
    <row r="23" spans="1:6" x14ac:dyDescent="0.2">
      <c r="A23" s="27" t="s">
        <v>181</v>
      </c>
      <c r="B23" s="27" t="s">
        <v>180</v>
      </c>
      <c r="C23" s="27" t="s">
        <v>135</v>
      </c>
      <c r="D23" s="31">
        <v>8243</v>
      </c>
      <c r="E23" s="29">
        <v>565.40385600000002</v>
      </c>
      <c r="F23" s="30">
        <v>1.4403628993258999</v>
      </c>
    </row>
    <row r="24" spans="1:6" x14ac:dyDescent="0.2">
      <c r="A24" s="27" t="s">
        <v>520</v>
      </c>
      <c r="B24" s="27" t="s">
        <v>519</v>
      </c>
      <c r="C24" s="27" t="s">
        <v>171</v>
      </c>
      <c r="D24" s="31">
        <v>7098</v>
      </c>
      <c r="E24" s="29">
        <v>478.25969099999998</v>
      </c>
      <c r="F24" s="30">
        <v>1.21836366669468</v>
      </c>
    </row>
    <row r="25" spans="1:6" x14ac:dyDescent="0.2">
      <c r="A25" s="27" t="s">
        <v>134</v>
      </c>
      <c r="B25" s="27" t="s">
        <v>133</v>
      </c>
      <c r="C25" s="27" t="s">
        <v>135</v>
      </c>
      <c r="D25" s="31">
        <v>58902</v>
      </c>
      <c r="E25" s="29">
        <v>468.41815500000001</v>
      </c>
      <c r="F25" s="30">
        <v>1.19329241333064</v>
      </c>
    </row>
    <row r="26" spans="1:6" x14ac:dyDescent="0.2">
      <c r="A26" s="27" t="s">
        <v>223</v>
      </c>
      <c r="B26" s="27" t="s">
        <v>222</v>
      </c>
      <c r="C26" s="27" t="s">
        <v>106</v>
      </c>
      <c r="D26" s="31">
        <v>25864</v>
      </c>
      <c r="E26" s="29">
        <v>402.97405199999997</v>
      </c>
      <c r="F26" s="30">
        <v>1.0265739572385</v>
      </c>
    </row>
    <row r="27" spans="1:6" x14ac:dyDescent="0.2">
      <c r="A27" s="27" t="s">
        <v>534</v>
      </c>
      <c r="B27" s="27" t="s">
        <v>533</v>
      </c>
      <c r="C27" s="27" t="s">
        <v>127</v>
      </c>
      <c r="D27" s="31">
        <v>66051</v>
      </c>
      <c r="E27" s="29">
        <v>394.85287799999998</v>
      </c>
      <c r="F27" s="30">
        <v>1.00588531565171</v>
      </c>
    </row>
    <row r="28" spans="1:6" x14ac:dyDescent="0.2">
      <c r="A28" s="27" t="s">
        <v>190</v>
      </c>
      <c r="B28" s="27" t="s">
        <v>189</v>
      </c>
      <c r="C28" s="27" t="s">
        <v>90</v>
      </c>
      <c r="D28" s="31">
        <v>38236</v>
      </c>
      <c r="E28" s="29">
        <v>379.090822</v>
      </c>
      <c r="F28" s="30">
        <v>0.96573157343970895</v>
      </c>
    </row>
    <row r="29" spans="1:6" x14ac:dyDescent="0.2">
      <c r="A29" s="27" t="s">
        <v>207</v>
      </c>
      <c r="B29" s="27" t="s">
        <v>206</v>
      </c>
      <c r="C29" s="27" t="s">
        <v>117</v>
      </c>
      <c r="D29" s="31">
        <v>2189</v>
      </c>
      <c r="E29" s="29">
        <v>375.74622799999997</v>
      </c>
      <c r="F29" s="30">
        <v>0.95721124047808204</v>
      </c>
    </row>
    <row r="30" spans="1:6" x14ac:dyDescent="0.2">
      <c r="A30" s="27" t="s">
        <v>102</v>
      </c>
      <c r="B30" s="27" t="s">
        <v>101</v>
      </c>
      <c r="C30" s="27" t="s">
        <v>103</v>
      </c>
      <c r="D30" s="31">
        <v>46210</v>
      </c>
      <c r="E30" s="29">
        <v>375.15588500000001</v>
      </c>
      <c r="F30" s="30">
        <v>0.95570734526043599</v>
      </c>
    </row>
    <row r="31" spans="1:6" x14ac:dyDescent="0.2">
      <c r="A31" s="27" t="s">
        <v>654</v>
      </c>
      <c r="B31" s="27" t="s">
        <v>653</v>
      </c>
      <c r="C31" s="27" t="s">
        <v>539</v>
      </c>
      <c r="D31" s="31">
        <v>3766</v>
      </c>
      <c r="E31" s="29">
        <v>364.11947600000002</v>
      </c>
      <c r="F31" s="30">
        <v>0.92759216016451695</v>
      </c>
    </row>
    <row r="32" spans="1:6" x14ac:dyDescent="0.2">
      <c r="A32" s="27" t="s">
        <v>656</v>
      </c>
      <c r="B32" s="27" t="s">
        <v>655</v>
      </c>
      <c r="C32" s="27" t="s">
        <v>90</v>
      </c>
      <c r="D32" s="31">
        <v>87723</v>
      </c>
      <c r="E32" s="29">
        <v>363.30480449999999</v>
      </c>
      <c r="F32" s="30">
        <v>0.92551678945155502</v>
      </c>
    </row>
    <row r="33" spans="1:6" x14ac:dyDescent="0.2">
      <c r="A33" s="27" t="s">
        <v>170</v>
      </c>
      <c r="B33" s="27" t="s">
        <v>169</v>
      </c>
      <c r="C33" s="27" t="s">
        <v>171</v>
      </c>
      <c r="D33" s="31">
        <v>23654</v>
      </c>
      <c r="E33" s="29">
        <v>343.11309699999998</v>
      </c>
      <c r="F33" s="30">
        <v>0.87407853686729897</v>
      </c>
    </row>
    <row r="34" spans="1:6" x14ac:dyDescent="0.2">
      <c r="A34" s="27" t="s">
        <v>129</v>
      </c>
      <c r="B34" s="27" t="s">
        <v>128</v>
      </c>
      <c r="C34" s="27" t="s">
        <v>130</v>
      </c>
      <c r="D34" s="31">
        <v>156065</v>
      </c>
      <c r="E34" s="29">
        <v>336.55417249999999</v>
      </c>
      <c r="F34" s="30">
        <v>0.85736971642147597</v>
      </c>
    </row>
    <row r="35" spans="1:6" x14ac:dyDescent="0.2">
      <c r="A35" s="27" t="s">
        <v>548</v>
      </c>
      <c r="B35" s="27" t="s">
        <v>547</v>
      </c>
      <c r="C35" s="27" t="s">
        <v>87</v>
      </c>
      <c r="D35" s="31">
        <v>34804</v>
      </c>
      <c r="E35" s="29">
        <v>332.186778</v>
      </c>
      <c r="F35" s="30">
        <v>0.84624380537972299</v>
      </c>
    </row>
    <row r="36" spans="1:6" x14ac:dyDescent="0.2">
      <c r="A36" s="27" t="s">
        <v>658</v>
      </c>
      <c r="B36" s="27" t="s">
        <v>657</v>
      </c>
      <c r="C36" s="27" t="s">
        <v>539</v>
      </c>
      <c r="D36" s="31">
        <v>47558</v>
      </c>
      <c r="E36" s="29">
        <v>331.09879599999999</v>
      </c>
      <c r="F36" s="30">
        <v>0.84347217782305794</v>
      </c>
    </row>
    <row r="37" spans="1:6" x14ac:dyDescent="0.2">
      <c r="A37" s="27" t="s">
        <v>168</v>
      </c>
      <c r="B37" s="27" t="s">
        <v>167</v>
      </c>
      <c r="C37" s="27" t="s">
        <v>127</v>
      </c>
      <c r="D37" s="31">
        <v>7297</v>
      </c>
      <c r="E37" s="29">
        <v>329.53251999999998</v>
      </c>
      <c r="F37" s="30">
        <v>0.83948209919772798</v>
      </c>
    </row>
    <row r="38" spans="1:6" x14ac:dyDescent="0.2">
      <c r="A38" s="27" t="s">
        <v>156</v>
      </c>
      <c r="B38" s="27" t="s">
        <v>155</v>
      </c>
      <c r="C38" s="27" t="s">
        <v>135</v>
      </c>
      <c r="D38" s="31">
        <v>108853</v>
      </c>
      <c r="E38" s="29">
        <v>328.51835399999999</v>
      </c>
      <c r="F38" s="30">
        <v>0.83689851745406596</v>
      </c>
    </row>
    <row r="39" spans="1:6" x14ac:dyDescent="0.2">
      <c r="A39" s="27" t="s">
        <v>660</v>
      </c>
      <c r="B39" s="27" t="s">
        <v>659</v>
      </c>
      <c r="C39" s="27" t="s">
        <v>295</v>
      </c>
      <c r="D39" s="31">
        <v>45543</v>
      </c>
      <c r="E39" s="29">
        <v>319.89403199999998</v>
      </c>
      <c r="F39" s="30">
        <v>0.81492810938412197</v>
      </c>
    </row>
    <row r="40" spans="1:6" x14ac:dyDescent="0.2">
      <c r="A40" s="27" t="s">
        <v>132</v>
      </c>
      <c r="B40" s="27" t="s">
        <v>131</v>
      </c>
      <c r="C40" s="27" t="s">
        <v>130</v>
      </c>
      <c r="D40" s="31">
        <v>297973</v>
      </c>
      <c r="E40" s="29">
        <v>317.49023149999999</v>
      </c>
      <c r="F40" s="30">
        <v>0.80880444216671799</v>
      </c>
    </row>
    <row r="41" spans="1:6" x14ac:dyDescent="0.2">
      <c r="A41" s="27" t="s">
        <v>141</v>
      </c>
      <c r="B41" s="27" t="s">
        <v>140</v>
      </c>
      <c r="C41" s="27" t="s">
        <v>135</v>
      </c>
      <c r="D41" s="31">
        <v>8023</v>
      </c>
      <c r="E41" s="29">
        <v>294.49223799999999</v>
      </c>
      <c r="F41" s="30">
        <v>0.75021719299108003</v>
      </c>
    </row>
    <row r="42" spans="1:6" x14ac:dyDescent="0.2">
      <c r="A42" s="27" t="s">
        <v>662</v>
      </c>
      <c r="B42" s="27" t="s">
        <v>661</v>
      </c>
      <c r="C42" s="27" t="s">
        <v>127</v>
      </c>
      <c r="D42" s="31">
        <v>7753</v>
      </c>
      <c r="E42" s="29">
        <v>280.87568399999998</v>
      </c>
      <c r="F42" s="30">
        <v>0.71552910413187099</v>
      </c>
    </row>
    <row r="43" spans="1:6" x14ac:dyDescent="0.2">
      <c r="A43" s="27" t="s">
        <v>113</v>
      </c>
      <c r="B43" s="27" t="s">
        <v>112</v>
      </c>
      <c r="C43" s="27" t="s">
        <v>114</v>
      </c>
      <c r="D43" s="31">
        <v>85899</v>
      </c>
      <c r="E43" s="29">
        <v>280.76088149999998</v>
      </c>
      <c r="F43" s="30">
        <v>0.715236645458314</v>
      </c>
    </row>
    <row r="44" spans="1:6" x14ac:dyDescent="0.2">
      <c r="A44" s="27" t="s">
        <v>664</v>
      </c>
      <c r="B44" s="27" t="s">
        <v>663</v>
      </c>
      <c r="C44" s="27" t="s">
        <v>103</v>
      </c>
      <c r="D44" s="31">
        <v>58927</v>
      </c>
      <c r="E44" s="29">
        <v>276.04353149999997</v>
      </c>
      <c r="F44" s="30">
        <v>0.70321922489948596</v>
      </c>
    </row>
    <row r="45" spans="1:6" x14ac:dyDescent="0.2">
      <c r="A45" s="27" t="s">
        <v>666</v>
      </c>
      <c r="B45" s="27" t="s">
        <v>665</v>
      </c>
      <c r="C45" s="27" t="s">
        <v>117</v>
      </c>
      <c r="D45" s="31">
        <v>7175</v>
      </c>
      <c r="E45" s="29">
        <v>260.09733749999998</v>
      </c>
      <c r="F45" s="30">
        <v>0.66259639224753897</v>
      </c>
    </row>
    <row r="46" spans="1:6" x14ac:dyDescent="0.2">
      <c r="A46" s="27" t="s">
        <v>516</v>
      </c>
      <c r="B46" s="27" t="s">
        <v>515</v>
      </c>
      <c r="C46" s="27" t="s">
        <v>127</v>
      </c>
      <c r="D46" s="31">
        <v>30814</v>
      </c>
      <c r="E46" s="29">
        <v>251.16491400000001</v>
      </c>
      <c r="F46" s="30">
        <v>0.63984109747206996</v>
      </c>
    </row>
    <row r="47" spans="1:6" x14ac:dyDescent="0.2">
      <c r="A47" s="27" t="s">
        <v>668</v>
      </c>
      <c r="B47" s="27" t="s">
        <v>667</v>
      </c>
      <c r="C47" s="27" t="s">
        <v>171</v>
      </c>
      <c r="D47" s="31">
        <v>806</v>
      </c>
      <c r="E47" s="29">
        <v>237.49112400000001</v>
      </c>
      <c r="F47" s="30">
        <v>0.60500720024945598</v>
      </c>
    </row>
    <row r="48" spans="1:6" x14ac:dyDescent="0.2">
      <c r="A48" s="27" t="s">
        <v>670</v>
      </c>
      <c r="B48" s="27" t="s">
        <v>669</v>
      </c>
      <c r="C48" s="27" t="s">
        <v>135</v>
      </c>
      <c r="D48" s="31">
        <v>7692</v>
      </c>
      <c r="E48" s="29">
        <v>224.11411200000001</v>
      </c>
      <c r="F48" s="30">
        <v>0.57092934318468702</v>
      </c>
    </row>
    <row r="49" spans="1:9" x14ac:dyDescent="0.2">
      <c r="A49" s="27" t="s">
        <v>672</v>
      </c>
      <c r="B49" s="27" t="s">
        <v>671</v>
      </c>
      <c r="C49" s="27" t="s">
        <v>135</v>
      </c>
      <c r="D49" s="31">
        <v>8296</v>
      </c>
      <c r="E49" s="29">
        <v>216.02369200000001</v>
      </c>
      <c r="F49" s="30">
        <v>0.55031904722667002</v>
      </c>
    </row>
    <row r="50" spans="1:9" x14ac:dyDescent="0.2">
      <c r="A50" s="27" t="s">
        <v>239</v>
      </c>
      <c r="B50" s="27" t="s">
        <v>238</v>
      </c>
      <c r="C50" s="27" t="s">
        <v>240</v>
      </c>
      <c r="D50" s="31">
        <v>210784</v>
      </c>
      <c r="E50" s="29">
        <v>215.315856</v>
      </c>
      <c r="F50" s="30">
        <v>0.54851583930300996</v>
      </c>
    </row>
    <row r="51" spans="1:9" x14ac:dyDescent="0.2">
      <c r="A51" s="27" t="s">
        <v>674</v>
      </c>
      <c r="B51" s="27" t="s">
        <v>673</v>
      </c>
      <c r="C51" s="27" t="s">
        <v>480</v>
      </c>
      <c r="D51" s="31">
        <v>32142</v>
      </c>
      <c r="E51" s="29">
        <v>206.303427</v>
      </c>
      <c r="F51" s="30">
        <v>0.52555673100076805</v>
      </c>
    </row>
    <row r="52" spans="1:9" x14ac:dyDescent="0.2">
      <c r="A52" s="27" t="s">
        <v>552</v>
      </c>
      <c r="B52" s="27" t="s">
        <v>551</v>
      </c>
      <c r="C52" s="27" t="s">
        <v>539</v>
      </c>
      <c r="D52" s="31">
        <v>23408</v>
      </c>
      <c r="E52" s="29">
        <v>206.189368</v>
      </c>
      <c r="F52" s="30">
        <v>0.52526616638895895</v>
      </c>
    </row>
    <row r="53" spans="1:9" x14ac:dyDescent="0.2">
      <c r="A53" s="27" t="s">
        <v>139</v>
      </c>
      <c r="B53" s="27" t="s">
        <v>138</v>
      </c>
      <c r="C53" s="27" t="s">
        <v>122</v>
      </c>
      <c r="D53" s="31">
        <v>47078</v>
      </c>
      <c r="E53" s="29">
        <v>201.47030100000001</v>
      </c>
      <c r="F53" s="30">
        <v>0.51324437178302795</v>
      </c>
    </row>
    <row r="54" spans="1:9" x14ac:dyDescent="0.2">
      <c r="A54" s="27" t="s">
        <v>263</v>
      </c>
      <c r="B54" s="27" t="s">
        <v>262</v>
      </c>
      <c r="C54" s="27" t="s">
        <v>117</v>
      </c>
      <c r="D54" s="31">
        <v>30644</v>
      </c>
      <c r="E54" s="29">
        <v>195.784516</v>
      </c>
      <c r="F54" s="30">
        <v>0.49875986892611202</v>
      </c>
    </row>
    <row r="55" spans="1:9" x14ac:dyDescent="0.2">
      <c r="A55" s="27" t="s">
        <v>163</v>
      </c>
      <c r="B55" s="27" t="s">
        <v>162</v>
      </c>
      <c r="C55" s="27" t="s">
        <v>164</v>
      </c>
      <c r="D55" s="31">
        <v>123394</v>
      </c>
      <c r="E55" s="29">
        <v>160.84407899999999</v>
      </c>
      <c r="F55" s="30">
        <v>0.40974931725234698</v>
      </c>
    </row>
    <row r="56" spans="1:9" x14ac:dyDescent="0.2">
      <c r="A56" s="27" t="s">
        <v>197</v>
      </c>
      <c r="B56" s="27" t="s">
        <v>196</v>
      </c>
      <c r="C56" s="27" t="s">
        <v>122</v>
      </c>
      <c r="D56" s="31">
        <v>146180</v>
      </c>
      <c r="E56" s="29">
        <v>134.26633000000001</v>
      </c>
      <c r="F56" s="30">
        <v>0.34204266261786498</v>
      </c>
    </row>
    <row r="57" spans="1:9" x14ac:dyDescent="0.2">
      <c r="A57" s="27" t="s">
        <v>675</v>
      </c>
      <c r="B57" s="27" t="s">
        <v>1487</v>
      </c>
      <c r="C57" s="27" t="s">
        <v>87</v>
      </c>
      <c r="D57" s="31">
        <v>92088</v>
      </c>
      <c r="E57" s="29">
        <v>0</v>
      </c>
      <c r="F57" s="30">
        <v>0</v>
      </c>
    </row>
    <row r="58" spans="1:9" x14ac:dyDescent="0.2">
      <c r="A58" s="26" t="s">
        <v>34</v>
      </c>
      <c r="B58" s="26"/>
      <c r="C58" s="26"/>
      <c r="D58" s="32"/>
      <c r="E58" s="33">
        <f>SUM(E7:E57)</f>
        <v>39021.925135000005</v>
      </c>
      <c r="F58" s="34">
        <f>SUM(F7:F57)</f>
        <v>99.408117982001983</v>
      </c>
      <c r="G58" s="18"/>
      <c r="H58" s="18"/>
      <c r="I58" s="18"/>
    </row>
    <row r="59" spans="1:9" x14ac:dyDescent="0.2">
      <c r="A59" s="27"/>
      <c r="B59" s="27"/>
      <c r="C59" s="27"/>
      <c r="D59" s="28"/>
      <c r="E59" s="29"/>
      <c r="F59" s="30"/>
    </row>
    <row r="60" spans="1:9" x14ac:dyDescent="0.2">
      <c r="A60" s="26" t="s">
        <v>36</v>
      </c>
      <c r="B60" s="26"/>
      <c r="C60" s="26"/>
      <c r="D60" s="32"/>
      <c r="E60" s="33">
        <f>E58</f>
        <v>39021.925135000005</v>
      </c>
      <c r="F60" s="34">
        <f>F58</f>
        <v>99.408117982001983</v>
      </c>
      <c r="G60" s="18"/>
      <c r="H60" s="18"/>
      <c r="I60" s="18"/>
    </row>
    <row r="61" spans="1:9" x14ac:dyDescent="0.2">
      <c r="A61" s="26"/>
      <c r="B61" s="26"/>
      <c r="C61" s="26"/>
      <c r="D61" s="32"/>
      <c r="E61" s="33"/>
      <c r="F61" s="34"/>
      <c r="G61" s="18"/>
      <c r="H61" s="18"/>
      <c r="I61" s="18"/>
    </row>
    <row r="62" spans="1:9" x14ac:dyDescent="0.2">
      <c r="A62" s="26" t="s">
        <v>38</v>
      </c>
      <c r="B62" s="26"/>
      <c r="C62" s="26"/>
      <c r="D62" s="32"/>
      <c r="E62" s="33">
        <f>E64-(E58)</f>
        <v>232.33893029999308</v>
      </c>
      <c r="F62" s="34">
        <f>F64-(F58)</f>
        <v>0.59188201799801732</v>
      </c>
      <c r="G62" s="18"/>
      <c r="H62" s="18"/>
      <c r="I62" s="18"/>
    </row>
    <row r="63" spans="1:9" x14ac:dyDescent="0.2">
      <c r="A63" s="26"/>
      <c r="B63" s="26"/>
      <c r="C63" s="26"/>
      <c r="D63" s="32"/>
      <c r="E63" s="33"/>
      <c r="F63" s="34"/>
      <c r="G63" s="18"/>
      <c r="H63" s="18"/>
      <c r="I63" s="18"/>
    </row>
    <row r="64" spans="1:9" x14ac:dyDescent="0.2">
      <c r="A64" s="35" t="s">
        <v>37</v>
      </c>
      <c r="B64" s="35"/>
      <c r="C64" s="35"/>
      <c r="D64" s="36"/>
      <c r="E64" s="37">
        <v>39254.264065299998</v>
      </c>
      <c r="F64" s="38">
        <v>100</v>
      </c>
      <c r="G64" s="18"/>
      <c r="H64" s="18"/>
      <c r="I64" s="18"/>
    </row>
    <row r="65" spans="1:6" x14ac:dyDescent="0.2">
      <c r="F65" s="20"/>
    </row>
    <row r="66" spans="1:6" x14ac:dyDescent="0.2">
      <c r="A66" s="18" t="s">
        <v>40</v>
      </c>
    </row>
    <row r="67" spans="1:6" x14ac:dyDescent="0.2">
      <c r="A67" s="18" t="s">
        <v>41</v>
      </c>
    </row>
    <row r="68" spans="1:6" x14ac:dyDescent="0.2">
      <c r="A68" s="18" t="s">
        <v>42</v>
      </c>
      <c r="B68" s="18"/>
      <c r="C68" s="39" t="s">
        <v>44</v>
      </c>
      <c r="D68" s="41" t="s">
        <v>43</v>
      </c>
    </row>
    <row r="69" spans="1:6" x14ac:dyDescent="0.2">
      <c r="A69" s="9" t="s">
        <v>65</v>
      </c>
      <c r="C69" s="40">
        <v>88.952600000000004</v>
      </c>
      <c r="D69" s="40">
        <v>115.9278</v>
      </c>
    </row>
    <row r="70" spans="1:6" x14ac:dyDescent="0.2">
      <c r="A70" s="9" t="s">
        <v>1003</v>
      </c>
      <c r="C70" s="40">
        <v>88.952600000000004</v>
      </c>
      <c r="D70" s="40">
        <v>115.9278</v>
      </c>
    </row>
    <row r="71" spans="1:6" x14ac:dyDescent="0.2">
      <c r="A71" s="9" t="s">
        <v>66</v>
      </c>
      <c r="C71" s="40">
        <v>91.724599999999995</v>
      </c>
      <c r="D71" s="40">
        <v>119.78570000000001</v>
      </c>
    </row>
    <row r="72" spans="1:6" x14ac:dyDescent="0.2">
      <c r="A72" s="9" t="s">
        <v>1004</v>
      </c>
      <c r="C72" s="40">
        <v>91.724599999999995</v>
      </c>
      <c r="D72" s="40">
        <v>119.78570000000001</v>
      </c>
    </row>
    <row r="74" spans="1:6" x14ac:dyDescent="0.2">
      <c r="A74" s="9" t="s">
        <v>782</v>
      </c>
    </row>
    <row r="76" spans="1:6" x14ac:dyDescent="0.2">
      <c r="A76" s="18" t="s">
        <v>1560</v>
      </c>
      <c r="D76" s="41" t="s">
        <v>45</v>
      </c>
    </row>
    <row r="78" spans="1:6" x14ac:dyDescent="0.2">
      <c r="A78" s="18" t="s">
        <v>215</v>
      </c>
      <c r="D78" s="46">
        <v>5.1686614096846948E-3</v>
      </c>
    </row>
    <row r="80" spans="1:6" x14ac:dyDescent="0.2">
      <c r="A80" s="18" t="s">
        <v>715</v>
      </c>
    </row>
    <row r="81" spans="1:1" x14ac:dyDescent="0.2">
      <c r="A81" s="50" t="s">
        <v>47</v>
      </c>
    </row>
    <row r="83" spans="1:1" x14ac:dyDescent="0.2">
      <c r="A83" s="70" t="s">
        <v>1488</v>
      </c>
    </row>
  </sheetData>
  <mergeCells count="1">
    <mergeCell ref="A1:F1"/>
  </mergeCells>
  <conditionalFormatting sqref="F2:F3 F5:F56 F58:F65537">
    <cfRule type="cellIs" dxfId="89" priority="1" stopIfTrue="1" operator="between">
      <formula>0.009</formula>
      <formula>-0.009</formula>
    </cfRule>
  </conditionalFormatting>
  <hyperlinks>
    <hyperlink ref="A81" r:id="rId1" xr:uid="{00000000-0004-0000-2D00-000000000000}"/>
  </hyperlinks>
  <pageMargins left="0.7" right="0.7" top="0.75" bottom="0.75" header="0.3" footer="0.3"/>
  <pageSetup paperSize="9" scale="60" orientation="portrait" r:id="rId2"/>
  <headerFooter>
    <oddFooter>&amp;R&amp;1#&amp;"Calibri"&amp;10&amp;KFF0000|PUBLIC|</oddFooter>
    <evenFooter>&amp;LPUBLIC</evenFooter>
    <firstFooter>&amp;LPUBLIC</firstFooter>
  </headerFooter>
  <colBreaks count="1" manualBreakCount="1">
    <brk id="6" max="1048575" man="1"/>
  </colBreak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I101"/>
  <sheetViews>
    <sheetView view="pageBreakPreview" zoomScaleNormal="100" zoomScaleSheetLayoutView="100" workbookViewId="0">
      <selection sqref="A1:F1"/>
    </sheetView>
  </sheetViews>
  <sheetFormatPr defaultColWidth="9.21875" defaultRowHeight="10.199999999999999" x14ac:dyDescent="0.2"/>
  <cols>
    <col min="1" max="1" width="38.77734375" style="9" bestFit="1" customWidth="1"/>
    <col min="2" max="2" width="34.21875" style="9" bestFit="1" customWidth="1"/>
    <col min="3" max="3" width="25.77734375" style="9" customWidth="1"/>
    <col min="4" max="4" width="15.44140625" style="10" bestFit="1" customWidth="1"/>
    <col min="5" max="5" width="23" style="13" bestFit="1" customWidth="1"/>
    <col min="6" max="6" width="14.77734375" style="14" bestFit="1" customWidth="1"/>
    <col min="7" max="16384" width="9.21875" style="9"/>
  </cols>
  <sheetData>
    <row r="1" spans="1:6" s="1" customFormat="1" ht="13.8" x14ac:dyDescent="0.2">
      <c r="A1" s="92" t="s">
        <v>18</v>
      </c>
      <c r="B1" s="93"/>
      <c r="C1" s="93"/>
      <c r="D1" s="93"/>
      <c r="E1" s="93"/>
      <c r="F1" s="93"/>
    </row>
    <row r="2" spans="1:6" s="1" customFormat="1" ht="11.4" x14ac:dyDescent="0.2">
      <c r="D2" s="6"/>
      <c r="E2" s="7"/>
      <c r="F2" s="12"/>
    </row>
    <row r="3" spans="1:6" s="1" customFormat="1" ht="12" x14ac:dyDescent="0.2">
      <c r="A3" s="11" t="s">
        <v>7</v>
      </c>
      <c r="B3" s="2"/>
      <c r="C3" s="3"/>
      <c r="D3" s="4"/>
      <c r="E3" s="5"/>
      <c r="F3" s="12"/>
    </row>
    <row r="4" spans="1:6" s="1" customFormat="1" ht="17.55" customHeight="1" x14ac:dyDescent="0.2">
      <c r="A4" s="8" t="s">
        <v>2</v>
      </c>
      <c r="B4" s="8" t="s">
        <v>0</v>
      </c>
      <c r="C4" s="17" t="s">
        <v>259</v>
      </c>
      <c r="D4" s="16" t="s">
        <v>1</v>
      </c>
      <c r="E4" s="15" t="s">
        <v>3</v>
      </c>
      <c r="F4" s="15" t="s">
        <v>4</v>
      </c>
    </row>
    <row r="5" spans="1:6" x14ac:dyDescent="0.2">
      <c r="A5" s="21" t="s">
        <v>84</v>
      </c>
      <c r="B5" s="22"/>
      <c r="C5" s="22"/>
      <c r="D5" s="23"/>
      <c r="E5" s="24"/>
      <c r="F5" s="25"/>
    </row>
    <row r="6" spans="1:6" x14ac:dyDescent="0.2">
      <c r="A6" s="26" t="s">
        <v>27</v>
      </c>
      <c r="B6" s="27"/>
      <c r="C6" s="27"/>
      <c r="D6" s="28"/>
      <c r="E6" s="29"/>
      <c r="F6" s="30"/>
    </row>
    <row r="7" spans="1:6" x14ac:dyDescent="0.2">
      <c r="A7" s="27" t="s">
        <v>89</v>
      </c>
      <c r="B7" s="27" t="s">
        <v>88</v>
      </c>
      <c r="C7" s="27" t="s">
        <v>90</v>
      </c>
      <c r="D7" s="31">
        <v>2778479</v>
      </c>
      <c r="E7" s="29">
        <v>38010.981959999997</v>
      </c>
      <c r="F7" s="30">
        <v>8.6873938698223903</v>
      </c>
    </row>
    <row r="8" spans="1:6" x14ac:dyDescent="0.2">
      <c r="A8" s="27" t="s">
        <v>92</v>
      </c>
      <c r="B8" s="27" t="s">
        <v>91</v>
      </c>
      <c r="C8" s="27" t="s">
        <v>87</v>
      </c>
      <c r="D8" s="31">
        <v>5129842</v>
      </c>
      <c r="E8" s="29">
        <v>35778.083030000002</v>
      </c>
      <c r="F8" s="30">
        <v>8.1770657626235792</v>
      </c>
    </row>
    <row r="9" spans="1:6" x14ac:dyDescent="0.2">
      <c r="A9" s="27" t="s">
        <v>86</v>
      </c>
      <c r="B9" s="27" t="s">
        <v>85</v>
      </c>
      <c r="C9" s="27" t="s">
        <v>87</v>
      </c>
      <c r="D9" s="31">
        <v>2280104</v>
      </c>
      <c r="E9" s="29">
        <v>34056.773399999998</v>
      </c>
      <c r="F9" s="30">
        <v>7.7836611738269896</v>
      </c>
    </row>
    <row r="10" spans="1:6" x14ac:dyDescent="0.2">
      <c r="A10" s="27" t="s">
        <v>94</v>
      </c>
      <c r="B10" s="27" t="s">
        <v>93</v>
      </c>
      <c r="C10" s="27" t="s">
        <v>87</v>
      </c>
      <c r="D10" s="31">
        <v>4283052</v>
      </c>
      <c r="E10" s="29">
        <v>24931.645690000001</v>
      </c>
      <c r="F10" s="30">
        <v>5.6981170904717597</v>
      </c>
    </row>
    <row r="11" spans="1:6" x14ac:dyDescent="0.2">
      <c r="A11" s="27" t="s">
        <v>129</v>
      </c>
      <c r="B11" s="27" t="s">
        <v>128</v>
      </c>
      <c r="C11" s="27" t="s">
        <v>130</v>
      </c>
      <c r="D11" s="31">
        <v>8119223</v>
      </c>
      <c r="E11" s="29">
        <v>17509.1044</v>
      </c>
      <c r="F11" s="30">
        <v>4.0016984141769401</v>
      </c>
    </row>
    <row r="12" spans="1:6" x14ac:dyDescent="0.2">
      <c r="A12" s="27" t="s">
        <v>188</v>
      </c>
      <c r="B12" s="27" t="s">
        <v>187</v>
      </c>
      <c r="C12" s="27" t="s">
        <v>130</v>
      </c>
      <c r="D12" s="31">
        <v>16474428</v>
      </c>
      <c r="E12" s="29">
        <v>17009.84691</v>
      </c>
      <c r="F12" s="30">
        <v>3.8875933257408399</v>
      </c>
    </row>
    <row r="13" spans="1:6" x14ac:dyDescent="0.2">
      <c r="A13" s="27" t="s">
        <v>170</v>
      </c>
      <c r="B13" s="27" t="s">
        <v>169</v>
      </c>
      <c r="C13" s="27" t="s">
        <v>171</v>
      </c>
      <c r="D13" s="31">
        <v>881440</v>
      </c>
      <c r="E13" s="29">
        <v>12785.727919999999</v>
      </c>
      <c r="F13" s="30">
        <v>2.9221727149883101</v>
      </c>
    </row>
    <row r="14" spans="1:6" x14ac:dyDescent="0.2">
      <c r="A14" s="27" t="s">
        <v>108</v>
      </c>
      <c r="B14" s="27" t="s">
        <v>107</v>
      </c>
      <c r="C14" s="27" t="s">
        <v>87</v>
      </c>
      <c r="D14" s="31">
        <v>699652</v>
      </c>
      <c r="E14" s="29">
        <v>12264.89956</v>
      </c>
      <c r="F14" s="30">
        <v>2.8031376133259802</v>
      </c>
    </row>
    <row r="15" spans="1:6" x14ac:dyDescent="0.2">
      <c r="A15" s="27" t="s">
        <v>96</v>
      </c>
      <c r="B15" s="27" t="s">
        <v>95</v>
      </c>
      <c r="C15" s="27" t="s">
        <v>97</v>
      </c>
      <c r="D15" s="31">
        <v>2294619</v>
      </c>
      <c r="E15" s="29">
        <v>11870.06409</v>
      </c>
      <c r="F15" s="30">
        <v>2.7128981334494502</v>
      </c>
    </row>
    <row r="16" spans="1:6" x14ac:dyDescent="0.2">
      <c r="A16" s="27" t="s">
        <v>147</v>
      </c>
      <c r="B16" s="27" t="s">
        <v>146</v>
      </c>
      <c r="C16" s="27" t="s">
        <v>117</v>
      </c>
      <c r="D16" s="31">
        <v>456440</v>
      </c>
      <c r="E16" s="29">
        <v>11098.338599999999</v>
      </c>
      <c r="F16" s="30">
        <v>2.5365205987131301</v>
      </c>
    </row>
    <row r="17" spans="1:6" x14ac:dyDescent="0.2">
      <c r="A17" s="27" t="s">
        <v>137</v>
      </c>
      <c r="B17" s="27" t="s">
        <v>136</v>
      </c>
      <c r="C17" s="27" t="s">
        <v>117</v>
      </c>
      <c r="D17" s="31">
        <v>871834</v>
      </c>
      <c r="E17" s="29">
        <v>10823.38319</v>
      </c>
      <c r="F17" s="30">
        <v>2.47367965590818</v>
      </c>
    </row>
    <row r="18" spans="1:6" x14ac:dyDescent="0.2">
      <c r="A18" s="27" t="s">
        <v>183</v>
      </c>
      <c r="B18" s="27" t="s">
        <v>182</v>
      </c>
      <c r="C18" s="27" t="s">
        <v>184</v>
      </c>
      <c r="D18" s="31">
        <v>757133</v>
      </c>
      <c r="E18" s="29">
        <v>10742.960139999999</v>
      </c>
      <c r="F18" s="30">
        <v>2.4552990018041201</v>
      </c>
    </row>
    <row r="19" spans="1:6" x14ac:dyDescent="0.2">
      <c r="A19" s="27" t="s">
        <v>119</v>
      </c>
      <c r="B19" s="27" t="s">
        <v>118</v>
      </c>
      <c r="C19" s="27" t="s">
        <v>111</v>
      </c>
      <c r="D19" s="31">
        <v>3484485</v>
      </c>
      <c r="E19" s="29">
        <v>9524.8397480000003</v>
      </c>
      <c r="F19" s="30">
        <v>2.1768981007881298</v>
      </c>
    </row>
    <row r="20" spans="1:6" x14ac:dyDescent="0.2">
      <c r="A20" s="27" t="s">
        <v>113</v>
      </c>
      <c r="B20" s="27" t="s">
        <v>112</v>
      </c>
      <c r="C20" s="27" t="s">
        <v>114</v>
      </c>
      <c r="D20" s="31">
        <v>2849242</v>
      </c>
      <c r="E20" s="29">
        <v>9312.7474770000008</v>
      </c>
      <c r="F20" s="30">
        <v>2.1284245018460899</v>
      </c>
    </row>
    <row r="21" spans="1:6" x14ac:dyDescent="0.2">
      <c r="A21" s="27" t="s">
        <v>149</v>
      </c>
      <c r="B21" s="27" t="s">
        <v>148</v>
      </c>
      <c r="C21" s="27" t="s">
        <v>87</v>
      </c>
      <c r="D21" s="31">
        <v>5914508</v>
      </c>
      <c r="E21" s="29">
        <v>9223.6752259999994</v>
      </c>
      <c r="F21" s="30">
        <v>2.1080670765071998</v>
      </c>
    </row>
    <row r="22" spans="1:6" x14ac:dyDescent="0.2">
      <c r="A22" s="27" t="s">
        <v>134</v>
      </c>
      <c r="B22" s="27" t="s">
        <v>133</v>
      </c>
      <c r="C22" s="27" t="s">
        <v>135</v>
      </c>
      <c r="D22" s="31">
        <v>1029699</v>
      </c>
      <c r="E22" s="29">
        <v>8188.6812980000004</v>
      </c>
      <c r="F22" s="30">
        <v>1.87151965147954</v>
      </c>
    </row>
    <row r="23" spans="1:6" x14ac:dyDescent="0.2">
      <c r="A23" s="27" t="s">
        <v>124</v>
      </c>
      <c r="B23" s="27" t="s">
        <v>123</v>
      </c>
      <c r="C23" s="27" t="s">
        <v>87</v>
      </c>
      <c r="D23" s="31">
        <v>1935519</v>
      </c>
      <c r="E23" s="29">
        <v>7051.0957170000001</v>
      </c>
      <c r="F23" s="30">
        <v>1.61152494749696</v>
      </c>
    </row>
    <row r="24" spans="1:6" x14ac:dyDescent="0.2">
      <c r="A24" s="27" t="s">
        <v>110</v>
      </c>
      <c r="B24" s="27" t="s">
        <v>109</v>
      </c>
      <c r="C24" s="27" t="s">
        <v>111</v>
      </c>
      <c r="D24" s="31">
        <v>3078627</v>
      </c>
      <c r="E24" s="29">
        <v>6916.1355560000002</v>
      </c>
      <c r="F24" s="30">
        <v>1.5806798597121801</v>
      </c>
    </row>
    <row r="25" spans="1:6" x14ac:dyDescent="0.2">
      <c r="A25" s="27" t="s">
        <v>194</v>
      </c>
      <c r="B25" s="27" t="s">
        <v>193</v>
      </c>
      <c r="C25" s="27" t="s">
        <v>195</v>
      </c>
      <c r="D25" s="31">
        <v>6223868</v>
      </c>
      <c r="E25" s="29">
        <v>6899.1576779999996</v>
      </c>
      <c r="F25" s="30">
        <v>1.5767995728673201</v>
      </c>
    </row>
    <row r="26" spans="1:6" x14ac:dyDescent="0.2">
      <c r="A26" s="27" t="s">
        <v>175</v>
      </c>
      <c r="B26" s="27" t="s">
        <v>174</v>
      </c>
      <c r="C26" s="27" t="s">
        <v>176</v>
      </c>
      <c r="D26" s="31">
        <v>268692</v>
      </c>
      <c r="E26" s="29">
        <v>6712.1948519999996</v>
      </c>
      <c r="F26" s="30">
        <v>1.5340692979644901</v>
      </c>
    </row>
    <row r="27" spans="1:6" x14ac:dyDescent="0.2">
      <c r="A27" s="27" t="s">
        <v>192</v>
      </c>
      <c r="B27" s="27" t="s">
        <v>191</v>
      </c>
      <c r="C27" s="27" t="s">
        <v>176</v>
      </c>
      <c r="D27" s="31">
        <v>1115794</v>
      </c>
      <c r="E27" s="29">
        <v>6685.8376479999997</v>
      </c>
      <c r="F27" s="30">
        <v>1.5280453701244701</v>
      </c>
    </row>
    <row r="28" spans="1:6" x14ac:dyDescent="0.2">
      <c r="A28" s="27" t="s">
        <v>121</v>
      </c>
      <c r="B28" s="27" t="s">
        <v>120</v>
      </c>
      <c r="C28" s="27" t="s">
        <v>122</v>
      </c>
      <c r="D28" s="31">
        <v>2520962</v>
      </c>
      <c r="E28" s="29">
        <v>5911.65589</v>
      </c>
      <c r="F28" s="30">
        <v>1.35110645637436</v>
      </c>
    </row>
    <row r="29" spans="1:6" x14ac:dyDescent="0.2">
      <c r="A29" s="27" t="s">
        <v>548</v>
      </c>
      <c r="B29" s="27" t="s">
        <v>547</v>
      </c>
      <c r="C29" s="27" t="s">
        <v>87</v>
      </c>
      <c r="D29" s="31">
        <v>605270</v>
      </c>
      <c r="E29" s="29">
        <v>5776.9995150000004</v>
      </c>
      <c r="F29" s="30">
        <v>1.32033079875156</v>
      </c>
    </row>
    <row r="30" spans="1:6" x14ac:dyDescent="0.2">
      <c r="A30" s="27" t="s">
        <v>102</v>
      </c>
      <c r="B30" s="27" t="s">
        <v>101</v>
      </c>
      <c r="C30" s="27" t="s">
        <v>103</v>
      </c>
      <c r="D30" s="31">
        <v>710704</v>
      </c>
      <c r="E30" s="29">
        <v>5769.8504240000002</v>
      </c>
      <c r="F30" s="30">
        <v>1.3186968770235299</v>
      </c>
    </row>
    <row r="31" spans="1:6" x14ac:dyDescent="0.2">
      <c r="A31" s="27" t="s">
        <v>168</v>
      </c>
      <c r="B31" s="27" t="s">
        <v>167</v>
      </c>
      <c r="C31" s="27" t="s">
        <v>127</v>
      </c>
      <c r="D31" s="31">
        <v>127107</v>
      </c>
      <c r="E31" s="29">
        <v>5740.1521199999997</v>
      </c>
      <c r="F31" s="30">
        <v>1.31190934218991</v>
      </c>
    </row>
    <row r="32" spans="1:6" x14ac:dyDescent="0.2">
      <c r="A32" s="27" t="s">
        <v>197</v>
      </c>
      <c r="B32" s="27" t="s">
        <v>196</v>
      </c>
      <c r="C32" s="27" t="s">
        <v>122</v>
      </c>
      <c r="D32" s="31">
        <v>5948967</v>
      </c>
      <c r="E32" s="29">
        <v>5464.12619</v>
      </c>
      <c r="F32" s="30">
        <v>1.2488237324911799</v>
      </c>
    </row>
    <row r="33" spans="1:6" x14ac:dyDescent="0.2">
      <c r="A33" s="27" t="s">
        <v>190</v>
      </c>
      <c r="B33" s="27" t="s">
        <v>189</v>
      </c>
      <c r="C33" s="27" t="s">
        <v>90</v>
      </c>
      <c r="D33" s="31">
        <v>530548</v>
      </c>
      <c r="E33" s="29">
        <v>5260.1181459999998</v>
      </c>
      <c r="F33" s="30">
        <v>1.20219778021493</v>
      </c>
    </row>
    <row r="34" spans="1:6" x14ac:dyDescent="0.2">
      <c r="A34" s="27" t="s">
        <v>510</v>
      </c>
      <c r="B34" s="27" t="s">
        <v>509</v>
      </c>
      <c r="C34" s="27" t="s">
        <v>127</v>
      </c>
      <c r="D34" s="31">
        <v>503898</v>
      </c>
      <c r="E34" s="29">
        <v>5142.0271409999996</v>
      </c>
      <c r="F34" s="30">
        <v>1.1752081309078499</v>
      </c>
    </row>
    <row r="35" spans="1:6" x14ac:dyDescent="0.2">
      <c r="A35" s="27" t="s">
        <v>99</v>
      </c>
      <c r="B35" s="27" t="s">
        <v>98</v>
      </c>
      <c r="C35" s="27" t="s">
        <v>100</v>
      </c>
      <c r="D35" s="31">
        <v>302972</v>
      </c>
      <c r="E35" s="29">
        <v>5115.6822199999997</v>
      </c>
      <c r="F35" s="30">
        <v>1.1691870103423001</v>
      </c>
    </row>
    <row r="36" spans="1:6" x14ac:dyDescent="0.2">
      <c r="A36" s="27" t="s">
        <v>526</v>
      </c>
      <c r="B36" s="27" t="s">
        <v>525</v>
      </c>
      <c r="C36" s="27" t="s">
        <v>117</v>
      </c>
      <c r="D36" s="31">
        <v>896279</v>
      </c>
      <c r="E36" s="29">
        <v>4986.4482170000001</v>
      </c>
      <c r="F36" s="30">
        <v>1.1396506335495</v>
      </c>
    </row>
    <row r="37" spans="1:6" x14ac:dyDescent="0.2">
      <c r="A37" s="27" t="s">
        <v>232</v>
      </c>
      <c r="B37" s="27" t="s">
        <v>231</v>
      </c>
      <c r="C37" s="27" t="s">
        <v>233</v>
      </c>
      <c r="D37" s="31">
        <v>3970503</v>
      </c>
      <c r="E37" s="29">
        <v>4967.0992530000003</v>
      </c>
      <c r="F37" s="30">
        <v>1.1352284360009599</v>
      </c>
    </row>
    <row r="38" spans="1:6" x14ac:dyDescent="0.2">
      <c r="A38" s="27" t="s">
        <v>219</v>
      </c>
      <c r="B38" s="27" t="s">
        <v>218</v>
      </c>
      <c r="C38" s="27" t="s">
        <v>90</v>
      </c>
      <c r="D38" s="31">
        <v>148117</v>
      </c>
      <c r="E38" s="29">
        <v>4706.9360850000003</v>
      </c>
      <c r="F38" s="30">
        <v>1.07576825385636</v>
      </c>
    </row>
    <row r="39" spans="1:6" x14ac:dyDescent="0.2">
      <c r="A39" s="27" t="s">
        <v>156</v>
      </c>
      <c r="B39" s="27" t="s">
        <v>155</v>
      </c>
      <c r="C39" s="27" t="s">
        <v>135</v>
      </c>
      <c r="D39" s="31">
        <v>1546634</v>
      </c>
      <c r="E39" s="29">
        <v>4667.7414120000003</v>
      </c>
      <c r="F39" s="30">
        <v>1.0668103278993799</v>
      </c>
    </row>
    <row r="40" spans="1:6" x14ac:dyDescent="0.2">
      <c r="A40" s="27" t="s">
        <v>205</v>
      </c>
      <c r="B40" s="27" t="s">
        <v>204</v>
      </c>
      <c r="C40" s="27" t="s">
        <v>176</v>
      </c>
      <c r="D40" s="31">
        <v>1158898</v>
      </c>
      <c r="E40" s="29">
        <v>4344.7086019999997</v>
      </c>
      <c r="F40" s="30">
        <v>0.99298131563395697</v>
      </c>
    </row>
    <row r="41" spans="1:6" x14ac:dyDescent="0.2">
      <c r="A41" s="27" t="s">
        <v>132</v>
      </c>
      <c r="B41" s="27" t="s">
        <v>131</v>
      </c>
      <c r="C41" s="27" t="s">
        <v>130</v>
      </c>
      <c r="D41" s="31">
        <v>3977486</v>
      </c>
      <c r="E41" s="29">
        <v>4238.0113330000004</v>
      </c>
      <c r="F41" s="30">
        <v>0.96859569987657401</v>
      </c>
    </row>
    <row r="42" spans="1:6" x14ac:dyDescent="0.2">
      <c r="A42" s="27" t="s">
        <v>202</v>
      </c>
      <c r="B42" s="27" t="s">
        <v>201</v>
      </c>
      <c r="C42" s="27" t="s">
        <v>203</v>
      </c>
      <c r="D42" s="31">
        <v>2627584</v>
      </c>
      <c r="E42" s="29">
        <v>4236.9791999999998</v>
      </c>
      <c r="F42" s="30">
        <v>0.96835980631543195</v>
      </c>
    </row>
    <row r="43" spans="1:6" x14ac:dyDescent="0.2">
      <c r="A43" s="27" t="s">
        <v>209</v>
      </c>
      <c r="B43" s="27" t="s">
        <v>208</v>
      </c>
      <c r="C43" s="27" t="s">
        <v>111</v>
      </c>
      <c r="D43" s="31">
        <v>2792178</v>
      </c>
      <c r="E43" s="29">
        <v>3783.40119</v>
      </c>
      <c r="F43" s="30">
        <v>0.86469474373675803</v>
      </c>
    </row>
    <row r="44" spans="1:6" x14ac:dyDescent="0.2">
      <c r="A44" s="27" t="s">
        <v>237</v>
      </c>
      <c r="B44" s="27" t="s">
        <v>236</v>
      </c>
      <c r="C44" s="27" t="s">
        <v>203</v>
      </c>
      <c r="D44" s="31">
        <v>990217</v>
      </c>
      <c r="E44" s="29">
        <v>3772.2316620000001</v>
      </c>
      <c r="F44" s="30">
        <v>0.86214195283074802</v>
      </c>
    </row>
    <row r="45" spans="1:6" x14ac:dyDescent="0.2">
      <c r="A45" s="27" t="s">
        <v>145</v>
      </c>
      <c r="B45" s="27" t="s">
        <v>144</v>
      </c>
      <c r="C45" s="27" t="s">
        <v>117</v>
      </c>
      <c r="D45" s="31">
        <v>607174</v>
      </c>
      <c r="E45" s="29">
        <v>3649.4193270000001</v>
      </c>
      <c r="F45" s="30">
        <v>0.83407324554661799</v>
      </c>
    </row>
    <row r="46" spans="1:6" x14ac:dyDescent="0.2">
      <c r="A46" s="27" t="s">
        <v>141</v>
      </c>
      <c r="B46" s="27" t="s">
        <v>140</v>
      </c>
      <c r="C46" s="27" t="s">
        <v>135</v>
      </c>
      <c r="D46" s="31">
        <v>87369</v>
      </c>
      <c r="E46" s="29">
        <v>3206.9665140000002</v>
      </c>
      <c r="F46" s="30">
        <v>0.73295084204263194</v>
      </c>
    </row>
    <row r="47" spans="1:6" x14ac:dyDescent="0.2">
      <c r="A47" s="27" t="s">
        <v>126</v>
      </c>
      <c r="B47" s="27" t="s">
        <v>125</v>
      </c>
      <c r="C47" s="27" t="s">
        <v>127</v>
      </c>
      <c r="D47" s="31">
        <v>720735</v>
      </c>
      <c r="E47" s="29">
        <v>3177.7206150000002</v>
      </c>
      <c r="F47" s="30">
        <v>0.72626670418064698</v>
      </c>
    </row>
    <row r="48" spans="1:6" x14ac:dyDescent="0.2">
      <c r="A48" s="27" t="s">
        <v>105</v>
      </c>
      <c r="B48" s="27" t="s">
        <v>104</v>
      </c>
      <c r="C48" s="27" t="s">
        <v>106</v>
      </c>
      <c r="D48" s="31">
        <v>300000</v>
      </c>
      <c r="E48" s="29">
        <v>3005.85</v>
      </c>
      <c r="F48" s="30">
        <v>0.68698574772640897</v>
      </c>
    </row>
    <row r="49" spans="1:9" x14ac:dyDescent="0.2">
      <c r="A49" s="27" t="s">
        <v>211</v>
      </c>
      <c r="B49" s="27" t="s">
        <v>210</v>
      </c>
      <c r="C49" s="27" t="s">
        <v>87</v>
      </c>
      <c r="D49" s="31">
        <v>3293517</v>
      </c>
      <c r="E49" s="29">
        <v>2496.4858859999999</v>
      </c>
      <c r="F49" s="30">
        <v>0.57057079464448801</v>
      </c>
    </row>
    <row r="50" spans="1:9" x14ac:dyDescent="0.2">
      <c r="A50" s="27" t="s">
        <v>677</v>
      </c>
      <c r="B50" s="27" t="s">
        <v>676</v>
      </c>
      <c r="C50" s="27" t="s">
        <v>362</v>
      </c>
      <c r="D50" s="31">
        <v>771008</v>
      </c>
      <c r="E50" s="29">
        <v>2356.2004480000001</v>
      </c>
      <c r="F50" s="30">
        <v>0.53850861705094399</v>
      </c>
    </row>
    <row r="51" spans="1:9" x14ac:dyDescent="0.2">
      <c r="A51" s="27" t="s">
        <v>408</v>
      </c>
      <c r="B51" s="27" t="s">
        <v>407</v>
      </c>
      <c r="C51" s="27" t="s">
        <v>195</v>
      </c>
      <c r="D51" s="31">
        <v>6320734</v>
      </c>
      <c r="E51" s="29">
        <v>2338.6715800000002</v>
      </c>
      <c r="F51" s="30">
        <v>0.53450240167433505</v>
      </c>
    </row>
    <row r="52" spans="1:9" x14ac:dyDescent="0.2">
      <c r="A52" s="27" t="s">
        <v>230</v>
      </c>
      <c r="B52" s="27" t="s">
        <v>229</v>
      </c>
      <c r="C52" s="27" t="s">
        <v>135</v>
      </c>
      <c r="D52" s="31">
        <v>1791828</v>
      </c>
      <c r="E52" s="29">
        <v>2294.4357540000001</v>
      </c>
      <c r="F52" s="30">
        <v>0.52439232232875799</v>
      </c>
    </row>
    <row r="53" spans="1:9" x14ac:dyDescent="0.2">
      <c r="A53" s="27" t="s">
        <v>153</v>
      </c>
      <c r="B53" s="27" t="s">
        <v>152</v>
      </c>
      <c r="C53" s="27" t="s">
        <v>154</v>
      </c>
      <c r="D53" s="31">
        <v>1075124</v>
      </c>
      <c r="E53" s="29">
        <v>2163.68705</v>
      </c>
      <c r="F53" s="30">
        <v>0.49450976126227097</v>
      </c>
    </row>
    <row r="54" spans="1:9" x14ac:dyDescent="0.2">
      <c r="A54" s="27" t="s">
        <v>186</v>
      </c>
      <c r="B54" s="27" t="s">
        <v>185</v>
      </c>
      <c r="C54" s="27" t="s">
        <v>117</v>
      </c>
      <c r="D54" s="31">
        <v>355879</v>
      </c>
      <c r="E54" s="29">
        <v>1923.525995</v>
      </c>
      <c r="F54" s="30">
        <v>0.43962105359424403</v>
      </c>
    </row>
    <row r="55" spans="1:9" x14ac:dyDescent="0.2">
      <c r="A55" s="27" t="s">
        <v>199</v>
      </c>
      <c r="B55" s="27" t="s">
        <v>198</v>
      </c>
      <c r="C55" s="27" t="s">
        <v>200</v>
      </c>
      <c r="D55" s="31">
        <v>1278633</v>
      </c>
      <c r="E55" s="29">
        <v>1852.099901</v>
      </c>
      <c r="F55" s="30">
        <v>0.42329664998336303</v>
      </c>
    </row>
    <row r="56" spans="1:9" x14ac:dyDescent="0.2">
      <c r="A56" s="27" t="s">
        <v>158</v>
      </c>
      <c r="B56" s="27" t="s">
        <v>157</v>
      </c>
      <c r="C56" s="27" t="s">
        <v>159</v>
      </c>
      <c r="D56" s="31">
        <v>3057159</v>
      </c>
      <c r="E56" s="29">
        <v>1796.080913</v>
      </c>
      <c r="F56" s="30">
        <v>0.41049353394029497</v>
      </c>
    </row>
    <row r="57" spans="1:9" x14ac:dyDescent="0.2">
      <c r="A57" s="27" t="s">
        <v>283</v>
      </c>
      <c r="B57" s="27" t="s">
        <v>282</v>
      </c>
      <c r="C57" s="27" t="s">
        <v>90</v>
      </c>
      <c r="D57" s="31">
        <v>241063</v>
      </c>
      <c r="E57" s="29">
        <v>1560.7623940000001</v>
      </c>
      <c r="F57" s="30">
        <v>0.35671158582941598</v>
      </c>
    </row>
    <row r="58" spans="1:9" x14ac:dyDescent="0.2">
      <c r="A58" s="27" t="s">
        <v>251</v>
      </c>
      <c r="B58" s="27" t="s">
        <v>250</v>
      </c>
      <c r="C58" s="27" t="s">
        <v>176</v>
      </c>
      <c r="D58" s="31">
        <v>1695647</v>
      </c>
      <c r="E58" s="29">
        <v>1479.452008</v>
      </c>
      <c r="F58" s="30">
        <v>0.33812813145739701</v>
      </c>
    </row>
    <row r="59" spans="1:9" x14ac:dyDescent="0.2">
      <c r="A59" s="27" t="s">
        <v>161</v>
      </c>
      <c r="B59" s="27" t="s">
        <v>160</v>
      </c>
      <c r="C59" s="27" t="s">
        <v>154</v>
      </c>
      <c r="D59" s="31">
        <v>125663</v>
      </c>
      <c r="E59" s="29">
        <v>212.24480700000001</v>
      </c>
      <c r="F59" s="30">
        <v>4.8508460980402297E-2</v>
      </c>
    </row>
    <row r="60" spans="1:9" x14ac:dyDescent="0.2">
      <c r="A60" s="26" t="s">
        <v>34</v>
      </c>
      <c r="B60" s="26"/>
      <c r="C60" s="26"/>
      <c r="D60" s="32"/>
      <c r="E60" s="33">
        <f>SUM(E7:E59)</f>
        <v>424793.9458819998</v>
      </c>
      <c r="F60" s="34">
        <f>SUM(F7:F59)</f>
        <v>97.086476883875477</v>
      </c>
      <c r="G60" s="18"/>
      <c r="H60" s="18"/>
      <c r="I60" s="18"/>
    </row>
    <row r="61" spans="1:9" x14ac:dyDescent="0.2">
      <c r="A61" s="27"/>
      <c r="B61" s="27"/>
      <c r="C61" s="27"/>
      <c r="D61" s="28"/>
      <c r="E61" s="29"/>
      <c r="F61" s="30"/>
    </row>
    <row r="62" spans="1:9" x14ac:dyDescent="0.2">
      <c r="A62" s="26" t="s">
        <v>1479</v>
      </c>
      <c r="B62" s="27"/>
      <c r="C62" s="27"/>
      <c r="D62" s="28"/>
      <c r="E62" s="29"/>
      <c r="F62" s="30"/>
    </row>
    <row r="63" spans="1:9" x14ac:dyDescent="0.2">
      <c r="A63" s="27" t="s">
        <v>224</v>
      </c>
      <c r="B63" s="27" t="s">
        <v>725</v>
      </c>
      <c r="C63" s="27" t="s">
        <v>225</v>
      </c>
      <c r="D63" s="31">
        <v>30000</v>
      </c>
      <c r="E63" s="29">
        <v>3.0000000000000001E-3</v>
      </c>
      <c r="F63" s="30">
        <v>6.85648732697648E-7</v>
      </c>
    </row>
    <row r="64" spans="1:9" x14ac:dyDescent="0.2">
      <c r="A64" s="27" t="s">
        <v>508</v>
      </c>
      <c r="B64" s="27" t="s">
        <v>722</v>
      </c>
      <c r="C64" s="27" t="s">
        <v>367</v>
      </c>
      <c r="D64" s="31">
        <v>3500</v>
      </c>
      <c r="E64" s="29">
        <v>3.5E-4</v>
      </c>
      <c r="F64" s="30">
        <v>7.9992352148059002E-8</v>
      </c>
    </row>
    <row r="65" spans="1:9" x14ac:dyDescent="0.2">
      <c r="A65" s="27"/>
      <c r="B65" s="27" t="s">
        <v>720</v>
      </c>
      <c r="C65" s="27" t="s">
        <v>176</v>
      </c>
      <c r="D65" s="31">
        <v>2900</v>
      </c>
      <c r="E65" s="29">
        <v>2.9E-4</v>
      </c>
      <c r="F65" s="30">
        <v>6.6279377494106001E-8</v>
      </c>
    </row>
    <row r="66" spans="1:9" x14ac:dyDescent="0.2">
      <c r="A66" s="26" t="s">
        <v>34</v>
      </c>
      <c r="B66" s="26"/>
      <c r="C66" s="26"/>
      <c r="D66" s="32"/>
      <c r="E66" s="33">
        <f>SUM(E62:E65)</f>
        <v>3.64E-3</v>
      </c>
      <c r="F66" s="34">
        <f>SUM(F62:F65)</f>
        <v>8.3192046233981303E-7</v>
      </c>
      <c r="G66" s="18"/>
      <c r="H66" s="18"/>
      <c r="I66" s="18"/>
    </row>
    <row r="67" spans="1:9" x14ac:dyDescent="0.2">
      <c r="A67" s="27"/>
      <c r="B67" s="27"/>
      <c r="C67" s="27"/>
      <c r="D67" s="28"/>
      <c r="E67" s="29"/>
      <c r="F67" s="30"/>
    </row>
    <row r="68" spans="1:9" x14ac:dyDescent="0.2">
      <c r="A68" s="26" t="s">
        <v>36</v>
      </c>
      <c r="B68" s="26"/>
      <c r="C68" s="26"/>
      <c r="D68" s="32"/>
      <c r="E68" s="33">
        <f>E60+E66</f>
        <v>424793.94952199981</v>
      </c>
      <c r="F68" s="34">
        <f>F60+F66</f>
        <v>97.086477715795937</v>
      </c>
      <c r="G68" s="18"/>
      <c r="H68" s="18"/>
      <c r="I68" s="18"/>
    </row>
    <row r="69" spans="1:9" x14ac:dyDescent="0.2">
      <c r="A69" s="26"/>
      <c r="B69" s="26"/>
      <c r="C69" s="26"/>
      <c r="D69" s="32"/>
      <c r="E69" s="33"/>
      <c r="F69" s="34"/>
      <c r="G69" s="18"/>
      <c r="H69" s="18"/>
      <c r="I69" s="18"/>
    </row>
    <row r="70" spans="1:9" x14ac:dyDescent="0.2">
      <c r="A70" s="26" t="s">
        <v>38</v>
      </c>
      <c r="B70" s="26"/>
      <c r="C70" s="26"/>
      <c r="D70" s="32"/>
      <c r="E70" s="33">
        <f>E72-(E60+E66)</f>
        <v>12747.878667000216</v>
      </c>
      <c r="F70" s="34">
        <f>F72-(F60+F66)</f>
        <v>2.9135222842040633</v>
      </c>
      <c r="G70" s="18"/>
      <c r="H70" s="18"/>
      <c r="I70" s="18"/>
    </row>
    <row r="71" spans="1:9" x14ac:dyDescent="0.2">
      <c r="A71" s="26"/>
      <c r="B71" s="26"/>
      <c r="C71" s="26"/>
      <c r="D71" s="32"/>
      <c r="E71" s="33"/>
      <c r="F71" s="34"/>
      <c r="G71" s="18"/>
      <c r="H71" s="18"/>
      <c r="I71" s="18"/>
    </row>
    <row r="72" spans="1:9" x14ac:dyDescent="0.2">
      <c r="A72" s="35" t="s">
        <v>37</v>
      </c>
      <c r="B72" s="35"/>
      <c r="C72" s="35"/>
      <c r="D72" s="36"/>
      <c r="E72" s="37">
        <v>437541.82818900002</v>
      </c>
      <c r="F72" s="38">
        <v>100</v>
      </c>
      <c r="G72" s="18"/>
      <c r="H72" s="18"/>
      <c r="I72" s="18"/>
    </row>
    <row r="73" spans="1:9" x14ac:dyDescent="0.2">
      <c r="F73" s="20" t="s">
        <v>497</v>
      </c>
    </row>
    <row r="74" spans="1:9" x14ac:dyDescent="0.2">
      <c r="A74" s="18" t="s">
        <v>39</v>
      </c>
      <c r="F74" s="20"/>
    </row>
    <row r="75" spans="1:9" x14ac:dyDescent="0.2">
      <c r="A75" s="18" t="s">
        <v>716</v>
      </c>
      <c r="F75" s="20"/>
    </row>
    <row r="77" spans="1:9" x14ac:dyDescent="0.2">
      <c r="A77" s="18" t="s">
        <v>40</v>
      </c>
    </row>
    <row r="78" spans="1:9" x14ac:dyDescent="0.2">
      <c r="A78" s="18" t="s">
        <v>41</v>
      </c>
    </row>
    <row r="79" spans="1:9" x14ac:dyDescent="0.2">
      <c r="A79" s="18" t="s">
        <v>42</v>
      </c>
      <c r="B79" s="18"/>
      <c r="C79" s="39" t="s">
        <v>44</v>
      </c>
      <c r="D79" s="19" t="s">
        <v>43</v>
      </c>
    </row>
    <row r="80" spans="1:9" x14ac:dyDescent="0.2">
      <c r="A80" s="9" t="s">
        <v>65</v>
      </c>
      <c r="C80" s="40">
        <v>497.43610000000001</v>
      </c>
      <c r="D80" s="40">
        <v>698.99890000000005</v>
      </c>
    </row>
    <row r="81" spans="1:4" x14ac:dyDescent="0.2">
      <c r="A81" s="9" t="s">
        <v>1003</v>
      </c>
      <c r="C81" s="40">
        <v>33.0809</v>
      </c>
      <c r="D81" s="40">
        <v>42.803199999999997</v>
      </c>
    </row>
    <row r="82" spans="1:4" x14ac:dyDescent="0.2">
      <c r="A82" s="9" t="s">
        <v>66</v>
      </c>
      <c r="C82" s="40">
        <v>533.05449999999996</v>
      </c>
      <c r="D82" s="40">
        <v>752.34349999999995</v>
      </c>
    </row>
    <row r="83" spans="1:4" x14ac:dyDescent="0.2">
      <c r="A83" s="9" t="s">
        <v>1004</v>
      </c>
      <c r="C83" s="40">
        <v>36.329799999999999</v>
      </c>
      <c r="D83" s="40">
        <v>47.587499999999999</v>
      </c>
    </row>
    <row r="85" spans="1:4" x14ac:dyDescent="0.2">
      <c r="A85" s="18" t="s">
        <v>1560</v>
      </c>
    </row>
    <row r="86" spans="1:4" x14ac:dyDescent="0.2">
      <c r="A86" s="94" t="s">
        <v>64</v>
      </c>
      <c r="B86" s="95"/>
      <c r="C86" s="44" t="s">
        <v>1544</v>
      </c>
    </row>
    <row r="87" spans="1:4" x14ac:dyDescent="0.2">
      <c r="A87" s="88" t="s">
        <v>1003</v>
      </c>
      <c r="B87" s="89"/>
      <c r="C87" s="45">
        <v>3.5</v>
      </c>
    </row>
    <row r="88" spans="1:4" x14ac:dyDescent="0.2">
      <c r="A88" s="88" t="s">
        <v>1004</v>
      </c>
      <c r="B88" s="89"/>
      <c r="C88" s="45">
        <v>3.5</v>
      </c>
    </row>
    <row r="89" spans="1:4" x14ac:dyDescent="0.2">
      <c r="A89" s="9" t="s">
        <v>1545</v>
      </c>
    </row>
    <row r="90" spans="1:4" x14ac:dyDescent="0.2">
      <c r="A90" s="9" t="s">
        <v>782</v>
      </c>
    </row>
    <row r="92" spans="1:4" x14ac:dyDescent="0.2">
      <c r="A92" s="18" t="s">
        <v>215</v>
      </c>
      <c r="D92" s="46">
        <v>0.1535459807457247</v>
      </c>
    </row>
    <row r="94" spans="1:4" x14ac:dyDescent="0.2">
      <c r="A94" s="18" t="s">
        <v>717</v>
      </c>
      <c r="D94" s="41">
        <v>1</v>
      </c>
    </row>
    <row r="95" spans="1:4" x14ac:dyDescent="0.2">
      <c r="A95" s="9" t="s">
        <v>712</v>
      </c>
      <c r="D95" s="41"/>
    </row>
    <row r="96" spans="1:4" x14ac:dyDescent="0.2">
      <c r="A96" s="50" t="s">
        <v>713</v>
      </c>
      <c r="D96" s="41"/>
    </row>
    <row r="98" spans="1:1" x14ac:dyDescent="0.2">
      <c r="A98" s="18" t="s">
        <v>718</v>
      </c>
    </row>
    <row r="99" spans="1:1" x14ac:dyDescent="0.2">
      <c r="A99" s="50" t="s">
        <v>47</v>
      </c>
    </row>
    <row r="101" spans="1:1" x14ac:dyDescent="0.2">
      <c r="A101" s="70" t="s">
        <v>1489</v>
      </c>
    </row>
  </sheetData>
  <mergeCells count="4">
    <mergeCell ref="A1:F1"/>
    <mergeCell ref="A86:B86"/>
    <mergeCell ref="A87:B87"/>
    <mergeCell ref="A88:B88"/>
  </mergeCells>
  <conditionalFormatting sqref="F2:F3 F5:F65539">
    <cfRule type="cellIs" dxfId="88" priority="1" stopIfTrue="1" operator="between">
      <formula>0.009</formula>
      <formula>-0.009</formula>
    </cfRule>
  </conditionalFormatting>
  <hyperlinks>
    <hyperlink ref="A96" r:id="rId1" xr:uid="{00000000-0004-0000-2E00-000000000000}"/>
    <hyperlink ref="A99" r:id="rId2" xr:uid="{00000000-0004-0000-2E00-000001000000}"/>
  </hyperlinks>
  <pageMargins left="0.7" right="0.7" top="0.75" bottom="0.75" header="0.3" footer="0.3"/>
  <pageSetup paperSize="9" scale="54" orientation="portrait" r:id="rId3"/>
  <headerFooter>
    <oddFooter>&amp;R&amp;1#&amp;"Calibri"&amp;10&amp;KFF0000|PUBLIC|</oddFooter>
    <evenFooter>&amp;LPUBLIC</evenFooter>
    <firstFooter>&amp;LPUBLIC</first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I31"/>
  <sheetViews>
    <sheetView view="pageBreakPreview" zoomScaleNormal="100" zoomScaleSheetLayoutView="100" workbookViewId="0">
      <selection sqref="A1:F1"/>
    </sheetView>
  </sheetViews>
  <sheetFormatPr defaultColWidth="9.21875" defaultRowHeight="10.199999999999999" x14ac:dyDescent="0.2"/>
  <cols>
    <col min="1" max="1" width="33.44140625" style="9" bestFit="1" customWidth="1"/>
    <col min="2" max="2" width="33.5546875" style="9" bestFit="1" customWidth="1"/>
    <col min="3" max="3" width="18.77734375" style="9" bestFit="1" customWidth="1"/>
    <col min="4" max="4" width="15.44140625" style="10" bestFit="1" customWidth="1"/>
    <col min="5" max="5" width="23" style="13" bestFit="1" customWidth="1"/>
    <col min="6" max="6" width="13.5546875" style="14" bestFit="1" customWidth="1"/>
    <col min="7" max="16384" width="9.21875" style="9"/>
  </cols>
  <sheetData>
    <row r="1" spans="1:9" s="1" customFormat="1" ht="13.8" x14ac:dyDescent="0.2">
      <c r="A1" s="92" t="s">
        <v>19</v>
      </c>
      <c r="B1" s="93"/>
      <c r="C1" s="93"/>
      <c r="D1" s="93"/>
      <c r="E1" s="93"/>
      <c r="F1" s="93"/>
    </row>
    <row r="2" spans="1:9" s="1" customFormat="1" ht="11.4" x14ac:dyDescent="0.2">
      <c r="D2" s="6"/>
      <c r="E2" s="7"/>
      <c r="F2" s="12"/>
    </row>
    <row r="3" spans="1:9" s="1" customFormat="1" ht="12" x14ac:dyDescent="0.2">
      <c r="A3" s="11" t="s">
        <v>7</v>
      </c>
      <c r="B3" s="2"/>
      <c r="C3" s="3"/>
      <c r="D3" s="4"/>
      <c r="E3" s="5"/>
      <c r="F3" s="12"/>
    </row>
    <row r="4" spans="1:9" s="1" customFormat="1" ht="17.55" customHeight="1" x14ac:dyDescent="0.2">
      <c r="A4" s="8" t="s">
        <v>2</v>
      </c>
      <c r="B4" s="8" t="s">
        <v>0</v>
      </c>
      <c r="C4" s="17" t="s">
        <v>259</v>
      </c>
      <c r="D4" s="16" t="s">
        <v>1</v>
      </c>
      <c r="E4" s="15" t="s">
        <v>3</v>
      </c>
      <c r="F4" s="15" t="s">
        <v>4</v>
      </c>
    </row>
    <row r="5" spans="1:9" x14ac:dyDescent="0.2">
      <c r="A5" s="21" t="s">
        <v>354</v>
      </c>
      <c r="B5" s="22"/>
      <c r="C5" s="22"/>
      <c r="D5" s="23"/>
      <c r="E5" s="24"/>
      <c r="F5" s="25"/>
    </row>
    <row r="6" spans="1:9" x14ac:dyDescent="0.2">
      <c r="A6" s="27" t="s">
        <v>679</v>
      </c>
      <c r="B6" s="27" t="s">
        <v>678</v>
      </c>
      <c r="C6" s="27" t="s">
        <v>357</v>
      </c>
      <c r="D6" s="31">
        <v>5512733.4029999999</v>
      </c>
      <c r="E6" s="29">
        <v>289017.07192382694</v>
      </c>
      <c r="F6" s="30">
        <v>100.0204421116748</v>
      </c>
    </row>
    <row r="7" spans="1:9" x14ac:dyDescent="0.2">
      <c r="A7" s="26" t="s">
        <v>34</v>
      </c>
      <c r="B7" s="26"/>
      <c r="C7" s="26"/>
      <c r="D7" s="32"/>
      <c r="E7" s="33">
        <f>SUM(E6:E6)</f>
        <v>289017.07192382694</v>
      </c>
      <c r="F7" s="34">
        <f>SUM(F6:F6)</f>
        <v>100.0204421116748</v>
      </c>
      <c r="G7" s="18"/>
      <c r="H7" s="18"/>
      <c r="I7" s="18"/>
    </row>
    <row r="8" spans="1:9" x14ac:dyDescent="0.2">
      <c r="A8" s="27"/>
      <c r="B8" s="27"/>
      <c r="C8" s="27"/>
      <c r="D8" s="28"/>
      <c r="E8" s="29"/>
      <c r="F8" s="30"/>
    </row>
    <row r="9" spans="1:9" x14ac:dyDescent="0.2">
      <c r="A9" s="26" t="s">
        <v>36</v>
      </c>
      <c r="B9" s="26"/>
      <c r="C9" s="26"/>
      <c r="D9" s="32"/>
      <c r="E9" s="33">
        <f>E7</f>
        <v>289017.07192382694</v>
      </c>
      <c r="F9" s="34">
        <f>F7</f>
        <v>100.0204421116748</v>
      </c>
      <c r="G9" s="18"/>
      <c r="H9" s="18"/>
      <c r="I9" s="18"/>
    </row>
    <row r="10" spans="1:9" x14ac:dyDescent="0.2">
      <c r="A10" s="26"/>
      <c r="B10" s="26"/>
      <c r="C10" s="26"/>
      <c r="D10" s="32"/>
      <c r="E10" s="33"/>
      <c r="F10" s="34"/>
      <c r="G10" s="18"/>
      <c r="H10" s="18"/>
      <c r="I10" s="18"/>
    </row>
    <row r="11" spans="1:9" x14ac:dyDescent="0.2">
      <c r="A11" s="26" t="s">
        <v>38</v>
      </c>
      <c r="B11" s="26"/>
      <c r="C11" s="26"/>
      <c r="D11" s="32"/>
      <c r="E11" s="33">
        <f>E13-(E7)</f>
        <v>-59.069117626931984</v>
      </c>
      <c r="F11" s="34">
        <f>F13-(F7)</f>
        <v>-2.0442111674796593E-2</v>
      </c>
      <c r="G11" s="18"/>
      <c r="H11" s="18"/>
      <c r="I11" s="18"/>
    </row>
    <row r="12" spans="1:9" x14ac:dyDescent="0.2">
      <c r="A12" s="26"/>
      <c r="B12" s="26"/>
      <c r="C12" s="26"/>
      <c r="D12" s="32"/>
      <c r="E12" s="33"/>
      <c r="F12" s="34"/>
      <c r="G12" s="18"/>
      <c r="H12" s="18"/>
      <c r="I12" s="18"/>
    </row>
    <row r="13" spans="1:9" x14ac:dyDescent="0.2">
      <c r="A13" s="35" t="s">
        <v>37</v>
      </c>
      <c r="B13" s="35"/>
      <c r="C13" s="35"/>
      <c r="D13" s="36"/>
      <c r="E13" s="37">
        <v>288958.00280620001</v>
      </c>
      <c r="F13" s="38">
        <v>100</v>
      </c>
      <c r="G13" s="18"/>
      <c r="H13" s="18"/>
      <c r="I13" s="18"/>
    </row>
    <row r="16" spans="1:9" x14ac:dyDescent="0.2">
      <c r="A16" s="18" t="s">
        <v>40</v>
      </c>
    </row>
    <row r="17" spans="1:4" x14ac:dyDescent="0.2">
      <c r="A17" s="18" t="s">
        <v>41</v>
      </c>
    </row>
    <row r="18" spans="1:4" x14ac:dyDescent="0.2">
      <c r="A18" s="18" t="s">
        <v>42</v>
      </c>
      <c r="B18" s="18"/>
      <c r="C18" s="39" t="s">
        <v>44</v>
      </c>
      <c r="D18" s="19" t="s">
        <v>43</v>
      </c>
    </row>
    <row r="19" spans="1:4" x14ac:dyDescent="0.2">
      <c r="A19" s="9" t="s">
        <v>65</v>
      </c>
      <c r="C19" s="40">
        <v>45.787599999999998</v>
      </c>
      <c r="D19" s="40">
        <v>48.979599999999998</v>
      </c>
    </row>
    <row r="20" spans="1:4" x14ac:dyDescent="0.2">
      <c r="A20" s="9" t="s">
        <v>1003</v>
      </c>
      <c r="C20" s="40">
        <v>45.787599999999998</v>
      </c>
      <c r="D20" s="40">
        <v>48.979599999999998</v>
      </c>
    </row>
    <row r="21" spans="1:4" x14ac:dyDescent="0.2">
      <c r="A21" s="9" t="s">
        <v>66</v>
      </c>
      <c r="C21" s="40">
        <v>49.348700000000001</v>
      </c>
      <c r="D21" s="40">
        <v>53.052</v>
      </c>
    </row>
    <row r="22" spans="1:4" x14ac:dyDescent="0.2">
      <c r="A22" s="9" t="s">
        <v>1004</v>
      </c>
      <c r="C22" s="40">
        <v>49.348700000000001</v>
      </c>
      <c r="D22" s="40">
        <v>53.052</v>
      </c>
    </row>
    <row r="23" spans="1:4" x14ac:dyDescent="0.2">
      <c r="C23" s="40"/>
      <c r="D23" s="40"/>
    </row>
    <row r="24" spans="1:4" x14ac:dyDescent="0.2">
      <c r="A24" s="9" t="s">
        <v>782</v>
      </c>
      <c r="C24" s="40"/>
      <c r="D24" s="40"/>
    </row>
    <row r="26" spans="1:4" x14ac:dyDescent="0.2">
      <c r="A26" s="18" t="s">
        <v>1560</v>
      </c>
      <c r="D26" s="41" t="s">
        <v>45</v>
      </c>
    </row>
    <row r="28" spans="1:4" x14ac:dyDescent="0.2">
      <c r="A28" s="18" t="s">
        <v>215</v>
      </c>
      <c r="D28" s="46">
        <v>9.4737047962776839E-3</v>
      </c>
    </row>
    <row r="30" spans="1:4" x14ac:dyDescent="0.2">
      <c r="A30" s="18" t="s">
        <v>715</v>
      </c>
    </row>
    <row r="31" spans="1:4" x14ac:dyDescent="0.2">
      <c r="A31" s="50" t="s">
        <v>47</v>
      </c>
    </row>
  </sheetData>
  <mergeCells count="1">
    <mergeCell ref="A1:F1"/>
  </mergeCells>
  <conditionalFormatting sqref="F2:F3 F5:F65538">
    <cfRule type="cellIs" dxfId="87" priority="1" stopIfTrue="1" operator="between">
      <formula>0.009</formula>
      <formula>-0.009</formula>
    </cfRule>
  </conditionalFormatting>
  <hyperlinks>
    <hyperlink ref="A31" r:id="rId1" xr:uid="{00000000-0004-0000-2F00-000000000000}"/>
  </hyperlinks>
  <pageMargins left="0.7" right="0.7" top="0.75" bottom="0.75" header="0.3" footer="0.3"/>
  <pageSetup paperSize="9" scale="59" orientation="portrait" r:id="rId2"/>
  <headerFooter>
    <oddFooter>&amp;R&amp;1#&amp;"Calibri"&amp;10&amp;KFF0000|PUBLIC|</oddFooter>
    <evenFooter>&amp;LPUBLIC</evenFooter>
    <firstFooter>&amp;LPUBLIC</firstFooter>
  </headerFooter>
  <colBreaks count="1" manualBreakCount="1">
    <brk id="6" max="1048575" man="1"/>
  </colBreak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H33"/>
  <sheetViews>
    <sheetView view="pageBreakPreview" zoomScaleNormal="100" zoomScaleSheetLayoutView="100" workbookViewId="0">
      <selection sqref="A1:E1"/>
    </sheetView>
  </sheetViews>
  <sheetFormatPr defaultColWidth="9.21875" defaultRowHeight="10.199999999999999" x14ac:dyDescent="0.2"/>
  <cols>
    <col min="1" max="1" width="33.44140625" style="9" bestFit="1" customWidth="1"/>
    <col min="2" max="2" width="39.21875" style="9" bestFit="1" customWidth="1"/>
    <col min="3" max="3" width="18.5546875" style="9" customWidth="1"/>
    <col min="4" max="4" width="23" style="10" bestFit="1" customWidth="1"/>
    <col min="5" max="5" width="13.5546875" style="13" customWidth="1"/>
    <col min="6" max="16384" width="9.21875" style="9"/>
  </cols>
  <sheetData>
    <row r="1" spans="1:8" s="1" customFormat="1" ht="13.8" x14ac:dyDescent="0.2">
      <c r="A1" s="92" t="s">
        <v>1490</v>
      </c>
      <c r="B1" s="93"/>
      <c r="C1" s="93"/>
      <c r="D1" s="93"/>
      <c r="E1" s="93"/>
    </row>
    <row r="2" spans="1:8" s="1" customFormat="1" ht="11.4" x14ac:dyDescent="0.2">
      <c r="D2" s="6"/>
      <c r="E2" s="7"/>
    </row>
    <row r="3" spans="1:8" s="1" customFormat="1" ht="12" x14ac:dyDescent="0.2">
      <c r="A3" s="11" t="s">
        <v>7</v>
      </c>
      <c r="B3" s="2"/>
      <c r="C3" s="3"/>
      <c r="D3" s="4"/>
      <c r="E3" s="5"/>
    </row>
    <row r="4" spans="1:8" s="1" customFormat="1" ht="17.55" customHeight="1" x14ac:dyDescent="0.2">
      <c r="A4" s="8" t="s">
        <v>2</v>
      </c>
      <c r="B4" s="8" t="s">
        <v>0</v>
      </c>
      <c r="C4" s="16" t="s">
        <v>1</v>
      </c>
      <c r="D4" s="15" t="s">
        <v>3</v>
      </c>
      <c r="E4" s="15" t="s">
        <v>4</v>
      </c>
    </row>
    <row r="5" spans="1:8" x14ac:dyDescent="0.2">
      <c r="A5" s="21" t="s">
        <v>354</v>
      </c>
      <c r="B5" s="22"/>
      <c r="C5" s="23"/>
      <c r="D5" s="24"/>
      <c r="E5" s="25"/>
    </row>
    <row r="6" spans="1:8" x14ac:dyDescent="0.2">
      <c r="A6" s="27" t="s">
        <v>681</v>
      </c>
      <c r="B6" s="27" t="s">
        <v>680</v>
      </c>
      <c r="C6" s="31">
        <v>84169.870999999999</v>
      </c>
      <c r="D6" s="29">
        <v>2049.8934916126532</v>
      </c>
      <c r="E6" s="30">
        <v>98.844127206423025</v>
      </c>
    </row>
    <row r="7" spans="1:8" x14ac:dyDescent="0.2">
      <c r="A7" s="26" t="s">
        <v>34</v>
      </c>
      <c r="B7" s="26"/>
      <c r="C7" s="32"/>
      <c r="D7" s="33">
        <f>SUM(D6:D6)</f>
        <v>2049.8934916126532</v>
      </c>
      <c r="E7" s="34">
        <f>SUM(E6:E6)</f>
        <v>98.844127206423025</v>
      </c>
      <c r="F7" s="18"/>
      <c r="G7" s="18"/>
      <c r="H7" s="18"/>
    </row>
    <row r="8" spans="1:8" x14ac:dyDescent="0.2">
      <c r="A8" s="27"/>
      <c r="B8" s="27"/>
      <c r="C8" s="28"/>
      <c r="D8" s="29"/>
      <c r="E8" s="30"/>
    </row>
    <row r="9" spans="1:8" x14ac:dyDescent="0.2">
      <c r="A9" s="26" t="s">
        <v>36</v>
      </c>
      <c r="B9" s="26"/>
      <c r="C9" s="32"/>
      <c r="D9" s="33">
        <f>D7</f>
        <v>2049.8934916126532</v>
      </c>
      <c r="E9" s="34">
        <f>E7</f>
        <v>98.844127206423025</v>
      </c>
      <c r="F9" s="18"/>
      <c r="G9" s="18"/>
      <c r="H9" s="18"/>
    </row>
    <row r="10" spans="1:8" x14ac:dyDescent="0.2">
      <c r="A10" s="26"/>
      <c r="B10" s="26"/>
      <c r="C10" s="32"/>
      <c r="D10" s="33"/>
      <c r="E10" s="34"/>
      <c r="F10" s="18"/>
      <c r="G10" s="18"/>
      <c r="H10" s="18"/>
    </row>
    <row r="11" spans="1:8" x14ac:dyDescent="0.2">
      <c r="A11" s="26" t="s">
        <v>38</v>
      </c>
      <c r="B11" s="26"/>
      <c r="C11" s="32"/>
      <c r="D11" s="33">
        <f>D13-(D7)</f>
        <v>23.971238187346898</v>
      </c>
      <c r="E11" s="34">
        <f>E13-(E7)</f>
        <v>1.1558727935769753</v>
      </c>
      <c r="F11" s="18"/>
      <c r="G11" s="18"/>
      <c r="H11" s="18"/>
    </row>
    <row r="12" spans="1:8" x14ac:dyDescent="0.2">
      <c r="A12" s="26"/>
      <c r="B12" s="26"/>
      <c r="C12" s="32"/>
      <c r="D12" s="33"/>
      <c r="E12" s="34"/>
      <c r="F12" s="18"/>
      <c r="G12" s="18"/>
      <c r="H12" s="18"/>
    </row>
    <row r="13" spans="1:8" x14ac:dyDescent="0.2">
      <c r="A13" s="35" t="s">
        <v>37</v>
      </c>
      <c r="B13" s="35"/>
      <c r="C13" s="36"/>
      <c r="D13" s="37">
        <v>2073.8647298000001</v>
      </c>
      <c r="E13" s="38">
        <v>100</v>
      </c>
      <c r="F13" s="18"/>
      <c r="G13" s="18"/>
      <c r="H13" s="18"/>
    </row>
    <row r="16" spans="1:8" x14ac:dyDescent="0.2">
      <c r="A16" s="18" t="s">
        <v>40</v>
      </c>
    </row>
    <row r="17" spans="1:4" x14ac:dyDescent="0.2">
      <c r="A17" s="18" t="s">
        <v>41</v>
      </c>
    </row>
    <row r="18" spans="1:4" x14ac:dyDescent="0.2">
      <c r="A18" s="18" t="s">
        <v>42</v>
      </c>
      <c r="B18" s="18"/>
      <c r="C18" s="39" t="s">
        <v>44</v>
      </c>
      <c r="D18" s="41" t="s">
        <v>43</v>
      </c>
    </row>
    <row r="19" spans="1:4" x14ac:dyDescent="0.2">
      <c r="A19" s="9" t="s">
        <v>65</v>
      </c>
      <c r="C19" s="40">
        <v>7.7904999999999998</v>
      </c>
      <c r="D19" s="40">
        <v>9.1605000000000008</v>
      </c>
    </row>
    <row r="20" spans="1:4" x14ac:dyDescent="0.2">
      <c r="A20" s="9" t="s">
        <v>1003</v>
      </c>
      <c r="C20" s="40">
        <v>7.7904999999999998</v>
      </c>
      <c r="D20" s="40">
        <v>9.1605000000000008</v>
      </c>
    </row>
    <row r="21" spans="1:4" x14ac:dyDescent="0.2">
      <c r="A21" s="9" t="s">
        <v>66</v>
      </c>
      <c r="C21" s="40">
        <v>8.4177999999999997</v>
      </c>
      <c r="D21" s="40">
        <v>9.9390999999999998</v>
      </c>
    </row>
    <row r="22" spans="1:4" x14ac:dyDescent="0.2">
      <c r="A22" s="9" t="s">
        <v>1004</v>
      </c>
      <c r="C22" s="40">
        <v>8.4177999999999997</v>
      </c>
      <c r="D22" s="40">
        <v>9.9390999999999998</v>
      </c>
    </row>
    <row r="24" spans="1:4" x14ac:dyDescent="0.2">
      <c r="A24" s="9" t="s">
        <v>782</v>
      </c>
    </row>
    <row r="26" spans="1:4" x14ac:dyDescent="0.2">
      <c r="A26" s="18" t="s">
        <v>1560</v>
      </c>
      <c r="D26" s="41" t="s">
        <v>45</v>
      </c>
    </row>
    <row r="28" spans="1:4" x14ac:dyDescent="0.2">
      <c r="A28" s="18" t="s">
        <v>215</v>
      </c>
      <c r="D28" s="46">
        <v>0.12653717390547986</v>
      </c>
    </row>
    <row r="30" spans="1:4" x14ac:dyDescent="0.2">
      <c r="A30" s="18" t="s">
        <v>715</v>
      </c>
    </row>
    <row r="31" spans="1:4" x14ac:dyDescent="0.2">
      <c r="A31" s="50" t="s">
        <v>47</v>
      </c>
    </row>
    <row r="33" spans="1:1" x14ac:dyDescent="0.2">
      <c r="A33" s="18" t="s">
        <v>1491</v>
      </c>
    </row>
  </sheetData>
  <mergeCells count="1">
    <mergeCell ref="A1:E1"/>
  </mergeCells>
  <conditionalFormatting sqref="E5:E13">
    <cfRule type="cellIs" dxfId="86" priority="1" stopIfTrue="1" operator="between">
      <formula>0.009</formula>
      <formula>-0.009</formula>
    </cfRule>
  </conditionalFormatting>
  <hyperlinks>
    <hyperlink ref="A31" r:id="rId1" xr:uid="{00000000-0004-0000-3000-000000000000}"/>
  </hyperlinks>
  <pageMargins left="0.7" right="0.7" top="0.75" bottom="0.75" header="0.3" footer="0.3"/>
  <pageSetup paperSize="9" scale="68" orientation="portrait" r:id="rId2"/>
  <headerFooter>
    <oddFooter>&amp;R&amp;1#&amp;"Calibri"&amp;10&amp;KFF0000|PUBLIC|</oddFooter>
    <evenFooter>&amp;LPUBLIC</evenFooter>
    <firstFooter>&amp;LPUBLIC</firstFooter>
  </headerFooter>
  <colBreaks count="1" manualBreakCount="1">
    <brk id="5" max="1048575" man="1"/>
  </colBreak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H41"/>
  <sheetViews>
    <sheetView view="pageBreakPreview" zoomScaleNormal="100" zoomScaleSheetLayoutView="100" workbookViewId="0">
      <selection sqref="A1:E1"/>
    </sheetView>
  </sheetViews>
  <sheetFormatPr defaultColWidth="9.21875" defaultRowHeight="10.199999999999999" x14ac:dyDescent="0.2"/>
  <cols>
    <col min="1" max="1" width="33.44140625" style="9" bestFit="1" customWidth="1"/>
    <col min="2" max="2" width="50.77734375" style="9" customWidth="1"/>
    <col min="3" max="3" width="15.5546875" style="9" customWidth="1"/>
    <col min="4" max="4" width="23" style="10" bestFit="1" customWidth="1"/>
    <col min="5" max="5" width="14.21875" style="13" customWidth="1"/>
    <col min="6" max="16384" width="9.21875" style="9"/>
  </cols>
  <sheetData>
    <row r="1" spans="1:8" s="1" customFormat="1" ht="13.8" x14ac:dyDescent="0.2">
      <c r="A1" s="92" t="s">
        <v>20</v>
      </c>
      <c r="B1" s="93"/>
      <c r="C1" s="93"/>
      <c r="D1" s="93"/>
      <c r="E1" s="93"/>
    </row>
    <row r="2" spans="1:8" s="1" customFormat="1" ht="11.4" x14ac:dyDescent="0.2">
      <c r="D2" s="6"/>
      <c r="E2" s="7"/>
    </row>
    <row r="3" spans="1:8" s="1" customFormat="1" ht="12" x14ac:dyDescent="0.2">
      <c r="A3" s="11" t="s">
        <v>7</v>
      </c>
      <c r="B3" s="2"/>
      <c r="C3" s="3"/>
      <c r="D3" s="4"/>
      <c r="E3" s="5"/>
    </row>
    <row r="4" spans="1:8" s="1" customFormat="1" ht="17.55" customHeight="1" x14ac:dyDescent="0.2">
      <c r="A4" s="8" t="s">
        <v>2</v>
      </c>
      <c r="B4" s="8" t="s">
        <v>0</v>
      </c>
      <c r="C4" s="16" t="s">
        <v>1</v>
      </c>
      <c r="D4" s="15" t="s">
        <v>3</v>
      </c>
      <c r="E4" s="15" t="s">
        <v>4</v>
      </c>
    </row>
    <row r="5" spans="1:8" x14ac:dyDescent="0.2">
      <c r="A5" s="21" t="s">
        <v>1504</v>
      </c>
      <c r="B5" s="22"/>
      <c r="C5" s="23"/>
      <c r="D5" s="24"/>
      <c r="E5" s="25"/>
    </row>
    <row r="6" spans="1:8" x14ac:dyDescent="0.2">
      <c r="A6" s="27" t="s">
        <v>683</v>
      </c>
      <c r="B6" s="51" t="s">
        <v>682</v>
      </c>
      <c r="C6" s="31">
        <v>183929.492</v>
      </c>
      <c r="D6" s="29">
        <v>1173.7458690000001</v>
      </c>
      <c r="E6" s="30">
        <v>29.4884457376873</v>
      </c>
    </row>
    <row r="7" spans="1:8" x14ac:dyDescent="0.2">
      <c r="A7" s="27" t="s">
        <v>685</v>
      </c>
      <c r="B7" s="51" t="s">
        <v>684</v>
      </c>
      <c r="C7" s="31">
        <v>2300518</v>
      </c>
      <c r="D7" s="29">
        <v>878.10772059999999</v>
      </c>
      <c r="E7" s="30">
        <v>22.061020664395102</v>
      </c>
    </row>
    <row r="8" spans="1:8" ht="20.399999999999999" x14ac:dyDescent="0.2">
      <c r="A8" s="27" t="s">
        <v>686</v>
      </c>
      <c r="B8" s="51" t="s">
        <v>1563</v>
      </c>
      <c r="C8" s="31">
        <v>24945.84</v>
      </c>
      <c r="D8" s="29">
        <v>530.09767810000005</v>
      </c>
      <c r="E8" s="30">
        <v>13.317837386421401</v>
      </c>
    </row>
    <row r="9" spans="1:8" ht="20.399999999999999" x14ac:dyDescent="0.2">
      <c r="A9" s="27" t="s">
        <v>688</v>
      </c>
      <c r="B9" s="51" t="s">
        <v>687</v>
      </c>
      <c r="C9" s="31">
        <v>23973.544999999998</v>
      </c>
      <c r="D9" s="29">
        <v>0</v>
      </c>
      <c r="E9" s="30">
        <v>1.48570383416341E-6</v>
      </c>
    </row>
    <row r="10" spans="1:8" ht="20.399999999999999" x14ac:dyDescent="0.2">
      <c r="A10" s="27" t="s">
        <v>690</v>
      </c>
      <c r="B10" s="51" t="s">
        <v>689</v>
      </c>
      <c r="C10" s="31">
        <v>22876.138999999999</v>
      </c>
      <c r="D10" s="29">
        <v>0</v>
      </c>
      <c r="E10" s="30">
        <v>1.3389221492705E-6</v>
      </c>
    </row>
    <row r="11" spans="1:8" x14ac:dyDescent="0.2">
      <c r="A11" s="26" t="s">
        <v>34</v>
      </c>
      <c r="B11" s="26"/>
      <c r="C11" s="32"/>
      <c r="D11" s="33">
        <f>SUM(D6:D10)</f>
        <v>2581.9512677000002</v>
      </c>
      <c r="E11" s="34">
        <f>SUM(E6:E10)</f>
        <v>64.867306613129784</v>
      </c>
      <c r="F11" s="18"/>
      <c r="G11" s="18"/>
      <c r="H11" s="18"/>
    </row>
    <row r="12" spans="1:8" x14ac:dyDescent="0.2">
      <c r="A12" s="27"/>
      <c r="B12" s="27"/>
      <c r="C12" s="28"/>
      <c r="D12" s="29"/>
      <c r="E12" s="30"/>
    </row>
    <row r="13" spans="1:8" x14ac:dyDescent="0.2">
      <c r="A13" s="26" t="s">
        <v>36</v>
      </c>
      <c r="B13" s="26"/>
      <c r="C13" s="32"/>
      <c r="D13" s="33">
        <f>D11</f>
        <v>2581.9512677000002</v>
      </c>
      <c r="E13" s="34">
        <f>E11</f>
        <v>64.867306613129784</v>
      </c>
      <c r="F13" s="18"/>
      <c r="G13" s="18"/>
      <c r="H13" s="18"/>
    </row>
    <row r="14" spans="1:8" x14ac:dyDescent="0.2">
      <c r="A14" s="26"/>
      <c r="B14" s="26"/>
      <c r="C14" s="32"/>
      <c r="D14" s="33"/>
      <c r="E14" s="34"/>
      <c r="F14" s="18"/>
      <c r="G14" s="18"/>
      <c r="H14" s="18"/>
    </row>
    <row r="15" spans="1:8" x14ac:dyDescent="0.2">
      <c r="A15" s="26" t="s">
        <v>38</v>
      </c>
      <c r="B15" s="26"/>
      <c r="C15" s="32"/>
      <c r="D15" s="33">
        <f>D17-(D11)</f>
        <v>1398.4072748999997</v>
      </c>
      <c r="E15" s="34">
        <f>E17-(E11)</f>
        <v>35.132693386870216</v>
      </c>
      <c r="F15" s="18"/>
      <c r="G15" s="18"/>
      <c r="H15" s="18"/>
    </row>
    <row r="16" spans="1:8" x14ac:dyDescent="0.2">
      <c r="A16" s="26"/>
      <c r="B16" s="26"/>
      <c r="C16" s="32"/>
      <c r="D16" s="33"/>
      <c r="E16" s="34"/>
      <c r="F16" s="18"/>
      <c r="G16" s="18"/>
      <c r="H16" s="18"/>
    </row>
    <row r="17" spans="1:8" x14ac:dyDescent="0.2">
      <c r="A17" s="35" t="s">
        <v>37</v>
      </c>
      <c r="B17" s="35"/>
      <c r="C17" s="36"/>
      <c r="D17" s="37">
        <v>3980.3585426</v>
      </c>
      <c r="E17" s="38">
        <v>100</v>
      </c>
      <c r="F17" s="18"/>
      <c r="G17" s="18"/>
      <c r="H17" s="18"/>
    </row>
    <row r="18" spans="1:8" x14ac:dyDescent="0.2">
      <c r="C18" s="10"/>
      <c r="D18" s="13"/>
      <c r="E18" s="20"/>
    </row>
    <row r="19" spans="1:8" x14ac:dyDescent="0.2">
      <c r="A19" s="18" t="s">
        <v>726</v>
      </c>
    </row>
    <row r="20" spans="1:8" ht="24" customHeight="1" x14ac:dyDescent="0.3">
      <c r="A20" s="98" t="s">
        <v>1565</v>
      </c>
      <c r="B20" s="99"/>
      <c r="C20" s="99"/>
      <c r="D20" s="99"/>
      <c r="E20" s="99"/>
    </row>
    <row r="22" spans="1:8" x14ac:dyDescent="0.2">
      <c r="A22" s="18" t="s">
        <v>40</v>
      </c>
    </row>
    <row r="23" spans="1:8" x14ac:dyDescent="0.2">
      <c r="A23" s="18" t="s">
        <v>41</v>
      </c>
    </row>
    <row r="24" spans="1:8" x14ac:dyDescent="0.2">
      <c r="A24" s="18" t="s">
        <v>42</v>
      </c>
      <c r="B24" s="18"/>
      <c r="C24" s="39" t="s">
        <v>44</v>
      </c>
      <c r="D24" s="41" t="s">
        <v>43</v>
      </c>
    </row>
    <row r="25" spans="1:8" x14ac:dyDescent="0.2">
      <c r="A25" s="9" t="s">
        <v>65</v>
      </c>
      <c r="C25" s="40">
        <v>10.301299999999999</v>
      </c>
      <c r="D25" s="40">
        <v>11.737399999999999</v>
      </c>
    </row>
    <row r="26" spans="1:8" x14ac:dyDescent="0.2">
      <c r="A26" s="9" t="s">
        <v>1003</v>
      </c>
      <c r="C26" s="40">
        <v>10.301299999999999</v>
      </c>
      <c r="D26" s="40">
        <v>11.737399999999999</v>
      </c>
    </row>
    <row r="27" spans="1:8" x14ac:dyDescent="0.2">
      <c r="A27" s="9" t="s">
        <v>66</v>
      </c>
      <c r="C27" s="40">
        <v>11.105600000000001</v>
      </c>
      <c r="D27" s="40">
        <v>12.7029</v>
      </c>
    </row>
    <row r="28" spans="1:8" x14ac:dyDescent="0.2">
      <c r="A28" s="9" t="s">
        <v>1004</v>
      </c>
      <c r="C28" s="40">
        <v>11.105600000000001</v>
      </c>
      <c r="D28" s="40">
        <v>12.7029</v>
      </c>
    </row>
    <row r="30" spans="1:8" x14ac:dyDescent="0.2">
      <c r="A30" s="9" t="s">
        <v>782</v>
      </c>
    </row>
    <row r="32" spans="1:8" x14ac:dyDescent="0.2">
      <c r="A32" s="18" t="s">
        <v>1560</v>
      </c>
      <c r="D32" s="41" t="s">
        <v>45</v>
      </c>
    </row>
    <row r="34" spans="1:4" x14ac:dyDescent="0.2">
      <c r="A34" s="18" t="s">
        <v>215</v>
      </c>
      <c r="D34" s="46">
        <v>0.35075898340505057</v>
      </c>
    </row>
    <row r="36" spans="1:4" x14ac:dyDescent="0.2">
      <c r="A36" s="18" t="s">
        <v>717</v>
      </c>
      <c r="D36" s="41">
        <v>2</v>
      </c>
    </row>
    <row r="37" spans="1:4" x14ac:dyDescent="0.2">
      <c r="A37" s="9" t="s">
        <v>712</v>
      </c>
    </row>
    <row r="38" spans="1:4" x14ac:dyDescent="0.2">
      <c r="A38" s="50" t="s">
        <v>713</v>
      </c>
    </row>
    <row r="40" spans="1:4" x14ac:dyDescent="0.2">
      <c r="A40" s="18" t="s">
        <v>718</v>
      </c>
    </row>
    <row r="41" spans="1:4" x14ac:dyDescent="0.2">
      <c r="A41" s="50" t="s">
        <v>47</v>
      </c>
    </row>
  </sheetData>
  <mergeCells count="2">
    <mergeCell ref="A1:E1"/>
    <mergeCell ref="A20:E20"/>
  </mergeCells>
  <conditionalFormatting sqref="E5:E8 E11:E18">
    <cfRule type="cellIs" dxfId="85" priority="1" stopIfTrue="1" operator="between">
      <formula>0.009</formula>
      <formula>-0.009</formula>
    </cfRule>
  </conditionalFormatting>
  <hyperlinks>
    <hyperlink ref="A41" r:id="rId1" xr:uid="{00000000-0004-0000-3100-000000000000}"/>
    <hyperlink ref="A38" r:id="rId2" xr:uid="{00000000-0004-0000-3100-000001000000}"/>
  </hyperlinks>
  <pageMargins left="0.7" right="0.7" top="0.75" bottom="0.75" header="0.3" footer="0.3"/>
  <pageSetup paperSize="9" scale="63" orientation="portrait" r:id="rId3"/>
  <headerFooter>
    <oddFooter>&amp;R&amp;1#&amp;"Calibri"&amp;10&amp;KFF0000|PUBLIC|</oddFooter>
    <evenFooter>&amp;LPUBLIC</evenFooter>
    <firstFooter>&amp;LPUBLIC</firstFooter>
  </headerFooter>
  <colBreaks count="1" manualBreakCount="1">
    <brk id="5" max="1048575" man="1"/>
  </colBreak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H38"/>
  <sheetViews>
    <sheetView view="pageBreakPreview" zoomScaleNormal="100" zoomScaleSheetLayoutView="100" workbookViewId="0">
      <selection sqref="A1:E1"/>
    </sheetView>
  </sheetViews>
  <sheetFormatPr defaultColWidth="9.21875" defaultRowHeight="10.199999999999999" x14ac:dyDescent="0.2"/>
  <cols>
    <col min="1" max="1" width="33.44140625" style="9" bestFit="1" customWidth="1"/>
    <col min="2" max="2" width="34.21875" style="9" customWidth="1"/>
    <col min="3" max="3" width="22.44140625" style="9" customWidth="1"/>
    <col min="4" max="4" width="23" style="10" bestFit="1" customWidth="1"/>
    <col min="5" max="5" width="13.5546875" style="13" bestFit="1" customWidth="1"/>
    <col min="6" max="16384" width="9.21875" style="9"/>
  </cols>
  <sheetData>
    <row r="1" spans="1:8" s="1" customFormat="1" ht="13.8" x14ac:dyDescent="0.2">
      <c r="A1" s="92" t="s">
        <v>21</v>
      </c>
      <c r="B1" s="93"/>
      <c r="C1" s="93"/>
      <c r="D1" s="93"/>
      <c r="E1" s="93"/>
    </row>
    <row r="2" spans="1:8" s="1" customFormat="1" ht="11.4" x14ac:dyDescent="0.2">
      <c r="D2" s="6"/>
      <c r="E2" s="7"/>
    </row>
    <row r="3" spans="1:8" s="1" customFormat="1" ht="12" x14ac:dyDescent="0.2">
      <c r="A3" s="11" t="s">
        <v>7</v>
      </c>
      <c r="B3" s="2"/>
      <c r="C3" s="3"/>
      <c r="D3" s="4"/>
      <c r="E3" s="5"/>
    </row>
    <row r="4" spans="1:8" s="1" customFormat="1" ht="17.55" customHeight="1" x14ac:dyDescent="0.2">
      <c r="A4" s="8" t="s">
        <v>2</v>
      </c>
      <c r="B4" s="8" t="s">
        <v>0</v>
      </c>
      <c r="C4" s="16" t="s">
        <v>1</v>
      </c>
      <c r="D4" s="15" t="s">
        <v>3</v>
      </c>
      <c r="E4" s="15" t="s">
        <v>4</v>
      </c>
    </row>
    <row r="5" spans="1:8" x14ac:dyDescent="0.2">
      <c r="A5" s="21" t="s">
        <v>35</v>
      </c>
      <c r="B5" s="22"/>
      <c r="C5" s="23"/>
      <c r="D5" s="24"/>
      <c r="E5" s="25"/>
    </row>
    <row r="6" spans="1:8" x14ac:dyDescent="0.2">
      <c r="A6" s="27" t="s">
        <v>691</v>
      </c>
      <c r="B6" s="27" t="s">
        <v>1492</v>
      </c>
      <c r="C6" s="31">
        <v>4108800.9240000001</v>
      </c>
      <c r="D6" s="29">
        <v>1641.4618599999999</v>
      </c>
      <c r="E6" s="30">
        <v>79.252304802404694</v>
      </c>
    </row>
    <row r="7" spans="1:8" x14ac:dyDescent="0.2">
      <c r="A7" s="27" t="s">
        <v>683</v>
      </c>
      <c r="B7" s="27" t="s">
        <v>682</v>
      </c>
      <c r="C7" s="31">
        <v>31673.192999999999</v>
      </c>
      <c r="D7" s="29">
        <v>202.12244949999999</v>
      </c>
      <c r="E7" s="30">
        <v>9.7587829273003397</v>
      </c>
    </row>
    <row r="8" spans="1:8" x14ac:dyDescent="0.2">
      <c r="A8" s="27" t="s">
        <v>692</v>
      </c>
      <c r="B8" s="27" t="s">
        <v>1493</v>
      </c>
      <c r="C8" s="31">
        <v>60187.004999999997</v>
      </c>
      <c r="D8" s="29">
        <v>201.8516865</v>
      </c>
      <c r="E8" s="30">
        <v>9.7457100729574293</v>
      </c>
    </row>
    <row r="9" spans="1:8" x14ac:dyDescent="0.2">
      <c r="A9" s="26" t="s">
        <v>34</v>
      </c>
      <c r="B9" s="26"/>
      <c r="C9" s="32"/>
      <c r="D9" s="33">
        <f>SUM(D6:D8)</f>
        <v>2045.4359959999997</v>
      </c>
      <c r="E9" s="34">
        <f>SUM(E6:E8)</f>
        <v>98.756797802662476</v>
      </c>
      <c r="F9" s="18"/>
      <c r="G9" s="18"/>
      <c r="H9" s="18"/>
    </row>
    <row r="10" spans="1:8" x14ac:dyDescent="0.2">
      <c r="A10" s="27"/>
      <c r="B10" s="27"/>
      <c r="C10" s="28"/>
      <c r="D10" s="29"/>
      <c r="E10" s="30"/>
    </row>
    <row r="11" spans="1:8" x14ac:dyDescent="0.2">
      <c r="A11" s="26" t="s">
        <v>36</v>
      </c>
      <c r="B11" s="26"/>
      <c r="C11" s="32"/>
      <c r="D11" s="33">
        <f>D9</f>
        <v>2045.4359959999997</v>
      </c>
      <c r="E11" s="34">
        <f>E9</f>
        <v>98.756797802662476</v>
      </c>
      <c r="F11" s="18"/>
      <c r="G11" s="18"/>
      <c r="H11" s="18"/>
    </row>
    <row r="12" spans="1:8" x14ac:dyDescent="0.2">
      <c r="A12" s="26"/>
      <c r="B12" s="26"/>
      <c r="C12" s="32"/>
      <c r="D12" s="33"/>
      <c r="E12" s="34"/>
      <c r="F12" s="18"/>
      <c r="G12" s="18"/>
      <c r="H12" s="18"/>
    </row>
    <row r="13" spans="1:8" x14ac:dyDescent="0.2">
      <c r="A13" s="26" t="s">
        <v>38</v>
      </c>
      <c r="B13" s="26"/>
      <c r="C13" s="32"/>
      <c r="D13" s="33">
        <f>D15-(D9)</f>
        <v>25.749017600000116</v>
      </c>
      <c r="E13" s="34">
        <f>E15-(E9)</f>
        <v>1.2432021973375242</v>
      </c>
      <c r="F13" s="18"/>
      <c r="G13" s="18"/>
      <c r="H13" s="18"/>
    </row>
    <row r="14" spans="1:8" x14ac:dyDescent="0.2">
      <c r="A14" s="26"/>
      <c r="B14" s="26"/>
      <c r="C14" s="32"/>
      <c r="D14" s="33"/>
      <c r="E14" s="34"/>
      <c r="F14" s="18"/>
      <c r="G14" s="18"/>
      <c r="H14" s="18"/>
    </row>
    <row r="15" spans="1:8" x14ac:dyDescent="0.2">
      <c r="A15" s="35" t="s">
        <v>37</v>
      </c>
      <c r="B15" s="35"/>
      <c r="C15" s="36"/>
      <c r="D15" s="37">
        <v>2071.1850135999998</v>
      </c>
      <c r="E15" s="38">
        <v>100</v>
      </c>
      <c r="F15" s="18"/>
      <c r="G15" s="18"/>
      <c r="H15" s="18"/>
    </row>
    <row r="16" spans="1:8" x14ac:dyDescent="0.2">
      <c r="C16" s="10"/>
      <c r="D16" s="13"/>
      <c r="E16" s="14"/>
    </row>
    <row r="17" spans="1:4" x14ac:dyDescent="0.2">
      <c r="A17" s="18" t="s">
        <v>40</v>
      </c>
    </row>
    <row r="18" spans="1:4" x14ac:dyDescent="0.2">
      <c r="A18" s="18" t="s">
        <v>41</v>
      </c>
    </row>
    <row r="19" spans="1:4" x14ac:dyDescent="0.2">
      <c r="A19" s="18" t="s">
        <v>42</v>
      </c>
      <c r="B19" s="18"/>
      <c r="C19" s="39" t="s">
        <v>44</v>
      </c>
      <c r="D19" s="41" t="s">
        <v>43</v>
      </c>
    </row>
    <row r="20" spans="1:4" x14ac:dyDescent="0.2">
      <c r="A20" s="9" t="s">
        <v>76</v>
      </c>
      <c r="C20" s="40">
        <v>40.138100000000001</v>
      </c>
      <c r="D20" s="40">
        <v>43.850700000000003</v>
      </c>
    </row>
    <row r="21" spans="1:4" x14ac:dyDescent="0.2">
      <c r="A21" s="9" t="s">
        <v>1502</v>
      </c>
      <c r="C21" s="40">
        <v>13.4834</v>
      </c>
      <c r="D21" s="40">
        <v>14.1889</v>
      </c>
    </row>
    <row r="22" spans="1:4" x14ac:dyDescent="0.2">
      <c r="A22" s="9" t="s">
        <v>77</v>
      </c>
      <c r="C22" s="40">
        <v>41.494199999999999</v>
      </c>
      <c r="D22" s="40">
        <v>45.479900000000001</v>
      </c>
    </row>
    <row r="23" spans="1:4" x14ac:dyDescent="0.2">
      <c r="A23" s="9" t="s">
        <v>1503</v>
      </c>
      <c r="C23" s="40">
        <v>13.986800000000001</v>
      </c>
      <c r="D23" s="40">
        <v>14.7697</v>
      </c>
    </row>
    <row r="25" spans="1:4" x14ac:dyDescent="0.2">
      <c r="A25" s="18" t="s">
        <v>1560</v>
      </c>
    </row>
    <row r="26" spans="1:4" x14ac:dyDescent="0.2">
      <c r="A26" s="94" t="s">
        <v>64</v>
      </c>
      <c r="B26" s="95"/>
      <c r="C26" s="44" t="s">
        <v>1544</v>
      </c>
    </row>
    <row r="27" spans="1:4" x14ac:dyDescent="0.2">
      <c r="A27" s="88" t="s">
        <v>1502</v>
      </c>
      <c r="B27" s="89"/>
      <c r="C27" s="45">
        <v>0.53</v>
      </c>
    </row>
    <row r="28" spans="1:4" x14ac:dyDescent="0.2">
      <c r="A28" s="88" t="s">
        <v>1503</v>
      </c>
      <c r="B28" s="89"/>
      <c r="C28" s="45">
        <v>0.53</v>
      </c>
    </row>
    <row r="29" spans="1:4" x14ac:dyDescent="0.2">
      <c r="A29" s="9" t="s">
        <v>1545</v>
      </c>
    </row>
    <row r="30" spans="1:4" x14ac:dyDescent="0.2">
      <c r="A30" s="9" t="s">
        <v>782</v>
      </c>
    </row>
    <row r="32" spans="1:4" x14ac:dyDescent="0.2">
      <c r="A32" s="18" t="s">
        <v>215</v>
      </c>
      <c r="D32" s="46">
        <v>5.2417787759193493E-2</v>
      </c>
    </row>
    <row r="34" spans="1:1" x14ac:dyDescent="0.2">
      <c r="A34" s="18" t="s">
        <v>715</v>
      </c>
    </row>
    <row r="35" spans="1:1" x14ac:dyDescent="0.2">
      <c r="A35" s="50" t="s">
        <v>47</v>
      </c>
    </row>
    <row r="37" spans="1:1" x14ac:dyDescent="0.2">
      <c r="A37" s="18" t="s">
        <v>1494</v>
      </c>
    </row>
    <row r="38" spans="1:1" x14ac:dyDescent="0.2">
      <c r="A38" s="18" t="s">
        <v>1495</v>
      </c>
    </row>
  </sheetData>
  <mergeCells count="4">
    <mergeCell ref="A1:E1"/>
    <mergeCell ref="A26:B26"/>
    <mergeCell ref="A27:B27"/>
    <mergeCell ref="A28:B28"/>
  </mergeCells>
  <conditionalFormatting sqref="E5:E16">
    <cfRule type="cellIs" dxfId="84" priority="1" stopIfTrue="1" operator="between">
      <formula>0.009</formula>
      <formula>-0.009</formula>
    </cfRule>
  </conditionalFormatting>
  <hyperlinks>
    <hyperlink ref="A35" r:id="rId1" xr:uid="{00000000-0004-0000-3200-000000000000}"/>
  </hyperlinks>
  <pageMargins left="0.7" right="0.7" top="0.75" bottom="0.75" header="0.3" footer="0.3"/>
  <pageSetup paperSize="9" scale="69" orientation="portrait" r:id="rId2"/>
  <headerFooter>
    <oddFooter>&amp;R&amp;1#&amp;"Calibri"&amp;10&amp;KFF0000|PUBLIC|</oddFooter>
    <evenFooter>&amp;LPUBLIC</evenFooter>
    <firstFooter>&amp;LPUBLIC</firstFooter>
  </headerFooter>
  <colBreaks count="1" manualBreakCount="1">
    <brk id="5" max="1048575" man="1"/>
  </colBreak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I48"/>
  <sheetViews>
    <sheetView view="pageBreakPreview" zoomScaleNormal="100" zoomScaleSheetLayoutView="100" workbookViewId="0">
      <selection sqref="A1:F1"/>
    </sheetView>
  </sheetViews>
  <sheetFormatPr defaultColWidth="9.21875" defaultRowHeight="10.199999999999999" x14ac:dyDescent="0.2"/>
  <cols>
    <col min="1" max="1" width="33.44140625" style="9" bestFit="1" customWidth="1"/>
    <col min="2" max="2" width="49.5546875" style="9" customWidth="1"/>
    <col min="3" max="3" width="22.5546875" style="9" customWidth="1"/>
    <col min="4" max="4" width="23" style="10" bestFit="1" customWidth="1"/>
    <col min="5" max="5" width="14.77734375" style="13" bestFit="1" customWidth="1"/>
    <col min="6" max="6" width="14.77734375" style="14" hidden="1" customWidth="1"/>
    <col min="7" max="16384" width="9.21875" style="9"/>
  </cols>
  <sheetData>
    <row r="1" spans="1:9" s="1" customFormat="1" ht="13.8" x14ac:dyDescent="0.2">
      <c r="A1" s="92" t="s">
        <v>22</v>
      </c>
      <c r="B1" s="93"/>
      <c r="C1" s="93"/>
      <c r="D1" s="93"/>
      <c r="E1" s="93"/>
      <c r="F1" s="93"/>
    </row>
    <row r="2" spans="1:9" s="1" customFormat="1" ht="11.4" x14ac:dyDescent="0.2">
      <c r="D2" s="6"/>
      <c r="E2" s="7"/>
      <c r="F2" s="12"/>
    </row>
    <row r="3" spans="1:9" s="1" customFormat="1" ht="12" x14ac:dyDescent="0.2">
      <c r="A3" s="11" t="s">
        <v>7</v>
      </c>
      <c r="B3" s="2"/>
      <c r="C3" s="3"/>
      <c r="D3" s="4"/>
      <c r="E3" s="5"/>
      <c r="F3" s="12"/>
    </row>
    <row r="4" spans="1:9" s="1" customFormat="1" ht="17.55" customHeight="1" x14ac:dyDescent="0.2">
      <c r="A4" s="8" t="s">
        <v>2</v>
      </c>
      <c r="B4" s="8" t="s">
        <v>0</v>
      </c>
      <c r="C4" s="16" t="s">
        <v>1</v>
      </c>
      <c r="D4" s="15" t="s">
        <v>3</v>
      </c>
      <c r="E4" s="15" t="s">
        <v>4</v>
      </c>
      <c r="F4" s="15" t="s">
        <v>4</v>
      </c>
    </row>
    <row r="5" spans="1:9" x14ac:dyDescent="0.2">
      <c r="A5" s="21" t="s">
        <v>35</v>
      </c>
      <c r="B5" s="22"/>
      <c r="C5" s="23"/>
      <c r="D5" s="24"/>
      <c r="E5" s="25"/>
      <c r="F5" s="25"/>
    </row>
    <row r="6" spans="1:9" x14ac:dyDescent="0.2">
      <c r="A6" s="27" t="s">
        <v>693</v>
      </c>
      <c r="B6" s="51" t="s">
        <v>1497</v>
      </c>
      <c r="C6" s="31">
        <v>1561790.3149999999</v>
      </c>
      <c r="D6" s="29">
        <v>1276.0154849999999</v>
      </c>
      <c r="E6" s="30">
        <v>73.5907173178351</v>
      </c>
      <c r="F6" s="30">
        <v>73.5907173178351</v>
      </c>
    </row>
    <row r="7" spans="1:9" x14ac:dyDescent="0.2">
      <c r="A7" s="27" t="s">
        <v>683</v>
      </c>
      <c r="B7" s="51" t="s">
        <v>682</v>
      </c>
      <c r="C7" s="31">
        <v>26598.329000000002</v>
      </c>
      <c r="D7" s="29">
        <v>169.73720990000001</v>
      </c>
      <c r="E7" s="30">
        <v>9.7891312283478609</v>
      </c>
      <c r="F7" s="30">
        <v>9.7891312283478609</v>
      </c>
    </row>
    <row r="8" spans="1:9" x14ac:dyDescent="0.2">
      <c r="A8" s="27" t="s">
        <v>692</v>
      </c>
      <c r="B8" s="51" t="s">
        <v>1493</v>
      </c>
      <c r="C8" s="31">
        <v>50419.690999999999</v>
      </c>
      <c r="D8" s="29">
        <v>169.09463529999999</v>
      </c>
      <c r="E8" s="30">
        <v>9.7520724886224404</v>
      </c>
      <c r="F8" s="30">
        <v>9.7520724886224404</v>
      </c>
    </row>
    <row r="9" spans="1:9" ht="20.399999999999999" x14ac:dyDescent="0.2">
      <c r="A9" s="27" t="s">
        <v>694</v>
      </c>
      <c r="B9" s="51" t="s">
        <v>1564</v>
      </c>
      <c r="C9" s="31">
        <v>258101.05600000001</v>
      </c>
      <c r="D9" s="29">
        <v>97.360880300000005</v>
      </c>
      <c r="E9" s="30">
        <v>5.6150235668753501</v>
      </c>
      <c r="F9" s="30">
        <v>5.6150235668753501</v>
      </c>
    </row>
    <row r="10" spans="1:9" ht="20.399999999999999" x14ac:dyDescent="0.2">
      <c r="A10" s="27" t="s">
        <v>696</v>
      </c>
      <c r="B10" s="51" t="s">
        <v>695</v>
      </c>
      <c r="C10" s="31">
        <v>489502.28</v>
      </c>
      <c r="D10" s="29">
        <v>0</v>
      </c>
      <c r="E10" s="30">
        <v>1.48570383416341E-6</v>
      </c>
      <c r="F10" s="30">
        <v>2.8230579135236999E-5</v>
      </c>
    </row>
    <row r="11" spans="1:9" ht="20.399999999999999" x14ac:dyDescent="0.2">
      <c r="A11" s="27" t="s">
        <v>698</v>
      </c>
      <c r="B11" s="51" t="s">
        <v>697</v>
      </c>
      <c r="C11" s="31">
        <v>371180.549</v>
      </c>
      <c r="D11" s="29">
        <v>0</v>
      </c>
      <c r="E11" s="30">
        <v>1.3389221492705E-6</v>
      </c>
      <c r="F11" s="30">
        <v>2.1407948876404401E-5</v>
      </c>
    </row>
    <row r="12" spans="1:9" x14ac:dyDescent="0.2">
      <c r="A12" s="26" t="s">
        <v>34</v>
      </c>
      <c r="B12" s="26"/>
      <c r="C12" s="32"/>
      <c r="D12" s="33">
        <f>SUM(D6:D11)</f>
        <v>1712.2082104999997</v>
      </c>
      <c r="E12" s="34">
        <f>SUM(E6:E11)</f>
        <v>98.746947426306733</v>
      </c>
      <c r="F12" s="34">
        <f>SUM(F6:F11)</f>
        <v>98.746994240208764</v>
      </c>
      <c r="G12" s="18"/>
      <c r="H12" s="18"/>
      <c r="I12" s="18"/>
    </row>
    <row r="13" spans="1:9" x14ac:dyDescent="0.2">
      <c r="A13" s="27"/>
      <c r="B13" s="27"/>
      <c r="C13" s="28"/>
      <c r="D13" s="29"/>
      <c r="E13" s="30"/>
      <c r="F13" s="30"/>
    </row>
    <row r="14" spans="1:9" x14ac:dyDescent="0.2">
      <c r="A14" s="26" t="s">
        <v>36</v>
      </c>
      <c r="B14" s="26"/>
      <c r="C14" s="32"/>
      <c r="D14" s="33">
        <f>D12</f>
        <v>1712.2082104999997</v>
      </c>
      <c r="E14" s="34">
        <f>E12</f>
        <v>98.746947426306733</v>
      </c>
      <c r="F14" s="34">
        <f>F12</f>
        <v>98.746994240208764</v>
      </c>
      <c r="G14" s="18"/>
      <c r="H14" s="18"/>
      <c r="I14" s="18"/>
    </row>
    <row r="15" spans="1:9" x14ac:dyDescent="0.2">
      <c r="A15" s="26"/>
      <c r="B15" s="26"/>
      <c r="C15" s="32"/>
      <c r="D15" s="33"/>
      <c r="E15" s="34"/>
      <c r="F15" s="34"/>
      <c r="G15" s="18"/>
      <c r="H15" s="18"/>
      <c r="I15" s="18"/>
    </row>
    <row r="16" spans="1:9" x14ac:dyDescent="0.2">
      <c r="A16" s="26" t="s">
        <v>38</v>
      </c>
      <c r="B16" s="26"/>
      <c r="C16" s="32"/>
      <c r="D16" s="33">
        <f>D18-(D12)</f>
        <v>21.727170900000374</v>
      </c>
      <c r="E16" s="34">
        <f>E18-(E12)</f>
        <v>1.2530525736932674</v>
      </c>
      <c r="F16" s="34">
        <f>F18-(F12)</f>
        <v>1.2530057597912361</v>
      </c>
      <c r="G16" s="18"/>
      <c r="H16" s="18"/>
      <c r="I16" s="18"/>
    </row>
    <row r="17" spans="1:9" x14ac:dyDescent="0.2">
      <c r="A17" s="26"/>
      <c r="B17" s="26"/>
      <c r="C17" s="32"/>
      <c r="D17" s="33"/>
      <c r="E17" s="34"/>
      <c r="F17" s="34"/>
      <c r="G17" s="18"/>
      <c r="H17" s="18"/>
      <c r="I17" s="18"/>
    </row>
    <row r="18" spans="1:9" x14ac:dyDescent="0.2">
      <c r="A18" s="35" t="s">
        <v>37</v>
      </c>
      <c r="B18" s="35"/>
      <c r="C18" s="36"/>
      <c r="D18" s="37">
        <v>1733.9353814000001</v>
      </c>
      <c r="E18" s="38">
        <v>100</v>
      </c>
      <c r="F18" s="38">
        <v>100</v>
      </c>
      <c r="G18" s="18"/>
      <c r="H18" s="18"/>
      <c r="I18" s="18"/>
    </row>
    <row r="19" spans="1:9" x14ac:dyDescent="0.2">
      <c r="C19" s="10"/>
      <c r="D19" s="13"/>
      <c r="E19" s="20"/>
      <c r="F19" s="20" t="s">
        <v>497</v>
      </c>
    </row>
    <row r="20" spans="1:9" x14ac:dyDescent="0.2">
      <c r="A20" s="18" t="s">
        <v>726</v>
      </c>
    </row>
    <row r="21" spans="1:9" ht="23.25" customHeight="1" x14ac:dyDescent="0.3">
      <c r="A21" s="98" t="s">
        <v>1565</v>
      </c>
      <c r="B21" s="99"/>
      <c r="C21" s="99"/>
      <c r="D21" s="99"/>
      <c r="E21" s="99"/>
    </row>
    <row r="23" spans="1:9" x14ac:dyDescent="0.2">
      <c r="A23" s="18" t="s">
        <v>40</v>
      </c>
    </row>
    <row r="24" spans="1:9" x14ac:dyDescent="0.2">
      <c r="A24" s="18" t="s">
        <v>41</v>
      </c>
    </row>
    <row r="25" spans="1:9" x14ac:dyDescent="0.2">
      <c r="A25" s="18" t="s">
        <v>42</v>
      </c>
      <c r="B25" s="18"/>
      <c r="C25" s="39" t="s">
        <v>44</v>
      </c>
      <c r="D25" s="41" t="s">
        <v>43</v>
      </c>
    </row>
    <row r="26" spans="1:9" x14ac:dyDescent="0.2">
      <c r="A26" s="9" t="s">
        <v>76</v>
      </c>
      <c r="C26" s="40">
        <v>27.791699999999999</v>
      </c>
      <c r="D26" s="40">
        <v>31.9559</v>
      </c>
    </row>
    <row r="27" spans="1:9" x14ac:dyDescent="0.2">
      <c r="A27" s="9" t="s">
        <v>1502</v>
      </c>
      <c r="C27" s="40">
        <v>9.5158000000000005</v>
      </c>
      <c r="D27" s="40">
        <v>10.721</v>
      </c>
    </row>
    <row r="28" spans="1:9" x14ac:dyDescent="0.2">
      <c r="A28" s="9" t="s">
        <v>77</v>
      </c>
      <c r="C28" s="40">
        <v>29.270800000000001</v>
      </c>
      <c r="D28" s="40">
        <v>33.7883</v>
      </c>
    </row>
    <row r="29" spans="1:9" x14ac:dyDescent="0.2">
      <c r="A29" s="9" t="s">
        <v>1503</v>
      </c>
      <c r="C29" s="40">
        <v>10.039400000000001</v>
      </c>
      <c r="D29" s="40">
        <v>11.3675</v>
      </c>
    </row>
    <row r="31" spans="1:9" x14ac:dyDescent="0.2">
      <c r="A31" s="18" t="s">
        <v>1560</v>
      </c>
    </row>
    <row r="32" spans="1:9" x14ac:dyDescent="0.2">
      <c r="A32" s="94" t="s">
        <v>64</v>
      </c>
      <c r="B32" s="95"/>
      <c r="C32" s="44" t="s">
        <v>1544</v>
      </c>
    </row>
    <row r="33" spans="1:4" x14ac:dyDescent="0.2">
      <c r="A33" s="88" t="s">
        <v>1502</v>
      </c>
      <c r="B33" s="89"/>
      <c r="C33" s="45">
        <v>0.22</v>
      </c>
    </row>
    <row r="34" spans="1:4" x14ac:dyDescent="0.2">
      <c r="A34" s="88" t="s">
        <v>1503</v>
      </c>
      <c r="B34" s="89"/>
      <c r="C34" s="45">
        <v>0.22</v>
      </c>
    </row>
    <row r="35" spans="1:4" x14ac:dyDescent="0.2">
      <c r="A35" s="9" t="s">
        <v>1545</v>
      </c>
    </row>
    <row r="36" spans="1:4" x14ac:dyDescent="0.2">
      <c r="A36" s="9" t="s">
        <v>782</v>
      </c>
    </row>
    <row r="38" spans="1:4" x14ac:dyDescent="0.2">
      <c r="A38" s="18" t="s">
        <v>215</v>
      </c>
      <c r="D38" s="46">
        <v>0.13822616391001594</v>
      </c>
    </row>
    <row r="40" spans="1:4" x14ac:dyDescent="0.2">
      <c r="A40" s="18" t="s">
        <v>717</v>
      </c>
      <c r="D40" s="41">
        <v>2</v>
      </c>
    </row>
    <row r="41" spans="1:4" x14ac:dyDescent="0.2">
      <c r="A41" s="9" t="s">
        <v>712</v>
      </c>
    </row>
    <row r="42" spans="1:4" x14ac:dyDescent="0.2">
      <c r="A42" s="50" t="s">
        <v>713</v>
      </c>
    </row>
    <row r="44" spans="1:4" x14ac:dyDescent="0.2">
      <c r="A44" s="18" t="s">
        <v>718</v>
      </c>
    </row>
    <row r="45" spans="1:4" x14ac:dyDescent="0.2">
      <c r="A45" s="50" t="s">
        <v>47</v>
      </c>
    </row>
    <row r="47" spans="1:4" x14ac:dyDescent="0.2">
      <c r="A47" s="18" t="s">
        <v>1496</v>
      </c>
    </row>
    <row r="48" spans="1:4" x14ac:dyDescent="0.2">
      <c r="A48" s="18" t="s">
        <v>1495</v>
      </c>
    </row>
  </sheetData>
  <mergeCells count="5">
    <mergeCell ref="A1:F1"/>
    <mergeCell ref="A32:B32"/>
    <mergeCell ref="A33:B33"/>
    <mergeCell ref="A34:B34"/>
    <mergeCell ref="A21:E21"/>
  </mergeCells>
  <conditionalFormatting sqref="F2:F3 F5:F65538">
    <cfRule type="cellIs" dxfId="83" priority="2" stopIfTrue="1" operator="between">
      <formula>0.009</formula>
      <formula>-0.009</formula>
    </cfRule>
  </conditionalFormatting>
  <conditionalFormatting sqref="E5:E9 E12:E19">
    <cfRule type="cellIs" dxfId="82" priority="1" stopIfTrue="1" operator="between">
      <formula>0.009</formula>
      <formula>-0.009</formula>
    </cfRule>
  </conditionalFormatting>
  <hyperlinks>
    <hyperlink ref="A45" r:id="rId1" xr:uid="{00000000-0004-0000-3300-000000000000}"/>
    <hyperlink ref="A42" r:id="rId2" xr:uid="{00000000-0004-0000-3300-000001000000}"/>
  </hyperlinks>
  <pageMargins left="0.7" right="0.7" top="0.75" bottom="0.75" header="0.3" footer="0.3"/>
  <pageSetup paperSize="9" scale="61" orientation="portrait" r:id="rId3"/>
  <headerFooter>
    <oddFooter>&amp;R&amp;1#&amp;"Calibri"&amp;10&amp;KFF0000|PUBLIC|</oddFooter>
    <evenFooter>&amp;LPUBLIC</evenFooter>
    <firstFooter>&amp;LPUBLIC</firstFooter>
  </headerFooter>
  <colBreaks count="1" manualBreakCount="1">
    <brk id="6" max="1048575" man="1"/>
  </colBreak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H49"/>
  <sheetViews>
    <sheetView view="pageBreakPreview" zoomScaleNormal="100" zoomScaleSheetLayoutView="100" workbookViewId="0">
      <selection sqref="A1:E1"/>
    </sheetView>
  </sheetViews>
  <sheetFormatPr defaultColWidth="9.21875" defaultRowHeight="10.199999999999999" x14ac:dyDescent="0.2"/>
  <cols>
    <col min="1" max="1" width="33.44140625" style="9" bestFit="1" customWidth="1"/>
    <col min="2" max="2" width="49.21875" style="9" customWidth="1"/>
    <col min="3" max="3" width="22.5546875" style="9" customWidth="1"/>
    <col min="4" max="4" width="23" style="10" bestFit="1" customWidth="1"/>
    <col min="5" max="5" width="14.77734375" style="13" bestFit="1" customWidth="1"/>
    <col min="6" max="16384" width="9.21875" style="9"/>
  </cols>
  <sheetData>
    <row r="1" spans="1:8" s="1" customFormat="1" ht="13.8" x14ac:dyDescent="0.2">
      <c r="A1" s="92" t="s">
        <v>23</v>
      </c>
      <c r="B1" s="93"/>
      <c r="C1" s="93"/>
      <c r="D1" s="93"/>
      <c r="E1" s="93"/>
    </row>
    <row r="2" spans="1:8" s="1" customFormat="1" ht="11.4" x14ac:dyDescent="0.2">
      <c r="D2" s="6"/>
      <c r="E2" s="7"/>
    </row>
    <row r="3" spans="1:8" s="1" customFormat="1" ht="12" x14ac:dyDescent="0.2">
      <c r="A3" s="11" t="s">
        <v>7</v>
      </c>
      <c r="B3" s="2"/>
      <c r="C3" s="3"/>
      <c r="D3" s="4"/>
      <c r="E3" s="5"/>
    </row>
    <row r="4" spans="1:8" s="1" customFormat="1" ht="17.55" customHeight="1" x14ac:dyDescent="0.2">
      <c r="A4" s="8" t="s">
        <v>2</v>
      </c>
      <c r="B4" s="8" t="s">
        <v>0</v>
      </c>
      <c r="C4" s="16" t="s">
        <v>1</v>
      </c>
      <c r="D4" s="15" t="s">
        <v>3</v>
      </c>
      <c r="E4" s="15" t="s">
        <v>4</v>
      </c>
    </row>
    <row r="5" spans="1:8" x14ac:dyDescent="0.2">
      <c r="A5" s="21" t="s">
        <v>35</v>
      </c>
      <c r="B5" s="22"/>
      <c r="C5" s="23"/>
      <c r="D5" s="24"/>
      <c r="E5" s="25"/>
    </row>
    <row r="6" spans="1:8" x14ac:dyDescent="0.2">
      <c r="A6" s="27" t="s">
        <v>693</v>
      </c>
      <c r="B6" s="51" t="s">
        <v>1497</v>
      </c>
      <c r="C6" s="31">
        <v>1318499.3060000001</v>
      </c>
      <c r="D6" s="29">
        <v>1077.241622</v>
      </c>
      <c r="E6" s="30">
        <v>57.332005065328097</v>
      </c>
    </row>
    <row r="7" spans="1:8" x14ac:dyDescent="0.2">
      <c r="A7" s="27" t="s">
        <v>683</v>
      </c>
      <c r="B7" s="51" t="s">
        <v>682</v>
      </c>
      <c r="C7" s="31">
        <v>43675.212</v>
      </c>
      <c r="D7" s="29">
        <v>278.71332169999999</v>
      </c>
      <c r="E7" s="30">
        <v>14.8334349928032</v>
      </c>
    </row>
    <row r="8" spans="1:8" x14ac:dyDescent="0.2">
      <c r="A8" s="27" t="s">
        <v>700</v>
      </c>
      <c r="B8" s="51" t="s">
        <v>699</v>
      </c>
      <c r="C8" s="31">
        <v>13667.075000000001</v>
      </c>
      <c r="D8" s="29">
        <v>185.92605459999999</v>
      </c>
      <c r="E8" s="30">
        <v>9.89519276493726</v>
      </c>
    </row>
    <row r="9" spans="1:8" x14ac:dyDescent="0.2">
      <c r="A9" s="27" t="s">
        <v>692</v>
      </c>
      <c r="B9" s="51" t="s">
        <v>1493</v>
      </c>
      <c r="C9" s="31">
        <v>54836.851999999999</v>
      </c>
      <c r="D9" s="29">
        <v>183.9086537</v>
      </c>
      <c r="E9" s="30">
        <v>9.7878244306142097</v>
      </c>
    </row>
    <row r="10" spans="1:8" ht="20.399999999999999" x14ac:dyDescent="0.2">
      <c r="A10" s="27" t="s">
        <v>694</v>
      </c>
      <c r="B10" s="51" t="s">
        <v>1564</v>
      </c>
      <c r="C10" s="31">
        <v>335975.125</v>
      </c>
      <c r="D10" s="29">
        <v>126.7365367</v>
      </c>
      <c r="E10" s="30">
        <v>6.7450603612552804</v>
      </c>
    </row>
    <row r="11" spans="1:8" ht="20.399999999999999" x14ac:dyDescent="0.2">
      <c r="A11" s="27" t="s">
        <v>696</v>
      </c>
      <c r="B11" s="51" t="s">
        <v>695</v>
      </c>
      <c r="C11" s="31">
        <v>631308.71</v>
      </c>
      <c r="D11" s="29">
        <v>0</v>
      </c>
      <c r="E11" s="30">
        <v>1.48570383416341E-6</v>
      </c>
    </row>
    <row r="12" spans="1:8" ht="20.399999999999999" x14ac:dyDescent="0.2">
      <c r="A12" s="27" t="s">
        <v>698</v>
      </c>
      <c r="B12" s="51" t="s">
        <v>697</v>
      </c>
      <c r="C12" s="31">
        <v>584729.58299999998</v>
      </c>
      <c r="D12" s="29">
        <v>0</v>
      </c>
      <c r="E12" s="30">
        <v>1.3389221492705E-6</v>
      </c>
    </row>
    <row r="13" spans="1:8" x14ac:dyDescent="0.2">
      <c r="A13" s="26" t="s">
        <v>34</v>
      </c>
      <c r="B13" s="26"/>
      <c r="C13" s="32"/>
      <c r="D13" s="33">
        <f>SUM(D6:D12)</f>
        <v>1852.5261887000001</v>
      </c>
      <c r="E13" s="34">
        <f>SUM(E6:E12)</f>
        <v>98.593520439564031</v>
      </c>
      <c r="F13" s="18"/>
      <c r="G13" s="18"/>
      <c r="H13" s="18"/>
    </row>
    <row r="14" spans="1:8" x14ac:dyDescent="0.2">
      <c r="A14" s="27"/>
      <c r="B14" s="27"/>
      <c r="C14" s="28"/>
      <c r="D14" s="29"/>
      <c r="E14" s="30"/>
    </row>
    <row r="15" spans="1:8" x14ac:dyDescent="0.2">
      <c r="A15" s="26" t="s">
        <v>36</v>
      </c>
      <c r="B15" s="26"/>
      <c r="C15" s="32"/>
      <c r="D15" s="33">
        <f>D13</f>
        <v>1852.5261887000001</v>
      </c>
      <c r="E15" s="34">
        <f>E13</f>
        <v>98.593520439564031</v>
      </c>
      <c r="F15" s="18"/>
      <c r="G15" s="18"/>
      <c r="H15" s="18"/>
    </row>
    <row r="16" spans="1:8" x14ac:dyDescent="0.2">
      <c r="A16" s="26"/>
      <c r="B16" s="26"/>
      <c r="C16" s="32"/>
      <c r="D16" s="33"/>
      <c r="E16" s="34"/>
      <c r="F16" s="18"/>
      <c r="G16" s="18"/>
      <c r="H16" s="18"/>
    </row>
    <row r="17" spans="1:8" x14ac:dyDescent="0.2">
      <c r="A17" s="26" t="s">
        <v>38</v>
      </c>
      <c r="B17" s="26"/>
      <c r="C17" s="32"/>
      <c r="D17" s="33">
        <f>D19-(D13)</f>
        <v>26.42714769999975</v>
      </c>
      <c r="E17" s="34">
        <f>E19-(E13)</f>
        <v>1.4064795604359688</v>
      </c>
      <c r="F17" s="18"/>
      <c r="G17" s="18"/>
      <c r="H17" s="18"/>
    </row>
    <row r="18" spans="1:8" x14ac:dyDescent="0.2">
      <c r="A18" s="26"/>
      <c r="B18" s="26"/>
      <c r="C18" s="32"/>
      <c r="D18" s="33"/>
      <c r="E18" s="34"/>
      <c r="F18" s="18"/>
      <c r="G18" s="18"/>
      <c r="H18" s="18"/>
    </row>
    <row r="19" spans="1:8" x14ac:dyDescent="0.2">
      <c r="A19" s="35" t="s">
        <v>37</v>
      </c>
      <c r="B19" s="35"/>
      <c r="C19" s="36"/>
      <c r="D19" s="37">
        <v>1878.9533363999999</v>
      </c>
      <c r="E19" s="38">
        <v>100</v>
      </c>
      <c r="F19" s="18"/>
      <c r="G19" s="18"/>
      <c r="H19" s="18"/>
    </row>
    <row r="20" spans="1:8" x14ac:dyDescent="0.2">
      <c r="C20" s="10"/>
      <c r="D20" s="13"/>
      <c r="E20" s="20"/>
    </row>
    <row r="21" spans="1:8" x14ac:dyDescent="0.2">
      <c r="A21" s="18" t="s">
        <v>726</v>
      </c>
      <c r="C21" s="10"/>
      <c r="D21" s="13"/>
      <c r="E21" s="14"/>
    </row>
    <row r="22" spans="1:8" ht="24.75" customHeight="1" x14ac:dyDescent="0.3">
      <c r="A22" s="98" t="s">
        <v>1565</v>
      </c>
      <c r="B22" s="99"/>
      <c r="C22" s="99"/>
      <c r="D22" s="99"/>
      <c r="E22" s="99"/>
    </row>
    <row r="23" spans="1:8" ht="14.4" x14ac:dyDescent="0.3">
      <c r="A23" s="85"/>
      <c r="B23" s="86"/>
      <c r="C23" s="86"/>
      <c r="D23" s="86"/>
      <c r="E23" s="86"/>
    </row>
    <row r="24" spans="1:8" x14ac:dyDescent="0.2">
      <c r="A24" s="18" t="s">
        <v>40</v>
      </c>
    </row>
    <row r="25" spans="1:8" x14ac:dyDescent="0.2">
      <c r="A25" s="18" t="s">
        <v>41</v>
      </c>
    </row>
    <row r="26" spans="1:8" x14ac:dyDescent="0.2">
      <c r="A26" s="18" t="s">
        <v>42</v>
      </c>
      <c r="B26" s="18"/>
      <c r="C26" s="39" t="s">
        <v>44</v>
      </c>
      <c r="D26" s="41" t="s">
        <v>43</v>
      </c>
    </row>
    <row r="27" spans="1:8" x14ac:dyDescent="0.2">
      <c r="A27" s="9" t="s">
        <v>76</v>
      </c>
      <c r="C27" s="40">
        <v>40.779899999999998</v>
      </c>
      <c r="D27" s="40">
        <v>49.397599999999997</v>
      </c>
    </row>
    <row r="28" spans="1:8" x14ac:dyDescent="0.2">
      <c r="A28" s="9" t="s">
        <v>1502</v>
      </c>
      <c r="C28" s="40">
        <v>11.6479</v>
      </c>
      <c r="D28" s="40">
        <v>12.927199999999999</v>
      </c>
    </row>
    <row r="29" spans="1:8" x14ac:dyDescent="0.2">
      <c r="A29" s="9" t="s">
        <v>77</v>
      </c>
      <c r="C29" s="40">
        <v>42.921500000000002</v>
      </c>
      <c r="D29" s="40">
        <v>52.169899999999998</v>
      </c>
    </row>
    <row r="30" spans="1:8" x14ac:dyDescent="0.2">
      <c r="A30" s="9" t="s">
        <v>1503</v>
      </c>
      <c r="C30" s="40">
        <v>12.2051</v>
      </c>
      <c r="D30" s="40">
        <v>13.6427</v>
      </c>
    </row>
    <row r="32" spans="1:8" x14ac:dyDescent="0.2">
      <c r="A32" s="18" t="s">
        <v>1560</v>
      </c>
    </row>
    <row r="33" spans="1:4" x14ac:dyDescent="0.2">
      <c r="A33" s="94" t="s">
        <v>64</v>
      </c>
      <c r="B33" s="95"/>
      <c r="C33" s="44" t="s">
        <v>1544</v>
      </c>
    </row>
    <row r="34" spans="1:4" x14ac:dyDescent="0.2">
      <c r="A34" s="88" t="s">
        <v>1502</v>
      </c>
      <c r="B34" s="89"/>
      <c r="C34" s="45">
        <v>1</v>
      </c>
    </row>
    <row r="35" spans="1:4" x14ac:dyDescent="0.2">
      <c r="A35" s="88" t="s">
        <v>1503</v>
      </c>
      <c r="B35" s="89"/>
      <c r="C35" s="45">
        <v>1</v>
      </c>
    </row>
    <row r="36" spans="1:4" x14ac:dyDescent="0.2">
      <c r="A36" s="9" t="s">
        <v>1545</v>
      </c>
    </row>
    <row r="37" spans="1:4" x14ac:dyDescent="0.2">
      <c r="A37" s="9" t="s">
        <v>782</v>
      </c>
    </row>
    <row r="39" spans="1:4" x14ac:dyDescent="0.2">
      <c r="A39" s="18" t="s">
        <v>215</v>
      </c>
      <c r="D39" s="46">
        <v>0.17280453725910835</v>
      </c>
    </row>
    <row r="41" spans="1:4" x14ac:dyDescent="0.2">
      <c r="A41" s="18" t="s">
        <v>717</v>
      </c>
      <c r="D41" s="41">
        <v>2</v>
      </c>
    </row>
    <row r="42" spans="1:4" x14ac:dyDescent="0.2">
      <c r="A42" s="9" t="s">
        <v>712</v>
      </c>
    </row>
    <row r="43" spans="1:4" x14ac:dyDescent="0.2">
      <c r="A43" s="50" t="s">
        <v>713</v>
      </c>
    </row>
    <row r="45" spans="1:4" x14ac:dyDescent="0.2">
      <c r="A45" s="18" t="s">
        <v>718</v>
      </c>
    </row>
    <row r="46" spans="1:4" x14ac:dyDescent="0.2">
      <c r="A46" s="50" t="s">
        <v>47</v>
      </c>
    </row>
    <row r="48" spans="1:4" x14ac:dyDescent="0.2">
      <c r="A48" s="18" t="s">
        <v>1447</v>
      </c>
    </row>
    <row r="49" spans="1:1" x14ac:dyDescent="0.2">
      <c r="A49" s="18" t="s">
        <v>1495</v>
      </c>
    </row>
  </sheetData>
  <mergeCells count="5">
    <mergeCell ref="A1:E1"/>
    <mergeCell ref="A33:B33"/>
    <mergeCell ref="A34:B34"/>
    <mergeCell ref="A35:B35"/>
    <mergeCell ref="A22:E22"/>
  </mergeCells>
  <conditionalFormatting sqref="E5:E10 E13:E21">
    <cfRule type="cellIs" dxfId="81" priority="1" stopIfTrue="1" operator="between">
      <formula>0.009</formula>
      <formula>-0.009</formula>
    </cfRule>
  </conditionalFormatting>
  <hyperlinks>
    <hyperlink ref="A46" r:id="rId1" xr:uid="{00000000-0004-0000-3400-000000000000}"/>
    <hyperlink ref="A43" r:id="rId2" xr:uid="{00000000-0004-0000-3400-000001000000}"/>
  </hyperlinks>
  <pageMargins left="0.7" right="0.7" top="0.75" bottom="0.75" header="0.3" footer="0.3"/>
  <pageSetup paperSize="9" scale="61" orientation="portrait" r:id="rId3"/>
  <headerFooter>
    <oddFooter>&amp;R&amp;1#&amp;"Calibri"&amp;10&amp;KFF0000|PUBLIC|</oddFooter>
    <evenFooter>&amp;LPUBLIC</evenFooter>
    <firstFooter>&amp;LPUBLIC</firstFooter>
  </headerFooter>
  <colBreaks count="1" manualBreakCount="1">
    <brk id="5" max="1048575" man="1"/>
  </colBreak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H49"/>
  <sheetViews>
    <sheetView view="pageBreakPreview" zoomScaleNormal="100" zoomScaleSheetLayoutView="100" workbookViewId="0">
      <selection sqref="A1:E1"/>
    </sheetView>
  </sheetViews>
  <sheetFormatPr defaultColWidth="9.21875" defaultRowHeight="10.199999999999999" x14ac:dyDescent="0.2"/>
  <cols>
    <col min="1" max="1" width="33.44140625" style="9" bestFit="1" customWidth="1"/>
    <col min="2" max="2" width="49.77734375" style="9" customWidth="1"/>
    <col min="3" max="3" width="22.44140625" style="9" customWidth="1"/>
    <col min="4" max="4" width="23" style="10" bestFit="1" customWidth="1"/>
    <col min="5" max="5" width="14.77734375" style="13" bestFit="1" customWidth="1"/>
    <col min="6" max="16384" width="9.21875" style="9"/>
  </cols>
  <sheetData>
    <row r="1" spans="1:8" s="1" customFormat="1" ht="13.8" x14ac:dyDescent="0.2">
      <c r="A1" s="92" t="s">
        <v>24</v>
      </c>
      <c r="B1" s="93"/>
      <c r="C1" s="93"/>
      <c r="D1" s="93"/>
      <c r="E1" s="93"/>
    </row>
    <row r="2" spans="1:8" s="1" customFormat="1" ht="11.4" x14ac:dyDescent="0.2">
      <c r="D2" s="6"/>
      <c r="E2" s="7"/>
    </row>
    <row r="3" spans="1:8" s="1" customFormat="1" ht="12" x14ac:dyDescent="0.2">
      <c r="A3" s="11" t="s">
        <v>7</v>
      </c>
      <c r="B3" s="2"/>
      <c r="C3" s="3"/>
      <c r="D3" s="4"/>
      <c r="E3" s="5"/>
    </row>
    <row r="4" spans="1:8" s="1" customFormat="1" ht="17.55" customHeight="1" x14ac:dyDescent="0.2">
      <c r="A4" s="8" t="s">
        <v>2</v>
      </c>
      <c r="B4" s="8" t="s">
        <v>0</v>
      </c>
      <c r="C4" s="16" t="s">
        <v>1</v>
      </c>
      <c r="D4" s="15" t="s">
        <v>3</v>
      </c>
      <c r="E4" s="15" t="s">
        <v>4</v>
      </c>
    </row>
    <row r="5" spans="1:8" x14ac:dyDescent="0.2">
      <c r="A5" s="21" t="s">
        <v>35</v>
      </c>
      <c r="B5" s="22"/>
      <c r="C5" s="23"/>
      <c r="D5" s="24"/>
      <c r="E5" s="25"/>
    </row>
    <row r="6" spans="1:8" x14ac:dyDescent="0.2">
      <c r="A6" s="27" t="s">
        <v>693</v>
      </c>
      <c r="B6" s="51" t="s">
        <v>1497</v>
      </c>
      <c r="C6" s="31">
        <v>263828.31099999999</v>
      </c>
      <c r="D6" s="29">
        <v>215.5532705</v>
      </c>
      <c r="E6" s="30">
        <v>37.624390010195498</v>
      </c>
    </row>
    <row r="7" spans="1:8" x14ac:dyDescent="0.2">
      <c r="A7" s="27" t="s">
        <v>683</v>
      </c>
      <c r="B7" s="51" t="s">
        <v>682</v>
      </c>
      <c r="C7" s="31">
        <v>31134.333999999999</v>
      </c>
      <c r="D7" s="29">
        <v>198.68372128666599</v>
      </c>
      <c r="E7" s="30">
        <v>34.679844110119831</v>
      </c>
    </row>
    <row r="8" spans="1:8" x14ac:dyDescent="0.2">
      <c r="A8" s="27" t="s">
        <v>700</v>
      </c>
      <c r="B8" s="51" t="s">
        <v>699</v>
      </c>
      <c r="C8" s="31">
        <v>4167.3819999999996</v>
      </c>
      <c r="D8" s="29">
        <v>56.6928105</v>
      </c>
      <c r="E8" s="30">
        <v>9.8956160956328603</v>
      </c>
    </row>
    <row r="9" spans="1:8" x14ac:dyDescent="0.2">
      <c r="A9" s="27" t="s">
        <v>692</v>
      </c>
      <c r="B9" s="51" t="s">
        <v>1493</v>
      </c>
      <c r="C9" s="31">
        <v>16642.702000000001</v>
      </c>
      <c r="D9" s="29">
        <v>55.815328700000002</v>
      </c>
      <c r="E9" s="30">
        <v>9.7424534115619306</v>
      </c>
    </row>
    <row r="10" spans="1:8" ht="20.399999999999999" x14ac:dyDescent="0.2">
      <c r="A10" s="27" t="s">
        <v>694</v>
      </c>
      <c r="B10" s="51" t="s">
        <v>1564</v>
      </c>
      <c r="C10" s="31">
        <v>100173.519</v>
      </c>
      <c r="D10" s="29">
        <v>37.787454799999999</v>
      </c>
      <c r="E10" s="30">
        <v>6.5957242661638604</v>
      </c>
    </row>
    <row r="11" spans="1:8" ht="20.399999999999999" x14ac:dyDescent="0.2">
      <c r="A11" s="27" t="s">
        <v>696</v>
      </c>
      <c r="B11" s="51" t="s">
        <v>695</v>
      </c>
      <c r="C11" s="31">
        <v>196087.27</v>
      </c>
      <c r="D11" s="29">
        <v>0</v>
      </c>
      <c r="E11" s="30">
        <v>1.48570383416341E-6</v>
      </c>
    </row>
    <row r="12" spans="1:8" ht="20.399999999999999" x14ac:dyDescent="0.2">
      <c r="A12" s="27" t="s">
        <v>698</v>
      </c>
      <c r="B12" s="51" t="s">
        <v>697</v>
      </c>
      <c r="C12" s="31">
        <v>177292.25099999999</v>
      </c>
      <c r="D12" s="29">
        <v>0</v>
      </c>
      <c r="E12" s="30">
        <v>1.3389221492705E-6</v>
      </c>
    </row>
    <row r="13" spans="1:8" x14ac:dyDescent="0.2">
      <c r="A13" s="26" t="s">
        <v>34</v>
      </c>
      <c r="B13" s="26"/>
      <c r="C13" s="32"/>
      <c r="D13" s="33">
        <f>SUM(D6:D12)</f>
        <v>564.53258578666589</v>
      </c>
      <c r="E13" s="34">
        <f>SUM(E6:E12)</f>
        <v>98.53803071829995</v>
      </c>
      <c r="F13" s="18"/>
      <c r="G13" s="18"/>
      <c r="H13" s="18"/>
    </row>
    <row r="14" spans="1:8" x14ac:dyDescent="0.2">
      <c r="A14" s="27"/>
      <c r="B14" s="27"/>
      <c r="C14" s="28"/>
      <c r="D14" s="29"/>
      <c r="E14" s="30"/>
    </row>
    <row r="15" spans="1:8" x14ac:dyDescent="0.2">
      <c r="A15" s="26" t="s">
        <v>36</v>
      </c>
      <c r="B15" s="26"/>
      <c r="C15" s="32"/>
      <c r="D15" s="33">
        <f>D13</f>
        <v>564.53258578666589</v>
      </c>
      <c r="E15" s="34">
        <f>E13</f>
        <v>98.53803071829995</v>
      </c>
      <c r="F15" s="18"/>
      <c r="G15" s="18"/>
      <c r="H15" s="18"/>
    </row>
    <row r="16" spans="1:8" x14ac:dyDescent="0.2">
      <c r="A16" s="26"/>
      <c r="B16" s="26"/>
      <c r="C16" s="32"/>
      <c r="D16" s="33"/>
      <c r="E16" s="34"/>
      <c r="F16" s="18"/>
      <c r="G16" s="18"/>
      <c r="H16" s="18"/>
    </row>
    <row r="17" spans="1:8" x14ac:dyDescent="0.2">
      <c r="A17" s="26" t="s">
        <v>38</v>
      </c>
      <c r="B17" s="26"/>
      <c r="C17" s="32"/>
      <c r="D17" s="33">
        <f>D19-(D13)</f>
        <v>8.3757602133341607</v>
      </c>
      <c r="E17" s="34">
        <f>E19-(E13)</f>
        <v>1.4619692817000498</v>
      </c>
      <c r="F17" s="18"/>
      <c r="G17" s="18"/>
      <c r="H17" s="18"/>
    </row>
    <row r="18" spans="1:8" x14ac:dyDescent="0.2">
      <c r="A18" s="26"/>
      <c r="B18" s="26"/>
      <c r="C18" s="32"/>
      <c r="D18" s="33"/>
      <c r="E18" s="34"/>
      <c r="F18" s="18"/>
      <c r="G18" s="18"/>
      <c r="H18" s="18"/>
    </row>
    <row r="19" spans="1:8" x14ac:dyDescent="0.2">
      <c r="A19" s="35" t="s">
        <v>37</v>
      </c>
      <c r="B19" s="35"/>
      <c r="C19" s="36"/>
      <c r="D19" s="37">
        <v>572.90834600000005</v>
      </c>
      <c r="E19" s="38">
        <v>100</v>
      </c>
      <c r="F19" s="18"/>
      <c r="G19" s="18"/>
      <c r="H19" s="18"/>
    </row>
    <row r="20" spans="1:8" x14ac:dyDescent="0.2">
      <c r="C20" s="10"/>
      <c r="D20" s="13"/>
      <c r="E20" s="20"/>
    </row>
    <row r="21" spans="1:8" x14ac:dyDescent="0.2">
      <c r="A21" s="18" t="s">
        <v>726</v>
      </c>
    </row>
    <row r="22" spans="1:8" ht="24.75" customHeight="1" x14ac:dyDescent="0.3">
      <c r="A22" s="98" t="s">
        <v>1565</v>
      </c>
      <c r="B22" s="99"/>
      <c r="C22" s="99"/>
      <c r="D22" s="99"/>
      <c r="E22" s="99"/>
    </row>
    <row r="23" spans="1:8" ht="14.4" x14ac:dyDescent="0.3">
      <c r="A23" s="85"/>
      <c r="B23" s="86"/>
      <c r="C23" s="86"/>
      <c r="D23" s="86"/>
      <c r="E23" s="86"/>
    </row>
    <row r="24" spans="1:8" x14ac:dyDescent="0.2">
      <c r="A24" s="18" t="s">
        <v>40</v>
      </c>
    </row>
    <row r="25" spans="1:8" x14ac:dyDescent="0.2">
      <c r="A25" s="18" t="s">
        <v>41</v>
      </c>
    </row>
    <row r="26" spans="1:8" x14ac:dyDescent="0.2">
      <c r="A26" s="18" t="s">
        <v>42</v>
      </c>
      <c r="B26" s="18"/>
      <c r="C26" s="39" t="s">
        <v>44</v>
      </c>
      <c r="D26" s="41" t="s">
        <v>43</v>
      </c>
    </row>
    <row r="27" spans="1:8" x14ac:dyDescent="0.2">
      <c r="A27" s="9" t="s">
        <v>76</v>
      </c>
      <c r="C27" s="40">
        <v>51.331600000000002</v>
      </c>
      <c r="D27" s="40">
        <v>66.332700000000003</v>
      </c>
    </row>
    <row r="28" spans="1:8" x14ac:dyDescent="0.2">
      <c r="A28" s="9" t="s">
        <v>1502</v>
      </c>
      <c r="C28" s="40">
        <v>18.111999999999998</v>
      </c>
      <c r="D28" s="40">
        <v>21.534099999999999</v>
      </c>
    </row>
    <row r="29" spans="1:8" x14ac:dyDescent="0.2">
      <c r="A29" s="9" t="s">
        <v>77</v>
      </c>
      <c r="C29" s="40">
        <v>53.709200000000003</v>
      </c>
      <c r="D29" s="40">
        <v>69.612300000000005</v>
      </c>
    </row>
    <row r="30" spans="1:8" x14ac:dyDescent="0.2">
      <c r="A30" s="9" t="s">
        <v>1503</v>
      </c>
      <c r="C30" s="40">
        <v>19.1676</v>
      </c>
      <c r="D30" s="40">
        <v>22.960100000000001</v>
      </c>
    </row>
    <row r="32" spans="1:8" x14ac:dyDescent="0.2">
      <c r="A32" s="18" t="s">
        <v>1560</v>
      </c>
    </row>
    <row r="33" spans="1:4" x14ac:dyDescent="0.2">
      <c r="A33" s="94" t="s">
        <v>64</v>
      </c>
      <c r="B33" s="95"/>
      <c r="C33" s="44" t="s">
        <v>1544</v>
      </c>
    </row>
    <row r="34" spans="1:4" x14ac:dyDescent="0.2">
      <c r="A34" s="88" t="s">
        <v>1502</v>
      </c>
      <c r="B34" s="89"/>
      <c r="C34" s="45">
        <v>1.5</v>
      </c>
    </row>
    <row r="35" spans="1:4" x14ac:dyDescent="0.2">
      <c r="A35" s="88" t="s">
        <v>1503</v>
      </c>
      <c r="B35" s="89"/>
      <c r="C35" s="45">
        <v>1.5</v>
      </c>
    </row>
    <row r="36" spans="1:4" x14ac:dyDescent="0.2">
      <c r="A36" s="9" t="s">
        <v>1545</v>
      </c>
    </row>
    <row r="37" spans="1:4" x14ac:dyDescent="0.2">
      <c r="A37" s="9" t="s">
        <v>782</v>
      </c>
    </row>
    <row r="39" spans="1:4" x14ac:dyDescent="0.2">
      <c r="A39" s="18" t="s">
        <v>215</v>
      </c>
      <c r="D39" s="46">
        <v>0.24204135341892266</v>
      </c>
    </row>
    <row r="41" spans="1:4" x14ac:dyDescent="0.2">
      <c r="A41" s="18" t="s">
        <v>717</v>
      </c>
      <c r="D41" s="41">
        <v>2</v>
      </c>
    </row>
    <row r="42" spans="1:4" x14ac:dyDescent="0.2">
      <c r="A42" s="9" t="s">
        <v>712</v>
      </c>
    </row>
    <row r="43" spans="1:4" x14ac:dyDescent="0.2">
      <c r="A43" s="50" t="s">
        <v>713</v>
      </c>
    </row>
    <row r="45" spans="1:4" x14ac:dyDescent="0.2">
      <c r="A45" s="18" t="s">
        <v>718</v>
      </c>
    </row>
    <row r="46" spans="1:4" x14ac:dyDescent="0.2">
      <c r="A46" s="50" t="s">
        <v>47</v>
      </c>
    </row>
    <row r="48" spans="1:4" x14ac:dyDescent="0.2">
      <c r="A48" s="18" t="s">
        <v>1447</v>
      </c>
    </row>
    <row r="49" spans="1:1" x14ac:dyDescent="0.2">
      <c r="A49" s="18" t="s">
        <v>1495</v>
      </c>
    </row>
  </sheetData>
  <mergeCells count="5">
    <mergeCell ref="A1:E1"/>
    <mergeCell ref="A33:B33"/>
    <mergeCell ref="A34:B34"/>
    <mergeCell ref="A35:B35"/>
    <mergeCell ref="A22:E22"/>
  </mergeCells>
  <conditionalFormatting sqref="E5:E10 E13:E20">
    <cfRule type="cellIs" dxfId="80" priority="1" stopIfTrue="1" operator="between">
      <formula>0.009</formula>
      <formula>-0.009</formula>
    </cfRule>
  </conditionalFormatting>
  <hyperlinks>
    <hyperlink ref="A46" r:id="rId1" xr:uid="{00000000-0004-0000-3500-000000000000}"/>
    <hyperlink ref="A43" r:id="rId2" xr:uid="{00000000-0004-0000-3500-000001000000}"/>
  </hyperlinks>
  <pageMargins left="0.7" right="0.7" top="0.75" bottom="0.75" header="0.3" footer="0.3"/>
  <pageSetup paperSize="9" scale="61" orientation="portrait" r:id="rId3"/>
  <headerFooter>
    <oddFooter>&amp;R&amp;1#&amp;"Calibri"&amp;10&amp;KFF0000|PUBLIC|</oddFooter>
    <evenFooter>&amp;LPUBLIC</evenFooter>
    <firstFooter>&amp;LPUBLIC</firstFooter>
  </headerFooter>
  <colBreaks count="1" manualBreakCount="1">
    <brk id="5" max="1048575" man="1"/>
  </colBreak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H49"/>
  <sheetViews>
    <sheetView view="pageBreakPreview" zoomScaleNormal="100" zoomScaleSheetLayoutView="100" workbookViewId="0">
      <selection sqref="A1:E1"/>
    </sheetView>
  </sheetViews>
  <sheetFormatPr defaultColWidth="9.21875" defaultRowHeight="10.199999999999999" x14ac:dyDescent="0.2"/>
  <cols>
    <col min="1" max="1" width="33.44140625" style="9" bestFit="1" customWidth="1"/>
    <col min="2" max="2" width="48.77734375" style="9" customWidth="1"/>
    <col min="3" max="3" width="23.21875" style="9" customWidth="1"/>
    <col min="4" max="4" width="23" style="10" bestFit="1" customWidth="1"/>
    <col min="5" max="5" width="14.77734375" style="13" bestFit="1" customWidth="1"/>
    <col min="6" max="16384" width="9.21875" style="9"/>
  </cols>
  <sheetData>
    <row r="1" spans="1:8" s="1" customFormat="1" ht="13.8" x14ac:dyDescent="0.2">
      <c r="A1" s="92" t="s">
        <v>25</v>
      </c>
      <c r="B1" s="93"/>
      <c r="C1" s="93"/>
      <c r="D1" s="93"/>
      <c r="E1" s="93"/>
    </row>
    <row r="2" spans="1:8" s="1" customFormat="1" ht="11.4" x14ac:dyDescent="0.2">
      <c r="D2" s="6"/>
      <c r="E2" s="7"/>
    </row>
    <row r="3" spans="1:8" s="1" customFormat="1" ht="12" x14ac:dyDescent="0.2">
      <c r="A3" s="11" t="s">
        <v>7</v>
      </c>
      <c r="B3" s="2"/>
      <c r="C3" s="3"/>
      <c r="D3" s="4"/>
      <c r="E3" s="5"/>
    </row>
    <row r="4" spans="1:8" s="1" customFormat="1" ht="17.55" customHeight="1" x14ac:dyDescent="0.2">
      <c r="A4" s="8" t="s">
        <v>2</v>
      </c>
      <c r="B4" s="8" t="s">
        <v>0</v>
      </c>
      <c r="C4" s="16" t="s">
        <v>1</v>
      </c>
      <c r="D4" s="15" t="s">
        <v>3</v>
      </c>
      <c r="E4" s="15" t="s">
        <v>4</v>
      </c>
    </row>
    <row r="5" spans="1:8" x14ac:dyDescent="0.2">
      <c r="A5" s="21" t="s">
        <v>35</v>
      </c>
      <c r="B5" s="22"/>
      <c r="C5" s="23"/>
      <c r="D5" s="24"/>
      <c r="E5" s="25"/>
    </row>
    <row r="6" spans="1:8" x14ac:dyDescent="0.2">
      <c r="A6" s="27" t="s">
        <v>683</v>
      </c>
      <c r="B6" s="51" t="s">
        <v>682</v>
      </c>
      <c r="C6" s="31">
        <v>99850.123999999996</v>
      </c>
      <c r="D6" s="29">
        <v>637.1934665</v>
      </c>
      <c r="E6" s="30">
        <v>49.817920953770901</v>
      </c>
    </row>
    <row r="7" spans="1:8" x14ac:dyDescent="0.2">
      <c r="A7" s="27" t="s">
        <v>693</v>
      </c>
      <c r="B7" s="51" t="s">
        <v>1497</v>
      </c>
      <c r="C7" s="31">
        <v>265204.50799999997</v>
      </c>
      <c r="D7" s="29">
        <v>216.67765230000001</v>
      </c>
      <c r="E7" s="30">
        <v>16.940585116200399</v>
      </c>
    </row>
    <row r="8" spans="1:8" x14ac:dyDescent="0.2">
      <c r="A8" s="27" t="s">
        <v>700</v>
      </c>
      <c r="B8" s="51" t="s">
        <v>699</v>
      </c>
      <c r="C8" s="31">
        <v>13997.944</v>
      </c>
      <c r="D8" s="29">
        <v>190.42717630000001</v>
      </c>
      <c r="E8" s="30">
        <v>14.8882349162681</v>
      </c>
    </row>
    <row r="9" spans="1:8" x14ac:dyDescent="0.2">
      <c r="A9" s="27" t="s">
        <v>692</v>
      </c>
      <c r="B9" s="51" t="s">
        <v>1493</v>
      </c>
      <c r="C9" s="31">
        <v>56255.402000000002</v>
      </c>
      <c r="D9" s="29">
        <v>188.66610439999999</v>
      </c>
      <c r="E9" s="30">
        <v>14.750548412371501</v>
      </c>
    </row>
    <row r="10" spans="1:8" ht="20.399999999999999" x14ac:dyDescent="0.2">
      <c r="A10" s="27" t="s">
        <v>694</v>
      </c>
      <c r="B10" s="51" t="s">
        <v>1564</v>
      </c>
      <c r="C10" s="31">
        <v>77152.252999999997</v>
      </c>
      <c r="D10" s="29">
        <v>29.1033729</v>
      </c>
      <c r="E10" s="30">
        <v>2.2753992419040601</v>
      </c>
    </row>
    <row r="11" spans="1:8" ht="20.399999999999999" x14ac:dyDescent="0.2">
      <c r="A11" s="27" t="s">
        <v>696</v>
      </c>
      <c r="B11" s="51" t="s">
        <v>695</v>
      </c>
      <c r="C11" s="31">
        <v>167004.62</v>
      </c>
      <c r="D11" s="29">
        <v>0</v>
      </c>
      <c r="E11" s="30">
        <v>1.48570383416341E-6</v>
      </c>
    </row>
    <row r="12" spans="1:8" ht="20.399999999999999" x14ac:dyDescent="0.2">
      <c r="A12" s="27" t="s">
        <v>698</v>
      </c>
      <c r="B12" s="51" t="s">
        <v>697</v>
      </c>
      <c r="C12" s="31">
        <v>147479.853</v>
      </c>
      <c r="D12" s="29">
        <v>0</v>
      </c>
      <c r="E12" s="30">
        <v>1.3389221492705E-6</v>
      </c>
    </row>
    <row r="13" spans="1:8" x14ac:dyDescent="0.2">
      <c r="A13" s="26" t="s">
        <v>34</v>
      </c>
      <c r="B13" s="26"/>
      <c r="C13" s="32"/>
      <c r="D13" s="33">
        <f>SUM(D6:D12)</f>
        <v>1262.0677724</v>
      </c>
      <c r="E13" s="34">
        <f>SUM(E6:E12)</f>
        <v>98.672691465140943</v>
      </c>
      <c r="F13" s="18"/>
      <c r="G13" s="18"/>
      <c r="H13" s="18"/>
    </row>
    <row r="14" spans="1:8" x14ac:dyDescent="0.2">
      <c r="A14" s="27"/>
      <c r="B14" s="27"/>
      <c r="C14" s="28"/>
      <c r="D14" s="29"/>
      <c r="E14" s="30"/>
    </row>
    <row r="15" spans="1:8" x14ac:dyDescent="0.2">
      <c r="A15" s="26" t="s">
        <v>36</v>
      </c>
      <c r="B15" s="26"/>
      <c r="C15" s="32"/>
      <c r="D15" s="33">
        <f>D13</f>
        <v>1262.0677724</v>
      </c>
      <c r="E15" s="34">
        <f>E13</f>
        <v>98.672691465140943</v>
      </c>
      <c r="F15" s="18"/>
      <c r="G15" s="18"/>
      <c r="H15" s="18"/>
    </row>
    <row r="16" spans="1:8" x14ac:dyDescent="0.2">
      <c r="A16" s="26"/>
      <c r="B16" s="26"/>
      <c r="C16" s="32"/>
      <c r="D16" s="33"/>
      <c r="E16" s="34"/>
      <c r="F16" s="18"/>
      <c r="G16" s="18"/>
      <c r="H16" s="18"/>
    </row>
    <row r="17" spans="1:8" x14ac:dyDescent="0.2">
      <c r="A17" s="26" t="s">
        <v>38</v>
      </c>
      <c r="B17" s="26"/>
      <c r="C17" s="32"/>
      <c r="D17" s="33">
        <f>D19-(D13)</f>
        <v>16.976905299999999</v>
      </c>
      <c r="E17" s="34">
        <f>E19-(E13)</f>
        <v>1.327308534859057</v>
      </c>
      <c r="F17" s="18"/>
      <c r="G17" s="18"/>
      <c r="H17" s="18"/>
    </row>
    <row r="18" spans="1:8" x14ac:dyDescent="0.2">
      <c r="A18" s="26"/>
      <c r="B18" s="26"/>
      <c r="C18" s="32"/>
      <c r="D18" s="33"/>
      <c r="E18" s="34"/>
      <c r="F18" s="18"/>
      <c r="G18" s="18"/>
      <c r="H18" s="18"/>
    </row>
    <row r="19" spans="1:8" x14ac:dyDescent="0.2">
      <c r="A19" s="35" t="s">
        <v>37</v>
      </c>
      <c r="B19" s="35"/>
      <c r="C19" s="36"/>
      <c r="D19" s="37">
        <v>1279.0446777</v>
      </c>
      <c r="E19" s="38">
        <v>100</v>
      </c>
      <c r="F19" s="18"/>
      <c r="G19" s="18"/>
      <c r="H19" s="18"/>
    </row>
    <row r="20" spans="1:8" x14ac:dyDescent="0.2">
      <c r="C20" s="10"/>
      <c r="D20" s="13"/>
      <c r="E20" s="20"/>
    </row>
    <row r="21" spans="1:8" x14ac:dyDescent="0.2">
      <c r="A21" s="18" t="s">
        <v>726</v>
      </c>
    </row>
    <row r="22" spans="1:8" ht="24" customHeight="1" x14ac:dyDescent="0.3">
      <c r="A22" s="98" t="s">
        <v>1565</v>
      </c>
      <c r="B22" s="99"/>
      <c r="C22" s="99"/>
      <c r="D22" s="99"/>
      <c r="E22" s="99"/>
    </row>
    <row r="23" spans="1:8" ht="14.4" x14ac:dyDescent="0.3">
      <c r="A23" s="85"/>
      <c r="B23" s="86"/>
      <c r="C23" s="86"/>
      <c r="D23" s="87"/>
      <c r="E23" s="86"/>
    </row>
    <row r="24" spans="1:8" x14ac:dyDescent="0.2">
      <c r="A24" s="18" t="s">
        <v>40</v>
      </c>
    </row>
    <row r="25" spans="1:8" x14ac:dyDescent="0.2">
      <c r="A25" s="18" t="s">
        <v>41</v>
      </c>
    </row>
    <row r="26" spans="1:8" x14ac:dyDescent="0.2">
      <c r="A26" s="18" t="s">
        <v>42</v>
      </c>
      <c r="B26" s="18"/>
      <c r="C26" s="39" t="s">
        <v>44</v>
      </c>
      <c r="D26" s="41" t="s">
        <v>43</v>
      </c>
    </row>
    <row r="27" spans="1:8" x14ac:dyDescent="0.2">
      <c r="A27" s="9" t="s">
        <v>65</v>
      </c>
      <c r="C27" s="40">
        <v>73.092299999999994</v>
      </c>
      <c r="D27" s="40">
        <v>99.517099999999999</v>
      </c>
    </row>
    <row r="28" spans="1:8" x14ac:dyDescent="0.2">
      <c r="A28" s="9" t="s">
        <v>1003</v>
      </c>
      <c r="C28" s="40">
        <v>23.897600000000001</v>
      </c>
      <c r="D28" s="40">
        <v>29.935500000000001</v>
      </c>
    </row>
    <row r="29" spans="1:8" x14ac:dyDescent="0.2">
      <c r="A29" s="9" t="s">
        <v>66</v>
      </c>
      <c r="C29" s="40">
        <v>75.800899999999999</v>
      </c>
      <c r="D29" s="40">
        <v>103.523</v>
      </c>
    </row>
    <row r="30" spans="1:8" x14ac:dyDescent="0.2">
      <c r="A30" s="9" t="s">
        <v>1004</v>
      </c>
      <c r="C30" s="40">
        <v>24.9984</v>
      </c>
      <c r="D30" s="40">
        <v>31.524999999999999</v>
      </c>
    </row>
    <row r="32" spans="1:8" x14ac:dyDescent="0.2">
      <c r="A32" s="18" t="s">
        <v>1560</v>
      </c>
    </row>
    <row r="33" spans="1:4" x14ac:dyDescent="0.2">
      <c r="A33" s="94" t="s">
        <v>64</v>
      </c>
      <c r="B33" s="95"/>
      <c r="C33" s="44" t="s">
        <v>1544</v>
      </c>
    </row>
    <row r="34" spans="1:4" x14ac:dyDescent="0.2">
      <c r="A34" s="88" t="s">
        <v>1003</v>
      </c>
      <c r="B34" s="89"/>
      <c r="C34" s="45">
        <v>2</v>
      </c>
    </row>
    <row r="35" spans="1:4" x14ac:dyDescent="0.2">
      <c r="A35" s="88" t="s">
        <v>1004</v>
      </c>
      <c r="B35" s="89"/>
      <c r="C35" s="45">
        <v>2</v>
      </c>
    </row>
    <row r="36" spans="1:4" x14ac:dyDescent="0.2">
      <c r="A36" s="9" t="s">
        <v>1545</v>
      </c>
    </row>
    <row r="37" spans="1:4" x14ac:dyDescent="0.2">
      <c r="A37" s="9" t="s">
        <v>782</v>
      </c>
    </row>
    <row r="39" spans="1:4" x14ac:dyDescent="0.2">
      <c r="A39" s="18" t="s">
        <v>215</v>
      </c>
      <c r="D39" s="46">
        <v>0.15715297354026336</v>
      </c>
    </row>
    <row r="41" spans="1:4" x14ac:dyDescent="0.2">
      <c r="A41" s="18" t="s">
        <v>1551</v>
      </c>
      <c r="D41" s="41">
        <v>2</v>
      </c>
    </row>
    <row r="42" spans="1:4" x14ac:dyDescent="0.2">
      <c r="A42" s="9" t="s">
        <v>712</v>
      </c>
    </row>
    <row r="43" spans="1:4" x14ac:dyDescent="0.2">
      <c r="A43" s="50" t="s">
        <v>713</v>
      </c>
    </row>
    <row r="44" spans="1:4" x14ac:dyDescent="0.2">
      <c r="A44" s="50"/>
    </row>
    <row r="45" spans="1:4" x14ac:dyDescent="0.2">
      <c r="A45" s="18" t="s">
        <v>718</v>
      </c>
    </row>
    <row r="46" spans="1:4" x14ac:dyDescent="0.2">
      <c r="A46" s="50" t="s">
        <v>47</v>
      </c>
    </row>
    <row r="48" spans="1:4" x14ac:dyDescent="0.2">
      <c r="A48" s="18" t="s">
        <v>1495</v>
      </c>
    </row>
    <row r="49" spans="1:1" x14ac:dyDescent="0.2">
      <c r="A49" s="18" t="s">
        <v>1496</v>
      </c>
    </row>
  </sheetData>
  <mergeCells count="5">
    <mergeCell ref="A1:E1"/>
    <mergeCell ref="A33:B33"/>
    <mergeCell ref="A34:B34"/>
    <mergeCell ref="A35:B35"/>
    <mergeCell ref="A22:E22"/>
  </mergeCells>
  <conditionalFormatting sqref="E5:E10 E13:E20">
    <cfRule type="cellIs" dxfId="79" priority="1" stopIfTrue="1" operator="between">
      <formula>0.009</formula>
      <formula>-0.009</formula>
    </cfRule>
  </conditionalFormatting>
  <hyperlinks>
    <hyperlink ref="A46" r:id="rId1" xr:uid="{00000000-0004-0000-3600-000000000000}"/>
    <hyperlink ref="A43" r:id="rId2" xr:uid="{00000000-0004-0000-3600-000001000000}"/>
  </hyperlinks>
  <pageMargins left="0.7" right="0.7" top="0.75" bottom="0.75" header="0.3" footer="0.3"/>
  <pageSetup paperSize="9" scale="61" orientation="portrait" r:id="rId3"/>
  <headerFooter>
    <oddFooter>&amp;R&amp;1#&amp;"Calibri"&amp;10&amp;KFF0000|PUBLIC|</oddFooter>
    <evenFooter>&amp;LPUBLIC</evenFooter>
    <firstFooter>&amp;LPUBLIC</firstFooter>
  </headerFooter>
  <colBreaks count="1" manualBreakCount="1">
    <brk id="5" max="1048575" man="1"/>
  </colBreak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H45"/>
  <sheetViews>
    <sheetView view="pageBreakPreview" zoomScaleNormal="100" zoomScaleSheetLayoutView="100" workbookViewId="0">
      <selection sqref="A1:E1"/>
    </sheetView>
  </sheetViews>
  <sheetFormatPr defaultColWidth="9.21875" defaultRowHeight="10.199999999999999" x14ac:dyDescent="0.2"/>
  <cols>
    <col min="1" max="1" width="33.44140625" style="9" bestFit="1" customWidth="1"/>
    <col min="2" max="2" width="49.77734375" style="9" customWidth="1"/>
    <col min="3" max="3" width="22.5546875" style="9" customWidth="1"/>
    <col min="4" max="4" width="23" style="10" bestFit="1" customWidth="1"/>
    <col min="5" max="5" width="14.77734375" style="13" bestFit="1" customWidth="1"/>
    <col min="6" max="16384" width="9.21875" style="9"/>
  </cols>
  <sheetData>
    <row r="1" spans="1:8" s="1" customFormat="1" ht="13.8" x14ac:dyDescent="0.2">
      <c r="A1" s="92" t="s">
        <v>1498</v>
      </c>
      <c r="B1" s="93"/>
      <c r="C1" s="93"/>
      <c r="D1" s="93"/>
      <c r="E1" s="93"/>
    </row>
    <row r="2" spans="1:8" s="1" customFormat="1" ht="11.4" x14ac:dyDescent="0.2">
      <c r="D2" s="6"/>
      <c r="E2" s="7"/>
    </row>
    <row r="3" spans="1:8" s="1" customFormat="1" ht="12" x14ac:dyDescent="0.2">
      <c r="A3" s="11" t="s">
        <v>7</v>
      </c>
      <c r="B3" s="2"/>
      <c r="C3" s="3"/>
      <c r="D3" s="4"/>
      <c r="E3" s="5"/>
    </row>
    <row r="4" spans="1:8" s="1" customFormat="1" ht="17.55" customHeight="1" x14ac:dyDescent="0.2">
      <c r="A4" s="8" t="s">
        <v>2</v>
      </c>
      <c r="B4" s="8" t="s">
        <v>0</v>
      </c>
      <c r="C4" s="16" t="s">
        <v>1</v>
      </c>
      <c r="D4" s="15" t="s">
        <v>3</v>
      </c>
      <c r="E4" s="15" t="s">
        <v>4</v>
      </c>
    </row>
    <row r="5" spans="1:8" x14ac:dyDescent="0.2">
      <c r="A5" s="21" t="s">
        <v>35</v>
      </c>
      <c r="B5" s="22"/>
      <c r="C5" s="23"/>
      <c r="D5" s="24"/>
      <c r="E5" s="25"/>
    </row>
    <row r="6" spans="1:8" ht="20.399999999999999" x14ac:dyDescent="0.2">
      <c r="A6" s="27" t="s">
        <v>702</v>
      </c>
      <c r="B6" s="51" t="s">
        <v>701</v>
      </c>
      <c r="C6" s="31">
        <v>5140691.12</v>
      </c>
      <c r="D6" s="29">
        <v>42576.442762399922</v>
      </c>
      <c r="E6" s="30">
        <v>46.15540624380624</v>
      </c>
    </row>
    <row r="7" spans="1:8" ht="20.399999999999999" x14ac:dyDescent="0.2">
      <c r="A7" s="27" t="s">
        <v>686</v>
      </c>
      <c r="B7" s="51" t="s">
        <v>1563</v>
      </c>
      <c r="C7" s="31">
        <v>618583.74899999995</v>
      </c>
      <c r="D7" s="29">
        <v>13144.869409999999</v>
      </c>
      <c r="E7" s="30">
        <v>14.249823336019199</v>
      </c>
    </row>
    <row r="8" spans="1:8" ht="20.399999999999999" x14ac:dyDescent="0.2">
      <c r="A8" s="27" t="s">
        <v>688</v>
      </c>
      <c r="B8" s="51" t="s">
        <v>687</v>
      </c>
      <c r="C8" s="31">
        <v>1370528.45</v>
      </c>
      <c r="D8" s="29">
        <v>0</v>
      </c>
      <c r="E8" s="30">
        <v>1.48570383416341E-6</v>
      </c>
    </row>
    <row r="9" spans="1:8" ht="20.399999999999999" x14ac:dyDescent="0.2">
      <c r="A9" s="27" t="s">
        <v>690</v>
      </c>
      <c r="B9" s="51" t="s">
        <v>689</v>
      </c>
      <c r="C9" s="31">
        <v>1235134.5419999999</v>
      </c>
      <c r="D9" s="29">
        <v>0</v>
      </c>
      <c r="E9" s="30">
        <v>1.3389221492705E-6</v>
      </c>
    </row>
    <row r="10" spans="1:8" x14ac:dyDescent="0.2">
      <c r="A10" s="26" t="s">
        <v>34</v>
      </c>
      <c r="B10" s="26"/>
      <c r="C10" s="32"/>
      <c r="D10" s="33">
        <f>SUM(D6:D9)</f>
        <v>55721.312172399921</v>
      </c>
      <c r="E10" s="34">
        <f>SUM(E6:E9)</f>
        <v>60.405232404451418</v>
      </c>
      <c r="F10" s="18"/>
      <c r="G10" s="18"/>
      <c r="H10" s="18"/>
    </row>
    <row r="11" spans="1:8" x14ac:dyDescent="0.2">
      <c r="A11" s="27"/>
      <c r="B11" s="27"/>
      <c r="C11" s="28"/>
      <c r="D11" s="29"/>
      <c r="E11" s="30"/>
    </row>
    <row r="12" spans="1:8" x14ac:dyDescent="0.2">
      <c r="A12" s="26" t="s">
        <v>36</v>
      </c>
      <c r="B12" s="26"/>
      <c r="C12" s="32"/>
      <c r="D12" s="33">
        <f>D10</f>
        <v>55721.312172399921</v>
      </c>
      <c r="E12" s="34">
        <f>E10</f>
        <v>60.405232404451418</v>
      </c>
      <c r="F12" s="18"/>
      <c r="G12" s="18"/>
      <c r="H12" s="18"/>
    </row>
    <row r="13" spans="1:8" x14ac:dyDescent="0.2">
      <c r="A13" s="26"/>
      <c r="B13" s="26"/>
      <c r="C13" s="32"/>
      <c r="D13" s="33"/>
      <c r="E13" s="34"/>
      <c r="F13" s="18"/>
      <c r="G13" s="18"/>
      <c r="H13" s="18"/>
    </row>
    <row r="14" spans="1:8" x14ac:dyDescent="0.2">
      <c r="A14" s="26" t="s">
        <v>38</v>
      </c>
      <c r="B14" s="26"/>
      <c r="C14" s="32"/>
      <c r="D14" s="33">
        <f>D16-(D10)</f>
        <v>36524.529056900079</v>
      </c>
      <c r="E14" s="34">
        <f>E16-(E10)</f>
        <v>39.594767595548582</v>
      </c>
      <c r="F14" s="18"/>
      <c r="G14" s="18"/>
      <c r="H14" s="18"/>
    </row>
    <row r="15" spans="1:8" x14ac:dyDescent="0.2">
      <c r="A15" s="26"/>
      <c r="B15" s="26"/>
      <c r="C15" s="32"/>
      <c r="D15" s="33"/>
      <c r="E15" s="34"/>
      <c r="F15" s="18"/>
      <c r="G15" s="18"/>
      <c r="H15" s="18"/>
    </row>
    <row r="16" spans="1:8" x14ac:dyDescent="0.2">
      <c r="A16" s="35" t="s">
        <v>37</v>
      </c>
      <c r="B16" s="35"/>
      <c r="C16" s="36"/>
      <c r="D16" s="37">
        <v>92245.8412293</v>
      </c>
      <c r="E16" s="38">
        <v>100</v>
      </c>
      <c r="F16" s="18"/>
      <c r="G16" s="18"/>
      <c r="H16" s="18"/>
    </row>
    <row r="17" spans="1:5" x14ac:dyDescent="0.2">
      <c r="C17" s="10"/>
      <c r="D17" s="13"/>
      <c r="E17" s="20"/>
    </row>
    <row r="18" spans="1:5" x14ac:dyDescent="0.2">
      <c r="A18" s="18" t="s">
        <v>726</v>
      </c>
      <c r="C18" s="10"/>
      <c r="D18" s="13"/>
      <c r="E18" s="14"/>
    </row>
    <row r="19" spans="1:5" ht="25.5" customHeight="1" x14ac:dyDescent="0.3">
      <c r="A19" s="98" t="s">
        <v>1565</v>
      </c>
      <c r="B19" s="99"/>
      <c r="C19" s="99"/>
      <c r="D19" s="99"/>
      <c r="E19" s="99"/>
    </row>
    <row r="20" spans="1:5" s="77" customFormat="1" x14ac:dyDescent="0.2">
      <c r="D20" s="83"/>
      <c r="E20" s="84"/>
    </row>
    <row r="21" spans="1:5" x14ac:dyDescent="0.2">
      <c r="A21" s="18" t="s">
        <v>40</v>
      </c>
    </row>
    <row r="22" spans="1:5" x14ac:dyDescent="0.2">
      <c r="A22" s="18" t="s">
        <v>41</v>
      </c>
    </row>
    <row r="23" spans="1:5" x14ac:dyDescent="0.2">
      <c r="A23" s="18" t="s">
        <v>42</v>
      </c>
      <c r="B23" s="18"/>
      <c r="C23" s="39" t="s">
        <v>44</v>
      </c>
      <c r="D23" s="41" t="s">
        <v>43</v>
      </c>
    </row>
    <row r="24" spans="1:5" x14ac:dyDescent="0.2">
      <c r="A24" s="9" t="s">
        <v>65</v>
      </c>
      <c r="C24" s="40">
        <v>69.867599999999996</v>
      </c>
      <c r="D24" s="40">
        <v>85.873500000000007</v>
      </c>
    </row>
    <row r="25" spans="1:5" x14ac:dyDescent="0.2">
      <c r="A25" s="9" t="s">
        <v>1003</v>
      </c>
      <c r="C25" s="40">
        <v>27.370699999999999</v>
      </c>
      <c r="D25" s="40">
        <v>31.957899999999999</v>
      </c>
    </row>
    <row r="26" spans="1:5" x14ac:dyDescent="0.2">
      <c r="A26" s="9" t="s">
        <v>66</v>
      </c>
      <c r="C26" s="40">
        <v>75.438599999999994</v>
      </c>
      <c r="D26" s="40">
        <v>93.232699999999994</v>
      </c>
    </row>
    <row r="27" spans="1:5" x14ac:dyDescent="0.2">
      <c r="A27" s="9" t="s">
        <v>1004</v>
      </c>
      <c r="C27" s="40">
        <v>30.417300000000001</v>
      </c>
      <c r="D27" s="40">
        <v>35.902200000000001</v>
      </c>
    </row>
    <row r="29" spans="1:5" x14ac:dyDescent="0.2">
      <c r="A29" s="18" t="s">
        <v>1560</v>
      </c>
    </row>
    <row r="30" spans="1:5" x14ac:dyDescent="0.2">
      <c r="A30" s="94" t="s">
        <v>64</v>
      </c>
      <c r="B30" s="95"/>
      <c r="C30" s="44" t="s">
        <v>1544</v>
      </c>
    </row>
    <row r="31" spans="1:5" x14ac:dyDescent="0.2">
      <c r="A31" s="88" t="s">
        <v>1003</v>
      </c>
      <c r="B31" s="89"/>
      <c r="C31" s="45">
        <v>1.5</v>
      </c>
    </row>
    <row r="32" spans="1:5" x14ac:dyDescent="0.2">
      <c r="A32" s="88" t="s">
        <v>1004</v>
      </c>
      <c r="B32" s="89"/>
      <c r="C32" s="45">
        <v>1.5</v>
      </c>
    </row>
    <row r="33" spans="1:5" x14ac:dyDescent="0.2">
      <c r="A33" s="9" t="s">
        <v>1545</v>
      </c>
    </row>
    <row r="34" spans="1:5" x14ac:dyDescent="0.2">
      <c r="A34" s="9" t="s">
        <v>782</v>
      </c>
    </row>
    <row r="36" spans="1:5" x14ac:dyDescent="0.2">
      <c r="A36" s="18" t="s">
        <v>215</v>
      </c>
      <c r="D36" s="46">
        <v>6.1018976330949042E-2</v>
      </c>
    </row>
    <row r="38" spans="1:5" x14ac:dyDescent="0.2">
      <c r="A38" s="18" t="s">
        <v>717</v>
      </c>
      <c r="D38" s="41">
        <v>2</v>
      </c>
    </row>
    <row r="39" spans="1:5" x14ac:dyDescent="0.2">
      <c r="A39" s="9" t="s">
        <v>712</v>
      </c>
    </row>
    <row r="40" spans="1:5" x14ac:dyDescent="0.2">
      <c r="A40" s="50" t="s">
        <v>713</v>
      </c>
    </row>
    <row r="42" spans="1:5" x14ac:dyDescent="0.2">
      <c r="A42" s="18" t="s">
        <v>718</v>
      </c>
    </row>
    <row r="43" spans="1:5" x14ac:dyDescent="0.2">
      <c r="A43" s="50" t="s">
        <v>47</v>
      </c>
    </row>
    <row r="45" spans="1:5" x14ac:dyDescent="0.2">
      <c r="A45" s="97" t="s">
        <v>1499</v>
      </c>
      <c r="B45" s="97"/>
      <c r="C45" s="97"/>
      <c r="D45" s="97"/>
      <c r="E45" s="97"/>
    </row>
  </sheetData>
  <mergeCells count="6">
    <mergeCell ref="A1:E1"/>
    <mergeCell ref="A30:B30"/>
    <mergeCell ref="A31:B31"/>
    <mergeCell ref="A32:B32"/>
    <mergeCell ref="A45:E45"/>
    <mergeCell ref="A19:E19"/>
  </mergeCells>
  <conditionalFormatting sqref="E5:E7 E10:E18">
    <cfRule type="cellIs" dxfId="78" priority="1" stopIfTrue="1" operator="between">
      <formula>0.009</formula>
      <formula>-0.009</formula>
    </cfRule>
  </conditionalFormatting>
  <hyperlinks>
    <hyperlink ref="A43" r:id="rId1" xr:uid="{00000000-0004-0000-3700-000000000000}"/>
    <hyperlink ref="A40" r:id="rId2" xr:uid="{00000000-0004-0000-3700-000001000000}"/>
  </hyperlinks>
  <pageMargins left="0.7" right="0.7" top="0.75" bottom="0.75" header="0.3" footer="0.3"/>
  <pageSetup paperSize="9" scale="60" orientation="portrait" r:id="rId3"/>
  <headerFooter>
    <oddFooter>&amp;R&amp;1#&amp;"Calibri"&amp;10&amp;KFF0000|PUBLIC|</oddFooter>
    <evenFooter>&amp;LPUBLIC</evenFooter>
    <firstFooter>&amp;LPUBLIC</firstFooter>
  </headerFooter>
  <colBreaks count="1" manualBreakCount="1">
    <brk id="5" max="1048575" man="1"/>
  </colBreaks>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I175"/>
  <sheetViews>
    <sheetView view="pageBreakPreview" zoomScaleNormal="100" zoomScaleSheetLayoutView="100" workbookViewId="0">
      <selection sqref="A1:G1"/>
    </sheetView>
  </sheetViews>
  <sheetFormatPr defaultColWidth="9.21875" defaultRowHeight="10.199999999999999" x14ac:dyDescent="0.2"/>
  <cols>
    <col min="1" max="1" width="38.77734375" style="9" bestFit="1" customWidth="1"/>
    <col min="2" max="2" width="69.21875" style="9" bestFit="1" customWidth="1"/>
    <col min="3" max="3" width="15.44140625" style="9" bestFit="1" customWidth="1"/>
    <col min="4" max="4" width="15.44140625" style="10" bestFit="1" customWidth="1"/>
    <col min="5" max="5" width="23" style="13" bestFit="1" customWidth="1"/>
    <col min="6" max="6" width="13.5546875" style="14" bestFit="1" customWidth="1"/>
    <col min="7" max="7" width="14.21875" style="13" customWidth="1"/>
    <col min="8" max="16384" width="9.21875" style="9"/>
  </cols>
  <sheetData>
    <row r="1" spans="1:7" s="1" customFormat="1" ht="13.8" x14ac:dyDescent="0.2">
      <c r="A1" s="92" t="s">
        <v>1553</v>
      </c>
      <c r="B1" s="93"/>
      <c r="C1" s="93"/>
      <c r="D1" s="93"/>
      <c r="E1" s="93"/>
      <c r="F1" s="93"/>
      <c r="G1" s="93"/>
    </row>
    <row r="2" spans="1:7" s="1" customFormat="1" ht="12" x14ac:dyDescent="0.25">
      <c r="A2" s="56" t="s">
        <v>1011</v>
      </c>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727</v>
      </c>
      <c r="D4" s="16" t="s">
        <v>1</v>
      </c>
      <c r="E4" s="15" t="s">
        <v>3</v>
      </c>
      <c r="F4" s="15" t="s">
        <v>4</v>
      </c>
      <c r="G4" s="15" t="s">
        <v>6</v>
      </c>
    </row>
    <row r="5" spans="1:7" x14ac:dyDescent="0.2">
      <c r="A5" s="21" t="s">
        <v>26</v>
      </c>
      <c r="B5" s="22"/>
      <c r="C5" s="22"/>
      <c r="D5" s="23"/>
      <c r="E5" s="24"/>
      <c r="F5" s="25"/>
      <c r="G5" s="24"/>
    </row>
    <row r="6" spans="1:7" x14ac:dyDescent="0.2">
      <c r="A6" s="26" t="s">
        <v>27</v>
      </c>
      <c r="B6" s="27"/>
      <c r="C6" s="27"/>
      <c r="D6" s="28"/>
      <c r="E6" s="29"/>
      <c r="F6" s="30"/>
      <c r="G6" s="29"/>
    </row>
    <row r="7" spans="1:7" x14ac:dyDescent="0.2">
      <c r="A7" s="27" t="s">
        <v>909</v>
      </c>
      <c r="B7" s="27" t="s">
        <v>910</v>
      </c>
      <c r="C7" s="27" t="s">
        <v>911</v>
      </c>
      <c r="D7" s="31">
        <v>2750</v>
      </c>
      <c r="E7" s="29">
        <v>28165.032500000001</v>
      </c>
      <c r="F7" s="30">
        <v>17.6134203515488</v>
      </c>
      <c r="G7" s="29">
        <v>9.75</v>
      </c>
    </row>
    <row r="8" spans="1:7" x14ac:dyDescent="0.2">
      <c r="A8" s="27" t="s">
        <v>1012</v>
      </c>
      <c r="B8" s="27" t="s">
        <v>1013</v>
      </c>
      <c r="C8" s="27" t="s">
        <v>1014</v>
      </c>
      <c r="D8" s="31">
        <v>1112</v>
      </c>
      <c r="E8" s="29">
        <v>11349.961600000001</v>
      </c>
      <c r="F8" s="30">
        <v>7.0978666413659299</v>
      </c>
      <c r="G8" s="29">
        <v>8.8696999999999999</v>
      </c>
    </row>
    <row r="9" spans="1:7" x14ac:dyDescent="0.2">
      <c r="A9" s="27" t="s">
        <v>1015</v>
      </c>
      <c r="B9" s="27" t="s">
        <v>1016</v>
      </c>
      <c r="C9" s="27" t="s">
        <v>1014</v>
      </c>
      <c r="D9" s="31">
        <v>4810</v>
      </c>
      <c r="E9" s="29">
        <v>10202.260120000001</v>
      </c>
      <c r="F9" s="30">
        <v>6.3801345171322801</v>
      </c>
      <c r="G9" s="29">
        <v>9.3095999999999997</v>
      </c>
    </row>
    <row r="10" spans="1:7" x14ac:dyDescent="0.2">
      <c r="A10" s="27" t="s">
        <v>1017</v>
      </c>
      <c r="B10" s="27" t="s">
        <v>1018</v>
      </c>
      <c r="C10" s="27" t="s">
        <v>1019</v>
      </c>
      <c r="D10" s="31">
        <v>1000</v>
      </c>
      <c r="E10" s="29">
        <v>9841.7199999999993</v>
      </c>
      <c r="F10" s="30">
        <v>6.1546654115256096</v>
      </c>
      <c r="G10" s="29">
        <v>18.175899999999999</v>
      </c>
    </row>
    <row r="11" spans="1:7" x14ac:dyDescent="0.2">
      <c r="A11" s="27" t="s">
        <v>1020</v>
      </c>
      <c r="B11" s="27" t="s">
        <v>1021</v>
      </c>
      <c r="C11" s="27" t="s">
        <v>1022</v>
      </c>
      <c r="D11" s="31">
        <v>990</v>
      </c>
      <c r="E11" s="29">
        <v>8997.0704999999998</v>
      </c>
      <c r="F11" s="30">
        <v>5.6264513328368801</v>
      </c>
      <c r="G11" s="29">
        <v>11.762700000000001</v>
      </c>
    </row>
    <row r="12" spans="1:7" x14ac:dyDescent="0.2">
      <c r="A12" s="27" t="s">
        <v>1023</v>
      </c>
      <c r="B12" s="27" t="s">
        <v>1024</v>
      </c>
      <c r="C12" s="27" t="s">
        <v>1019</v>
      </c>
      <c r="D12" s="31">
        <v>800</v>
      </c>
      <c r="E12" s="29">
        <v>8025.8639999999996</v>
      </c>
      <c r="F12" s="30">
        <v>5.0190929591990603</v>
      </c>
      <c r="G12" s="29">
        <v>8.1798999999999999</v>
      </c>
    </row>
    <row r="13" spans="1:7" x14ac:dyDescent="0.2">
      <c r="A13" s="27" t="s">
        <v>1025</v>
      </c>
      <c r="B13" s="27" t="s">
        <v>1026</v>
      </c>
      <c r="C13" s="27" t="s">
        <v>1022</v>
      </c>
      <c r="D13" s="31">
        <v>937</v>
      </c>
      <c r="E13" s="29">
        <v>7511.9215039999999</v>
      </c>
      <c r="F13" s="30">
        <v>4.6976914050353198</v>
      </c>
      <c r="G13" s="29">
        <v>9.6891999999999996</v>
      </c>
    </row>
    <row r="14" spans="1:7" x14ac:dyDescent="0.2">
      <c r="A14" s="27" t="s">
        <v>1027</v>
      </c>
      <c r="B14" s="27" t="s">
        <v>1028</v>
      </c>
      <c r="C14" s="27" t="s">
        <v>30</v>
      </c>
      <c r="D14" s="31">
        <v>600</v>
      </c>
      <c r="E14" s="29">
        <v>6042.924</v>
      </c>
      <c r="F14" s="30">
        <v>3.7790320520476102</v>
      </c>
      <c r="G14" s="29">
        <v>4.2251000000000003</v>
      </c>
    </row>
    <row r="15" spans="1:7" x14ac:dyDescent="0.2">
      <c r="A15" s="27" t="s">
        <v>1029</v>
      </c>
      <c r="B15" s="27" t="s">
        <v>1030</v>
      </c>
      <c r="C15" s="27" t="s">
        <v>1031</v>
      </c>
      <c r="D15" s="31">
        <v>385</v>
      </c>
      <c r="E15" s="29">
        <v>5477.7607500000004</v>
      </c>
      <c r="F15" s="30">
        <v>3.4255988405113702</v>
      </c>
      <c r="G15" s="29">
        <v>11.4499</v>
      </c>
    </row>
    <row r="16" spans="1:7" x14ac:dyDescent="0.2">
      <c r="A16" s="27" t="s">
        <v>1032</v>
      </c>
      <c r="B16" s="27" t="s">
        <v>1033</v>
      </c>
      <c r="C16" s="27" t="s">
        <v>30</v>
      </c>
      <c r="D16" s="31">
        <v>450</v>
      </c>
      <c r="E16" s="29">
        <v>4498.47</v>
      </c>
      <c r="F16" s="30">
        <v>2.8131848613642298</v>
      </c>
      <c r="G16" s="29">
        <v>9.3755000000000006</v>
      </c>
    </row>
    <row r="17" spans="1:9" x14ac:dyDescent="0.2">
      <c r="A17" s="27" t="s">
        <v>1034</v>
      </c>
      <c r="B17" s="27" t="s">
        <v>1035</v>
      </c>
      <c r="C17" s="27" t="s">
        <v>1036</v>
      </c>
      <c r="D17" s="31">
        <v>450</v>
      </c>
      <c r="E17" s="29">
        <v>3930.498</v>
      </c>
      <c r="F17" s="30">
        <v>2.4579951564026001</v>
      </c>
      <c r="G17" s="29">
        <v>21.123799999999999</v>
      </c>
    </row>
    <row r="18" spans="1:9" x14ac:dyDescent="0.2">
      <c r="A18" s="27" t="s">
        <v>1037</v>
      </c>
      <c r="B18" s="27" t="s">
        <v>1038</v>
      </c>
      <c r="C18" s="27" t="s">
        <v>1022</v>
      </c>
      <c r="D18" s="31">
        <v>475</v>
      </c>
      <c r="E18" s="29">
        <v>3808.1927999999998</v>
      </c>
      <c r="F18" s="30">
        <v>2.38150978757584</v>
      </c>
      <c r="G18" s="29">
        <v>9.6891999999999996</v>
      </c>
    </row>
    <row r="19" spans="1:9" x14ac:dyDescent="0.2">
      <c r="A19" s="27" t="s">
        <v>1039</v>
      </c>
      <c r="B19" s="27" t="s">
        <v>1040</v>
      </c>
      <c r="C19" s="27" t="s">
        <v>1041</v>
      </c>
      <c r="D19" s="31">
        <v>290</v>
      </c>
      <c r="E19" s="29">
        <v>3084.2051000000001</v>
      </c>
      <c r="F19" s="30">
        <v>1.92875335317616</v>
      </c>
      <c r="G19" s="29">
        <v>6.0118999999999998</v>
      </c>
    </row>
    <row r="20" spans="1:9" x14ac:dyDescent="0.2">
      <c r="A20" s="27" t="s">
        <v>1042</v>
      </c>
      <c r="B20" s="27" t="s">
        <v>1043</v>
      </c>
      <c r="C20" s="27" t="s">
        <v>1014</v>
      </c>
      <c r="D20" s="31">
        <v>300</v>
      </c>
      <c r="E20" s="29">
        <v>3041.5529999999999</v>
      </c>
      <c r="F20" s="30">
        <v>1.90208023053104</v>
      </c>
      <c r="G20" s="29">
        <v>8.7695000000000007</v>
      </c>
    </row>
    <row r="21" spans="1:9" x14ac:dyDescent="0.2">
      <c r="A21" s="27" t="s">
        <v>1044</v>
      </c>
      <c r="B21" s="27" t="s">
        <v>1045</v>
      </c>
      <c r="C21" s="27" t="s">
        <v>1014</v>
      </c>
      <c r="D21" s="31">
        <v>270</v>
      </c>
      <c r="E21" s="29">
        <v>2750.6547</v>
      </c>
      <c r="F21" s="30">
        <v>1.72016266883638</v>
      </c>
      <c r="G21" s="29">
        <v>9.0846999999999998</v>
      </c>
    </row>
    <row r="22" spans="1:9" x14ac:dyDescent="0.2">
      <c r="A22" s="27" t="s">
        <v>1046</v>
      </c>
      <c r="B22" s="27" t="s">
        <v>1047</v>
      </c>
      <c r="C22" s="27" t="s">
        <v>1019</v>
      </c>
      <c r="D22" s="31">
        <v>250</v>
      </c>
      <c r="E22" s="29">
        <v>2500.1125000000002</v>
      </c>
      <c r="F22" s="30">
        <v>1.5634823921705601</v>
      </c>
      <c r="G22" s="29">
        <v>7.4617000000000004</v>
      </c>
    </row>
    <row r="23" spans="1:9" x14ac:dyDescent="0.2">
      <c r="A23" s="27" t="s">
        <v>1048</v>
      </c>
      <c r="B23" s="27" t="s">
        <v>1035</v>
      </c>
      <c r="C23" s="27" t="s">
        <v>1036</v>
      </c>
      <c r="D23" s="31">
        <v>250</v>
      </c>
      <c r="E23" s="29">
        <v>2182.5124999999998</v>
      </c>
      <c r="F23" s="30">
        <v>1.3648665267831499</v>
      </c>
      <c r="G23" s="29">
        <v>21.172799999999999</v>
      </c>
    </row>
    <row r="24" spans="1:9" x14ac:dyDescent="0.2">
      <c r="A24" s="27" t="s">
        <v>1049</v>
      </c>
      <c r="B24" s="27" t="s">
        <v>1050</v>
      </c>
      <c r="C24" s="27" t="s">
        <v>30</v>
      </c>
      <c r="D24" s="31">
        <v>200</v>
      </c>
      <c r="E24" s="29">
        <v>2124.8960000000002</v>
      </c>
      <c r="F24" s="30">
        <v>1.3288351948936901</v>
      </c>
      <c r="G24" s="29">
        <v>9.4518000000000004</v>
      </c>
    </row>
    <row r="25" spans="1:9" x14ac:dyDescent="0.2">
      <c r="A25" s="27" t="s">
        <v>1051</v>
      </c>
      <c r="B25" s="27" t="s">
        <v>1052</v>
      </c>
      <c r="C25" s="27" t="s">
        <v>1031</v>
      </c>
      <c r="D25" s="31">
        <v>150</v>
      </c>
      <c r="E25" s="29">
        <v>2119.098</v>
      </c>
      <c r="F25" s="30">
        <v>1.3252093296937</v>
      </c>
      <c r="G25" s="29">
        <v>11.4499</v>
      </c>
    </row>
    <row r="26" spans="1:9" x14ac:dyDescent="0.2">
      <c r="A26" s="27" t="s">
        <v>892</v>
      </c>
      <c r="B26" s="27" t="s">
        <v>893</v>
      </c>
      <c r="C26" s="27" t="s">
        <v>894</v>
      </c>
      <c r="D26" s="31">
        <v>170</v>
      </c>
      <c r="E26" s="29">
        <v>1924.0107</v>
      </c>
      <c r="F26" s="30">
        <v>1.2032085963322601</v>
      </c>
      <c r="G26" s="29">
        <v>7.4999000000000002</v>
      </c>
    </row>
    <row r="27" spans="1:9" x14ac:dyDescent="0.2">
      <c r="A27" s="27" t="s">
        <v>1053</v>
      </c>
      <c r="B27" s="27" t="s">
        <v>1054</v>
      </c>
      <c r="C27" s="27" t="s">
        <v>1014</v>
      </c>
      <c r="D27" s="31">
        <v>160</v>
      </c>
      <c r="E27" s="29">
        <v>1613.9359999999999</v>
      </c>
      <c r="F27" s="30">
        <v>1.00929878879058</v>
      </c>
      <c r="G27" s="29">
        <v>8.2799999999999994</v>
      </c>
    </row>
    <row r="28" spans="1:9" x14ac:dyDescent="0.2">
      <c r="A28" s="27" t="s">
        <v>1055</v>
      </c>
      <c r="B28" s="27" t="s">
        <v>1056</v>
      </c>
      <c r="C28" s="27" t="s">
        <v>990</v>
      </c>
      <c r="D28" s="31">
        <v>140</v>
      </c>
      <c r="E28" s="29">
        <v>1408.2054000000001</v>
      </c>
      <c r="F28" s="30">
        <v>0.88064211008884496</v>
      </c>
      <c r="G28" s="29">
        <v>7.5979999999999999</v>
      </c>
    </row>
    <row r="29" spans="1:9" x14ac:dyDescent="0.2">
      <c r="A29" s="27" t="s">
        <v>1057</v>
      </c>
      <c r="B29" s="27" t="s">
        <v>1058</v>
      </c>
      <c r="C29" s="27" t="s">
        <v>30</v>
      </c>
      <c r="D29" s="31">
        <v>100</v>
      </c>
      <c r="E29" s="29">
        <v>1026.01</v>
      </c>
      <c r="F29" s="30">
        <v>0.64163055430142202</v>
      </c>
      <c r="G29" s="29">
        <v>8.3228000000000009</v>
      </c>
    </row>
    <row r="30" spans="1:9" x14ac:dyDescent="0.2">
      <c r="A30" s="27" t="s">
        <v>1059</v>
      </c>
      <c r="B30" s="27" t="s">
        <v>1060</v>
      </c>
      <c r="C30" s="27" t="s">
        <v>1022</v>
      </c>
      <c r="D30" s="31">
        <v>20</v>
      </c>
      <c r="E30" s="29">
        <v>202.32320000000001</v>
      </c>
      <c r="F30" s="30">
        <v>0.126525810629563</v>
      </c>
      <c r="G30" s="29">
        <v>4.7949999999999999</v>
      </c>
    </row>
    <row r="31" spans="1:9" x14ac:dyDescent="0.2">
      <c r="A31" s="27" t="s">
        <v>79</v>
      </c>
      <c r="B31" s="27" t="s">
        <v>78</v>
      </c>
      <c r="C31" s="27" t="s">
        <v>33</v>
      </c>
      <c r="D31" s="31">
        <v>5</v>
      </c>
      <c r="E31" s="29">
        <v>55.538849999999996</v>
      </c>
      <c r="F31" s="30">
        <v>3.4732042680640098E-2</v>
      </c>
      <c r="G31" s="29">
        <v>7</v>
      </c>
    </row>
    <row r="32" spans="1:9" x14ac:dyDescent="0.2">
      <c r="A32" s="26" t="s">
        <v>34</v>
      </c>
      <c r="B32" s="26"/>
      <c r="C32" s="26"/>
      <c r="D32" s="32"/>
      <c r="E32" s="33">
        <f>SUM(E6:E31)</f>
        <v>131884.73172400004</v>
      </c>
      <c r="F32" s="34">
        <f>SUM(F6:F31)</f>
        <v>82.476070915453519</v>
      </c>
      <c r="G32" s="33"/>
      <c r="H32" s="18"/>
      <c r="I32" s="18"/>
    </row>
    <row r="33" spans="1:9" x14ac:dyDescent="0.2">
      <c r="A33" s="27"/>
      <c r="B33" s="27"/>
      <c r="C33" s="27"/>
      <c r="D33" s="28"/>
      <c r="E33" s="29"/>
      <c r="F33" s="30"/>
      <c r="G33" s="29"/>
    </row>
    <row r="34" spans="1:9" x14ac:dyDescent="0.2">
      <c r="A34" s="26" t="s">
        <v>942</v>
      </c>
      <c r="B34" s="27"/>
      <c r="C34" s="27"/>
      <c r="D34" s="28"/>
      <c r="E34" s="29"/>
      <c r="F34" s="30"/>
      <c r="G34" s="29"/>
    </row>
    <row r="35" spans="1:9" x14ac:dyDescent="0.2">
      <c r="A35" s="27" t="s">
        <v>1061</v>
      </c>
      <c r="B35" s="27" t="s">
        <v>1062</v>
      </c>
      <c r="C35" s="27" t="s">
        <v>1063</v>
      </c>
      <c r="D35" s="31">
        <v>390</v>
      </c>
      <c r="E35" s="29">
        <v>4038.3681000000001</v>
      </c>
      <c r="F35" s="30">
        <v>2.52545332158184</v>
      </c>
      <c r="G35" s="29">
        <v>7.7549999999999999</v>
      </c>
    </row>
    <row r="36" spans="1:9" x14ac:dyDescent="0.2">
      <c r="A36" s="27" t="s">
        <v>1064</v>
      </c>
      <c r="B36" s="27" t="s">
        <v>1065</v>
      </c>
      <c r="C36" s="27" t="s">
        <v>1066</v>
      </c>
      <c r="D36" s="31">
        <v>440</v>
      </c>
      <c r="E36" s="29">
        <v>3911.63978</v>
      </c>
      <c r="F36" s="30">
        <v>2.4462018891325501</v>
      </c>
      <c r="G36" s="29">
        <v>11.6884</v>
      </c>
    </row>
    <row r="37" spans="1:9" x14ac:dyDescent="0.2">
      <c r="A37" s="27" t="s">
        <v>1067</v>
      </c>
      <c r="B37" s="27" t="s">
        <v>1068</v>
      </c>
      <c r="C37" s="27" t="s">
        <v>1069</v>
      </c>
      <c r="D37" s="31">
        <v>400</v>
      </c>
      <c r="E37" s="29">
        <v>3794.66</v>
      </c>
      <c r="F37" s="30">
        <v>2.3730468506012898</v>
      </c>
      <c r="G37" s="29">
        <v>12.09</v>
      </c>
    </row>
    <row r="38" spans="1:9" x14ac:dyDescent="0.2">
      <c r="A38" s="27" t="s">
        <v>1070</v>
      </c>
      <c r="B38" s="27" t="s">
        <v>1071</v>
      </c>
      <c r="C38" s="27" t="s">
        <v>1066</v>
      </c>
      <c r="D38" s="31">
        <v>450</v>
      </c>
      <c r="E38" s="29">
        <v>3787.8148849999998</v>
      </c>
      <c r="F38" s="30">
        <v>2.3687661565225699</v>
      </c>
      <c r="G38" s="29">
        <v>11.6854</v>
      </c>
    </row>
    <row r="39" spans="1:9" x14ac:dyDescent="0.2">
      <c r="A39" s="27" t="s">
        <v>1072</v>
      </c>
      <c r="B39" s="27" t="s">
        <v>1073</v>
      </c>
      <c r="C39" s="27" t="s">
        <v>1074</v>
      </c>
      <c r="D39" s="31">
        <v>400</v>
      </c>
      <c r="E39" s="29">
        <v>2873.48909</v>
      </c>
      <c r="F39" s="30">
        <v>1.7969789744698299</v>
      </c>
      <c r="G39" s="29">
        <v>11.33</v>
      </c>
    </row>
    <row r="40" spans="1:9" x14ac:dyDescent="0.2">
      <c r="A40" s="27" t="s">
        <v>1075</v>
      </c>
      <c r="B40" s="27" t="s">
        <v>1076</v>
      </c>
      <c r="C40" s="27" t="s">
        <v>1063</v>
      </c>
      <c r="D40" s="31">
        <v>100</v>
      </c>
      <c r="E40" s="29">
        <v>1035.78</v>
      </c>
      <c r="F40" s="30">
        <v>0.64774036854838302</v>
      </c>
      <c r="G40" s="29">
        <v>7.5347999999999997</v>
      </c>
    </row>
    <row r="41" spans="1:9" x14ac:dyDescent="0.2">
      <c r="A41" s="27" t="s">
        <v>1077</v>
      </c>
      <c r="B41" s="27" t="s">
        <v>1078</v>
      </c>
      <c r="C41" s="27" t="s">
        <v>1063</v>
      </c>
      <c r="D41" s="31">
        <v>10</v>
      </c>
      <c r="E41" s="29">
        <v>976.38939000000005</v>
      </c>
      <c r="F41" s="30">
        <v>0.61059957068617998</v>
      </c>
      <c r="G41" s="29">
        <v>7.7050000000000001</v>
      </c>
    </row>
    <row r="42" spans="1:9" x14ac:dyDescent="0.2">
      <c r="A42" s="27" t="s">
        <v>1079</v>
      </c>
      <c r="B42" s="27" t="s">
        <v>1080</v>
      </c>
      <c r="C42" s="27" t="s">
        <v>1066</v>
      </c>
      <c r="D42" s="31">
        <v>50</v>
      </c>
      <c r="E42" s="29">
        <v>434.97881000000001</v>
      </c>
      <c r="F42" s="30">
        <v>0.27202044324097502</v>
      </c>
      <c r="G42" s="29">
        <v>11.6884</v>
      </c>
    </row>
    <row r="43" spans="1:9" x14ac:dyDescent="0.2">
      <c r="A43" s="27" t="s">
        <v>1081</v>
      </c>
      <c r="B43" s="27" t="s">
        <v>1082</v>
      </c>
      <c r="C43" s="27" t="s">
        <v>1083</v>
      </c>
      <c r="D43" s="31">
        <v>600</v>
      </c>
      <c r="E43" s="29">
        <v>0</v>
      </c>
      <c r="F43" s="29">
        <v>0</v>
      </c>
      <c r="G43" s="29">
        <v>0</v>
      </c>
    </row>
    <row r="44" spans="1:9" x14ac:dyDescent="0.2">
      <c r="A44" s="27" t="s">
        <v>1084</v>
      </c>
      <c r="B44" s="27" t="s">
        <v>1085</v>
      </c>
      <c r="C44" s="27" t="s">
        <v>1083</v>
      </c>
      <c r="D44" s="31">
        <v>250</v>
      </c>
      <c r="E44" s="29">
        <v>0</v>
      </c>
      <c r="F44" s="29">
        <v>0</v>
      </c>
      <c r="G44" s="29">
        <v>0</v>
      </c>
    </row>
    <row r="45" spans="1:9" x14ac:dyDescent="0.2">
      <c r="A45" s="27" t="s">
        <v>1086</v>
      </c>
      <c r="B45" s="27" t="s">
        <v>1087</v>
      </c>
      <c r="C45" s="27" t="s">
        <v>1083</v>
      </c>
      <c r="D45" s="31">
        <v>250</v>
      </c>
      <c r="E45" s="29">
        <v>0</v>
      </c>
      <c r="F45" s="29">
        <v>0</v>
      </c>
      <c r="G45" s="29">
        <v>0</v>
      </c>
    </row>
    <row r="46" spans="1:9" x14ac:dyDescent="0.2">
      <c r="A46" s="26" t="s">
        <v>34</v>
      </c>
      <c r="B46" s="26"/>
      <c r="C46" s="26"/>
      <c r="D46" s="32"/>
      <c r="E46" s="33">
        <f>SUM(E34:E45)</f>
        <v>20853.120054999999</v>
      </c>
      <c r="F46" s="34">
        <f>SUM(F34:F45)</f>
        <v>13.040807574783619</v>
      </c>
      <c r="G46" s="33"/>
      <c r="H46" s="18"/>
      <c r="I46" s="18"/>
    </row>
    <row r="47" spans="1:9" x14ac:dyDescent="0.2">
      <c r="A47" s="27"/>
      <c r="B47" s="27"/>
      <c r="C47" s="27"/>
      <c r="D47" s="28"/>
      <c r="E47" s="29"/>
      <c r="F47" s="30"/>
      <c r="G47" s="29"/>
    </row>
    <row r="48" spans="1:9" x14ac:dyDescent="0.2">
      <c r="A48" s="26" t="s">
        <v>35</v>
      </c>
      <c r="B48" s="27"/>
      <c r="C48" s="27"/>
      <c r="D48" s="28"/>
      <c r="E48" s="29"/>
      <c r="F48" s="30"/>
      <c r="G48" s="29"/>
    </row>
    <row r="49" spans="1:9" x14ac:dyDescent="0.2">
      <c r="A49" s="27" t="s">
        <v>1088</v>
      </c>
      <c r="B49" s="27" t="s">
        <v>1089</v>
      </c>
      <c r="C49" s="27" t="s">
        <v>1090</v>
      </c>
      <c r="D49" s="31">
        <v>115177.83</v>
      </c>
      <c r="E49" s="29">
        <v>3860.4597869999998</v>
      </c>
      <c r="F49" s="30">
        <v>2.4141957222552999</v>
      </c>
      <c r="G49" s="29">
        <v>3.3814000000000002</v>
      </c>
    </row>
    <row r="50" spans="1:9" x14ac:dyDescent="0.2">
      <c r="A50" s="26" t="s">
        <v>34</v>
      </c>
      <c r="B50" s="26"/>
      <c r="C50" s="26"/>
      <c r="D50" s="32"/>
      <c r="E50" s="33">
        <f>SUM(E49:E49)</f>
        <v>3860.4597869999998</v>
      </c>
      <c r="F50" s="34">
        <f>SUM(F49:F49)</f>
        <v>2.4141957222552999</v>
      </c>
      <c r="G50" s="33"/>
    </row>
    <row r="51" spans="1:9" x14ac:dyDescent="0.2">
      <c r="A51" s="27"/>
      <c r="B51" s="27"/>
      <c r="C51" s="27"/>
      <c r="D51" s="28"/>
      <c r="E51" s="29"/>
      <c r="F51" s="30"/>
      <c r="G51" s="29"/>
    </row>
    <row r="52" spans="1:9" x14ac:dyDescent="0.2">
      <c r="A52" s="26" t="s">
        <v>36</v>
      </c>
      <c r="B52" s="26"/>
      <c r="C52" s="26"/>
      <c r="D52" s="32"/>
      <c r="E52" s="33">
        <f>E32+E46+E50</f>
        <v>156598.31156600005</v>
      </c>
      <c r="F52" s="33">
        <f>F32+F46+F50</f>
        <v>97.931074212492433</v>
      </c>
      <c r="G52" s="33"/>
      <c r="H52" s="18"/>
      <c r="I52" s="18"/>
    </row>
    <row r="53" spans="1:9" x14ac:dyDescent="0.2">
      <c r="A53" s="26"/>
      <c r="B53" s="26"/>
      <c r="C53" s="26"/>
      <c r="D53" s="32"/>
      <c r="E53" s="33"/>
      <c r="F53" s="34"/>
      <c r="G53" s="33"/>
      <c r="H53" s="18"/>
      <c r="I53" s="18"/>
    </row>
    <row r="54" spans="1:9" x14ac:dyDescent="0.2">
      <c r="A54" s="26" t="s">
        <v>38</v>
      </c>
      <c r="B54" s="26"/>
      <c r="C54" s="26"/>
      <c r="D54" s="32"/>
      <c r="E54" s="33">
        <f>E56-(E32+E46+E50)</f>
        <v>3308.3501603999466</v>
      </c>
      <c r="F54" s="33">
        <f>F56-(F32+F46+F50)</f>
        <v>2.0689257875075668</v>
      </c>
      <c r="G54" s="33"/>
      <c r="H54" s="18"/>
      <c r="I54" s="18"/>
    </row>
    <row r="55" spans="1:9" x14ac:dyDescent="0.2">
      <c r="A55" s="26"/>
      <c r="B55" s="26"/>
      <c r="C55" s="26"/>
      <c r="D55" s="32"/>
      <c r="E55" s="33"/>
      <c r="F55" s="34"/>
      <c r="G55" s="33"/>
      <c r="H55" s="18"/>
      <c r="I55" s="18"/>
    </row>
    <row r="56" spans="1:9" x14ac:dyDescent="0.2">
      <c r="A56" s="35" t="s">
        <v>37</v>
      </c>
      <c r="B56" s="35"/>
      <c r="C56" s="35"/>
      <c r="D56" s="36"/>
      <c r="E56" s="37">
        <v>159906.66172639999</v>
      </c>
      <c r="F56" s="38">
        <v>100</v>
      </c>
      <c r="G56" s="37"/>
      <c r="H56" s="18"/>
      <c r="I56" s="18"/>
    </row>
    <row r="58" spans="1:9" x14ac:dyDescent="0.2">
      <c r="A58" s="18" t="s">
        <v>39</v>
      </c>
    </row>
    <row r="59" spans="1:9" x14ac:dyDescent="0.2">
      <c r="A59" s="18" t="s">
        <v>1091</v>
      </c>
    </row>
    <row r="60" spans="1:9" x14ac:dyDescent="0.2">
      <c r="A60" s="68" t="s">
        <v>1434</v>
      </c>
    </row>
    <row r="62" spans="1:9" x14ac:dyDescent="0.2">
      <c r="A62" s="18" t="s">
        <v>40</v>
      </c>
    </row>
    <row r="63" spans="1:9" x14ac:dyDescent="0.2">
      <c r="A63" s="18" t="s">
        <v>41</v>
      </c>
    </row>
    <row r="64" spans="1:9" x14ac:dyDescent="0.2">
      <c r="A64" s="18" t="s">
        <v>42</v>
      </c>
      <c r="B64" s="18"/>
      <c r="C64" s="39" t="s">
        <v>44</v>
      </c>
      <c r="D64" s="19" t="s">
        <v>43</v>
      </c>
    </row>
    <row r="65" spans="1:5" x14ac:dyDescent="0.2">
      <c r="A65" s="9" t="s">
        <v>65</v>
      </c>
      <c r="C65" s="40">
        <v>65.096199999999996</v>
      </c>
      <c r="D65" s="40">
        <v>70.575800000000001</v>
      </c>
    </row>
    <row r="66" spans="1:5" x14ac:dyDescent="0.2">
      <c r="A66" s="9" t="s">
        <v>1003</v>
      </c>
      <c r="C66" s="40">
        <v>10.7597</v>
      </c>
      <c r="D66" s="40">
        <v>11.6654</v>
      </c>
    </row>
    <row r="67" spans="1:5" x14ac:dyDescent="0.2">
      <c r="A67" s="9" t="s">
        <v>66</v>
      </c>
      <c r="C67" s="40">
        <v>69.338499999999996</v>
      </c>
      <c r="D67" s="40">
        <v>75.443899999999999</v>
      </c>
    </row>
    <row r="68" spans="1:5" x14ac:dyDescent="0.2">
      <c r="A68" s="9" t="s">
        <v>1004</v>
      </c>
      <c r="C68" s="40">
        <v>11.6868</v>
      </c>
      <c r="D68" s="40">
        <v>12.7158</v>
      </c>
    </row>
    <row r="69" spans="1:5" x14ac:dyDescent="0.2">
      <c r="C69" s="40"/>
      <c r="D69" s="40"/>
    </row>
    <row r="70" spans="1:5" x14ac:dyDescent="0.2">
      <c r="A70" s="9" t="s">
        <v>782</v>
      </c>
      <c r="C70" s="40"/>
      <c r="D70" s="40"/>
    </row>
    <row r="72" spans="1:5" x14ac:dyDescent="0.2">
      <c r="A72" s="18" t="s">
        <v>1560</v>
      </c>
      <c r="D72" s="41" t="s">
        <v>45</v>
      </c>
    </row>
    <row r="74" spans="1:5" x14ac:dyDescent="0.2">
      <c r="A74" s="18" t="s">
        <v>783</v>
      </c>
      <c r="D74" s="42">
        <v>2.4424818627945202</v>
      </c>
      <c r="E74" s="13" t="s">
        <v>46</v>
      </c>
    </row>
    <row r="76" spans="1:5" x14ac:dyDescent="0.2">
      <c r="A76" s="18" t="s">
        <v>717</v>
      </c>
      <c r="D76" s="41" t="s">
        <v>45</v>
      </c>
    </row>
    <row r="77" spans="1:5" x14ac:dyDescent="0.2">
      <c r="A77" s="9" t="s">
        <v>712</v>
      </c>
    </row>
    <row r="78" spans="1:5" x14ac:dyDescent="0.2">
      <c r="A78" s="50" t="s">
        <v>713</v>
      </c>
    </row>
    <row r="80" spans="1:5" x14ac:dyDescent="0.2">
      <c r="A80" s="18" t="s">
        <v>1438</v>
      </c>
    </row>
    <row r="82" spans="1:7" x14ac:dyDescent="0.2">
      <c r="A82" s="9" t="s">
        <v>1442</v>
      </c>
    </row>
    <row r="84" spans="1:7" ht="51" x14ac:dyDescent="0.2">
      <c r="A84" s="78" t="s">
        <v>2</v>
      </c>
      <c r="B84" s="79" t="s">
        <v>1457</v>
      </c>
      <c r="C84" s="79" t="s">
        <v>1443</v>
      </c>
      <c r="D84" s="79" t="s">
        <v>1444</v>
      </c>
      <c r="E84" s="79" t="s">
        <v>1458</v>
      </c>
    </row>
    <row r="85" spans="1:7" x14ac:dyDescent="0.2">
      <c r="A85" s="80" t="s">
        <v>1450</v>
      </c>
      <c r="B85" s="80" t="s">
        <v>1451</v>
      </c>
      <c r="C85" s="81">
        <v>0</v>
      </c>
      <c r="D85" s="82">
        <v>0</v>
      </c>
      <c r="E85" s="81">
        <v>1804.072062</v>
      </c>
    </row>
    <row r="86" spans="1:7" x14ac:dyDescent="0.2">
      <c r="A86" s="80" t="s">
        <v>1452</v>
      </c>
      <c r="B86" s="80" t="s">
        <v>1525</v>
      </c>
      <c r="C86" s="81">
        <v>0</v>
      </c>
      <c r="D86" s="82">
        <v>0</v>
      </c>
      <c r="E86" s="81">
        <v>822.32017803169401</v>
      </c>
    </row>
    <row r="87" spans="1:7" x14ac:dyDescent="0.2">
      <c r="A87" s="80" t="s">
        <v>1453</v>
      </c>
      <c r="B87" s="80" t="s">
        <v>1526</v>
      </c>
      <c r="C87" s="81">
        <v>0</v>
      </c>
      <c r="D87" s="82">
        <v>0</v>
      </c>
      <c r="E87" s="81">
        <v>1270.2519809229509</v>
      </c>
    </row>
    <row r="88" spans="1:7" x14ac:dyDescent="0.2">
      <c r="A88" s="80" t="s">
        <v>1454</v>
      </c>
      <c r="B88" s="80" t="s">
        <v>1455</v>
      </c>
      <c r="C88" s="81">
        <v>0</v>
      </c>
      <c r="D88" s="82">
        <v>0</v>
      </c>
      <c r="E88" s="81">
        <v>1786.4874092000002</v>
      </c>
    </row>
    <row r="89" spans="1:7" x14ac:dyDescent="0.2">
      <c r="A89" s="80" t="s">
        <v>1527</v>
      </c>
      <c r="B89" s="80" t="s">
        <v>1528</v>
      </c>
      <c r="C89" s="81">
        <v>0</v>
      </c>
      <c r="D89" s="82">
        <v>0</v>
      </c>
      <c r="E89" s="81">
        <v>3208.3616040378047</v>
      </c>
    </row>
    <row r="91" spans="1:7" x14ac:dyDescent="0.2">
      <c r="A91" s="65" t="s">
        <v>1456</v>
      </c>
      <c r="B91" s="65"/>
      <c r="C91" s="65"/>
      <c r="D91" s="66"/>
      <c r="E91" s="69"/>
    </row>
    <row r="92" spans="1:7" x14ac:dyDescent="0.2">
      <c r="A92" s="65" t="s">
        <v>1441</v>
      </c>
      <c r="B92" s="65"/>
      <c r="C92" s="65"/>
      <c r="D92" s="66"/>
      <c r="E92" s="69"/>
    </row>
    <row r="94" spans="1:7" ht="25.5" customHeight="1" x14ac:dyDescent="0.2">
      <c r="A94" s="100" t="s">
        <v>1519</v>
      </c>
      <c r="B94" s="100"/>
      <c r="C94" s="100"/>
      <c r="D94" s="100"/>
      <c r="E94" s="100"/>
      <c r="F94" s="100"/>
      <c r="G94" s="100"/>
    </row>
    <row r="96" spans="1:7" ht="49.5" customHeight="1" x14ac:dyDescent="0.2">
      <c r="A96" s="101" t="s">
        <v>1520</v>
      </c>
      <c r="B96" s="101"/>
      <c r="C96" s="101"/>
      <c r="D96" s="101"/>
      <c r="E96" s="101"/>
      <c r="F96" s="101"/>
      <c r="G96" s="101"/>
    </row>
    <row r="98" spans="1:7" ht="40.5" customHeight="1" x14ac:dyDescent="0.2">
      <c r="A98" s="101" t="s">
        <v>1521</v>
      </c>
      <c r="B98" s="101"/>
      <c r="C98" s="101"/>
      <c r="D98" s="101"/>
      <c r="E98" s="101"/>
      <c r="F98" s="101"/>
      <c r="G98" s="101"/>
    </row>
    <row r="99" spans="1:7" x14ac:dyDescent="0.2">
      <c r="A99" s="50" t="s">
        <v>1093</v>
      </c>
      <c r="B99" s="57"/>
      <c r="C99" s="57"/>
      <c r="D99" s="57"/>
      <c r="E99" s="57"/>
      <c r="F99" s="57"/>
      <c r="G99" s="57"/>
    </row>
    <row r="101" spans="1:7" ht="25.5" customHeight="1" x14ac:dyDescent="0.2">
      <c r="A101" s="102" t="s">
        <v>1227</v>
      </c>
      <c r="B101" s="102"/>
      <c r="C101" s="102"/>
      <c r="D101" s="102"/>
      <c r="E101" s="102"/>
      <c r="F101" s="102"/>
      <c r="G101" s="102"/>
    </row>
    <row r="103" spans="1:7" ht="14.4" x14ac:dyDescent="0.2">
      <c r="A103" s="90" t="s">
        <v>1228</v>
      </c>
      <c r="B103" s="91"/>
      <c r="C103" s="91"/>
      <c r="D103" s="91"/>
      <c r="E103" s="91"/>
      <c r="F103" s="91"/>
      <c r="G103" s="91"/>
    </row>
    <row r="104" spans="1:7" x14ac:dyDescent="0.2">
      <c r="A104" s="50" t="s">
        <v>47</v>
      </c>
    </row>
    <row r="106" spans="1:7" x14ac:dyDescent="0.2">
      <c r="A106" s="18" t="s">
        <v>1565</v>
      </c>
    </row>
    <row r="108" spans="1:7" s="1" customFormat="1" ht="13.8" x14ac:dyDescent="0.2">
      <c r="A108" s="92" t="s">
        <v>1096</v>
      </c>
      <c r="B108" s="93"/>
      <c r="C108" s="93"/>
      <c r="D108" s="93"/>
      <c r="E108" s="93"/>
      <c r="F108" s="93"/>
      <c r="G108" s="93"/>
    </row>
    <row r="109" spans="1:7" x14ac:dyDescent="0.2">
      <c r="A109" s="18" t="s">
        <v>7</v>
      </c>
    </row>
    <row r="110" spans="1:7" s="1" customFormat="1" ht="17.55" customHeight="1" x14ac:dyDescent="0.2">
      <c r="A110" s="8" t="s">
        <v>2</v>
      </c>
      <c r="B110" s="8" t="s">
        <v>0</v>
      </c>
      <c r="C110" s="17" t="s">
        <v>727</v>
      </c>
      <c r="D110" s="16" t="s">
        <v>1</v>
      </c>
      <c r="E110" s="15" t="s">
        <v>3</v>
      </c>
      <c r="F110" s="15" t="s">
        <v>4</v>
      </c>
      <c r="G110" s="15" t="s">
        <v>6</v>
      </c>
    </row>
    <row r="111" spans="1:7" x14ac:dyDescent="0.2">
      <c r="A111" s="21" t="s">
        <v>26</v>
      </c>
      <c r="B111" s="22"/>
      <c r="C111" s="22"/>
      <c r="D111" s="23"/>
      <c r="E111" s="24"/>
      <c r="F111" s="25"/>
      <c r="G111" s="24"/>
    </row>
    <row r="112" spans="1:7" x14ac:dyDescent="0.2">
      <c r="A112" s="26" t="s">
        <v>27</v>
      </c>
      <c r="B112" s="27"/>
      <c r="C112" s="27"/>
      <c r="D112" s="28"/>
      <c r="E112" s="29"/>
      <c r="F112" s="30"/>
      <c r="G112" s="29"/>
    </row>
    <row r="113" spans="1:9" x14ac:dyDescent="0.2">
      <c r="A113" s="27" t="s">
        <v>1097</v>
      </c>
      <c r="B113" s="27" t="s">
        <v>1098</v>
      </c>
      <c r="C113" s="27" t="s">
        <v>1099</v>
      </c>
      <c r="D113" s="31">
        <v>940</v>
      </c>
      <c r="E113" s="29">
        <v>0</v>
      </c>
      <c r="F113" s="30">
        <v>100</v>
      </c>
      <c r="G113" s="29">
        <v>0</v>
      </c>
    </row>
    <row r="114" spans="1:9" x14ac:dyDescent="0.2">
      <c r="A114" s="26" t="s">
        <v>34</v>
      </c>
      <c r="B114" s="26"/>
      <c r="C114" s="26"/>
      <c r="D114" s="32"/>
      <c r="E114" s="33">
        <f>SUM(E112:E113)</f>
        <v>0</v>
      </c>
      <c r="F114" s="34">
        <f>SUM(F112:F113)</f>
        <v>100</v>
      </c>
      <c r="G114" s="33"/>
      <c r="H114" s="18"/>
      <c r="I114" s="18"/>
    </row>
    <row r="115" spans="1:9" x14ac:dyDescent="0.2">
      <c r="A115" s="27"/>
      <c r="B115" s="27"/>
      <c r="C115" s="27"/>
      <c r="D115" s="28"/>
      <c r="E115" s="29"/>
      <c r="F115" s="30"/>
      <c r="G115" s="29"/>
    </row>
    <row r="116" spans="1:9" x14ac:dyDescent="0.2">
      <c r="A116" s="26" t="s">
        <v>36</v>
      </c>
      <c r="B116" s="26"/>
      <c r="C116" s="26"/>
      <c r="D116" s="32"/>
      <c r="E116" s="33">
        <f>E114</f>
        <v>0</v>
      </c>
      <c r="F116" s="34">
        <f>F114</f>
        <v>100</v>
      </c>
      <c r="G116" s="33"/>
      <c r="H116" s="18"/>
      <c r="I116" s="18"/>
    </row>
    <row r="117" spans="1:9" x14ac:dyDescent="0.2">
      <c r="A117" s="26"/>
      <c r="B117" s="26"/>
      <c r="C117" s="26"/>
      <c r="D117" s="32"/>
      <c r="E117" s="33"/>
      <c r="F117" s="34"/>
      <c r="G117" s="33"/>
      <c r="H117" s="18"/>
      <c r="I117" s="18"/>
    </row>
    <row r="118" spans="1:9" x14ac:dyDescent="0.2">
      <c r="A118" s="26" t="s">
        <v>38</v>
      </c>
      <c r="B118" s="26"/>
      <c r="C118" s="26"/>
      <c r="D118" s="32"/>
      <c r="E118" s="33">
        <f>E120-(E114)</f>
        <v>3.9999999999999998E-7</v>
      </c>
      <c r="F118" s="34">
        <v>0</v>
      </c>
      <c r="G118" s="33"/>
      <c r="H118" s="18"/>
      <c r="I118" s="18"/>
    </row>
    <row r="119" spans="1:9" x14ac:dyDescent="0.2">
      <c r="A119" s="26"/>
      <c r="B119" s="26"/>
      <c r="C119" s="26"/>
      <c r="D119" s="32"/>
      <c r="E119" s="33"/>
      <c r="F119" s="34"/>
      <c r="G119" s="33"/>
      <c r="H119" s="18"/>
      <c r="I119" s="18"/>
    </row>
    <row r="120" spans="1:9" x14ac:dyDescent="0.2">
      <c r="A120" s="35" t="s">
        <v>37</v>
      </c>
      <c r="B120" s="35"/>
      <c r="C120" s="35"/>
      <c r="D120" s="36"/>
      <c r="E120" s="37">
        <v>3.9999999999999998E-7</v>
      </c>
      <c r="F120" s="38">
        <v>100</v>
      </c>
      <c r="G120" s="37"/>
      <c r="H120" s="18"/>
      <c r="I120" s="18"/>
    </row>
    <row r="122" spans="1:9" x14ac:dyDescent="0.2">
      <c r="A122" s="18" t="s">
        <v>39</v>
      </c>
    </row>
    <row r="123" spans="1:9" x14ac:dyDescent="0.2">
      <c r="A123" s="18" t="s">
        <v>1091</v>
      </c>
    </row>
    <row r="124" spans="1:9" x14ac:dyDescent="0.2">
      <c r="A124" s="18" t="s">
        <v>1100</v>
      </c>
    </row>
    <row r="125" spans="1:9" x14ac:dyDescent="0.2">
      <c r="A125" s="18"/>
    </row>
    <row r="126" spans="1:9" x14ac:dyDescent="0.2">
      <c r="A126" s="18" t="s">
        <v>40</v>
      </c>
    </row>
    <row r="127" spans="1:9" x14ac:dyDescent="0.2">
      <c r="A127" s="18" t="s">
        <v>41</v>
      </c>
    </row>
    <row r="128" spans="1:9" x14ac:dyDescent="0.2">
      <c r="A128" s="18" t="s">
        <v>42</v>
      </c>
      <c r="B128" s="18"/>
      <c r="C128" s="39" t="s">
        <v>44</v>
      </c>
      <c r="D128" s="19" t="s">
        <v>43</v>
      </c>
    </row>
    <row r="129" spans="1:7" x14ac:dyDescent="0.2">
      <c r="A129" s="9" t="s">
        <v>65</v>
      </c>
      <c r="C129" s="40">
        <v>0</v>
      </c>
      <c r="D129" s="40">
        <v>0</v>
      </c>
    </row>
    <row r="130" spans="1:7" x14ac:dyDescent="0.2">
      <c r="A130" s="9" t="s">
        <v>1003</v>
      </c>
      <c r="C130" s="40">
        <v>0</v>
      </c>
      <c r="D130" s="40">
        <v>0</v>
      </c>
    </row>
    <row r="131" spans="1:7" x14ac:dyDescent="0.2">
      <c r="A131" s="9" t="s">
        <v>66</v>
      </c>
      <c r="C131" s="40">
        <v>0</v>
      </c>
      <c r="D131" s="40">
        <v>0</v>
      </c>
    </row>
    <row r="132" spans="1:7" x14ac:dyDescent="0.2">
      <c r="A132" s="9" t="s">
        <v>1004</v>
      </c>
      <c r="C132" s="40">
        <v>0</v>
      </c>
      <c r="D132" s="40">
        <v>0</v>
      </c>
    </row>
    <row r="133" spans="1:7" x14ac:dyDescent="0.2">
      <c r="C133" s="40"/>
      <c r="D133" s="40"/>
    </row>
    <row r="134" spans="1:7" x14ac:dyDescent="0.2">
      <c r="A134" s="9" t="s">
        <v>782</v>
      </c>
      <c r="C134" s="40"/>
      <c r="D134" s="40"/>
    </row>
    <row r="136" spans="1:7" x14ac:dyDescent="0.2">
      <c r="A136" s="18" t="s">
        <v>1421</v>
      </c>
      <c r="D136" s="41" t="s">
        <v>45</v>
      </c>
    </row>
    <row r="137" spans="1:7" x14ac:dyDescent="0.2">
      <c r="A137" s="9" t="s">
        <v>712</v>
      </c>
    </row>
    <row r="138" spans="1:7" x14ac:dyDescent="0.2">
      <c r="A138" s="50" t="s">
        <v>713</v>
      </c>
    </row>
    <row r="140" spans="1:7" ht="15" customHeight="1" x14ac:dyDescent="0.2">
      <c r="A140" s="90" t="s">
        <v>1101</v>
      </c>
      <c r="B140" s="91"/>
      <c r="C140" s="91"/>
      <c r="D140" s="91"/>
      <c r="E140" s="91"/>
      <c r="F140" s="91"/>
      <c r="G140" s="91"/>
    </row>
    <row r="141" spans="1:7" x14ac:dyDescent="0.2">
      <c r="A141" s="50" t="s">
        <v>47</v>
      </c>
    </row>
    <row r="143" spans="1:7" s="1" customFormat="1" ht="13.8" x14ac:dyDescent="0.2">
      <c r="A143" s="92" t="s">
        <v>1102</v>
      </c>
      <c r="B143" s="93"/>
      <c r="C143" s="93"/>
      <c r="D143" s="93"/>
      <c r="E143" s="93"/>
      <c r="F143" s="93"/>
      <c r="G143" s="93"/>
    </row>
    <row r="144" spans="1:7" x14ac:dyDescent="0.2">
      <c r="A144" s="18" t="s">
        <v>7</v>
      </c>
    </row>
    <row r="145" spans="1:9" s="1" customFormat="1" ht="17.55" customHeight="1" x14ac:dyDescent="0.2">
      <c r="A145" s="8" t="s">
        <v>2</v>
      </c>
      <c r="B145" s="8" t="s">
        <v>0</v>
      </c>
      <c r="C145" s="17" t="s">
        <v>727</v>
      </c>
      <c r="D145" s="16" t="s">
        <v>1</v>
      </c>
      <c r="E145" s="15" t="s">
        <v>3</v>
      </c>
      <c r="F145" s="15" t="s">
        <v>4</v>
      </c>
      <c r="G145" s="15" t="s">
        <v>6</v>
      </c>
    </row>
    <row r="146" spans="1:9" x14ac:dyDescent="0.2">
      <c r="A146" s="21" t="s">
        <v>26</v>
      </c>
      <c r="B146" s="22"/>
      <c r="C146" s="22"/>
      <c r="D146" s="23"/>
      <c r="E146" s="24"/>
      <c r="F146" s="25"/>
      <c r="G146" s="24"/>
    </row>
    <row r="147" spans="1:9" x14ac:dyDescent="0.2">
      <c r="A147" s="26" t="s">
        <v>27</v>
      </c>
      <c r="B147" s="27"/>
      <c r="C147" s="27"/>
      <c r="D147" s="28"/>
      <c r="E147" s="29"/>
      <c r="F147" s="30"/>
      <c r="G147" s="29"/>
    </row>
    <row r="148" spans="1:9" ht="20.399999999999999" x14ac:dyDescent="0.2">
      <c r="A148" s="27" t="s">
        <v>1103</v>
      </c>
      <c r="B148" s="27" t="s">
        <v>1104</v>
      </c>
      <c r="C148" s="51" t="s">
        <v>1105</v>
      </c>
      <c r="D148" s="31">
        <v>682</v>
      </c>
      <c r="E148" s="29">
        <v>0</v>
      </c>
      <c r="F148" s="30">
        <v>100</v>
      </c>
      <c r="G148" s="29">
        <v>0</v>
      </c>
    </row>
    <row r="149" spans="1:9" x14ac:dyDescent="0.2">
      <c r="A149" s="26" t="s">
        <v>34</v>
      </c>
      <c r="B149" s="26"/>
      <c r="C149" s="26"/>
      <c r="D149" s="32"/>
      <c r="E149" s="33">
        <f>SUM(E147:E148)</f>
        <v>0</v>
      </c>
      <c r="F149" s="34">
        <f>SUM(F147:F148)</f>
        <v>100</v>
      </c>
      <c r="G149" s="33"/>
      <c r="H149" s="18"/>
      <c r="I149" s="18"/>
    </row>
    <row r="150" spans="1:9" x14ac:dyDescent="0.2">
      <c r="A150" s="27"/>
      <c r="B150" s="27"/>
      <c r="C150" s="27"/>
      <c r="D150" s="28"/>
      <c r="E150" s="29"/>
      <c r="F150" s="30"/>
      <c r="G150" s="29"/>
    </row>
    <row r="151" spans="1:9" x14ac:dyDescent="0.2">
      <c r="A151" s="26" t="s">
        <v>36</v>
      </c>
      <c r="B151" s="26"/>
      <c r="C151" s="26"/>
      <c r="D151" s="32"/>
      <c r="E151" s="33">
        <f>E149</f>
        <v>0</v>
      </c>
      <c r="F151" s="34">
        <f>F149</f>
        <v>100</v>
      </c>
      <c r="G151" s="33"/>
      <c r="H151" s="18"/>
      <c r="I151" s="18"/>
    </row>
    <row r="152" spans="1:9" x14ac:dyDescent="0.2">
      <c r="A152" s="26"/>
      <c r="B152" s="26"/>
      <c r="C152" s="26"/>
      <c r="D152" s="32"/>
      <c r="E152" s="33"/>
      <c r="F152" s="34"/>
      <c r="G152" s="33"/>
      <c r="H152" s="18"/>
      <c r="I152" s="18"/>
    </row>
    <row r="153" spans="1:9" x14ac:dyDescent="0.2">
      <c r="A153" s="26" t="s">
        <v>38</v>
      </c>
      <c r="B153" s="26"/>
      <c r="C153" s="26"/>
      <c r="D153" s="32"/>
      <c r="E153" s="33">
        <f>E155-(E149)</f>
        <v>3.9999999999999998E-7</v>
      </c>
      <c r="F153" s="34">
        <v>0</v>
      </c>
      <c r="G153" s="33"/>
      <c r="H153" s="18"/>
      <c r="I153" s="18"/>
    </row>
    <row r="154" spans="1:9" x14ac:dyDescent="0.2">
      <c r="A154" s="26"/>
      <c r="B154" s="26"/>
      <c r="C154" s="26"/>
      <c r="D154" s="32"/>
      <c r="E154" s="33"/>
      <c r="F154" s="34"/>
      <c r="G154" s="33"/>
      <c r="H154" s="18"/>
      <c r="I154" s="18"/>
    </row>
    <row r="155" spans="1:9" x14ac:dyDescent="0.2">
      <c r="A155" s="35" t="s">
        <v>37</v>
      </c>
      <c r="B155" s="35"/>
      <c r="C155" s="35"/>
      <c r="D155" s="36"/>
      <c r="E155" s="37">
        <v>3.9999999999999998E-7</v>
      </c>
      <c r="F155" s="38">
        <v>100</v>
      </c>
      <c r="G155" s="37"/>
      <c r="H155" s="18"/>
      <c r="I155" s="18"/>
    </row>
    <row r="157" spans="1:9" s="13" customFormat="1" x14ac:dyDescent="0.2">
      <c r="A157" s="18" t="s">
        <v>39</v>
      </c>
      <c r="B157" s="9"/>
      <c r="C157" s="9"/>
      <c r="D157" s="10"/>
      <c r="F157" s="14"/>
      <c r="H157" s="9"/>
      <c r="I157" s="9"/>
    </row>
    <row r="158" spans="1:9" s="13" customFormat="1" x14ac:dyDescent="0.2">
      <c r="A158" s="48" t="s">
        <v>1091</v>
      </c>
      <c r="B158" s="9"/>
      <c r="C158" s="9"/>
      <c r="D158" s="10"/>
      <c r="F158" s="14"/>
      <c r="H158" s="9"/>
      <c r="I158" s="9"/>
    </row>
    <row r="160" spans="1:9" s="13" customFormat="1" x14ac:dyDescent="0.2">
      <c r="A160" s="18" t="s">
        <v>40</v>
      </c>
      <c r="B160" s="9"/>
      <c r="C160" s="9"/>
      <c r="D160" s="10"/>
      <c r="F160" s="14"/>
      <c r="H160" s="9"/>
      <c r="I160" s="9"/>
    </row>
    <row r="161" spans="1:9" s="13" customFormat="1" x14ac:dyDescent="0.2">
      <c r="A161" s="18" t="s">
        <v>41</v>
      </c>
      <c r="B161" s="9"/>
      <c r="C161" s="9"/>
      <c r="D161" s="10"/>
      <c r="F161" s="14"/>
      <c r="H161" s="9"/>
      <c r="I161" s="9"/>
    </row>
    <row r="162" spans="1:9" s="13" customFormat="1" x14ac:dyDescent="0.2">
      <c r="A162" s="18" t="s">
        <v>42</v>
      </c>
      <c r="B162" s="18"/>
      <c r="C162" s="39" t="s">
        <v>44</v>
      </c>
      <c r="D162" s="19" t="s">
        <v>43</v>
      </c>
      <c r="F162" s="14"/>
      <c r="H162" s="9"/>
      <c r="I162" s="9"/>
    </row>
    <row r="163" spans="1:9" s="13" customFormat="1" x14ac:dyDescent="0.2">
      <c r="A163" s="9" t="s">
        <v>65</v>
      </c>
      <c r="B163" s="9"/>
      <c r="C163" s="40">
        <v>0</v>
      </c>
      <c r="D163" s="40">
        <v>0</v>
      </c>
      <c r="F163" s="14"/>
      <c r="H163" s="9"/>
      <c r="I163" s="9"/>
    </row>
    <row r="164" spans="1:9" s="13" customFormat="1" x14ac:dyDescent="0.2">
      <c r="A164" s="9" t="s">
        <v>1003</v>
      </c>
      <c r="B164" s="9"/>
      <c r="C164" s="40">
        <v>0</v>
      </c>
      <c r="D164" s="40">
        <v>0</v>
      </c>
      <c r="F164" s="14"/>
      <c r="H164" s="9"/>
      <c r="I164" s="9"/>
    </row>
    <row r="165" spans="1:9" s="13" customFormat="1" x14ac:dyDescent="0.2">
      <c r="A165" s="9" t="s">
        <v>66</v>
      </c>
      <c r="B165" s="9"/>
      <c r="C165" s="40">
        <v>0</v>
      </c>
      <c r="D165" s="40">
        <v>0</v>
      </c>
      <c r="F165" s="14"/>
      <c r="H165" s="9"/>
      <c r="I165" s="9"/>
    </row>
    <row r="166" spans="1:9" s="13" customFormat="1" x14ac:dyDescent="0.2">
      <c r="A166" s="9" t="s">
        <v>1004</v>
      </c>
      <c r="B166" s="9"/>
      <c r="C166" s="40">
        <v>0</v>
      </c>
      <c r="D166" s="40">
        <v>0</v>
      </c>
      <c r="F166" s="14"/>
      <c r="H166" s="9"/>
      <c r="I166" s="9"/>
    </row>
    <row r="168" spans="1:9" s="13" customFormat="1" x14ac:dyDescent="0.2">
      <c r="A168" s="9" t="s">
        <v>782</v>
      </c>
      <c r="B168" s="9"/>
      <c r="C168" s="9"/>
      <c r="D168" s="10"/>
      <c r="F168" s="14"/>
      <c r="H168" s="9"/>
      <c r="I168" s="9"/>
    </row>
    <row r="170" spans="1:9" s="13" customFormat="1" x14ac:dyDescent="0.2">
      <c r="A170" s="18" t="s">
        <v>1421</v>
      </c>
      <c r="B170" s="9"/>
      <c r="C170" s="9"/>
      <c r="D170" s="41" t="s">
        <v>45</v>
      </c>
      <c r="F170" s="14"/>
      <c r="H170" s="9"/>
      <c r="I170" s="9"/>
    </row>
    <row r="171" spans="1:9" s="13" customFormat="1" x14ac:dyDescent="0.2">
      <c r="A171" s="9" t="s">
        <v>712</v>
      </c>
      <c r="B171" s="9"/>
      <c r="C171" s="9"/>
      <c r="D171" s="10"/>
      <c r="F171" s="14"/>
      <c r="H171" s="9"/>
      <c r="I171" s="9"/>
    </row>
    <row r="172" spans="1:9" s="13" customFormat="1" x14ac:dyDescent="0.2">
      <c r="A172" s="50" t="s">
        <v>713</v>
      </c>
      <c r="B172" s="9"/>
      <c r="C172" s="9"/>
      <c r="D172" s="10"/>
      <c r="F172" s="14"/>
      <c r="H172" s="9"/>
      <c r="I172" s="9"/>
    </row>
    <row r="174" spans="1:9" ht="15" customHeight="1" x14ac:dyDescent="0.2">
      <c r="A174" s="90" t="s">
        <v>1101</v>
      </c>
      <c r="B174" s="91"/>
      <c r="C174" s="91"/>
      <c r="D174" s="91"/>
      <c r="E174" s="91"/>
      <c r="F174" s="91"/>
      <c r="G174" s="91"/>
    </row>
    <row r="175" spans="1:9" x14ac:dyDescent="0.2">
      <c r="A175" s="50" t="s">
        <v>47</v>
      </c>
    </row>
  </sheetData>
  <mergeCells count="10">
    <mergeCell ref="A108:G108"/>
    <mergeCell ref="A140:G140"/>
    <mergeCell ref="A143:G143"/>
    <mergeCell ref="A174:G174"/>
    <mergeCell ref="A1:G1"/>
    <mergeCell ref="A94:G94"/>
    <mergeCell ref="A96:G96"/>
    <mergeCell ref="A98:G98"/>
    <mergeCell ref="A101:G101"/>
    <mergeCell ref="A103:G103"/>
  </mergeCells>
  <conditionalFormatting sqref="F2:F3 F5:F42 F111:F112 F146:F147 F53 F55:F79 F46:F47 F102 F107 F109 F121:F135 F144 F156:F169 F176:F65565 F51 F93">
    <cfRule type="cellIs" dxfId="77" priority="22" stopIfTrue="1" operator="between">
      <formula>0.009</formula>
      <formula>-0.009</formula>
    </cfRule>
  </conditionalFormatting>
  <conditionalFormatting sqref="F95 F97 F100">
    <cfRule type="cellIs" dxfId="76" priority="21" stopIfTrue="1" operator="between">
      <formula>0.009</formula>
      <formula>-0.009</formula>
    </cfRule>
  </conditionalFormatting>
  <conditionalFormatting sqref="F105:F106">
    <cfRule type="cellIs" dxfId="75" priority="19" stopIfTrue="1" operator="between">
      <formula>0.009</formula>
      <formula>-0.009</formula>
    </cfRule>
  </conditionalFormatting>
  <conditionalFormatting sqref="F104">
    <cfRule type="cellIs" dxfId="74" priority="18" stopIfTrue="1" operator="between">
      <formula>0.009</formula>
      <formula>-0.009</formula>
    </cfRule>
  </conditionalFormatting>
  <conditionalFormatting sqref="F142">
    <cfRule type="cellIs" dxfId="73" priority="16" stopIfTrue="1" operator="between">
      <formula>0.009</formula>
      <formula>-0.009</formula>
    </cfRule>
  </conditionalFormatting>
  <conditionalFormatting sqref="F136:F139">
    <cfRule type="cellIs" dxfId="72" priority="17" stopIfTrue="1" operator="between">
      <formula>0.009</formula>
      <formula>-0.009</formula>
    </cfRule>
  </conditionalFormatting>
  <conditionalFormatting sqref="F141">
    <cfRule type="cellIs" dxfId="71" priority="14" stopIfTrue="1" operator="between">
      <formula>0.009</formula>
      <formula>-0.009</formula>
    </cfRule>
  </conditionalFormatting>
  <conditionalFormatting sqref="F149:F150">
    <cfRule type="cellIs" dxfId="70" priority="13" stopIfTrue="1" operator="between">
      <formula>0.009</formula>
      <formula>-0.009</formula>
    </cfRule>
  </conditionalFormatting>
  <conditionalFormatting sqref="F148">
    <cfRule type="cellIs" dxfId="69" priority="12" stopIfTrue="1" operator="between">
      <formula>0.009</formula>
      <formula>-0.009</formula>
    </cfRule>
  </conditionalFormatting>
  <conditionalFormatting sqref="F151:F152 F154:F155">
    <cfRule type="cellIs" dxfId="68" priority="11" stopIfTrue="1" operator="between">
      <formula>0.009</formula>
      <formula>-0.009</formula>
    </cfRule>
  </conditionalFormatting>
  <conditionalFormatting sqref="F170:F173">
    <cfRule type="cellIs" dxfId="67" priority="10" stopIfTrue="1" operator="between">
      <formula>0.009</formula>
      <formula>-0.009</formula>
    </cfRule>
  </conditionalFormatting>
  <conditionalFormatting sqref="F175">
    <cfRule type="cellIs" dxfId="66" priority="7" stopIfTrue="1" operator="between">
      <formula>0.009</formula>
      <formula>-0.009</formula>
    </cfRule>
  </conditionalFormatting>
  <conditionalFormatting sqref="F116:F117 F119:F120">
    <cfRule type="cellIs" dxfId="65" priority="4" stopIfTrue="1" operator="between">
      <formula>0.009</formula>
      <formula>-0.009</formula>
    </cfRule>
  </conditionalFormatting>
  <conditionalFormatting sqref="F114:F115">
    <cfRule type="cellIs" dxfId="64" priority="6" stopIfTrue="1" operator="between">
      <formula>0.009</formula>
      <formula>-0.009</formula>
    </cfRule>
  </conditionalFormatting>
  <conditionalFormatting sqref="F113">
    <cfRule type="cellIs" dxfId="63" priority="5" stopIfTrue="1" operator="between">
      <formula>0.009</formula>
      <formula>-0.009</formula>
    </cfRule>
  </conditionalFormatting>
  <conditionalFormatting sqref="F48:F50">
    <cfRule type="cellIs" dxfId="62" priority="3" stopIfTrue="1" operator="between">
      <formula>0.009</formula>
      <formula>-0.009</formula>
    </cfRule>
  </conditionalFormatting>
  <conditionalFormatting sqref="F84:F89">
    <cfRule type="cellIs" dxfId="61" priority="2" stopIfTrue="1" operator="between">
      <formula>0.009</formula>
      <formula>-0.009</formula>
    </cfRule>
  </conditionalFormatting>
  <conditionalFormatting sqref="F80:F83 F90:F92">
    <cfRule type="cellIs" dxfId="60" priority="1" stopIfTrue="1" operator="between">
      <formula>0.009</formula>
      <formula>-0.009</formula>
    </cfRule>
  </conditionalFormatting>
  <hyperlinks>
    <hyperlink ref="A78" r:id="rId1" xr:uid="{00000000-0004-0000-3800-000000000000}"/>
    <hyperlink ref="A99" r:id="rId2" xr:uid="{00000000-0004-0000-3800-000001000000}"/>
    <hyperlink ref="A104" r:id="rId3" xr:uid="{00000000-0004-0000-3800-000002000000}"/>
    <hyperlink ref="A138" r:id="rId4" xr:uid="{00000000-0004-0000-3800-000003000000}"/>
    <hyperlink ref="A141" r:id="rId5" xr:uid="{00000000-0004-0000-3800-000004000000}"/>
    <hyperlink ref="A172" r:id="rId6" xr:uid="{00000000-0004-0000-3800-000005000000}"/>
    <hyperlink ref="A175" r:id="rId7" xr:uid="{00000000-0004-0000-3800-000006000000}"/>
  </hyperlinks>
  <pageMargins left="0.7" right="0.7" top="0.75" bottom="0.75" header="0.3" footer="0.3"/>
  <pageSetup paperSize="9" scale="46" orientation="portrait" r:id="rId8"/>
  <headerFooter>
    <oddFooter>&amp;R&amp;1#&amp;"Calibri"&amp;10&amp;KFF0000|PUBLIC|</oddFooter>
    <evenFooter>&amp;LPUBLIC</evenFooter>
    <firstFooter>&amp;LPUBLIC</firstFooter>
  </headerFooter>
  <rowBreaks count="1" manualBreakCount="1">
    <brk id="107" max="6" man="1"/>
  </rowBreaks>
  <colBreaks count="1" manualBreakCount="1">
    <brk id="7" max="1048575" man="1"/>
  </colBreak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I128"/>
  <sheetViews>
    <sheetView view="pageBreakPreview" zoomScaleNormal="100" zoomScaleSheetLayoutView="100" workbookViewId="0">
      <selection sqref="A1:G1"/>
    </sheetView>
  </sheetViews>
  <sheetFormatPr defaultColWidth="9.21875" defaultRowHeight="10.199999999999999" x14ac:dyDescent="0.2"/>
  <cols>
    <col min="1" max="1" width="38.77734375" style="9" bestFit="1" customWidth="1"/>
    <col min="2" max="2" width="62" style="9" bestFit="1" customWidth="1"/>
    <col min="3" max="3" width="15.44140625" style="9" bestFit="1" customWidth="1"/>
    <col min="4" max="4" width="15.44140625" style="10" bestFit="1" customWidth="1"/>
    <col min="5" max="5" width="23" style="13" bestFit="1" customWidth="1"/>
    <col min="6" max="6" width="13.5546875" style="14" bestFit="1" customWidth="1"/>
    <col min="7" max="7" width="14.21875" style="13" customWidth="1"/>
    <col min="8" max="16384" width="9.21875" style="9"/>
  </cols>
  <sheetData>
    <row r="1" spans="1:7" s="1" customFormat="1" ht="13.8" x14ac:dyDescent="0.2">
      <c r="A1" s="92" t="s">
        <v>1554</v>
      </c>
      <c r="B1" s="93"/>
      <c r="C1" s="93"/>
      <c r="D1" s="93"/>
      <c r="E1" s="93"/>
      <c r="F1" s="93"/>
      <c r="G1" s="93"/>
    </row>
    <row r="2" spans="1:7" s="1" customFormat="1" ht="12" x14ac:dyDescent="0.25">
      <c r="A2" s="56" t="s">
        <v>1011</v>
      </c>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727</v>
      </c>
      <c r="D4" s="16" t="s">
        <v>1</v>
      </c>
      <c r="E4" s="15" t="s">
        <v>3</v>
      </c>
      <c r="F4" s="15" t="s">
        <v>4</v>
      </c>
      <c r="G4" s="15" t="s">
        <v>6</v>
      </c>
    </row>
    <row r="5" spans="1:7" x14ac:dyDescent="0.2">
      <c r="A5" s="21" t="s">
        <v>26</v>
      </c>
      <c r="B5" s="22"/>
      <c r="C5" s="22"/>
      <c r="D5" s="23"/>
      <c r="E5" s="24"/>
      <c r="F5" s="25"/>
      <c r="G5" s="24"/>
    </row>
    <row r="6" spans="1:7" x14ac:dyDescent="0.2">
      <c r="A6" s="26" t="s">
        <v>27</v>
      </c>
      <c r="B6" s="27"/>
      <c r="C6" s="27"/>
      <c r="D6" s="28"/>
      <c r="E6" s="29"/>
      <c r="F6" s="30"/>
      <c r="G6" s="29"/>
    </row>
    <row r="7" spans="1:7" x14ac:dyDescent="0.2">
      <c r="A7" s="27" t="s">
        <v>1106</v>
      </c>
      <c r="B7" s="27" t="s">
        <v>1107</v>
      </c>
      <c r="C7" s="27" t="s">
        <v>990</v>
      </c>
      <c r="D7" s="31">
        <v>1283</v>
      </c>
      <c r="E7" s="29">
        <v>13006.64344</v>
      </c>
      <c r="F7" s="30">
        <v>13.126421806767199</v>
      </c>
      <c r="G7" s="29">
        <v>10.242100000000001</v>
      </c>
    </row>
    <row r="8" spans="1:7" x14ac:dyDescent="0.2">
      <c r="A8" s="27" t="s">
        <v>1108</v>
      </c>
      <c r="B8" s="27" t="s">
        <v>1109</v>
      </c>
      <c r="C8" s="27" t="s">
        <v>1110</v>
      </c>
      <c r="D8" s="31">
        <v>1000</v>
      </c>
      <c r="E8" s="29">
        <v>10004.82</v>
      </c>
      <c r="F8" s="30">
        <v>10.0969545314745</v>
      </c>
      <c r="G8" s="29">
        <v>8.5496999999999996</v>
      </c>
    </row>
    <row r="9" spans="1:7" x14ac:dyDescent="0.2">
      <c r="A9" s="27" t="s">
        <v>1111</v>
      </c>
      <c r="B9" s="27" t="s">
        <v>1112</v>
      </c>
      <c r="C9" s="27" t="s">
        <v>1036</v>
      </c>
      <c r="D9" s="31">
        <v>2000</v>
      </c>
      <c r="E9" s="29">
        <v>9888.24</v>
      </c>
      <c r="F9" s="30">
        <v>9.9793009445754404</v>
      </c>
      <c r="G9" s="29">
        <v>18.151800000000001</v>
      </c>
    </row>
    <row r="10" spans="1:7" x14ac:dyDescent="0.2">
      <c r="A10" s="27" t="s">
        <v>1039</v>
      </c>
      <c r="B10" s="27" t="s">
        <v>1040</v>
      </c>
      <c r="C10" s="27" t="s">
        <v>1041</v>
      </c>
      <c r="D10" s="31">
        <v>780</v>
      </c>
      <c r="E10" s="29">
        <v>8295.4482000000007</v>
      </c>
      <c r="F10" s="30">
        <v>8.3718411019490393</v>
      </c>
      <c r="G10" s="29">
        <v>6.0118999999999998</v>
      </c>
    </row>
    <row r="11" spans="1:7" x14ac:dyDescent="0.2">
      <c r="A11" s="27" t="s">
        <v>1113</v>
      </c>
      <c r="B11" s="27" t="s">
        <v>1114</v>
      </c>
      <c r="C11" s="27" t="s">
        <v>1069</v>
      </c>
      <c r="D11" s="31">
        <v>650</v>
      </c>
      <c r="E11" s="29">
        <v>6490.64</v>
      </c>
      <c r="F11" s="30">
        <v>6.5504123972414803</v>
      </c>
      <c r="G11" s="29">
        <v>12.5343</v>
      </c>
    </row>
    <row r="12" spans="1:7" x14ac:dyDescent="0.2">
      <c r="A12" s="27" t="s">
        <v>1115</v>
      </c>
      <c r="B12" s="27" t="s">
        <v>1116</v>
      </c>
      <c r="C12" s="27" t="s">
        <v>911</v>
      </c>
      <c r="D12" s="31">
        <v>500</v>
      </c>
      <c r="E12" s="29">
        <v>5127.6499999999996</v>
      </c>
      <c r="F12" s="30">
        <v>5.1748706027010103</v>
      </c>
      <c r="G12" s="29">
        <v>9.8549000000000007</v>
      </c>
    </row>
    <row r="13" spans="1:7" x14ac:dyDescent="0.2">
      <c r="A13" s="27" t="s">
        <v>836</v>
      </c>
      <c r="B13" s="27" t="s">
        <v>837</v>
      </c>
      <c r="C13" s="27" t="s">
        <v>838</v>
      </c>
      <c r="D13" s="31">
        <v>500</v>
      </c>
      <c r="E13" s="29">
        <v>4908.3</v>
      </c>
      <c r="F13" s="30">
        <v>4.9535006053918202</v>
      </c>
      <c r="G13" s="29">
        <v>7.1875</v>
      </c>
    </row>
    <row r="14" spans="1:7" x14ac:dyDescent="0.2">
      <c r="A14" s="27" t="s">
        <v>1051</v>
      </c>
      <c r="B14" s="27" t="s">
        <v>1052</v>
      </c>
      <c r="C14" s="27" t="s">
        <v>1031</v>
      </c>
      <c r="D14" s="31">
        <v>232</v>
      </c>
      <c r="E14" s="29">
        <v>3277.5382399999999</v>
      </c>
      <c r="F14" s="30">
        <v>3.3077211368569199</v>
      </c>
      <c r="G14" s="29">
        <v>11.4499</v>
      </c>
    </row>
    <row r="15" spans="1:7" x14ac:dyDescent="0.2">
      <c r="A15" s="27" t="s">
        <v>1117</v>
      </c>
      <c r="B15" s="27" t="s">
        <v>1118</v>
      </c>
      <c r="C15" s="27" t="s">
        <v>911</v>
      </c>
      <c r="D15" s="31">
        <v>250</v>
      </c>
      <c r="E15" s="29">
        <v>3212.0825</v>
      </c>
      <c r="F15" s="30">
        <v>3.2416626140045399</v>
      </c>
      <c r="G15" s="29">
        <v>6.3148999999999997</v>
      </c>
    </row>
    <row r="16" spans="1:7" x14ac:dyDescent="0.2">
      <c r="A16" s="27" t="s">
        <v>1119</v>
      </c>
      <c r="B16" s="27" t="s">
        <v>1120</v>
      </c>
      <c r="C16" s="27" t="s">
        <v>1121</v>
      </c>
      <c r="D16" s="31">
        <v>300</v>
      </c>
      <c r="E16" s="29">
        <v>3000.1350000000002</v>
      </c>
      <c r="F16" s="30">
        <v>3.0277632864244599</v>
      </c>
      <c r="G16" s="29">
        <v>9.2993000000000006</v>
      </c>
    </row>
    <row r="17" spans="1:9" x14ac:dyDescent="0.2">
      <c r="A17" s="27" t="s">
        <v>1122</v>
      </c>
      <c r="B17" s="27" t="s">
        <v>1123</v>
      </c>
      <c r="C17" s="27" t="s">
        <v>911</v>
      </c>
      <c r="D17" s="31">
        <v>250</v>
      </c>
      <c r="E17" s="29">
        <v>2538.56</v>
      </c>
      <c r="F17" s="30">
        <v>2.5619376356016299</v>
      </c>
      <c r="G17" s="29">
        <v>9.3290000000000006</v>
      </c>
    </row>
    <row r="18" spans="1:9" x14ac:dyDescent="0.2">
      <c r="A18" s="27" t="s">
        <v>1124</v>
      </c>
      <c r="B18" s="27" t="s">
        <v>1125</v>
      </c>
      <c r="C18" s="27" t="s">
        <v>990</v>
      </c>
      <c r="D18" s="31">
        <v>250</v>
      </c>
      <c r="E18" s="29">
        <v>2523.5949999999998</v>
      </c>
      <c r="F18" s="30">
        <v>2.54683482270109</v>
      </c>
      <c r="G18" s="29">
        <v>7.9470000000000001</v>
      </c>
    </row>
    <row r="19" spans="1:9" x14ac:dyDescent="0.2">
      <c r="A19" s="27" t="s">
        <v>1126</v>
      </c>
      <c r="B19" s="27" t="s">
        <v>1127</v>
      </c>
      <c r="C19" s="27" t="s">
        <v>1014</v>
      </c>
      <c r="D19" s="31">
        <v>300</v>
      </c>
      <c r="E19" s="29">
        <v>2262.2692499999998</v>
      </c>
      <c r="F19" s="30">
        <v>2.2831025201055999</v>
      </c>
      <c r="G19" s="29">
        <v>8.1198999999999995</v>
      </c>
    </row>
    <row r="20" spans="1:9" x14ac:dyDescent="0.2">
      <c r="A20" s="27" t="s">
        <v>1053</v>
      </c>
      <c r="B20" s="27" t="s">
        <v>1054</v>
      </c>
      <c r="C20" s="27" t="s">
        <v>1014</v>
      </c>
      <c r="D20" s="31">
        <v>176</v>
      </c>
      <c r="E20" s="29">
        <v>1775.3296</v>
      </c>
      <c r="F20" s="30">
        <v>1.7916786358556001</v>
      </c>
      <c r="G20" s="29">
        <v>8.2799999999999994</v>
      </c>
    </row>
    <row r="21" spans="1:9" x14ac:dyDescent="0.2">
      <c r="A21" s="27" t="s">
        <v>1048</v>
      </c>
      <c r="B21" s="27" t="s">
        <v>1035</v>
      </c>
      <c r="C21" s="27" t="s">
        <v>1036</v>
      </c>
      <c r="D21" s="31">
        <v>200</v>
      </c>
      <c r="E21" s="29">
        <v>1746.01</v>
      </c>
      <c r="F21" s="30">
        <v>1.76208903123692</v>
      </c>
      <c r="G21" s="29">
        <v>21.172799999999999</v>
      </c>
    </row>
    <row r="22" spans="1:9" x14ac:dyDescent="0.2">
      <c r="A22" s="27" t="s">
        <v>1128</v>
      </c>
      <c r="B22" s="27" t="s">
        <v>1129</v>
      </c>
      <c r="C22" s="27" t="s">
        <v>1121</v>
      </c>
      <c r="D22" s="31">
        <v>150</v>
      </c>
      <c r="E22" s="29">
        <v>1432.7909999999999</v>
      </c>
      <c r="F22" s="30">
        <v>1.44598559295478</v>
      </c>
      <c r="G22" s="29">
        <v>14.13</v>
      </c>
    </row>
    <row r="23" spans="1:9" x14ac:dyDescent="0.2">
      <c r="A23" s="27" t="s">
        <v>1037</v>
      </c>
      <c r="B23" s="27" t="s">
        <v>1038</v>
      </c>
      <c r="C23" s="27" t="s">
        <v>1022</v>
      </c>
      <c r="D23" s="31">
        <v>150</v>
      </c>
      <c r="E23" s="29">
        <v>1202.5871999999999</v>
      </c>
      <c r="F23" s="30">
        <v>1.2136618428450701</v>
      </c>
      <c r="G23" s="29">
        <v>9.6891999999999996</v>
      </c>
    </row>
    <row r="24" spans="1:9" x14ac:dyDescent="0.2">
      <c r="A24" s="27" t="s">
        <v>32</v>
      </c>
      <c r="B24" s="27" t="s">
        <v>31</v>
      </c>
      <c r="C24" s="27" t="s">
        <v>30</v>
      </c>
      <c r="D24" s="31">
        <v>116</v>
      </c>
      <c r="E24" s="29">
        <v>1163.2793200000001</v>
      </c>
      <c r="F24" s="30">
        <v>1.1739919760120201</v>
      </c>
      <c r="G24" s="29">
        <v>7.1246999999999998</v>
      </c>
    </row>
    <row r="25" spans="1:9" x14ac:dyDescent="0.2">
      <c r="A25" s="27" t="s">
        <v>1130</v>
      </c>
      <c r="B25" s="27" t="s">
        <v>1131</v>
      </c>
      <c r="C25" s="27" t="s">
        <v>1014</v>
      </c>
      <c r="D25" s="31">
        <v>62</v>
      </c>
      <c r="E25" s="29">
        <v>633.35976000000005</v>
      </c>
      <c r="F25" s="30">
        <v>0.63919237915180804</v>
      </c>
      <c r="G25" s="29">
        <v>9.4644999999999992</v>
      </c>
    </row>
    <row r="26" spans="1:9" x14ac:dyDescent="0.2">
      <c r="A26" s="27" t="s">
        <v>1132</v>
      </c>
      <c r="B26" s="27" t="s">
        <v>1133</v>
      </c>
      <c r="C26" s="27" t="s">
        <v>1014</v>
      </c>
      <c r="D26" s="31">
        <v>62</v>
      </c>
      <c r="E26" s="29">
        <v>631.59151999999995</v>
      </c>
      <c r="F26" s="30">
        <v>0.63740785540418099</v>
      </c>
      <c r="G26" s="29">
        <v>9.8445999999999998</v>
      </c>
    </row>
    <row r="27" spans="1:9" x14ac:dyDescent="0.2">
      <c r="A27" s="27" t="s">
        <v>1012</v>
      </c>
      <c r="B27" s="27" t="s">
        <v>1013</v>
      </c>
      <c r="C27" s="27" t="s">
        <v>1014</v>
      </c>
      <c r="D27" s="31">
        <v>55</v>
      </c>
      <c r="E27" s="29">
        <v>561.37400000000002</v>
      </c>
      <c r="F27" s="30">
        <v>0.56654370125119302</v>
      </c>
      <c r="G27" s="29">
        <v>8.8696999999999999</v>
      </c>
    </row>
    <row r="28" spans="1:9" x14ac:dyDescent="0.2">
      <c r="A28" s="26" t="s">
        <v>34</v>
      </c>
      <c r="B28" s="26"/>
      <c r="C28" s="26"/>
      <c r="D28" s="32"/>
      <c r="E28" s="33">
        <f>SUM(E6:E27)</f>
        <v>83682.244029999987</v>
      </c>
      <c r="F28" s="34">
        <f>SUM(F6:F27)</f>
        <v>84.452875020506312</v>
      </c>
      <c r="G28" s="33"/>
      <c r="H28" s="18"/>
      <c r="I28" s="18"/>
    </row>
    <row r="29" spans="1:9" x14ac:dyDescent="0.2">
      <c r="A29" s="27"/>
      <c r="B29" s="27"/>
      <c r="C29" s="27"/>
      <c r="D29" s="28"/>
      <c r="E29" s="29"/>
      <c r="F29" s="30"/>
      <c r="G29" s="29"/>
    </row>
    <row r="30" spans="1:9" x14ac:dyDescent="0.2">
      <c r="A30" s="26" t="s">
        <v>942</v>
      </c>
      <c r="B30" s="27"/>
      <c r="C30" s="27"/>
      <c r="D30" s="28"/>
      <c r="E30" s="29"/>
      <c r="F30" s="30"/>
      <c r="G30" s="29"/>
    </row>
    <row r="31" spans="1:9" x14ac:dyDescent="0.2">
      <c r="A31" s="27" t="s">
        <v>1070</v>
      </c>
      <c r="B31" s="27" t="s">
        <v>1071</v>
      </c>
      <c r="C31" s="27" t="s">
        <v>1066</v>
      </c>
      <c r="D31" s="31">
        <v>180</v>
      </c>
      <c r="E31" s="29">
        <v>1515.1259540000001</v>
      </c>
      <c r="F31" s="30">
        <v>1.5290787707319999</v>
      </c>
      <c r="G31" s="29">
        <v>11.6854</v>
      </c>
    </row>
    <row r="32" spans="1:9" x14ac:dyDescent="0.2">
      <c r="A32" s="27" t="s">
        <v>1079</v>
      </c>
      <c r="B32" s="27" t="s">
        <v>1080</v>
      </c>
      <c r="C32" s="27" t="s">
        <v>1066</v>
      </c>
      <c r="D32" s="31">
        <v>120</v>
      </c>
      <c r="E32" s="29">
        <v>1043.9491439999999</v>
      </c>
      <c r="F32" s="30">
        <v>1.0535628867025799</v>
      </c>
      <c r="G32" s="29">
        <v>11.6884</v>
      </c>
    </row>
    <row r="33" spans="1:9" x14ac:dyDescent="0.2">
      <c r="A33" s="27" t="s">
        <v>1134</v>
      </c>
      <c r="B33" s="27" t="s">
        <v>1135</v>
      </c>
      <c r="C33" s="27" t="s">
        <v>1066</v>
      </c>
      <c r="D33" s="31">
        <v>40</v>
      </c>
      <c r="E33" s="29">
        <v>328.31629729999997</v>
      </c>
      <c r="F33" s="30">
        <v>0.33133976681041299</v>
      </c>
      <c r="G33" s="29">
        <v>11.6884</v>
      </c>
    </row>
    <row r="34" spans="1:9" x14ac:dyDescent="0.2">
      <c r="A34" s="26" t="s">
        <v>34</v>
      </c>
      <c r="B34" s="26"/>
      <c r="C34" s="26"/>
      <c r="D34" s="32"/>
      <c r="E34" s="33">
        <f>SUM(E30:E33)</f>
        <v>2887.3913953000001</v>
      </c>
      <c r="F34" s="34">
        <f>SUM(F30:F33)</f>
        <v>2.9139814242449926</v>
      </c>
      <c r="G34" s="33"/>
      <c r="H34" s="18"/>
      <c r="I34" s="18"/>
    </row>
    <row r="35" spans="1:9" x14ac:dyDescent="0.2">
      <c r="A35" s="27"/>
      <c r="B35" s="27"/>
      <c r="C35" s="27"/>
      <c r="D35" s="28"/>
      <c r="E35" s="29"/>
      <c r="F35" s="30"/>
      <c r="G35" s="29"/>
    </row>
    <row r="36" spans="1:9" x14ac:dyDescent="0.2">
      <c r="A36" s="26" t="s">
        <v>35</v>
      </c>
      <c r="B36" s="27"/>
      <c r="C36" s="27"/>
      <c r="D36" s="28"/>
      <c r="E36" s="29"/>
      <c r="F36" s="30"/>
      <c r="G36" s="29"/>
    </row>
    <row r="37" spans="1:9" x14ac:dyDescent="0.2">
      <c r="A37" s="27" t="s">
        <v>1088</v>
      </c>
      <c r="B37" s="27" t="s">
        <v>1089</v>
      </c>
      <c r="C37" s="27" t="s">
        <v>1090</v>
      </c>
      <c r="D37" s="31">
        <v>285410.511</v>
      </c>
      <c r="E37" s="29">
        <v>9566.2142660000009</v>
      </c>
      <c r="F37" s="30">
        <v>9.6543096709530491</v>
      </c>
      <c r="G37" s="29">
        <v>3.3814000000000002</v>
      </c>
    </row>
    <row r="38" spans="1:9" x14ac:dyDescent="0.2">
      <c r="A38" s="26" t="s">
        <v>34</v>
      </c>
      <c r="B38" s="26"/>
      <c r="C38" s="26"/>
      <c r="D38" s="32"/>
      <c r="E38" s="33">
        <f>SUM(E37:E37)</f>
        <v>9566.2142660000009</v>
      </c>
      <c r="F38" s="34">
        <f>SUM(F37:F37)</f>
        <v>9.6543096709530491</v>
      </c>
      <c r="G38" s="33"/>
    </row>
    <row r="39" spans="1:9" x14ac:dyDescent="0.2">
      <c r="A39" s="27"/>
      <c r="B39" s="27"/>
      <c r="C39" s="27"/>
      <c r="D39" s="28"/>
      <c r="E39" s="29"/>
      <c r="F39" s="30"/>
      <c r="G39" s="29"/>
    </row>
    <row r="40" spans="1:9" x14ac:dyDescent="0.2">
      <c r="A40" s="26" t="s">
        <v>36</v>
      </c>
      <c r="B40" s="26"/>
      <c r="C40" s="26"/>
      <c r="D40" s="32"/>
      <c r="E40" s="33">
        <f>E28+E34+E38</f>
        <v>96135.849691299984</v>
      </c>
      <c r="F40" s="33">
        <f>F28+F34+F38</f>
        <v>97.021166115704361</v>
      </c>
      <c r="G40" s="33"/>
      <c r="H40" s="18"/>
      <c r="I40" s="18"/>
    </row>
    <row r="41" spans="1:9" x14ac:dyDescent="0.2">
      <c r="A41" s="26"/>
      <c r="B41" s="26"/>
      <c r="C41" s="26"/>
      <c r="D41" s="32"/>
      <c r="E41" s="33"/>
      <c r="F41" s="34"/>
      <c r="G41" s="33"/>
      <c r="H41" s="18"/>
      <c r="I41" s="18"/>
    </row>
    <row r="42" spans="1:9" x14ac:dyDescent="0.2">
      <c r="A42" s="26" t="s">
        <v>38</v>
      </c>
      <c r="B42" s="26"/>
      <c r="C42" s="26"/>
      <c r="D42" s="32"/>
      <c r="E42" s="33">
        <f>E44-(E28+E34+E38)</f>
        <v>2951.6520778000122</v>
      </c>
      <c r="F42" s="34">
        <f>F44-(F28+F34+F38)</f>
        <v>2.9788338842956392</v>
      </c>
      <c r="G42" s="33"/>
      <c r="H42" s="18"/>
      <c r="I42" s="18"/>
    </row>
    <row r="43" spans="1:9" x14ac:dyDescent="0.2">
      <c r="A43" s="26"/>
      <c r="B43" s="26"/>
      <c r="C43" s="26"/>
      <c r="D43" s="32"/>
      <c r="E43" s="33"/>
      <c r="F43" s="34"/>
      <c r="G43" s="33"/>
      <c r="H43" s="18"/>
      <c r="I43" s="18"/>
    </row>
    <row r="44" spans="1:9" x14ac:dyDescent="0.2">
      <c r="A44" s="35" t="s">
        <v>37</v>
      </c>
      <c r="B44" s="35"/>
      <c r="C44" s="35"/>
      <c r="D44" s="36"/>
      <c r="E44" s="37">
        <v>99087.501769099996</v>
      </c>
      <c r="F44" s="38">
        <v>100</v>
      </c>
      <c r="G44" s="37"/>
      <c r="H44" s="18"/>
      <c r="I44" s="18"/>
    </row>
    <row r="46" spans="1:9" x14ac:dyDescent="0.2">
      <c r="A46" s="18" t="s">
        <v>39</v>
      </c>
    </row>
    <row r="47" spans="1:9" x14ac:dyDescent="0.2">
      <c r="A47" s="18" t="s">
        <v>1434</v>
      </c>
    </row>
    <row r="49" spans="1:9" x14ac:dyDescent="0.2">
      <c r="A49" s="18" t="s">
        <v>40</v>
      </c>
    </row>
    <row r="50" spans="1:9" s="14" customFormat="1" x14ac:dyDescent="0.2">
      <c r="A50" s="18" t="s">
        <v>41</v>
      </c>
      <c r="B50" s="9"/>
      <c r="C50" s="9"/>
      <c r="D50" s="10"/>
      <c r="E50" s="13"/>
      <c r="G50" s="13"/>
      <c r="H50" s="9"/>
      <c r="I50" s="9"/>
    </row>
    <row r="51" spans="1:9" s="14" customFormat="1" x14ac:dyDescent="0.2">
      <c r="A51" s="18" t="s">
        <v>42</v>
      </c>
      <c r="B51" s="18"/>
      <c r="C51" s="39" t="s">
        <v>44</v>
      </c>
      <c r="D51" s="19" t="s">
        <v>43</v>
      </c>
      <c r="E51" s="13"/>
      <c r="G51" s="13"/>
      <c r="H51" s="9"/>
      <c r="I51" s="9"/>
    </row>
    <row r="52" spans="1:9" s="14" customFormat="1" x14ac:dyDescent="0.2">
      <c r="A52" s="9" t="s">
        <v>65</v>
      </c>
      <c r="B52" s="9"/>
      <c r="C52" s="40">
        <v>21.695599999999999</v>
      </c>
      <c r="D52" s="40">
        <v>23.209199999999999</v>
      </c>
      <c r="E52" s="13"/>
      <c r="G52" s="13"/>
      <c r="H52" s="9"/>
      <c r="I52" s="9"/>
    </row>
    <row r="53" spans="1:9" s="14" customFormat="1" x14ac:dyDescent="0.2">
      <c r="A53" s="9" t="s">
        <v>947</v>
      </c>
      <c r="B53" s="9"/>
      <c r="C53" s="40">
        <v>10.0038</v>
      </c>
      <c r="D53" s="40">
        <v>10.7018</v>
      </c>
      <c r="E53" s="13"/>
      <c r="G53" s="13"/>
      <c r="H53" s="9"/>
      <c r="I53" s="9"/>
    </row>
    <row r="54" spans="1:9" s="14" customFormat="1" x14ac:dyDescent="0.2">
      <c r="A54" s="9" t="s">
        <v>948</v>
      </c>
      <c r="B54" s="9"/>
      <c r="C54" s="40">
        <v>9.8251000000000008</v>
      </c>
      <c r="D54" s="40">
        <v>10.5107</v>
      </c>
      <c r="E54" s="13"/>
      <c r="G54" s="13"/>
      <c r="H54" s="9"/>
      <c r="I54" s="9"/>
    </row>
    <row r="55" spans="1:9" s="14" customFormat="1" x14ac:dyDescent="0.2">
      <c r="A55" s="9" t="s">
        <v>66</v>
      </c>
      <c r="B55" s="9"/>
      <c r="C55" s="40">
        <v>22.246200000000002</v>
      </c>
      <c r="D55" s="40">
        <v>23.8369</v>
      </c>
      <c r="E55" s="13"/>
      <c r="G55" s="13"/>
      <c r="H55" s="9"/>
      <c r="I55" s="9"/>
    </row>
    <row r="56" spans="1:9" s="14" customFormat="1" x14ac:dyDescent="0.2">
      <c r="A56" s="9" t="s">
        <v>951</v>
      </c>
      <c r="B56" s="9"/>
      <c r="C56" s="40">
        <v>10.338900000000001</v>
      </c>
      <c r="D56" s="40">
        <v>11.078099999999999</v>
      </c>
      <c r="E56" s="13"/>
      <c r="G56" s="13"/>
      <c r="H56" s="9"/>
      <c r="I56" s="9"/>
    </row>
    <row r="57" spans="1:9" s="14" customFormat="1" x14ac:dyDescent="0.2">
      <c r="A57" s="9" t="s">
        <v>952</v>
      </c>
      <c r="B57" s="9"/>
      <c r="C57" s="40">
        <v>10.1599</v>
      </c>
      <c r="D57" s="40">
        <v>10.8863</v>
      </c>
      <c r="E57" s="13"/>
      <c r="G57" s="13"/>
      <c r="H57" s="9"/>
      <c r="I57" s="9"/>
    </row>
    <row r="59" spans="1:9" s="14" customFormat="1" x14ac:dyDescent="0.2">
      <c r="A59" s="9" t="s">
        <v>782</v>
      </c>
      <c r="B59" s="9"/>
      <c r="C59" s="9"/>
      <c r="D59" s="10"/>
      <c r="E59" s="13"/>
      <c r="G59" s="13"/>
      <c r="H59" s="9"/>
      <c r="I59" s="9"/>
    </row>
    <row r="61" spans="1:9" s="14" customFormat="1" x14ac:dyDescent="0.2">
      <c r="A61" s="18" t="s">
        <v>1560</v>
      </c>
      <c r="B61" s="9"/>
      <c r="C61" s="9"/>
      <c r="D61" s="41" t="s">
        <v>45</v>
      </c>
      <c r="E61" s="13"/>
      <c r="G61" s="13"/>
      <c r="H61" s="9"/>
      <c r="I61" s="9"/>
    </row>
    <row r="63" spans="1:9" s="14" customFormat="1" x14ac:dyDescent="0.2">
      <c r="A63" s="18" t="s">
        <v>783</v>
      </c>
      <c r="B63" s="9"/>
      <c r="C63" s="9"/>
      <c r="D63" s="42">
        <v>1.2432151321095899</v>
      </c>
      <c r="E63" s="13" t="s">
        <v>46</v>
      </c>
      <c r="G63" s="13"/>
      <c r="H63" s="9"/>
      <c r="I63" s="9"/>
    </row>
    <row r="65" spans="1:9" s="14" customFormat="1" x14ac:dyDescent="0.2">
      <c r="A65" s="18" t="s">
        <v>717</v>
      </c>
      <c r="B65" s="9"/>
      <c r="C65" s="9"/>
      <c r="D65" s="41" t="s">
        <v>45</v>
      </c>
      <c r="E65" s="13"/>
      <c r="G65" s="13"/>
      <c r="H65" s="9"/>
      <c r="I65" s="9"/>
    </row>
    <row r="66" spans="1:9" x14ac:dyDescent="0.2">
      <c r="A66" s="9" t="s">
        <v>712</v>
      </c>
    </row>
    <row r="67" spans="1:9" x14ac:dyDescent="0.2">
      <c r="A67" s="50" t="s">
        <v>713</v>
      </c>
    </row>
    <row r="69" spans="1:9" x14ac:dyDescent="0.2">
      <c r="A69" s="18" t="s">
        <v>1438</v>
      </c>
    </row>
    <row r="71" spans="1:9" x14ac:dyDescent="0.2">
      <c r="A71" s="9" t="s">
        <v>1442</v>
      </c>
    </row>
    <row r="73" spans="1:9" ht="51" x14ac:dyDescent="0.2">
      <c r="A73" s="78" t="s">
        <v>2</v>
      </c>
      <c r="B73" s="79" t="s">
        <v>1457</v>
      </c>
      <c r="C73" s="79" t="s">
        <v>1443</v>
      </c>
      <c r="D73" s="79" t="s">
        <v>1444</v>
      </c>
      <c r="E73" s="79" t="s">
        <v>1445</v>
      </c>
    </row>
    <row r="74" spans="1:9" x14ac:dyDescent="0.2">
      <c r="A74" s="80" t="s">
        <v>1459</v>
      </c>
      <c r="B74" s="80" t="s">
        <v>1460</v>
      </c>
      <c r="C74" s="81">
        <v>0</v>
      </c>
      <c r="D74" s="82">
        <v>0</v>
      </c>
      <c r="E74" s="81">
        <v>7441.0527078118184</v>
      </c>
    </row>
    <row r="75" spans="1:9" x14ac:dyDescent="0.2">
      <c r="A75" s="80" t="s">
        <v>1450</v>
      </c>
      <c r="B75" s="80" t="s">
        <v>1451</v>
      </c>
      <c r="C75" s="81">
        <v>0</v>
      </c>
      <c r="D75" s="82">
        <v>0</v>
      </c>
      <c r="E75" s="81">
        <v>14167.051880755575</v>
      </c>
    </row>
    <row r="76" spans="1:9" x14ac:dyDescent="0.2">
      <c r="A76" s="80" t="s">
        <v>1529</v>
      </c>
      <c r="B76" s="80" t="s">
        <v>1530</v>
      </c>
      <c r="C76" s="81">
        <v>0</v>
      </c>
      <c r="D76" s="82">
        <v>0</v>
      </c>
      <c r="E76" s="81">
        <v>3268.3454678989951</v>
      </c>
    </row>
    <row r="77" spans="1:9" x14ac:dyDescent="0.2">
      <c r="A77" s="80" t="s">
        <v>1531</v>
      </c>
      <c r="B77" s="80" t="s">
        <v>1532</v>
      </c>
      <c r="C77" s="81">
        <v>0</v>
      </c>
      <c r="D77" s="82">
        <v>0</v>
      </c>
      <c r="E77" s="81">
        <v>10568.123302403599</v>
      </c>
    </row>
    <row r="78" spans="1:9" ht="14.4" x14ac:dyDescent="0.3">
      <c r="A78" s="43"/>
    </row>
    <row r="79" spans="1:9" x14ac:dyDescent="0.2">
      <c r="A79" s="65" t="s">
        <v>1441</v>
      </c>
    </row>
    <row r="81" spans="1:7" ht="29.25" customHeight="1" x14ac:dyDescent="0.2">
      <c r="A81" s="100" t="s">
        <v>1517</v>
      </c>
      <c r="B81" s="100"/>
      <c r="C81" s="100"/>
      <c r="D81" s="100"/>
      <c r="E81" s="100"/>
      <c r="F81" s="100"/>
      <c r="G81" s="100"/>
    </row>
    <row r="83" spans="1:7" ht="38.25" customHeight="1" x14ac:dyDescent="0.2">
      <c r="A83" s="103" t="s">
        <v>1518</v>
      </c>
      <c r="B83" s="103"/>
      <c r="C83" s="103"/>
      <c r="D83" s="103"/>
      <c r="E83" s="103"/>
      <c r="F83" s="103"/>
      <c r="G83" s="103"/>
    </row>
    <row r="84" spans="1:7" x14ac:dyDescent="0.2">
      <c r="A84" s="58" t="s">
        <v>1093</v>
      </c>
      <c r="B84" s="59"/>
      <c r="C84" s="59"/>
      <c r="D84" s="59"/>
      <c r="E84" s="59"/>
      <c r="F84" s="59"/>
      <c r="G84" s="59"/>
    </row>
    <row r="86" spans="1:7" ht="26.25" customHeight="1" x14ac:dyDescent="0.2">
      <c r="A86" s="102" t="s">
        <v>1094</v>
      </c>
      <c r="B86" s="102"/>
      <c r="C86" s="102"/>
      <c r="D86" s="102"/>
      <c r="E86" s="102"/>
      <c r="F86" s="102"/>
      <c r="G86" s="102"/>
    </row>
    <row r="87" spans="1:7" ht="14.4" x14ac:dyDescent="0.3">
      <c r="A87" s="43"/>
    </row>
    <row r="88" spans="1:7" ht="14.4" x14ac:dyDescent="0.2">
      <c r="A88" s="90" t="s">
        <v>1095</v>
      </c>
      <c r="B88" s="91"/>
      <c r="C88" s="91"/>
      <c r="D88" s="91"/>
      <c r="E88" s="91"/>
      <c r="F88" s="91"/>
      <c r="G88" s="91"/>
    </row>
    <row r="89" spans="1:7" x14ac:dyDescent="0.2">
      <c r="A89" s="50" t="s">
        <v>47</v>
      </c>
    </row>
    <row r="91" spans="1:7" x14ac:dyDescent="0.2">
      <c r="A91" s="18" t="s">
        <v>1565</v>
      </c>
    </row>
    <row r="93" spans="1:7" s="1" customFormat="1" ht="13.8" x14ac:dyDescent="0.2">
      <c r="A93" s="92" t="s">
        <v>1136</v>
      </c>
      <c r="B93" s="93"/>
      <c r="C93" s="93"/>
      <c r="D93" s="93"/>
      <c r="E93" s="93"/>
      <c r="F93" s="93"/>
      <c r="G93" s="93"/>
    </row>
    <row r="94" spans="1:7" x14ac:dyDescent="0.2">
      <c r="A94" s="18" t="s">
        <v>7</v>
      </c>
    </row>
    <row r="95" spans="1:7" s="1" customFormat="1" ht="17.55" customHeight="1" x14ac:dyDescent="0.2">
      <c r="A95" s="8" t="s">
        <v>2</v>
      </c>
      <c r="B95" s="8" t="s">
        <v>0</v>
      </c>
      <c r="C95" s="17" t="s">
        <v>727</v>
      </c>
      <c r="D95" s="16" t="s">
        <v>1</v>
      </c>
      <c r="E95" s="15" t="s">
        <v>3</v>
      </c>
      <c r="F95" s="15" t="s">
        <v>4</v>
      </c>
      <c r="G95" s="15" t="s">
        <v>6</v>
      </c>
    </row>
    <row r="96" spans="1:7" x14ac:dyDescent="0.2">
      <c r="A96" s="21" t="s">
        <v>26</v>
      </c>
      <c r="B96" s="22"/>
      <c r="C96" s="22"/>
      <c r="D96" s="23"/>
      <c r="E96" s="24"/>
      <c r="F96" s="25"/>
      <c r="G96" s="24"/>
    </row>
    <row r="97" spans="1:9" x14ac:dyDescent="0.2">
      <c r="A97" s="26" t="s">
        <v>27</v>
      </c>
      <c r="B97" s="27"/>
      <c r="C97" s="27"/>
      <c r="D97" s="28"/>
      <c r="E97" s="29"/>
      <c r="F97" s="30"/>
      <c r="G97" s="29"/>
    </row>
    <row r="98" spans="1:9" x14ac:dyDescent="0.2">
      <c r="A98" s="27" t="s">
        <v>1097</v>
      </c>
      <c r="B98" s="27" t="s">
        <v>1098</v>
      </c>
      <c r="C98" s="27" t="s">
        <v>1099</v>
      </c>
      <c r="D98" s="31">
        <v>1510</v>
      </c>
      <c r="E98" s="29">
        <v>0</v>
      </c>
      <c r="F98" s="30">
        <v>100</v>
      </c>
      <c r="G98" s="29">
        <v>0</v>
      </c>
    </row>
    <row r="99" spans="1:9" x14ac:dyDescent="0.2">
      <c r="A99" s="26" t="s">
        <v>34</v>
      </c>
      <c r="B99" s="26"/>
      <c r="C99" s="26"/>
      <c r="D99" s="32"/>
      <c r="E99" s="33">
        <f>SUM(E97:E98)</f>
        <v>0</v>
      </c>
      <c r="F99" s="34">
        <f>SUM(F97:F98)</f>
        <v>100</v>
      </c>
      <c r="G99" s="33"/>
      <c r="H99" s="18"/>
      <c r="I99" s="18"/>
    </row>
    <row r="100" spans="1:9" x14ac:dyDescent="0.2">
      <c r="A100" s="27"/>
      <c r="B100" s="27"/>
      <c r="C100" s="27"/>
      <c r="D100" s="28"/>
      <c r="E100" s="29"/>
      <c r="F100" s="30"/>
      <c r="G100" s="29"/>
    </row>
    <row r="101" spans="1:9" x14ac:dyDescent="0.2">
      <c r="A101" s="26" t="s">
        <v>36</v>
      </c>
      <c r="B101" s="26"/>
      <c r="C101" s="26"/>
      <c r="D101" s="32"/>
      <c r="E101" s="33">
        <f>E99</f>
        <v>0</v>
      </c>
      <c r="F101" s="34">
        <f>F99</f>
        <v>100</v>
      </c>
      <c r="G101" s="33"/>
      <c r="H101" s="18"/>
      <c r="I101" s="18"/>
    </row>
    <row r="102" spans="1:9" x14ac:dyDescent="0.2">
      <c r="A102" s="26"/>
      <c r="B102" s="26"/>
      <c r="C102" s="26"/>
      <c r="D102" s="32"/>
      <c r="E102" s="33"/>
      <c r="F102" s="34"/>
      <c r="G102" s="33"/>
      <c r="H102" s="18"/>
      <c r="I102" s="18"/>
    </row>
    <row r="103" spans="1:9" x14ac:dyDescent="0.2">
      <c r="A103" s="26" t="s">
        <v>38</v>
      </c>
      <c r="B103" s="26"/>
      <c r="C103" s="26"/>
      <c r="D103" s="32"/>
      <c r="E103" s="33">
        <f>E105-(E99)</f>
        <v>5.9999999999999997E-7</v>
      </c>
      <c r="F103" s="34">
        <v>0</v>
      </c>
      <c r="G103" s="33"/>
      <c r="H103" s="18"/>
      <c r="I103" s="18"/>
    </row>
    <row r="104" spans="1:9" x14ac:dyDescent="0.2">
      <c r="A104" s="26"/>
      <c r="B104" s="26"/>
      <c r="C104" s="26"/>
      <c r="D104" s="32"/>
      <c r="E104" s="33"/>
      <c r="F104" s="34"/>
      <c r="G104" s="33"/>
      <c r="H104" s="18"/>
      <c r="I104" s="18"/>
    </row>
    <row r="105" spans="1:9" x14ac:dyDescent="0.2">
      <c r="A105" s="35" t="s">
        <v>37</v>
      </c>
      <c r="B105" s="35"/>
      <c r="C105" s="35"/>
      <c r="D105" s="36"/>
      <c r="E105" s="37">
        <v>5.9999999999999997E-7</v>
      </c>
      <c r="F105" s="38">
        <v>100</v>
      </c>
      <c r="G105" s="37"/>
      <c r="H105" s="18"/>
      <c r="I105" s="18"/>
    </row>
    <row r="107" spans="1:9" x14ac:dyDescent="0.2">
      <c r="A107" s="18" t="s">
        <v>39</v>
      </c>
    </row>
    <row r="108" spans="1:9" x14ac:dyDescent="0.2">
      <c r="A108" s="48" t="s">
        <v>1091</v>
      </c>
    </row>
    <row r="109" spans="1:9" x14ac:dyDescent="0.2">
      <c r="A109" s="18" t="s">
        <v>1100</v>
      </c>
    </row>
    <row r="111" spans="1:9" s="13" customFormat="1" x14ac:dyDescent="0.2">
      <c r="A111" s="18" t="s">
        <v>40</v>
      </c>
      <c r="B111" s="9"/>
      <c r="C111" s="9"/>
      <c r="D111" s="10"/>
      <c r="F111" s="14"/>
      <c r="H111" s="9"/>
      <c r="I111" s="9"/>
    </row>
    <row r="112" spans="1:9" s="13" customFormat="1" x14ac:dyDescent="0.2">
      <c r="A112" s="18" t="s">
        <v>41</v>
      </c>
      <c r="B112" s="9"/>
      <c r="C112" s="9"/>
      <c r="D112" s="10"/>
      <c r="F112" s="14"/>
      <c r="H112" s="9"/>
      <c r="I112" s="9"/>
    </row>
    <row r="113" spans="1:9" s="13" customFormat="1" x14ac:dyDescent="0.2">
      <c r="A113" s="18" t="s">
        <v>42</v>
      </c>
      <c r="B113" s="18"/>
      <c r="C113" s="39" t="s">
        <v>44</v>
      </c>
      <c r="D113" s="19" t="s">
        <v>43</v>
      </c>
      <c r="F113" s="14"/>
      <c r="H113" s="9"/>
      <c r="I113" s="9"/>
    </row>
    <row r="114" spans="1:9" s="13" customFormat="1" x14ac:dyDescent="0.2">
      <c r="A114" s="9" t="s">
        <v>65</v>
      </c>
      <c r="B114" s="9"/>
      <c r="C114" s="40">
        <v>0</v>
      </c>
      <c r="D114" s="40">
        <v>0</v>
      </c>
      <c r="F114" s="14"/>
      <c r="H114" s="9"/>
      <c r="I114" s="9"/>
    </row>
    <row r="115" spans="1:9" s="13" customFormat="1" x14ac:dyDescent="0.2">
      <c r="A115" s="9" t="s">
        <v>947</v>
      </c>
      <c r="B115" s="9"/>
      <c r="C115" s="40">
        <v>0</v>
      </c>
      <c r="D115" s="40">
        <v>0</v>
      </c>
      <c r="F115" s="14"/>
      <c r="H115" s="9"/>
      <c r="I115" s="9"/>
    </row>
    <row r="116" spans="1:9" s="13" customFormat="1" x14ac:dyDescent="0.2">
      <c r="A116" s="9" t="s">
        <v>948</v>
      </c>
      <c r="B116" s="9"/>
      <c r="C116" s="40">
        <v>0</v>
      </c>
      <c r="D116" s="40">
        <v>0</v>
      </c>
      <c r="F116" s="14"/>
      <c r="H116" s="9"/>
      <c r="I116" s="9"/>
    </row>
    <row r="117" spans="1:9" s="13" customFormat="1" x14ac:dyDescent="0.2">
      <c r="A117" s="9" t="s">
        <v>66</v>
      </c>
      <c r="B117" s="9"/>
      <c r="C117" s="40">
        <v>0</v>
      </c>
      <c r="D117" s="40">
        <v>0</v>
      </c>
      <c r="F117" s="14"/>
      <c r="H117" s="9"/>
      <c r="I117" s="9"/>
    </row>
    <row r="118" spans="1:9" s="13" customFormat="1" x14ac:dyDescent="0.2">
      <c r="A118" s="9" t="s">
        <v>951</v>
      </c>
      <c r="B118" s="9"/>
      <c r="C118" s="40">
        <v>0</v>
      </c>
      <c r="D118" s="40">
        <v>0</v>
      </c>
      <c r="F118" s="14"/>
      <c r="H118" s="9"/>
      <c r="I118" s="9"/>
    </row>
    <row r="119" spans="1:9" s="13" customFormat="1" x14ac:dyDescent="0.2">
      <c r="A119" s="9" t="s">
        <v>952</v>
      </c>
      <c r="B119" s="9"/>
      <c r="C119" s="40">
        <v>0</v>
      </c>
      <c r="D119" s="40">
        <v>0</v>
      </c>
      <c r="F119" s="14"/>
      <c r="H119" s="9"/>
      <c r="I119" s="9"/>
    </row>
    <row r="120" spans="1:9" s="13" customFormat="1" x14ac:dyDescent="0.2">
      <c r="A120" s="9"/>
      <c r="B120" s="9"/>
      <c r="C120" s="40"/>
      <c r="D120" s="40"/>
      <c r="F120" s="14"/>
      <c r="H120" s="9"/>
      <c r="I120" s="9"/>
    </row>
    <row r="121" spans="1:9" s="13" customFormat="1" x14ac:dyDescent="0.2">
      <c r="A121" s="9" t="s">
        <v>782</v>
      </c>
      <c r="B121" s="9"/>
      <c r="C121" s="40"/>
      <c r="D121" s="40"/>
      <c r="F121" s="14"/>
      <c r="H121" s="9"/>
      <c r="I121" s="9"/>
    </row>
    <row r="123" spans="1:9" s="13" customFormat="1" x14ac:dyDescent="0.2">
      <c r="A123" s="18" t="s">
        <v>1421</v>
      </c>
      <c r="B123" s="9"/>
      <c r="C123" s="9"/>
      <c r="D123" s="41" t="s">
        <v>45</v>
      </c>
      <c r="F123" s="14"/>
      <c r="H123" s="9"/>
      <c r="I123" s="9"/>
    </row>
    <row r="124" spans="1:9" s="13" customFormat="1" x14ac:dyDescent="0.2">
      <c r="A124" s="9" t="s">
        <v>712</v>
      </c>
      <c r="B124" s="9"/>
      <c r="C124" s="9"/>
      <c r="D124" s="10"/>
      <c r="F124" s="14"/>
      <c r="H124" s="9"/>
      <c r="I124" s="9"/>
    </row>
    <row r="125" spans="1:9" s="13" customFormat="1" x14ac:dyDescent="0.2">
      <c r="A125" s="50" t="s">
        <v>713</v>
      </c>
      <c r="B125" s="9"/>
      <c r="C125" s="9"/>
      <c r="D125" s="10"/>
      <c r="F125" s="14"/>
      <c r="H125" s="9"/>
      <c r="I125" s="9"/>
    </row>
    <row r="127" spans="1:9" ht="15" customHeight="1" x14ac:dyDescent="0.2">
      <c r="A127" s="90" t="s">
        <v>1101</v>
      </c>
      <c r="B127" s="91"/>
      <c r="C127" s="91"/>
      <c r="D127" s="91"/>
      <c r="E127" s="91"/>
      <c r="F127" s="91"/>
      <c r="G127" s="91"/>
    </row>
    <row r="128" spans="1:9" x14ac:dyDescent="0.2">
      <c r="A128" s="50" t="s">
        <v>47</v>
      </c>
    </row>
  </sheetData>
  <mergeCells count="7">
    <mergeCell ref="A127:G127"/>
    <mergeCell ref="A1:G1"/>
    <mergeCell ref="A81:G81"/>
    <mergeCell ref="A83:G83"/>
    <mergeCell ref="A86:G86"/>
    <mergeCell ref="A88:G88"/>
    <mergeCell ref="A93:G93"/>
  </mergeCells>
  <conditionalFormatting sqref="F2:F3 F5:F35 F96:F97 F41:F64 F87 F92 F94 F106:F122 F129:F65558 F39 F80">
    <cfRule type="cellIs" dxfId="59" priority="16" stopIfTrue="1" operator="between">
      <formula>0.009</formula>
      <formula>-0.009</formula>
    </cfRule>
  </conditionalFormatting>
  <conditionalFormatting sqref="F65:F68">
    <cfRule type="cellIs" dxfId="58" priority="15" stopIfTrue="1" operator="between">
      <formula>0.009</formula>
      <formula>-0.009</formula>
    </cfRule>
  </conditionalFormatting>
  <conditionalFormatting sqref="F82 F85">
    <cfRule type="cellIs" dxfId="57" priority="14" stopIfTrue="1" operator="between">
      <formula>0.009</formula>
      <formula>-0.009</formula>
    </cfRule>
  </conditionalFormatting>
  <conditionalFormatting sqref="F90:F91">
    <cfRule type="cellIs" dxfId="56" priority="13" stopIfTrue="1" operator="between">
      <formula>0.009</formula>
      <formula>-0.009</formula>
    </cfRule>
  </conditionalFormatting>
  <conditionalFormatting sqref="F89">
    <cfRule type="cellIs" dxfId="55" priority="12" stopIfTrue="1" operator="between">
      <formula>0.009</formula>
      <formula>-0.009</formula>
    </cfRule>
  </conditionalFormatting>
  <conditionalFormatting sqref="F99:F100">
    <cfRule type="cellIs" dxfId="54" priority="11" stopIfTrue="1" operator="between">
      <formula>0.009</formula>
      <formula>-0.009</formula>
    </cfRule>
  </conditionalFormatting>
  <conditionalFormatting sqref="F98">
    <cfRule type="cellIs" dxfId="53" priority="10" stopIfTrue="1" operator="between">
      <formula>0.009</formula>
      <formula>-0.009</formula>
    </cfRule>
  </conditionalFormatting>
  <conditionalFormatting sqref="F101:F102 F104:F105">
    <cfRule type="cellIs" dxfId="52" priority="9" stopIfTrue="1" operator="between">
      <formula>0.009</formula>
      <formula>-0.009</formula>
    </cfRule>
  </conditionalFormatting>
  <conditionalFormatting sqref="F123:F126">
    <cfRule type="cellIs" dxfId="51" priority="8" stopIfTrue="1" operator="between">
      <formula>0.009</formula>
      <formula>-0.009</formula>
    </cfRule>
  </conditionalFormatting>
  <conditionalFormatting sqref="F128">
    <cfRule type="cellIs" dxfId="50" priority="5" stopIfTrue="1" operator="between">
      <formula>0.009</formula>
      <formula>-0.009</formula>
    </cfRule>
  </conditionalFormatting>
  <conditionalFormatting sqref="F36:F38">
    <cfRule type="cellIs" dxfId="49" priority="4" stopIfTrue="1" operator="between">
      <formula>0.009</formula>
      <formula>-0.009</formula>
    </cfRule>
  </conditionalFormatting>
  <conditionalFormatting sqref="F78:F79">
    <cfRule type="cellIs" dxfId="48" priority="3" stopIfTrue="1" operator="between">
      <formula>0.009</formula>
      <formula>-0.009</formula>
    </cfRule>
  </conditionalFormatting>
  <conditionalFormatting sqref="F69:F72">
    <cfRule type="cellIs" dxfId="47" priority="2" stopIfTrue="1" operator="between">
      <formula>0.009</formula>
      <formula>-0.009</formula>
    </cfRule>
  </conditionalFormatting>
  <conditionalFormatting sqref="F73:F77">
    <cfRule type="cellIs" dxfId="46" priority="1" stopIfTrue="1" operator="between">
      <formula>0.009</formula>
      <formula>-0.009</formula>
    </cfRule>
  </conditionalFormatting>
  <hyperlinks>
    <hyperlink ref="A67" r:id="rId1" xr:uid="{00000000-0004-0000-3900-000000000000}"/>
    <hyperlink ref="A84" r:id="rId2" xr:uid="{00000000-0004-0000-3900-000001000000}"/>
    <hyperlink ref="A89" r:id="rId3" xr:uid="{00000000-0004-0000-3900-000002000000}"/>
    <hyperlink ref="A125" r:id="rId4" xr:uid="{00000000-0004-0000-3900-000003000000}"/>
    <hyperlink ref="A128" r:id="rId5" xr:uid="{00000000-0004-0000-3900-000004000000}"/>
  </hyperlinks>
  <pageMargins left="0.7" right="0.7" top="0.75" bottom="0.75" header="0.3" footer="0.3"/>
  <pageSetup paperSize="9" scale="47" orientation="portrait" r:id="rId6"/>
  <headerFooter>
    <oddFooter>&amp;R&amp;1#&amp;"Calibri"&amp;10&amp;KFF0000|PUBLIC|</oddFooter>
    <evenFooter>&amp;LPUBLIC</evenFooter>
    <firstFooter>&amp;LPUBLIC</firstFooter>
  </headerFooter>
  <colBreaks count="1" manualBreakCount="1">
    <brk id="7" max="1048575" man="1"/>
  </colBreaks>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I85"/>
  <sheetViews>
    <sheetView view="pageBreakPreview" zoomScaleNormal="100" zoomScaleSheetLayoutView="100" workbookViewId="0">
      <selection sqref="A1:G1"/>
    </sheetView>
  </sheetViews>
  <sheetFormatPr defaultColWidth="9.21875" defaultRowHeight="10.199999999999999" x14ac:dyDescent="0.2"/>
  <cols>
    <col min="1" max="1" width="38.77734375" style="9" bestFit="1" customWidth="1"/>
    <col min="2" max="2" width="69.21875" style="9" bestFit="1" customWidth="1"/>
    <col min="3" max="3" width="15.44140625" style="9" bestFit="1" customWidth="1"/>
    <col min="4" max="4" width="15.44140625" style="10" bestFit="1" customWidth="1"/>
    <col min="5" max="5" width="23" style="13" bestFit="1" customWidth="1"/>
    <col min="6" max="6" width="13.5546875" style="14" bestFit="1" customWidth="1"/>
    <col min="7" max="7" width="14.21875" style="13" customWidth="1"/>
    <col min="8" max="16384" width="9.21875" style="9"/>
  </cols>
  <sheetData>
    <row r="1" spans="1:7" s="1" customFormat="1" ht="13.8" x14ac:dyDescent="0.2">
      <c r="A1" s="92" t="s">
        <v>1555</v>
      </c>
      <c r="B1" s="93"/>
      <c r="C1" s="93"/>
      <c r="D1" s="93"/>
      <c r="E1" s="93"/>
      <c r="F1" s="93"/>
      <c r="G1" s="93"/>
    </row>
    <row r="2" spans="1:7" s="1" customFormat="1" ht="12" x14ac:dyDescent="0.25">
      <c r="A2" s="56" t="s">
        <v>1011</v>
      </c>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727</v>
      </c>
      <c r="D4" s="16" t="s">
        <v>1</v>
      </c>
      <c r="E4" s="15" t="s">
        <v>3</v>
      </c>
      <c r="F4" s="15" t="s">
        <v>4</v>
      </c>
      <c r="G4" s="15" t="s">
        <v>6</v>
      </c>
    </row>
    <row r="5" spans="1:7" x14ac:dyDescent="0.2">
      <c r="A5" s="21" t="s">
        <v>26</v>
      </c>
      <c r="B5" s="22"/>
      <c r="C5" s="22"/>
      <c r="D5" s="23"/>
      <c r="E5" s="24"/>
      <c r="F5" s="25"/>
      <c r="G5" s="24"/>
    </row>
    <row r="6" spans="1:7" x14ac:dyDescent="0.2">
      <c r="A6" s="26" t="s">
        <v>27</v>
      </c>
      <c r="B6" s="27"/>
      <c r="C6" s="27"/>
      <c r="D6" s="28"/>
      <c r="E6" s="29"/>
      <c r="F6" s="30"/>
      <c r="G6" s="29"/>
    </row>
    <row r="7" spans="1:7" x14ac:dyDescent="0.2">
      <c r="A7" s="27" t="s">
        <v>836</v>
      </c>
      <c r="B7" s="27" t="s">
        <v>837</v>
      </c>
      <c r="C7" s="27" t="s">
        <v>838</v>
      </c>
      <c r="D7" s="31">
        <v>5400</v>
      </c>
      <c r="E7" s="29">
        <v>53009.64</v>
      </c>
      <c r="F7" s="30">
        <v>10.140303670730599</v>
      </c>
      <c r="G7" s="29">
        <v>7.1875</v>
      </c>
    </row>
    <row r="8" spans="1:7" x14ac:dyDescent="0.2">
      <c r="A8" s="27" t="s">
        <v>29</v>
      </c>
      <c r="B8" s="27" t="s">
        <v>28</v>
      </c>
      <c r="C8" s="27" t="s">
        <v>30</v>
      </c>
      <c r="D8" s="31">
        <v>4400</v>
      </c>
      <c r="E8" s="29">
        <v>44077.923999999999</v>
      </c>
      <c r="F8" s="30">
        <v>8.4317406142615905</v>
      </c>
      <c r="G8" s="29">
        <v>7.1247999999999996</v>
      </c>
    </row>
    <row r="9" spans="1:7" x14ac:dyDescent="0.2">
      <c r="A9" s="27" t="s">
        <v>1111</v>
      </c>
      <c r="B9" s="27" t="s">
        <v>1112</v>
      </c>
      <c r="C9" s="27" t="s">
        <v>1036</v>
      </c>
      <c r="D9" s="31">
        <v>7500</v>
      </c>
      <c r="E9" s="29">
        <v>37080.9</v>
      </c>
      <c r="F9" s="30">
        <v>7.0932680618845101</v>
      </c>
      <c r="G9" s="29">
        <v>18.151800000000001</v>
      </c>
    </row>
    <row r="10" spans="1:7" x14ac:dyDescent="0.2">
      <c r="A10" s="27" t="s">
        <v>1017</v>
      </c>
      <c r="B10" s="27" t="s">
        <v>1018</v>
      </c>
      <c r="C10" s="27" t="s">
        <v>1019</v>
      </c>
      <c r="D10" s="31">
        <v>3650</v>
      </c>
      <c r="E10" s="29">
        <v>35922.277999999998</v>
      </c>
      <c r="F10" s="30">
        <v>6.8716333003658603</v>
      </c>
      <c r="G10" s="29">
        <v>18.175899999999999</v>
      </c>
    </row>
    <row r="11" spans="1:7" x14ac:dyDescent="0.2">
      <c r="A11" s="27" t="s">
        <v>1137</v>
      </c>
      <c r="B11" s="27" t="s">
        <v>1138</v>
      </c>
      <c r="C11" s="27" t="s">
        <v>838</v>
      </c>
      <c r="D11" s="31">
        <v>2000</v>
      </c>
      <c r="E11" s="29">
        <v>23798.46</v>
      </c>
      <c r="F11" s="30">
        <v>4.5524476547234798</v>
      </c>
      <c r="G11" s="29">
        <v>4.2199</v>
      </c>
    </row>
    <row r="12" spans="1:7" x14ac:dyDescent="0.2">
      <c r="A12" s="27" t="s">
        <v>1113</v>
      </c>
      <c r="B12" s="27" t="s">
        <v>1114</v>
      </c>
      <c r="C12" s="27" t="s">
        <v>1069</v>
      </c>
      <c r="D12" s="31">
        <v>2350</v>
      </c>
      <c r="E12" s="29">
        <v>23466.16</v>
      </c>
      <c r="F12" s="30">
        <v>4.4888814258303302</v>
      </c>
      <c r="G12" s="29">
        <v>12.5343</v>
      </c>
    </row>
    <row r="13" spans="1:7" x14ac:dyDescent="0.2">
      <c r="A13" s="27" t="s">
        <v>1139</v>
      </c>
      <c r="B13" s="27" t="s">
        <v>1140</v>
      </c>
      <c r="C13" s="27" t="s">
        <v>1069</v>
      </c>
      <c r="D13" s="31">
        <v>2000</v>
      </c>
      <c r="E13" s="29">
        <v>19982.740000000002</v>
      </c>
      <c r="F13" s="30">
        <v>3.82253212384117</v>
      </c>
      <c r="G13" s="29">
        <v>12.510400000000001</v>
      </c>
    </row>
    <row r="14" spans="1:7" x14ac:dyDescent="0.2">
      <c r="A14" s="27" t="s">
        <v>1141</v>
      </c>
      <c r="B14" s="27" t="s">
        <v>1142</v>
      </c>
      <c r="C14" s="27" t="s">
        <v>1022</v>
      </c>
      <c r="D14" s="31">
        <v>1910</v>
      </c>
      <c r="E14" s="29">
        <v>19151.6273</v>
      </c>
      <c r="F14" s="30">
        <v>3.6635471701119799</v>
      </c>
      <c r="G14" s="29">
        <v>7.3643999999999998</v>
      </c>
    </row>
    <row r="15" spans="1:7" x14ac:dyDescent="0.2">
      <c r="A15" s="27" t="s">
        <v>32</v>
      </c>
      <c r="B15" s="27" t="s">
        <v>31</v>
      </c>
      <c r="C15" s="27" t="s">
        <v>30</v>
      </c>
      <c r="D15" s="31">
        <v>1301</v>
      </c>
      <c r="E15" s="29">
        <v>13046.779270000001</v>
      </c>
      <c r="F15" s="30">
        <v>2.4957404676355699</v>
      </c>
      <c r="G15" s="29">
        <v>7.1246999999999998</v>
      </c>
    </row>
    <row r="16" spans="1:7" x14ac:dyDescent="0.2">
      <c r="A16" s="27" t="s">
        <v>1143</v>
      </c>
      <c r="B16" s="27" t="s">
        <v>1144</v>
      </c>
      <c r="C16" s="27" t="s">
        <v>1069</v>
      </c>
      <c r="D16" s="31">
        <v>1000</v>
      </c>
      <c r="E16" s="29">
        <v>10032.200000000001</v>
      </c>
      <c r="F16" s="30">
        <v>1.9190765016608999</v>
      </c>
      <c r="G16" s="29">
        <v>12.51</v>
      </c>
    </row>
    <row r="17" spans="1:7" x14ac:dyDescent="0.2">
      <c r="A17" s="27" t="s">
        <v>1145</v>
      </c>
      <c r="B17" s="27" t="s">
        <v>1146</v>
      </c>
      <c r="C17" s="27" t="s">
        <v>1069</v>
      </c>
      <c r="D17" s="31">
        <v>1000</v>
      </c>
      <c r="E17" s="29">
        <v>10028.24</v>
      </c>
      <c r="F17" s="30">
        <v>1.91831898656485</v>
      </c>
      <c r="G17" s="29">
        <v>13.3042</v>
      </c>
    </row>
    <row r="18" spans="1:7" x14ac:dyDescent="0.2">
      <c r="A18" s="27" t="s">
        <v>1147</v>
      </c>
      <c r="B18" s="27" t="s">
        <v>1148</v>
      </c>
      <c r="C18" s="27" t="s">
        <v>1069</v>
      </c>
      <c r="D18" s="31">
        <v>1000</v>
      </c>
      <c r="E18" s="29">
        <v>10017.030000000001</v>
      </c>
      <c r="F18" s="30">
        <v>1.9161746067096299</v>
      </c>
      <c r="G18" s="29">
        <v>12.5306</v>
      </c>
    </row>
    <row r="19" spans="1:7" x14ac:dyDescent="0.2">
      <c r="A19" s="27" t="s">
        <v>1149</v>
      </c>
      <c r="B19" s="27" t="s">
        <v>1150</v>
      </c>
      <c r="C19" s="27" t="s">
        <v>1022</v>
      </c>
      <c r="D19" s="31">
        <v>1000</v>
      </c>
      <c r="E19" s="29">
        <v>10007.879999999999</v>
      </c>
      <c r="F19" s="30">
        <v>1.9144242877377</v>
      </c>
      <c r="G19" s="29">
        <v>6.9946000000000002</v>
      </c>
    </row>
    <row r="20" spans="1:7" x14ac:dyDescent="0.2">
      <c r="A20" s="27" t="s">
        <v>1053</v>
      </c>
      <c r="B20" s="27" t="s">
        <v>1054</v>
      </c>
      <c r="C20" s="27" t="s">
        <v>1014</v>
      </c>
      <c r="D20" s="31">
        <v>938</v>
      </c>
      <c r="E20" s="29">
        <v>9461.6998000000003</v>
      </c>
      <c r="F20" s="30">
        <v>1.8099445537319501</v>
      </c>
      <c r="G20" s="29">
        <v>8.2799999999999994</v>
      </c>
    </row>
    <row r="21" spans="1:7" x14ac:dyDescent="0.2">
      <c r="A21" s="27" t="s">
        <v>1151</v>
      </c>
      <c r="B21" s="27" t="s">
        <v>1152</v>
      </c>
      <c r="C21" s="27" t="s">
        <v>1069</v>
      </c>
      <c r="D21" s="31">
        <v>900</v>
      </c>
      <c r="E21" s="29">
        <v>9031.7970000000005</v>
      </c>
      <c r="F21" s="30">
        <v>1.7277077201881399</v>
      </c>
      <c r="G21" s="29">
        <v>13.414999999999999</v>
      </c>
    </row>
    <row r="22" spans="1:7" x14ac:dyDescent="0.2">
      <c r="A22" s="27" t="s">
        <v>1153</v>
      </c>
      <c r="B22" s="27" t="s">
        <v>1154</v>
      </c>
      <c r="C22" s="27" t="s">
        <v>1155</v>
      </c>
      <c r="D22" s="31">
        <v>750</v>
      </c>
      <c r="E22" s="29">
        <v>7532.07</v>
      </c>
      <c r="F22" s="30">
        <v>1.4408224064377699</v>
      </c>
      <c r="G22" s="29">
        <v>6.6745000000000001</v>
      </c>
    </row>
    <row r="23" spans="1:7" x14ac:dyDescent="0.2">
      <c r="A23" s="27" t="s">
        <v>1108</v>
      </c>
      <c r="B23" s="27" t="s">
        <v>1109</v>
      </c>
      <c r="C23" s="27" t="s">
        <v>1110</v>
      </c>
      <c r="D23" s="31">
        <v>750</v>
      </c>
      <c r="E23" s="29">
        <v>7503.6149999999998</v>
      </c>
      <c r="F23" s="30">
        <v>1.4353792013726101</v>
      </c>
      <c r="G23" s="29">
        <v>8.5496999999999996</v>
      </c>
    </row>
    <row r="24" spans="1:7" x14ac:dyDescent="0.2">
      <c r="A24" s="27" t="s">
        <v>1059</v>
      </c>
      <c r="B24" s="27" t="s">
        <v>1060</v>
      </c>
      <c r="C24" s="27" t="s">
        <v>1022</v>
      </c>
      <c r="D24" s="31">
        <v>670</v>
      </c>
      <c r="E24" s="29">
        <v>6777.8271999999997</v>
      </c>
      <c r="F24" s="30">
        <v>1.29654202586054</v>
      </c>
      <c r="G24" s="29">
        <v>4.7949999999999999</v>
      </c>
    </row>
    <row r="25" spans="1:7" x14ac:dyDescent="0.2">
      <c r="A25" s="27" t="s">
        <v>1156</v>
      </c>
      <c r="B25" s="27" t="s">
        <v>1157</v>
      </c>
      <c r="C25" s="27" t="s">
        <v>911</v>
      </c>
      <c r="D25" s="31">
        <v>550</v>
      </c>
      <c r="E25" s="29">
        <v>5513.2165000000005</v>
      </c>
      <c r="F25" s="30">
        <v>1.0546325067003399</v>
      </c>
      <c r="G25" s="29">
        <v>6.3150000000000004</v>
      </c>
    </row>
    <row r="26" spans="1:7" x14ac:dyDescent="0.2">
      <c r="A26" s="27" t="s">
        <v>1039</v>
      </c>
      <c r="B26" s="27" t="s">
        <v>1040</v>
      </c>
      <c r="C26" s="27" t="s">
        <v>1041</v>
      </c>
      <c r="D26" s="31">
        <v>500</v>
      </c>
      <c r="E26" s="29">
        <v>5317.5950000000003</v>
      </c>
      <c r="F26" s="30">
        <v>1.0172117391847799</v>
      </c>
      <c r="G26" s="29">
        <v>6.0118999999999998</v>
      </c>
    </row>
    <row r="27" spans="1:7" x14ac:dyDescent="0.2">
      <c r="A27" s="27" t="s">
        <v>1027</v>
      </c>
      <c r="B27" s="27" t="s">
        <v>1028</v>
      </c>
      <c r="C27" s="27" t="s">
        <v>30</v>
      </c>
      <c r="D27" s="31">
        <v>502</v>
      </c>
      <c r="E27" s="29">
        <v>5055.9130800000003</v>
      </c>
      <c r="F27" s="30">
        <v>0.96715416222443795</v>
      </c>
      <c r="G27" s="29">
        <v>4.2251000000000003</v>
      </c>
    </row>
    <row r="28" spans="1:7" x14ac:dyDescent="0.2">
      <c r="A28" s="27" t="s">
        <v>1158</v>
      </c>
      <c r="B28" s="27" t="s">
        <v>1159</v>
      </c>
      <c r="C28" s="27" t="s">
        <v>911</v>
      </c>
      <c r="D28" s="31">
        <v>300000</v>
      </c>
      <c r="E28" s="29">
        <v>3016.8</v>
      </c>
      <c r="F28" s="30">
        <v>0.57708877317144902</v>
      </c>
      <c r="G28" s="29">
        <v>6.6246</v>
      </c>
    </row>
    <row r="29" spans="1:7" x14ac:dyDescent="0.2">
      <c r="A29" s="27" t="s">
        <v>1124</v>
      </c>
      <c r="B29" s="27" t="s">
        <v>1125</v>
      </c>
      <c r="C29" s="27" t="s">
        <v>990</v>
      </c>
      <c r="D29" s="31">
        <v>280</v>
      </c>
      <c r="E29" s="29">
        <v>2826.4263999999998</v>
      </c>
      <c r="F29" s="30">
        <v>0.54067188532066901</v>
      </c>
      <c r="G29" s="29">
        <v>7.9470000000000001</v>
      </c>
    </row>
    <row r="30" spans="1:7" x14ac:dyDescent="0.2">
      <c r="A30" s="27" t="s">
        <v>1160</v>
      </c>
      <c r="B30" s="27" t="s">
        <v>1161</v>
      </c>
      <c r="C30" s="27" t="s">
        <v>1036</v>
      </c>
      <c r="D30" s="31">
        <v>500</v>
      </c>
      <c r="E30" s="29">
        <v>1250.7550000000001</v>
      </c>
      <c r="F30" s="30">
        <v>0.2392590388783</v>
      </c>
      <c r="G30" s="29">
        <v>8.7942999999999998</v>
      </c>
    </row>
    <row r="31" spans="1:7" x14ac:dyDescent="0.2">
      <c r="A31" s="27" t="s">
        <v>1012</v>
      </c>
      <c r="B31" s="27" t="s">
        <v>1013</v>
      </c>
      <c r="C31" s="27" t="s">
        <v>1014</v>
      </c>
      <c r="D31" s="31">
        <v>61</v>
      </c>
      <c r="E31" s="29">
        <v>622.61479999999995</v>
      </c>
      <c r="F31" s="30">
        <v>0.11910103788464201</v>
      </c>
      <c r="G31" s="29">
        <v>8.8696999999999999</v>
      </c>
    </row>
    <row r="32" spans="1:7" x14ac:dyDescent="0.2">
      <c r="A32" s="27" t="s">
        <v>1048</v>
      </c>
      <c r="B32" s="27" t="s">
        <v>1035</v>
      </c>
      <c r="C32" s="27" t="s">
        <v>1036</v>
      </c>
      <c r="D32" s="31">
        <v>70</v>
      </c>
      <c r="E32" s="29">
        <v>611.10350000000005</v>
      </c>
      <c r="F32" s="30">
        <v>0.116899021842939</v>
      </c>
      <c r="G32" s="29">
        <v>21.172799999999999</v>
      </c>
    </row>
    <row r="33" spans="1:9" x14ac:dyDescent="0.2">
      <c r="A33" s="27" t="s">
        <v>1162</v>
      </c>
      <c r="B33" s="27" t="s">
        <v>1163</v>
      </c>
      <c r="C33" s="27" t="s">
        <v>30</v>
      </c>
      <c r="D33" s="31">
        <v>34</v>
      </c>
      <c r="E33" s="29">
        <v>343.91</v>
      </c>
      <c r="F33" s="30">
        <v>6.5787125424752402E-2</v>
      </c>
      <c r="G33" s="29">
        <v>5.1886999999999999</v>
      </c>
    </row>
    <row r="34" spans="1:9" x14ac:dyDescent="0.2">
      <c r="A34" s="27" t="s">
        <v>888</v>
      </c>
      <c r="B34" s="27" t="s">
        <v>889</v>
      </c>
      <c r="C34" s="27" t="s">
        <v>33</v>
      </c>
      <c r="D34" s="31">
        <v>22</v>
      </c>
      <c r="E34" s="29">
        <v>225.14294000000001</v>
      </c>
      <c r="F34" s="30">
        <v>4.3067973691598101E-2</v>
      </c>
      <c r="G34" s="29">
        <v>3.9449999999999998</v>
      </c>
    </row>
    <row r="35" spans="1:9" x14ac:dyDescent="0.2">
      <c r="A35" s="26" t="s">
        <v>34</v>
      </c>
      <c r="B35" s="26"/>
      <c r="C35" s="26"/>
      <c r="D35" s="32"/>
      <c r="E35" s="33">
        <f>SUM(E6:E34)</f>
        <v>374712.34479</v>
      </c>
      <c r="F35" s="34">
        <f>SUM(F6:F34)</f>
        <v>71.679358043973096</v>
      </c>
      <c r="G35" s="33"/>
      <c r="H35" s="18"/>
      <c r="I35" s="18"/>
    </row>
    <row r="36" spans="1:9" x14ac:dyDescent="0.2">
      <c r="A36" s="27"/>
      <c r="B36" s="27"/>
      <c r="C36" s="27"/>
      <c r="D36" s="28"/>
      <c r="E36" s="29"/>
      <c r="F36" s="30"/>
      <c r="G36" s="29"/>
    </row>
    <row r="37" spans="1:9" x14ac:dyDescent="0.2">
      <c r="A37" s="26" t="s">
        <v>942</v>
      </c>
      <c r="B37" s="27"/>
      <c r="C37" s="27"/>
      <c r="D37" s="28"/>
      <c r="E37" s="29"/>
      <c r="F37" s="30"/>
      <c r="G37" s="29"/>
    </row>
    <row r="38" spans="1:9" x14ac:dyDescent="0.2">
      <c r="A38" s="27" t="s">
        <v>1164</v>
      </c>
      <c r="B38" s="27" t="s">
        <v>1165</v>
      </c>
      <c r="C38" s="27" t="s">
        <v>1069</v>
      </c>
      <c r="D38" s="31">
        <v>1000</v>
      </c>
      <c r="E38" s="29">
        <v>10037.049999999999</v>
      </c>
      <c r="F38" s="30">
        <v>1.9200042663618699</v>
      </c>
      <c r="G38" s="29">
        <v>13.541</v>
      </c>
    </row>
    <row r="39" spans="1:9" x14ac:dyDescent="0.2">
      <c r="A39" s="27" t="s">
        <v>1166</v>
      </c>
      <c r="B39" s="27" t="s">
        <v>1167</v>
      </c>
      <c r="C39" s="27" t="s">
        <v>1069</v>
      </c>
      <c r="D39" s="31">
        <v>850</v>
      </c>
      <c r="E39" s="29">
        <v>8534.2890000000007</v>
      </c>
      <c r="F39" s="30">
        <v>1.6325385736212501</v>
      </c>
      <c r="G39" s="29">
        <v>12.355</v>
      </c>
    </row>
    <row r="40" spans="1:9" x14ac:dyDescent="0.2">
      <c r="A40" s="26" t="s">
        <v>34</v>
      </c>
      <c r="B40" s="26"/>
      <c r="C40" s="26"/>
      <c r="D40" s="32"/>
      <c r="E40" s="33">
        <f>SUM(E37:E39)</f>
        <v>18571.339</v>
      </c>
      <c r="F40" s="34">
        <f>SUM(F37:F39)</f>
        <v>3.5525428399831203</v>
      </c>
      <c r="G40" s="33"/>
      <c r="H40" s="18"/>
      <c r="I40" s="18"/>
    </row>
    <row r="41" spans="1:9" x14ac:dyDescent="0.2">
      <c r="A41" s="27"/>
      <c r="B41" s="27"/>
      <c r="C41" s="27"/>
      <c r="D41" s="28"/>
      <c r="E41" s="29"/>
      <c r="F41" s="30"/>
      <c r="G41" s="29"/>
    </row>
    <row r="42" spans="1:9" x14ac:dyDescent="0.2">
      <c r="A42" s="26" t="s">
        <v>35</v>
      </c>
      <c r="B42" s="27"/>
      <c r="C42" s="27"/>
      <c r="D42" s="28"/>
      <c r="E42" s="29"/>
      <c r="F42" s="30"/>
      <c r="G42" s="29"/>
    </row>
    <row r="43" spans="1:9" x14ac:dyDescent="0.2">
      <c r="A43" s="27" t="s">
        <v>1088</v>
      </c>
      <c r="B43" s="27" t="s">
        <v>1089</v>
      </c>
      <c r="C43" s="27" t="s">
        <v>1090</v>
      </c>
      <c r="D43" s="31">
        <v>3664186.02</v>
      </c>
      <c r="E43" s="29">
        <v>122813.93721</v>
      </c>
      <c r="F43" s="30">
        <v>23.493285717606199</v>
      </c>
      <c r="G43" s="29">
        <v>3.3814000000000002</v>
      </c>
    </row>
    <row r="44" spans="1:9" x14ac:dyDescent="0.2">
      <c r="A44" s="26" t="s">
        <v>34</v>
      </c>
      <c r="B44" s="26"/>
      <c r="C44" s="26"/>
      <c r="D44" s="32"/>
      <c r="E44" s="33">
        <f>SUM(E43:E43)</f>
        <v>122813.93721</v>
      </c>
      <c r="F44" s="34">
        <f>SUM(F43:F43)</f>
        <v>23.493285717606199</v>
      </c>
      <c r="G44" s="33"/>
    </row>
    <row r="45" spans="1:9" x14ac:dyDescent="0.2">
      <c r="A45" s="27"/>
      <c r="B45" s="27"/>
      <c r="C45" s="27"/>
      <c r="D45" s="28"/>
      <c r="E45" s="29"/>
      <c r="F45" s="30"/>
      <c r="G45" s="29"/>
    </row>
    <row r="46" spans="1:9" x14ac:dyDescent="0.2">
      <c r="A46" s="26" t="s">
        <v>36</v>
      </c>
      <c r="B46" s="26"/>
      <c r="C46" s="26"/>
      <c r="D46" s="32"/>
      <c r="E46" s="33">
        <f>E35+E40+E44</f>
        <v>516097.62099999998</v>
      </c>
      <c r="F46" s="33">
        <f>F35+F40+F44</f>
        <v>98.725186601562413</v>
      </c>
      <c r="G46" s="33"/>
      <c r="H46" s="18"/>
      <c r="I46" s="18"/>
    </row>
    <row r="47" spans="1:9" x14ac:dyDescent="0.2">
      <c r="A47" s="26"/>
      <c r="B47" s="26"/>
      <c r="C47" s="26"/>
      <c r="D47" s="32"/>
      <c r="E47" s="33"/>
      <c r="F47" s="34"/>
      <c r="G47" s="33"/>
      <c r="H47" s="18"/>
      <c r="I47" s="18"/>
    </row>
    <row r="48" spans="1:9" x14ac:dyDescent="0.2">
      <c r="A48" s="26" t="s">
        <v>38</v>
      </c>
      <c r="B48" s="26"/>
      <c r="C48" s="26"/>
      <c r="D48" s="32"/>
      <c r="E48" s="33">
        <f>E50-(E35+E40+E44)</f>
        <v>6664.2382233000244</v>
      </c>
      <c r="F48" s="33">
        <f>F50-(F35+F40+F44)</f>
        <v>1.2748133984375869</v>
      </c>
      <c r="G48" s="33"/>
      <c r="H48" s="18"/>
      <c r="I48" s="18"/>
    </row>
    <row r="49" spans="1:9" x14ac:dyDescent="0.2">
      <c r="A49" s="26"/>
      <c r="B49" s="26"/>
      <c r="C49" s="26"/>
      <c r="D49" s="32"/>
      <c r="E49" s="33"/>
      <c r="F49" s="34"/>
      <c r="G49" s="33"/>
      <c r="H49" s="18"/>
      <c r="I49" s="18"/>
    </row>
    <row r="50" spans="1:9" x14ac:dyDescent="0.2">
      <c r="A50" s="35" t="s">
        <v>37</v>
      </c>
      <c r="B50" s="35"/>
      <c r="C50" s="35"/>
      <c r="D50" s="36"/>
      <c r="E50" s="37">
        <v>522761.85922330001</v>
      </c>
      <c r="F50" s="38">
        <v>100</v>
      </c>
      <c r="G50" s="37"/>
      <c r="H50" s="18"/>
      <c r="I50" s="18"/>
    </row>
    <row r="52" spans="1:9" x14ac:dyDescent="0.2">
      <c r="A52" s="18" t="s">
        <v>39</v>
      </c>
    </row>
    <row r="53" spans="1:9" x14ac:dyDescent="0.2">
      <c r="A53" s="18" t="s">
        <v>1434</v>
      </c>
    </row>
    <row r="55" spans="1:9" x14ac:dyDescent="0.2">
      <c r="A55" s="18" t="s">
        <v>40</v>
      </c>
    </row>
    <row r="56" spans="1:9" x14ac:dyDescent="0.2">
      <c r="A56" s="18" t="s">
        <v>41</v>
      </c>
    </row>
    <row r="57" spans="1:9" x14ac:dyDescent="0.2">
      <c r="A57" s="18" t="s">
        <v>42</v>
      </c>
      <c r="B57" s="18"/>
      <c r="C57" s="39" t="s">
        <v>44</v>
      </c>
      <c r="D57" s="19" t="s">
        <v>43</v>
      </c>
    </row>
    <row r="58" spans="1:9" x14ac:dyDescent="0.2">
      <c r="A58" s="9" t="s">
        <v>1461</v>
      </c>
      <c r="C58" s="40">
        <v>27.068999999999999</v>
      </c>
      <c r="D58" s="40">
        <v>28.0337</v>
      </c>
    </row>
    <row r="59" spans="1:9" x14ac:dyDescent="0.2">
      <c r="A59" s="9" t="s">
        <v>1462</v>
      </c>
      <c r="C59" s="40">
        <v>10.205500000000001</v>
      </c>
      <c r="D59" s="40">
        <v>10.569100000000001</v>
      </c>
    </row>
    <row r="60" spans="1:9" x14ac:dyDescent="0.2">
      <c r="A60" s="9" t="s">
        <v>1463</v>
      </c>
      <c r="C60" s="40">
        <v>10.289899999999999</v>
      </c>
      <c r="D60" s="40">
        <v>10.656499999999999</v>
      </c>
    </row>
    <row r="61" spans="1:9" x14ac:dyDescent="0.2">
      <c r="A61" s="9" t="s">
        <v>1464</v>
      </c>
      <c r="C61" s="40">
        <v>27.7559</v>
      </c>
      <c r="D61" s="40">
        <v>28.756900000000002</v>
      </c>
    </row>
    <row r="62" spans="1:9" x14ac:dyDescent="0.2">
      <c r="A62" s="9" t="s">
        <v>1465</v>
      </c>
      <c r="C62" s="40">
        <v>10.165100000000001</v>
      </c>
      <c r="D62" s="40">
        <v>10.531499999999999</v>
      </c>
    </row>
    <row r="63" spans="1:9" x14ac:dyDescent="0.2">
      <c r="A63" s="9" t="s">
        <v>774</v>
      </c>
      <c r="C63" s="40">
        <v>28.682600000000001</v>
      </c>
      <c r="D63" s="40">
        <v>29.725300000000001</v>
      </c>
    </row>
    <row r="64" spans="1:9" x14ac:dyDescent="0.2">
      <c r="A64" s="9" t="s">
        <v>1169</v>
      </c>
      <c r="C64" s="40">
        <v>10.251799999999999</v>
      </c>
      <c r="D64" s="40">
        <v>10.624499999999999</v>
      </c>
    </row>
    <row r="65" spans="1:7" x14ac:dyDescent="0.2">
      <c r="A65" s="9" t="s">
        <v>776</v>
      </c>
      <c r="C65" s="40">
        <v>10.2784</v>
      </c>
      <c r="D65" s="40">
        <v>10.652100000000001</v>
      </c>
    </row>
    <row r="66" spans="1:7" x14ac:dyDescent="0.2">
      <c r="A66" s="9" t="s">
        <v>1170</v>
      </c>
      <c r="C66" s="40">
        <v>28.849900000000002</v>
      </c>
      <c r="D66" s="40">
        <v>29.9099</v>
      </c>
    </row>
    <row r="67" spans="1:7" x14ac:dyDescent="0.2">
      <c r="A67" s="9" t="s">
        <v>1171</v>
      </c>
      <c r="C67" s="40">
        <v>10.239699999999999</v>
      </c>
      <c r="D67" s="40">
        <v>10.6159</v>
      </c>
    </row>
    <row r="68" spans="1:7" x14ac:dyDescent="0.2">
      <c r="A68" s="9" t="s">
        <v>1172</v>
      </c>
      <c r="C68" s="40">
        <v>10.2775</v>
      </c>
      <c r="D68" s="40">
        <v>10.655099999999999</v>
      </c>
    </row>
    <row r="69" spans="1:7" x14ac:dyDescent="0.2">
      <c r="C69" s="40"/>
      <c r="D69" s="40"/>
    </row>
    <row r="70" spans="1:7" x14ac:dyDescent="0.2">
      <c r="A70" s="9" t="s">
        <v>782</v>
      </c>
      <c r="C70" s="40"/>
      <c r="D70" s="40"/>
    </row>
    <row r="72" spans="1:7" x14ac:dyDescent="0.2">
      <c r="A72" s="48" t="s">
        <v>1429</v>
      </c>
    </row>
    <row r="74" spans="1:7" x14ac:dyDescent="0.2">
      <c r="A74" s="18" t="s">
        <v>1560</v>
      </c>
      <c r="D74" s="41" t="s">
        <v>45</v>
      </c>
    </row>
    <row r="76" spans="1:7" x14ac:dyDescent="0.2">
      <c r="A76" s="18" t="s">
        <v>783</v>
      </c>
      <c r="D76" s="42">
        <v>0.92731229789041125</v>
      </c>
      <c r="E76" s="13" t="s">
        <v>46</v>
      </c>
    </row>
    <row r="78" spans="1:7" x14ac:dyDescent="0.2">
      <c r="A78" s="18" t="s">
        <v>717</v>
      </c>
      <c r="D78" s="41" t="s">
        <v>45</v>
      </c>
    </row>
    <row r="80" spans="1:7" ht="25.05" customHeight="1" x14ac:dyDescent="0.2">
      <c r="A80" s="104" t="s">
        <v>1173</v>
      </c>
      <c r="B80" s="104"/>
      <c r="C80" s="104"/>
      <c r="D80" s="104"/>
      <c r="E80" s="104"/>
      <c r="F80" s="104"/>
      <c r="G80" s="104"/>
    </row>
    <row r="81" spans="1:7" ht="14.4" x14ac:dyDescent="0.3">
      <c r="A81" s="43"/>
    </row>
    <row r="82" spans="1:7" ht="15" customHeight="1" x14ac:dyDescent="0.2">
      <c r="A82" s="90" t="s">
        <v>956</v>
      </c>
      <c r="B82" s="91"/>
      <c r="C82" s="91"/>
      <c r="D82" s="91"/>
      <c r="E82" s="91"/>
      <c r="F82" s="91"/>
      <c r="G82" s="91"/>
    </row>
    <row r="83" spans="1:7" x14ac:dyDescent="0.2">
      <c r="A83" s="50" t="s">
        <v>47</v>
      </c>
    </row>
    <row r="84" spans="1:7" x14ac:dyDescent="0.2">
      <c r="A84" s="50"/>
    </row>
    <row r="85" spans="1:7" x14ac:dyDescent="0.2">
      <c r="A85" s="18" t="s">
        <v>1565</v>
      </c>
    </row>
  </sheetData>
  <mergeCells count="3">
    <mergeCell ref="A1:G1"/>
    <mergeCell ref="A80:G80"/>
    <mergeCell ref="A82:G82"/>
  </mergeCells>
  <conditionalFormatting sqref="F2:F3 F5:F41 F47 F49:F79 F86:F65522 F45 F84">
    <cfRule type="cellIs" dxfId="45" priority="6" stopIfTrue="1" operator="between">
      <formula>0.009</formula>
      <formula>-0.009</formula>
    </cfRule>
  </conditionalFormatting>
  <conditionalFormatting sqref="F81">
    <cfRule type="cellIs" dxfId="44" priority="5" stopIfTrue="1" operator="between">
      <formula>0.009</formula>
      <formula>-0.009</formula>
    </cfRule>
  </conditionalFormatting>
  <conditionalFormatting sqref="F83">
    <cfRule type="cellIs" dxfId="43" priority="2" stopIfTrue="1" operator="between">
      <formula>0.009</formula>
      <formula>-0.009</formula>
    </cfRule>
  </conditionalFormatting>
  <conditionalFormatting sqref="F85">
    <cfRule type="cellIs" dxfId="42" priority="4" stopIfTrue="1" operator="between">
      <formula>0.009</formula>
      <formula>-0.009</formula>
    </cfRule>
  </conditionalFormatting>
  <conditionalFormatting sqref="F42:F44">
    <cfRule type="cellIs" dxfId="41" priority="1" stopIfTrue="1" operator="between">
      <formula>0.009</formula>
      <formula>-0.009</formula>
    </cfRule>
  </conditionalFormatting>
  <hyperlinks>
    <hyperlink ref="A83" r:id="rId1" xr:uid="{00000000-0004-0000-3A00-000000000000}"/>
  </hyperlinks>
  <pageMargins left="0.7" right="0.7" top="0.75" bottom="0.75" header="0.3" footer="0.3"/>
  <pageSetup paperSize="9" scale="46" orientation="portrait" r:id="rId2"/>
  <headerFooter>
    <oddFooter>&amp;R&amp;1#&amp;"Calibri"&amp;10&amp;KFF0000|PUBLIC|</oddFooter>
    <evenFooter>&amp;LPUBLIC</evenFooter>
    <firstFooter>&amp;LPUBLIC</firstFooter>
  </headerFooter>
  <colBreaks count="1" manualBreakCount="1">
    <brk id="7" max="1048575" man="1"/>
  </colBreaks>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I236"/>
  <sheetViews>
    <sheetView view="pageBreakPreview" zoomScale="106" zoomScaleNormal="100" zoomScaleSheetLayoutView="106" workbookViewId="0">
      <selection sqref="A1:G1"/>
    </sheetView>
  </sheetViews>
  <sheetFormatPr defaultColWidth="9.21875" defaultRowHeight="10.199999999999999" x14ac:dyDescent="0.2"/>
  <cols>
    <col min="1" max="1" width="38.77734375" style="9" bestFit="1" customWidth="1"/>
    <col min="2" max="2" width="69.21875" style="9" bestFit="1" customWidth="1"/>
    <col min="3" max="3" width="15.44140625" style="9" bestFit="1" customWidth="1"/>
    <col min="4" max="4" width="15.44140625" style="10" bestFit="1" customWidth="1"/>
    <col min="5" max="5" width="23" style="13" bestFit="1" customWidth="1"/>
    <col min="6" max="6" width="13.5546875" style="14" bestFit="1" customWidth="1"/>
    <col min="7" max="7" width="14.21875" style="13" customWidth="1"/>
    <col min="8" max="16384" width="9.21875" style="9"/>
  </cols>
  <sheetData>
    <row r="1" spans="1:7" s="1" customFormat="1" ht="13.8" x14ac:dyDescent="0.2">
      <c r="A1" s="92" t="s">
        <v>1556</v>
      </c>
      <c r="B1" s="93"/>
      <c r="C1" s="93"/>
      <c r="D1" s="93"/>
      <c r="E1" s="93"/>
      <c r="F1" s="93"/>
      <c r="G1" s="93"/>
    </row>
    <row r="2" spans="1:7" s="1" customFormat="1" ht="12" x14ac:dyDescent="0.25">
      <c r="A2" s="56" t="s">
        <v>1011</v>
      </c>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727</v>
      </c>
      <c r="D4" s="16" t="s">
        <v>1</v>
      </c>
      <c r="E4" s="15" t="s">
        <v>3</v>
      </c>
      <c r="F4" s="15" t="s">
        <v>4</v>
      </c>
      <c r="G4" s="15" t="s">
        <v>6</v>
      </c>
    </row>
    <row r="5" spans="1:7" x14ac:dyDescent="0.2">
      <c r="A5" s="21" t="s">
        <v>26</v>
      </c>
      <c r="B5" s="22"/>
      <c r="C5" s="22"/>
      <c r="D5" s="23"/>
      <c r="E5" s="24"/>
      <c r="F5" s="25"/>
      <c r="G5" s="24"/>
    </row>
    <row r="6" spans="1:7" x14ac:dyDescent="0.2">
      <c r="A6" s="26" t="s">
        <v>27</v>
      </c>
      <c r="B6" s="27"/>
      <c r="C6" s="27"/>
      <c r="D6" s="28"/>
      <c r="E6" s="29"/>
      <c r="F6" s="30"/>
      <c r="G6" s="29"/>
    </row>
    <row r="7" spans="1:7" x14ac:dyDescent="0.2">
      <c r="A7" s="27" t="s">
        <v>909</v>
      </c>
      <c r="B7" s="27" t="s">
        <v>910</v>
      </c>
      <c r="C7" s="27" t="s">
        <v>911</v>
      </c>
      <c r="D7" s="31">
        <v>7200</v>
      </c>
      <c r="E7" s="29">
        <v>73741.176000000007</v>
      </c>
      <c r="F7" s="30">
        <v>13.971532169093701</v>
      </c>
      <c r="G7" s="29">
        <v>9.75</v>
      </c>
    </row>
    <row r="8" spans="1:7" x14ac:dyDescent="0.2">
      <c r="A8" s="27" t="s">
        <v>1025</v>
      </c>
      <c r="B8" s="27" t="s">
        <v>1026</v>
      </c>
      <c r="C8" s="27" t="s">
        <v>1022</v>
      </c>
      <c r="D8" s="31">
        <v>4813</v>
      </c>
      <c r="E8" s="29">
        <v>38585.782500000001</v>
      </c>
      <c r="F8" s="30">
        <v>7.3107391380414297</v>
      </c>
      <c r="G8" s="29">
        <v>9.6891999999999996</v>
      </c>
    </row>
    <row r="9" spans="1:7" x14ac:dyDescent="0.2">
      <c r="A9" s="27" t="s">
        <v>1048</v>
      </c>
      <c r="B9" s="27" t="s">
        <v>1035</v>
      </c>
      <c r="C9" s="27" t="s">
        <v>1036</v>
      </c>
      <c r="D9" s="31">
        <v>3100</v>
      </c>
      <c r="E9" s="29">
        <v>27063.154999999999</v>
      </c>
      <c r="F9" s="30">
        <v>5.1275794771657601</v>
      </c>
      <c r="G9" s="29">
        <v>21.172799999999999</v>
      </c>
    </row>
    <row r="10" spans="1:7" x14ac:dyDescent="0.2">
      <c r="A10" s="27" t="s">
        <v>1174</v>
      </c>
      <c r="B10" s="27" t="s">
        <v>1175</v>
      </c>
      <c r="C10" s="27" t="s">
        <v>1014</v>
      </c>
      <c r="D10" s="31">
        <v>11135</v>
      </c>
      <c r="E10" s="29">
        <v>23639.49365</v>
      </c>
      <c r="F10" s="30">
        <v>4.4789080390046996</v>
      </c>
      <c r="G10" s="29">
        <v>8.7593999999999994</v>
      </c>
    </row>
    <row r="11" spans="1:7" x14ac:dyDescent="0.2">
      <c r="A11" s="27" t="s">
        <v>1176</v>
      </c>
      <c r="B11" s="27" t="s">
        <v>1177</v>
      </c>
      <c r="C11" s="27" t="s">
        <v>1014</v>
      </c>
      <c r="D11" s="31">
        <v>10675</v>
      </c>
      <c r="E11" s="29">
        <v>22535.287950000002</v>
      </c>
      <c r="F11" s="30">
        <v>4.2696973063355301</v>
      </c>
      <c r="G11" s="29">
        <v>8.4649999999999999</v>
      </c>
    </row>
    <row r="12" spans="1:7" x14ac:dyDescent="0.2">
      <c r="A12" s="27" t="s">
        <v>1017</v>
      </c>
      <c r="B12" s="27" t="s">
        <v>1018</v>
      </c>
      <c r="C12" s="27" t="s">
        <v>1019</v>
      </c>
      <c r="D12" s="31">
        <v>2020</v>
      </c>
      <c r="E12" s="29">
        <v>19880.274399999998</v>
      </c>
      <c r="F12" s="30">
        <v>3.7666593940678301</v>
      </c>
      <c r="G12" s="29">
        <v>18.175899999999999</v>
      </c>
    </row>
    <row r="13" spans="1:7" x14ac:dyDescent="0.2">
      <c r="A13" s="27" t="s">
        <v>1053</v>
      </c>
      <c r="B13" s="27" t="s">
        <v>1054</v>
      </c>
      <c r="C13" s="27" t="s">
        <v>1014</v>
      </c>
      <c r="D13" s="31">
        <v>1349</v>
      </c>
      <c r="E13" s="29">
        <v>13607.4979</v>
      </c>
      <c r="F13" s="30">
        <v>2.57817416216314</v>
      </c>
      <c r="G13" s="29">
        <v>8.2799999999999994</v>
      </c>
    </row>
    <row r="14" spans="1:7" x14ac:dyDescent="0.2">
      <c r="A14" s="27" t="s">
        <v>1122</v>
      </c>
      <c r="B14" s="27" t="s">
        <v>1123</v>
      </c>
      <c r="C14" s="27" t="s">
        <v>911</v>
      </c>
      <c r="D14" s="31">
        <v>1300</v>
      </c>
      <c r="E14" s="29">
        <v>13200.512000000001</v>
      </c>
      <c r="F14" s="30">
        <v>2.5010636941361901</v>
      </c>
      <c r="G14" s="29">
        <v>9.3290000000000006</v>
      </c>
    </row>
    <row r="15" spans="1:7" x14ac:dyDescent="0.2">
      <c r="A15" s="27" t="s">
        <v>1178</v>
      </c>
      <c r="B15" s="27" t="s">
        <v>1179</v>
      </c>
      <c r="C15" s="27" t="s">
        <v>1022</v>
      </c>
      <c r="D15" s="31">
        <v>1250</v>
      </c>
      <c r="E15" s="29">
        <v>12520.85</v>
      </c>
      <c r="F15" s="30">
        <v>2.3722900562285099</v>
      </c>
      <c r="G15" s="29">
        <v>7.8818999999999999</v>
      </c>
    </row>
    <row r="16" spans="1:7" x14ac:dyDescent="0.2">
      <c r="A16" s="27" t="s">
        <v>1180</v>
      </c>
      <c r="B16" s="27" t="s">
        <v>1181</v>
      </c>
      <c r="C16" s="27" t="s">
        <v>1036</v>
      </c>
      <c r="D16" s="31">
        <v>12500</v>
      </c>
      <c r="E16" s="29">
        <v>12286.25</v>
      </c>
      <c r="F16" s="30">
        <v>2.3278410573832899</v>
      </c>
      <c r="G16" s="29">
        <v>11.369199999999999</v>
      </c>
    </row>
    <row r="17" spans="1:7" x14ac:dyDescent="0.2">
      <c r="A17" s="27" t="s">
        <v>1046</v>
      </c>
      <c r="B17" s="27" t="s">
        <v>1047</v>
      </c>
      <c r="C17" s="27" t="s">
        <v>1019</v>
      </c>
      <c r="D17" s="31">
        <v>1000</v>
      </c>
      <c r="E17" s="29">
        <v>10000.450000000001</v>
      </c>
      <c r="F17" s="30">
        <v>1.89475699276091</v>
      </c>
      <c r="G17" s="29">
        <v>7.4617000000000004</v>
      </c>
    </row>
    <row r="18" spans="1:7" x14ac:dyDescent="0.2">
      <c r="A18" s="27" t="s">
        <v>1012</v>
      </c>
      <c r="B18" s="27" t="s">
        <v>1013</v>
      </c>
      <c r="C18" s="27" t="s">
        <v>1014</v>
      </c>
      <c r="D18" s="31">
        <v>879</v>
      </c>
      <c r="E18" s="29">
        <v>8971.7772000000004</v>
      </c>
      <c r="F18" s="30">
        <v>1.69985726514236</v>
      </c>
      <c r="G18" s="29">
        <v>8.8696999999999999</v>
      </c>
    </row>
    <row r="19" spans="1:7" x14ac:dyDescent="0.2">
      <c r="A19" s="27" t="s">
        <v>1034</v>
      </c>
      <c r="B19" s="27" t="s">
        <v>1035</v>
      </c>
      <c r="C19" s="27" t="s">
        <v>1036</v>
      </c>
      <c r="D19" s="31">
        <v>1000</v>
      </c>
      <c r="E19" s="29">
        <v>8734.44</v>
      </c>
      <c r="F19" s="30">
        <v>1.6548896567505</v>
      </c>
      <c r="G19" s="29">
        <v>21.123799999999999</v>
      </c>
    </row>
    <row r="20" spans="1:7" x14ac:dyDescent="0.2">
      <c r="A20" s="27" t="s">
        <v>1130</v>
      </c>
      <c r="B20" s="27" t="s">
        <v>1131</v>
      </c>
      <c r="C20" s="27" t="s">
        <v>1014</v>
      </c>
      <c r="D20" s="31">
        <v>822</v>
      </c>
      <c r="E20" s="29">
        <v>8397.1245600000002</v>
      </c>
      <c r="F20" s="30">
        <v>1.5909794538390101</v>
      </c>
      <c r="G20" s="29">
        <v>9.4644999999999992</v>
      </c>
    </row>
    <row r="21" spans="1:7" x14ac:dyDescent="0.2">
      <c r="A21" s="27" t="s">
        <v>1132</v>
      </c>
      <c r="B21" s="27" t="s">
        <v>1133</v>
      </c>
      <c r="C21" s="27" t="s">
        <v>1014</v>
      </c>
      <c r="D21" s="31">
        <v>822</v>
      </c>
      <c r="E21" s="29">
        <v>8373.6811199999993</v>
      </c>
      <c r="F21" s="30">
        <v>1.58653769153088</v>
      </c>
      <c r="G21" s="29">
        <v>9.8445999999999998</v>
      </c>
    </row>
    <row r="22" spans="1:7" x14ac:dyDescent="0.2">
      <c r="A22" s="27" t="s">
        <v>1182</v>
      </c>
      <c r="B22" s="27" t="s">
        <v>1183</v>
      </c>
      <c r="C22" s="27" t="s">
        <v>1014</v>
      </c>
      <c r="D22" s="31">
        <v>754</v>
      </c>
      <c r="E22" s="29">
        <v>7696.7942999999996</v>
      </c>
      <c r="F22" s="30">
        <v>1.45828985913307</v>
      </c>
      <c r="G22" s="29">
        <v>9.9149999999999991</v>
      </c>
    </row>
    <row r="23" spans="1:7" x14ac:dyDescent="0.2">
      <c r="A23" s="27" t="s">
        <v>1184</v>
      </c>
      <c r="B23" s="27" t="s">
        <v>1185</v>
      </c>
      <c r="C23" s="27" t="s">
        <v>1186</v>
      </c>
      <c r="D23" s="31">
        <v>690</v>
      </c>
      <c r="E23" s="29">
        <v>6775.3928999999998</v>
      </c>
      <c r="F23" s="30">
        <v>1.28371454044344</v>
      </c>
      <c r="G23" s="29">
        <v>11.975300000000001</v>
      </c>
    </row>
    <row r="24" spans="1:7" x14ac:dyDescent="0.2">
      <c r="A24" s="27" t="s">
        <v>1049</v>
      </c>
      <c r="B24" s="27" t="s">
        <v>1050</v>
      </c>
      <c r="C24" s="27" t="s">
        <v>30</v>
      </c>
      <c r="D24" s="31">
        <v>550</v>
      </c>
      <c r="E24" s="29">
        <v>5843.4639999999999</v>
      </c>
      <c r="F24" s="30">
        <v>1.10714460608739</v>
      </c>
      <c r="G24" s="29">
        <v>9.4518000000000004</v>
      </c>
    </row>
    <row r="25" spans="1:7" x14ac:dyDescent="0.2">
      <c r="A25" s="27" t="s">
        <v>892</v>
      </c>
      <c r="B25" s="27" t="s">
        <v>893</v>
      </c>
      <c r="C25" s="27" t="s">
        <v>894</v>
      </c>
      <c r="D25" s="31">
        <v>460</v>
      </c>
      <c r="E25" s="29">
        <v>5206.1466</v>
      </c>
      <c r="F25" s="30">
        <v>0.98639387984424898</v>
      </c>
      <c r="G25" s="29">
        <v>7.4999000000000002</v>
      </c>
    </row>
    <row r="26" spans="1:7" x14ac:dyDescent="0.2">
      <c r="A26" s="27" t="s">
        <v>1149</v>
      </c>
      <c r="B26" s="27" t="s">
        <v>1150</v>
      </c>
      <c r="C26" s="27" t="s">
        <v>1022</v>
      </c>
      <c r="D26" s="31">
        <v>500</v>
      </c>
      <c r="E26" s="29">
        <v>5003.9399999999996</v>
      </c>
      <c r="F26" s="30">
        <v>0.94808236692908998</v>
      </c>
      <c r="G26" s="29">
        <v>6.9946000000000002</v>
      </c>
    </row>
    <row r="27" spans="1:7" x14ac:dyDescent="0.2">
      <c r="A27" s="27" t="s">
        <v>1187</v>
      </c>
      <c r="B27" s="27" t="s">
        <v>1188</v>
      </c>
      <c r="C27" s="27" t="s">
        <v>1014</v>
      </c>
      <c r="D27" s="31">
        <v>2125</v>
      </c>
      <c r="E27" s="29">
        <v>4493.7077499999996</v>
      </c>
      <c r="F27" s="30">
        <v>0.85141010481892199</v>
      </c>
      <c r="G27" s="29">
        <v>9.1844999999999999</v>
      </c>
    </row>
    <row r="28" spans="1:7" x14ac:dyDescent="0.2">
      <c r="A28" s="27" t="s">
        <v>1055</v>
      </c>
      <c r="B28" s="27" t="s">
        <v>1056</v>
      </c>
      <c r="C28" s="27" t="s">
        <v>990</v>
      </c>
      <c r="D28" s="31">
        <v>370</v>
      </c>
      <c r="E28" s="29">
        <v>3721.6857</v>
      </c>
      <c r="F28" s="30">
        <v>0.70513726931620802</v>
      </c>
      <c r="G28" s="29">
        <v>7.5979999999999999</v>
      </c>
    </row>
    <row r="29" spans="1:7" x14ac:dyDescent="0.2">
      <c r="A29" s="27" t="s">
        <v>1189</v>
      </c>
      <c r="B29" s="27" t="s">
        <v>1190</v>
      </c>
      <c r="C29" s="27" t="s">
        <v>1121</v>
      </c>
      <c r="D29" s="31">
        <v>272</v>
      </c>
      <c r="E29" s="29">
        <v>2689.1687999999999</v>
      </c>
      <c r="F29" s="30">
        <v>0.509509210936954</v>
      </c>
      <c r="G29" s="29">
        <v>12.005000000000001</v>
      </c>
    </row>
    <row r="30" spans="1:7" x14ac:dyDescent="0.2">
      <c r="A30" s="27" t="s">
        <v>1126</v>
      </c>
      <c r="B30" s="27" t="s">
        <v>1127</v>
      </c>
      <c r="C30" s="27" t="s">
        <v>1014</v>
      </c>
      <c r="D30" s="31">
        <v>350</v>
      </c>
      <c r="E30" s="29">
        <v>2639.3141249999999</v>
      </c>
      <c r="F30" s="30">
        <v>0.50006338659124205</v>
      </c>
      <c r="G30" s="29">
        <v>8.1198999999999995</v>
      </c>
    </row>
    <row r="31" spans="1:7" x14ac:dyDescent="0.2">
      <c r="A31" s="27" t="s">
        <v>1141</v>
      </c>
      <c r="B31" s="27" t="s">
        <v>1142</v>
      </c>
      <c r="C31" s="27" t="s">
        <v>1022</v>
      </c>
      <c r="D31" s="31">
        <v>250</v>
      </c>
      <c r="E31" s="29">
        <v>2506.7575000000002</v>
      </c>
      <c r="F31" s="30">
        <v>0.474948257556495</v>
      </c>
      <c r="G31" s="29">
        <v>7.3643999999999998</v>
      </c>
    </row>
    <row r="32" spans="1:7" x14ac:dyDescent="0.2">
      <c r="A32" s="27" t="s">
        <v>1128</v>
      </c>
      <c r="B32" s="27" t="s">
        <v>1129</v>
      </c>
      <c r="C32" s="27" t="s">
        <v>1121</v>
      </c>
      <c r="D32" s="31">
        <v>240</v>
      </c>
      <c r="E32" s="29">
        <v>2292.4656</v>
      </c>
      <c r="F32" s="30">
        <v>0.43434697701241698</v>
      </c>
      <c r="G32" s="29">
        <v>14.13</v>
      </c>
    </row>
    <row r="33" spans="1:7" x14ac:dyDescent="0.2">
      <c r="A33" s="27" t="s">
        <v>1191</v>
      </c>
      <c r="B33" s="27" t="s">
        <v>1192</v>
      </c>
      <c r="C33" s="27" t="s">
        <v>1019</v>
      </c>
      <c r="D33" s="31">
        <v>200</v>
      </c>
      <c r="E33" s="29">
        <v>2003.9559999999999</v>
      </c>
      <c r="F33" s="30">
        <v>0.37968387864397901</v>
      </c>
      <c r="G33" s="29">
        <v>7.8449999999999998</v>
      </c>
    </row>
    <row r="34" spans="1:7" x14ac:dyDescent="0.2">
      <c r="A34" s="27" t="s">
        <v>1106</v>
      </c>
      <c r="B34" s="27" t="s">
        <v>1107</v>
      </c>
      <c r="C34" s="27" t="s">
        <v>990</v>
      </c>
      <c r="D34" s="31">
        <v>197</v>
      </c>
      <c r="E34" s="29">
        <v>1997.1229599999999</v>
      </c>
      <c r="F34" s="30">
        <v>0.37838924187045198</v>
      </c>
      <c r="G34" s="29">
        <v>10.242100000000001</v>
      </c>
    </row>
    <row r="35" spans="1:7" x14ac:dyDescent="0.2">
      <c r="A35" s="27" t="s">
        <v>1057</v>
      </c>
      <c r="B35" s="27" t="s">
        <v>1058</v>
      </c>
      <c r="C35" s="27" t="s">
        <v>30</v>
      </c>
      <c r="D35" s="31">
        <v>150</v>
      </c>
      <c r="E35" s="29">
        <v>1539.0150000000001</v>
      </c>
      <c r="F35" s="30">
        <v>0.29159282164441902</v>
      </c>
      <c r="G35" s="29">
        <v>8.3228000000000009</v>
      </c>
    </row>
    <row r="36" spans="1:7" x14ac:dyDescent="0.2">
      <c r="A36" s="27" t="s">
        <v>1193</v>
      </c>
      <c r="B36" s="27" t="s">
        <v>1194</v>
      </c>
      <c r="C36" s="27" t="s">
        <v>1036</v>
      </c>
      <c r="D36" s="31">
        <v>1400</v>
      </c>
      <c r="E36" s="29">
        <v>1405.0876000000001</v>
      </c>
      <c r="F36" s="30">
        <v>0.26621797574525602</v>
      </c>
      <c r="G36" s="29">
        <v>9.4219000000000008</v>
      </c>
    </row>
    <row r="37" spans="1:7" x14ac:dyDescent="0.2">
      <c r="A37" s="27" t="s">
        <v>1160</v>
      </c>
      <c r="B37" s="27" t="s">
        <v>1161</v>
      </c>
      <c r="C37" s="27" t="s">
        <v>1036</v>
      </c>
      <c r="D37" s="31">
        <v>500</v>
      </c>
      <c r="E37" s="29">
        <v>1250.7550000000001</v>
      </c>
      <c r="F37" s="30">
        <v>0.23697701428242399</v>
      </c>
      <c r="G37" s="29">
        <v>8.7942999999999998</v>
      </c>
    </row>
    <row r="38" spans="1:7" x14ac:dyDescent="0.2">
      <c r="A38" s="27" t="s">
        <v>1151</v>
      </c>
      <c r="B38" s="27" t="s">
        <v>1152</v>
      </c>
      <c r="C38" s="27" t="s">
        <v>1069</v>
      </c>
      <c r="D38" s="31">
        <v>100</v>
      </c>
      <c r="E38" s="29">
        <v>1003.533</v>
      </c>
      <c r="F38" s="30">
        <v>0.19013656077639801</v>
      </c>
      <c r="G38" s="29">
        <v>13.414999999999999</v>
      </c>
    </row>
    <row r="39" spans="1:7" x14ac:dyDescent="0.2">
      <c r="A39" s="27" t="s">
        <v>1023</v>
      </c>
      <c r="B39" s="27" t="s">
        <v>1024</v>
      </c>
      <c r="C39" s="27" t="s">
        <v>1019</v>
      </c>
      <c r="D39" s="31">
        <v>100</v>
      </c>
      <c r="E39" s="29">
        <v>1003.2329999999999</v>
      </c>
      <c r="F39" s="30">
        <v>0.19007972062442199</v>
      </c>
      <c r="G39" s="29">
        <v>8.1798999999999999</v>
      </c>
    </row>
    <row r="40" spans="1:7" x14ac:dyDescent="0.2">
      <c r="A40" s="27" t="s">
        <v>1195</v>
      </c>
      <c r="B40" s="27" t="s">
        <v>1196</v>
      </c>
      <c r="C40" s="27" t="s">
        <v>1014</v>
      </c>
      <c r="D40" s="31">
        <v>62</v>
      </c>
      <c r="E40" s="29">
        <v>630.86425999999994</v>
      </c>
      <c r="F40" s="30">
        <v>0.11952806804873101</v>
      </c>
      <c r="G40" s="29">
        <v>10.0899</v>
      </c>
    </row>
    <row r="41" spans="1:7" x14ac:dyDescent="0.2">
      <c r="A41" s="27" t="s">
        <v>1197</v>
      </c>
      <c r="B41" s="27" t="s">
        <v>1198</v>
      </c>
      <c r="C41" s="27" t="s">
        <v>1014</v>
      </c>
      <c r="D41" s="31">
        <v>62</v>
      </c>
      <c r="E41" s="29">
        <v>625.73748000000001</v>
      </c>
      <c r="F41" s="30">
        <v>0.11855671153423999</v>
      </c>
      <c r="G41" s="29">
        <v>10.329599999999999</v>
      </c>
    </row>
    <row r="42" spans="1:7" x14ac:dyDescent="0.2">
      <c r="A42" s="27" t="s">
        <v>1199</v>
      </c>
      <c r="B42" s="27" t="s">
        <v>1200</v>
      </c>
      <c r="C42" s="27" t="s">
        <v>1022</v>
      </c>
      <c r="D42" s="31">
        <v>55</v>
      </c>
      <c r="E42" s="29">
        <v>553.48699999999997</v>
      </c>
      <c r="F42" s="30">
        <v>0.104867617322446</v>
      </c>
      <c r="G42" s="29">
        <v>7.3049999999999997</v>
      </c>
    </row>
    <row r="43" spans="1:7" x14ac:dyDescent="0.2">
      <c r="A43" s="27" t="s">
        <v>1124</v>
      </c>
      <c r="B43" s="27" t="s">
        <v>1125</v>
      </c>
      <c r="C43" s="27" t="s">
        <v>990</v>
      </c>
      <c r="D43" s="31">
        <v>50</v>
      </c>
      <c r="E43" s="29">
        <v>504.71899999999999</v>
      </c>
      <c r="F43" s="30">
        <v>9.5627682217229504E-2</v>
      </c>
      <c r="G43" s="29">
        <v>7.9470000000000001</v>
      </c>
    </row>
    <row r="44" spans="1:7" x14ac:dyDescent="0.2">
      <c r="A44" s="27" t="s">
        <v>1201</v>
      </c>
      <c r="B44" s="27" t="s">
        <v>1202</v>
      </c>
      <c r="C44" s="27" t="s">
        <v>1121</v>
      </c>
      <c r="D44" s="31">
        <v>50</v>
      </c>
      <c r="E44" s="29">
        <v>477.59699999999998</v>
      </c>
      <c r="F44" s="30">
        <v>9.0488953544253597E-2</v>
      </c>
      <c r="G44" s="29">
        <v>14.13</v>
      </c>
    </row>
    <row r="45" spans="1:7" x14ac:dyDescent="0.2">
      <c r="A45" s="27" t="s">
        <v>1203</v>
      </c>
      <c r="B45" s="27" t="s">
        <v>1204</v>
      </c>
      <c r="C45" s="27" t="s">
        <v>962</v>
      </c>
      <c r="D45" s="31">
        <v>18</v>
      </c>
      <c r="E45" s="29">
        <v>228.33774</v>
      </c>
      <c r="F45" s="30">
        <v>4.3262506144845697E-2</v>
      </c>
      <c r="G45" s="29">
        <v>3.7261000000000002</v>
      </c>
    </row>
    <row r="46" spans="1:7" x14ac:dyDescent="0.2">
      <c r="A46" s="27" t="s">
        <v>901</v>
      </c>
      <c r="B46" s="27" t="s">
        <v>902</v>
      </c>
      <c r="C46" s="27" t="s">
        <v>33</v>
      </c>
      <c r="D46" s="31">
        <v>12</v>
      </c>
      <c r="E46" s="29">
        <v>121.63464</v>
      </c>
      <c r="F46" s="30">
        <v>2.3045771410482099E-2</v>
      </c>
      <c r="G46" s="29">
        <v>3.57</v>
      </c>
    </row>
    <row r="47" spans="1:7" x14ac:dyDescent="0.2">
      <c r="A47" s="27" t="s">
        <v>1205</v>
      </c>
      <c r="B47" s="27" t="s">
        <v>1206</v>
      </c>
      <c r="C47" s="27" t="s">
        <v>33</v>
      </c>
      <c r="D47" s="31">
        <v>12</v>
      </c>
      <c r="E47" s="29">
        <v>121.41912000000001</v>
      </c>
      <c r="F47" s="30">
        <v>2.3004937445302499E-2</v>
      </c>
      <c r="G47" s="29">
        <v>3.6501000000000001</v>
      </c>
    </row>
    <row r="48" spans="1:7" x14ac:dyDescent="0.2">
      <c r="A48" s="27" t="s">
        <v>1158</v>
      </c>
      <c r="B48" s="27" t="s">
        <v>1159</v>
      </c>
      <c r="C48" s="27" t="s">
        <v>911</v>
      </c>
      <c r="D48" s="31">
        <v>4000</v>
      </c>
      <c r="E48" s="29">
        <v>40.223999999999997</v>
      </c>
      <c r="F48" s="29">
        <v>7.6211275769405102E-3</v>
      </c>
      <c r="G48" s="29">
        <v>6.6246</v>
      </c>
    </row>
    <row r="49" spans="1:9" x14ac:dyDescent="0.2">
      <c r="A49" s="27" t="s">
        <v>1027</v>
      </c>
      <c r="B49" s="27" t="s">
        <v>1028</v>
      </c>
      <c r="C49" s="27" t="s">
        <v>30</v>
      </c>
      <c r="D49" s="31">
        <v>3</v>
      </c>
      <c r="E49" s="29">
        <v>30.21462</v>
      </c>
      <c r="F49" s="29">
        <v>5.72467864232245E-3</v>
      </c>
      <c r="G49" s="29">
        <v>4.2251000000000003</v>
      </c>
    </row>
    <row r="50" spans="1:9" x14ac:dyDescent="0.2">
      <c r="A50" s="26" t="s">
        <v>34</v>
      </c>
      <c r="B50" s="26"/>
      <c r="C50" s="26"/>
      <c r="D50" s="32"/>
      <c r="E50" s="33">
        <f>SUM(E6:E49)</f>
        <v>363943.52697499993</v>
      </c>
      <c r="F50" s="34">
        <f>SUM(F6:F49)</f>
        <v>68.955351279787337</v>
      </c>
      <c r="G50" s="33"/>
      <c r="H50" s="18"/>
      <c r="I50" s="18"/>
    </row>
    <row r="51" spans="1:9" x14ac:dyDescent="0.2">
      <c r="A51" s="27"/>
      <c r="B51" s="27"/>
      <c r="C51" s="27"/>
      <c r="D51" s="28"/>
      <c r="E51" s="29"/>
      <c r="F51" s="30"/>
      <c r="G51" s="29"/>
    </row>
    <row r="52" spans="1:9" x14ac:dyDescent="0.2">
      <c r="A52" s="26" t="s">
        <v>942</v>
      </c>
      <c r="B52" s="27"/>
      <c r="C52" s="27"/>
      <c r="D52" s="28"/>
      <c r="E52" s="29"/>
      <c r="F52" s="30"/>
      <c r="G52" s="29"/>
    </row>
    <row r="53" spans="1:9" x14ac:dyDescent="0.2">
      <c r="A53" s="27" t="s">
        <v>1077</v>
      </c>
      <c r="B53" s="27" t="s">
        <v>1078</v>
      </c>
      <c r="C53" s="27" t="s">
        <v>1063</v>
      </c>
      <c r="D53" s="31">
        <v>350</v>
      </c>
      <c r="E53" s="29">
        <v>34173.628649999999</v>
      </c>
      <c r="F53" s="30">
        <v>6.4747808201232901</v>
      </c>
      <c r="G53" s="29">
        <v>7.7050000000000001</v>
      </c>
    </row>
    <row r="54" spans="1:9" x14ac:dyDescent="0.2">
      <c r="A54" s="27" t="s">
        <v>1067</v>
      </c>
      <c r="B54" s="27" t="s">
        <v>1068</v>
      </c>
      <c r="C54" s="27" t="s">
        <v>1069</v>
      </c>
      <c r="D54" s="31">
        <v>2560</v>
      </c>
      <c r="E54" s="29">
        <v>24285.824000000001</v>
      </c>
      <c r="F54" s="30">
        <v>4.6013664234070104</v>
      </c>
      <c r="G54" s="29">
        <v>12.09</v>
      </c>
    </row>
    <row r="55" spans="1:9" x14ac:dyDescent="0.2">
      <c r="A55" s="27" t="s">
        <v>1075</v>
      </c>
      <c r="B55" s="27" t="s">
        <v>1076</v>
      </c>
      <c r="C55" s="27" t="s">
        <v>1063</v>
      </c>
      <c r="D55" s="31">
        <v>1480</v>
      </c>
      <c r="E55" s="29">
        <v>15329.544</v>
      </c>
      <c r="F55" s="30">
        <v>2.904445368942</v>
      </c>
      <c r="G55" s="29">
        <v>7.5347999999999997</v>
      </c>
    </row>
    <row r="56" spans="1:9" x14ac:dyDescent="0.2">
      <c r="A56" s="27" t="s">
        <v>1134</v>
      </c>
      <c r="B56" s="27" t="s">
        <v>1135</v>
      </c>
      <c r="C56" s="27" t="s">
        <v>1066</v>
      </c>
      <c r="D56" s="31">
        <v>1660</v>
      </c>
      <c r="E56" s="29">
        <v>13625.126340000001</v>
      </c>
      <c r="F56" s="30">
        <v>2.5815141728588</v>
      </c>
      <c r="G56" s="29">
        <v>11.6884</v>
      </c>
    </row>
    <row r="57" spans="1:9" x14ac:dyDescent="0.2">
      <c r="A57" s="27" t="s">
        <v>1166</v>
      </c>
      <c r="B57" s="27" t="s">
        <v>1167</v>
      </c>
      <c r="C57" s="27" t="s">
        <v>1069</v>
      </c>
      <c r="D57" s="31">
        <v>1150</v>
      </c>
      <c r="E57" s="29">
        <v>11546.391</v>
      </c>
      <c r="F57" s="30">
        <v>2.1876620640472799</v>
      </c>
      <c r="G57" s="29">
        <v>12.355</v>
      </c>
    </row>
    <row r="58" spans="1:9" x14ac:dyDescent="0.2">
      <c r="A58" s="27" t="s">
        <v>1070</v>
      </c>
      <c r="B58" s="27" t="s">
        <v>1071</v>
      </c>
      <c r="C58" s="27" t="s">
        <v>1066</v>
      </c>
      <c r="D58" s="31">
        <v>1280</v>
      </c>
      <c r="E58" s="29">
        <v>10774.229009999999</v>
      </c>
      <c r="F58" s="30">
        <v>2.0413627145083399</v>
      </c>
      <c r="G58" s="29">
        <v>11.6854</v>
      </c>
    </row>
    <row r="59" spans="1:9" x14ac:dyDescent="0.2">
      <c r="A59" s="27" t="s">
        <v>1064</v>
      </c>
      <c r="B59" s="27" t="s">
        <v>1065</v>
      </c>
      <c r="C59" s="27" t="s">
        <v>1066</v>
      </c>
      <c r="D59" s="31">
        <v>385</v>
      </c>
      <c r="E59" s="29">
        <v>3422.684808</v>
      </c>
      <c r="F59" s="30">
        <v>0.64848641550875497</v>
      </c>
      <c r="G59" s="29">
        <v>11.6884</v>
      </c>
    </row>
    <row r="60" spans="1:9" x14ac:dyDescent="0.2">
      <c r="A60" s="27" t="s">
        <v>1207</v>
      </c>
      <c r="B60" s="27" t="s">
        <v>1208</v>
      </c>
      <c r="C60" s="27" t="s">
        <v>1186</v>
      </c>
      <c r="D60" s="31">
        <v>300</v>
      </c>
      <c r="E60" s="29">
        <v>2937.6930000000002</v>
      </c>
      <c r="F60" s="30">
        <v>0.55659638859599003</v>
      </c>
      <c r="G60" s="29">
        <v>12.6745</v>
      </c>
    </row>
    <row r="61" spans="1:9" x14ac:dyDescent="0.2">
      <c r="A61" s="27" t="s">
        <v>1079</v>
      </c>
      <c r="B61" s="27" t="s">
        <v>1080</v>
      </c>
      <c r="C61" s="27" t="s">
        <v>1066</v>
      </c>
      <c r="D61" s="31">
        <v>150</v>
      </c>
      <c r="E61" s="29">
        <v>1304.93643</v>
      </c>
      <c r="F61" s="30">
        <v>0.24724261666734501</v>
      </c>
      <c r="G61" s="29">
        <v>11.6884</v>
      </c>
    </row>
    <row r="62" spans="1:9" x14ac:dyDescent="0.2">
      <c r="A62" s="27" t="s">
        <v>1209</v>
      </c>
      <c r="B62" s="27" t="s">
        <v>1210</v>
      </c>
      <c r="C62" s="27" t="s">
        <v>33</v>
      </c>
      <c r="D62" s="31">
        <v>13</v>
      </c>
      <c r="E62" s="29">
        <v>131.91048000000001</v>
      </c>
      <c r="F62" s="30">
        <v>2.49927057680852E-2</v>
      </c>
      <c r="G62" s="29">
        <v>4.4450000000000003</v>
      </c>
    </row>
    <row r="63" spans="1:9" x14ac:dyDescent="0.2">
      <c r="A63" s="27" t="s">
        <v>1086</v>
      </c>
      <c r="B63" s="27" t="s">
        <v>1087</v>
      </c>
      <c r="C63" s="27" t="s">
        <v>1083</v>
      </c>
      <c r="D63" s="31">
        <v>1000</v>
      </c>
      <c r="E63" s="29">
        <v>0</v>
      </c>
      <c r="F63" s="29">
        <v>0</v>
      </c>
      <c r="G63" s="29">
        <v>0</v>
      </c>
    </row>
    <row r="64" spans="1:9" x14ac:dyDescent="0.2">
      <c r="A64" s="27" t="s">
        <v>1211</v>
      </c>
      <c r="B64" s="27" t="s">
        <v>1212</v>
      </c>
      <c r="C64" s="27" t="s">
        <v>1083</v>
      </c>
      <c r="D64" s="31">
        <v>800</v>
      </c>
      <c r="E64" s="29">
        <v>0</v>
      </c>
      <c r="F64" s="29">
        <v>0</v>
      </c>
      <c r="G64" s="29">
        <v>0</v>
      </c>
    </row>
    <row r="65" spans="1:9" x14ac:dyDescent="0.2">
      <c r="A65" s="27" t="s">
        <v>1213</v>
      </c>
      <c r="B65" s="27" t="s">
        <v>1214</v>
      </c>
      <c r="C65" s="27" t="s">
        <v>1083</v>
      </c>
      <c r="D65" s="31">
        <v>600</v>
      </c>
      <c r="E65" s="29">
        <v>0</v>
      </c>
      <c r="F65" s="29">
        <v>0</v>
      </c>
      <c r="G65" s="29">
        <v>0</v>
      </c>
    </row>
    <row r="66" spans="1:9" x14ac:dyDescent="0.2">
      <c r="A66" s="27" t="s">
        <v>1215</v>
      </c>
      <c r="B66" s="27" t="s">
        <v>1216</v>
      </c>
      <c r="C66" s="27" t="s">
        <v>1083</v>
      </c>
      <c r="D66" s="31">
        <v>500</v>
      </c>
      <c r="E66" s="29">
        <v>0</v>
      </c>
      <c r="F66" s="29">
        <v>0</v>
      </c>
      <c r="G66" s="29">
        <v>0</v>
      </c>
    </row>
    <row r="67" spans="1:9" x14ac:dyDescent="0.2">
      <c r="A67" s="27" t="s">
        <v>1217</v>
      </c>
      <c r="B67" s="27" t="s">
        <v>1218</v>
      </c>
      <c r="C67" s="27" t="s">
        <v>1083</v>
      </c>
      <c r="D67" s="31">
        <v>375</v>
      </c>
      <c r="E67" s="29">
        <v>0</v>
      </c>
      <c r="F67" s="29">
        <v>0</v>
      </c>
      <c r="G67" s="29">
        <v>0</v>
      </c>
    </row>
    <row r="68" spans="1:9" x14ac:dyDescent="0.2">
      <c r="A68" s="27" t="s">
        <v>1219</v>
      </c>
      <c r="B68" s="27" t="s">
        <v>1220</v>
      </c>
      <c r="C68" s="27" t="s">
        <v>1083</v>
      </c>
      <c r="D68" s="31">
        <v>350</v>
      </c>
      <c r="E68" s="29">
        <v>0</v>
      </c>
      <c r="F68" s="29">
        <v>0</v>
      </c>
      <c r="G68" s="29">
        <v>0</v>
      </c>
    </row>
    <row r="69" spans="1:9" x14ac:dyDescent="0.2">
      <c r="A69" s="27" t="s">
        <v>1221</v>
      </c>
      <c r="B69" s="27" t="s">
        <v>1222</v>
      </c>
      <c r="C69" s="27" t="s">
        <v>1083</v>
      </c>
      <c r="D69" s="31">
        <v>300</v>
      </c>
      <c r="E69" s="29">
        <v>0</v>
      </c>
      <c r="F69" s="29">
        <v>0</v>
      </c>
      <c r="G69" s="29">
        <v>0</v>
      </c>
    </row>
    <row r="70" spans="1:9" x14ac:dyDescent="0.2">
      <c r="A70" s="27" t="s">
        <v>1223</v>
      </c>
      <c r="B70" s="27" t="s">
        <v>1224</v>
      </c>
      <c r="C70" s="27" t="s">
        <v>1083</v>
      </c>
      <c r="D70" s="31">
        <v>200</v>
      </c>
      <c r="E70" s="29">
        <v>0</v>
      </c>
      <c r="F70" s="29">
        <v>0</v>
      </c>
      <c r="G70" s="29">
        <v>0</v>
      </c>
    </row>
    <row r="71" spans="1:9" x14ac:dyDescent="0.2">
      <c r="A71" s="26" t="s">
        <v>34</v>
      </c>
      <c r="B71" s="26"/>
      <c r="C71" s="26"/>
      <c r="D71" s="32"/>
      <c r="E71" s="33">
        <f>SUM(E52:E70)</f>
        <v>117531.96771800001</v>
      </c>
      <c r="F71" s="34">
        <f>SUM(F52:F70)</f>
        <v>22.268449690426902</v>
      </c>
      <c r="G71" s="33"/>
      <c r="H71" s="18"/>
      <c r="I71" s="18"/>
    </row>
    <row r="72" spans="1:9" x14ac:dyDescent="0.2">
      <c r="A72" s="27"/>
      <c r="B72" s="27"/>
      <c r="C72" s="27"/>
      <c r="D72" s="28"/>
      <c r="E72" s="29"/>
      <c r="F72" s="30"/>
      <c r="G72" s="29"/>
    </row>
    <row r="73" spans="1:9" x14ac:dyDescent="0.2">
      <c r="A73" s="26" t="s">
        <v>35</v>
      </c>
      <c r="B73" s="27"/>
      <c r="C73" s="27"/>
      <c r="D73" s="28"/>
      <c r="E73" s="29"/>
      <c r="F73" s="30"/>
      <c r="G73" s="29"/>
    </row>
    <row r="74" spans="1:9" x14ac:dyDescent="0.2">
      <c r="A74" s="27" t="s">
        <v>1088</v>
      </c>
      <c r="B74" s="27" t="s">
        <v>1089</v>
      </c>
      <c r="C74" s="27" t="s">
        <v>1090</v>
      </c>
      <c r="D74" s="31">
        <v>933066.96799999999</v>
      </c>
      <c r="E74" s="29">
        <v>31273.96573</v>
      </c>
      <c r="F74" s="30">
        <v>5.9253898832834997</v>
      </c>
      <c r="G74" s="29">
        <v>3.3814000000000002</v>
      </c>
    </row>
    <row r="75" spans="1:9" x14ac:dyDescent="0.2">
      <c r="A75" s="26" t="s">
        <v>34</v>
      </c>
      <c r="B75" s="26"/>
      <c r="C75" s="26"/>
      <c r="D75" s="32"/>
      <c r="E75" s="33">
        <f>SUM(E74:E74)</f>
        <v>31273.96573</v>
      </c>
      <c r="F75" s="34">
        <f>SUM(F74:F74)</f>
        <v>5.9253898832834997</v>
      </c>
      <c r="G75" s="33"/>
    </row>
    <row r="76" spans="1:9" x14ac:dyDescent="0.2">
      <c r="A76" s="27"/>
      <c r="B76" s="27"/>
      <c r="C76" s="27"/>
      <c r="D76" s="28"/>
      <c r="E76" s="29"/>
      <c r="F76" s="30"/>
      <c r="G76" s="29"/>
    </row>
    <row r="77" spans="1:9" x14ac:dyDescent="0.2">
      <c r="A77" s="26" t="s">
        <v>36</v>
      </c>
      <c r="B77" s="26"/>
      <c r="C77" s="26"/>
      <c r="D77" s="32"/>
      <c r="E77" s="33">
        <f>E50+E71+E75</f>
        <v>512749.46042299992</v>
      </c>
      <c r="F77" s="33">
        <f>F50+F71+F75</f>
        <v>97.149190853497743</v>
      </c>
      <c r="G77" s="33"/>
      <c r="H77" s="18"/>
      <c r="I77" s="18"/>
    </row>
    <row r="78" spans="1:9" x14ac:dyDescent="0.2">
      <c r="A78" s="26"/>
      <c r="B78" s="26"/>
      <c r="C78" s="26"/>
      <c r="D78" s="32"/>
      <c r="E78" s="33"/>
      <c r="F78" s="34"/>
      <c r="G78" s="33"/>
      <c r="H78" s="18"/>
      <c r="I78" s="18"/>
    </row>
    <row r="79" spans="1:9" x14ac:dyDescent="0.2">
      <c r="A79" s="26" t="s">
        <v>38</v>
      </c>
      <c r="B79" s="26"/>
      <c r="C79" s="26"/>
      <c r="D79" s="32"/>
      <c r="E79" s="33">
        <f>E81-(E50+E71+E75)</f>
        <v>15046.454209200107</v>
      </c>
      <c r="F79" s="34">
        <f>F81-(F50+F71+F75)</f>
        <v>2.8508091465022574</v>
      </c>
      <c r="G79" s="33"/>
      <c r="H79" s="18"/>
      <c r="I79" s="18"/>
    </row>
    <row r="80" spans="1:9" x14ac:dyDescent="0.2">
      <c r="A80" s="26"/>
      <c r="B80" s="26"/>
      <c r="C80" s="26"/>
      <c r="D80" s="32"/>
      <c r="E80" s="33"/>
      <c r="F80" s="34"/>
      <c r="G80" s="33"/>
      <c r="H80" s="18"/>
      <c r="I80" s="18"/>
    </row>
    <row r="81" spans="1:9" x14ac:dyDescent="0.2">
      <c r="A81" s="35" t="s">
        <v>37</v>
      </c>
      <c r="B81" s="35"/>
      <c r="C81" s="35"/>
      <c r="D81" s="36"/>
      <c r="E81" s="37">
        <v>527795.91463220003</v>
      </c>
      <c r="F81" s="38">
        <v>100</v>
      </c>
      <c r="G81" s="37"/>
      <c r="H81" s="18"/>
      <c r="I81" s="18"/>
    </row>
    <row r="83" spans="1:9" x14ac:dyDescent="0.2">
      <c r="A83" s="18" t="s">
        <v>39</v>
      </c>
    </row>
    <row r="84" spans="1:9" x14ac:dyDescent="0.2">
      <c r="A84" s="18" t="s">
        <v>1091</v>
      </c>
    </row>
    <row r="85" spans="1:9" x14ac:dyDescent="0.2">
      <c r="A85" s="18" t="s">
        <v>1434</v>
      </c>
    </row>
    <row r="87" spans="1:9" x14ac:dyDescent="0.2">
      <c r="A87" s="18" t="s">
        <v>40</v>
      </c>
    </row>
    <row r="88" spans="1:9" x14ac:dyDescent="0.2">
      <c r="A88" s="18" t="s">
        <v>41</v>
      </c>
    </row>
    <row r="89" spans="1:9" x14ac:dyDescent="0.2">
      <c r="A89" s="18" t="s">
        <v>42</v>
      </c>
      <c r="B89" s="18"/>
      <c r="C89" s="39" t="s">
        <v>44</v>
      </c>
      <c r="D89" s="19" t="s">
        <v>43</v>
      </c>
    </row>
    <row r="90" spans="1:9" x14ac:dyDescent="0.2">
      <c r="A90" s="9" t="s">
        <v>820</v>
      </c>
      <c r="C90" s="40">
        <v>3615.7476999999999</v>
      </c>
      <c r="D90" s="40">
        <v>3991.8861000000002</v>
      </c>
    </row>
    <row r="91" spans="1:9" x14ac:dyDescent="0.2">
      <c r="A91" s="9" t="s">
        <v>1168</v>
      </c>
      <c r="C91" s="40">
        <v>913.86059999999998</v>
      </c>
      <c r="D91" s="40">
        <v>1008.9275</v>
      </c>
    </row>
    <row r="92" spans="1:9" x14ac:dyDescent="0.2">
      <c r="A92" s="9" t="s">
        <v>822</v>
      </c>
      <c r="C92" s="40">
        <v>1008.9471</v>
      </c>
      <c r="D92" s="40">
        <v>1113.9058</v>
      </c>
    </row>
    <row r="93" spans="1:9" x14ac:dyDescent="0.2">
      <c r="A93" s="9" t="s">
        <v>823</v>
      </c>
      <c r="C93" s="40">
        <v>1049.6168</v>
      </c>
      <c r="D93" s="40">
        <v>1158.8062</v>
      </c>
    </row>
    <row r="94" spans="1:9" x14ac:dyDescent="0.2">
      <c r="A94" s="9" t="s">
        <v>1464</v>
      </c>
      <c r="C94" s="40">
        <v>2995.5034000000001</v>
      </c>
      <c r="D94" s="40">
        <v>3306.2824000000001</v>
      </c>
    </row>
    <row r="95" spans="1:9" x14ac:dyDescent="0.2">
      <c r="A95" s="9" t="s">
        <v>824</v>
      </c>
      <c r="C95" s="40">
        <v>3838.3510999999999</v>
      </c>
      <c r="D95" s="40">
        <v>4249.9885000000004</v>
      </c>
    </row>
    <row r="96" spans="1:9" x14ac:dyDescent="0.2">
      <c r="A96" s="9" t="s">
        <v>1225</v>
      </c>
      <c r="C96" s="40">
        <v>921.09619999999995</v>
      </c>
      <c r="D96" s="40">
        <v>1019.8775000000001</v>
      </c>
    </row>
    <row r="97" spans="1:5" x14ac:dyDescent="0.2">
      <c r="A97" s="9" t="s">
        <v>826</v>
      </c>
      <c r="C97" s="40">
        <v>1088.4943000000001</v>
      </c>
      <c r="D97" s="40">
        <v>1205.2280000000001</v>
      </c>
    </row>
    <row r="98" spans="1:5" x14ac:dyDescent="0.2">
      <c r="A98" s="9" t="s">
        <v>827</v>
      </c>
      <c r="C98" s="40">
        <v>1133.9079999999999</v>
      </c>
      <c r="D98" s="40">
        <v>1255.5119999999999</v>
      </c>
    </row>
    <row r="99" spans="1:5" x14ac:dyDescent="0.2">
      <c r="C99" s="40"/>
      <c r="D99" s="40"/>
    </row>
    <row r="100" spans="1:5" x14ac:dyDescent="0.2">
      <c r="A100" s="9" t="s">
        <v>782</v>
      </c>
      <c r="C100" s="40"/>
      <c r="D100" s="40"/>
    </row>
    <row r="101" spans="1:5" x14ac:dyDescent="0.2">
      <c r="C101" s="40"/>
      <c r="D101" s="40"/>
    </row>
    <row r="102" spans="1:5" x14ac:dyDescent="0.2">
      <c r="A102" s="48" t="s">
        <v>1429</v>
      </c>
      <c r="C102" s="40"/>
      <c r="D102" s="40"/>
    </row>
    <row r="104" spans="1:5" x14ac:dyDescent="0.2">
      <c r="A104" s="18" t="s">
        <v>1560</v>
      </c>
      <c r="D104" s="41" t="s">
        <v>45</v>
      </c>
    </row>
    <row r="106" spans="1:5" x14ac:dyDescent="0.2">
      <c r="A106" s="18" t="s">
        <v>783</v>
      </c>
      <c r="D106" s="42">
        <v>2.4344399535890413</v>
      </c>
      <c r="E106" s="13" t="s">
        <v>46</v>
      </c>
    </row>
    <row r="108" spans="1:5" x14ac:dyDescent="0.2">
      <c r="A108" s="18" t="s">
        <v>717</v>
      </c>
      <c r="D108" s="41" t="s">
        <v>45</v>
      </c>
    </row>
    <row r="109" spans="1:5" x14ac:dyDescent="0.2">
      <c r="A109" s="9" t="s">
        <v>712</v>
      </c>
    </row>
    <row r="110" spans="1:5" x14ac:dyDescent="0.2">
      <c r="A110" s="50" t="s">
        <v>713</v>
      </c>
    </row>
    <row r="112" spans="1:5" x14ac:dyDescent="0.2">
      <c r="A112" s="18" t="s">
        <v>1438</v>
      </c>
    </row>
    <row r="114" spans="1:5" x14ac:dyDescent="0.2">
      <c r="A114" s="9" t="s">
        <v>1442</v>
      </c>
    </row>
    <row r="116" spans="1:5" ht="51" x14ac:dyDescent="0.2">
      <c r="A116" s="78" t="s">
        <v>2</v>
      </c>
      <c r="B116" s="79" t="s">
        <v>1457</v>
      </c>
      <c r="C116" s="79" t="s">
        <v>1443</v>
      </c>
      <c r="D116" s="79" t="s">
        <v>1444</v>
      </c>
      <c r="E116" s="79" t="s">
        <v>1445</v>
      </c>
    </row>
    <row r="117" spans="1:5" x14ac:dyDescent="0.2">
      <c r="A117" s="80" t="s">
        <v>1450</v>
      </c>
      <c r="B117" s="80" t="s">
        <v>1451</v>
      </c>
      <c r="C117" s="81">
        <v>0</v>
      </c>
      <c r="D117" s="82">
        <v>0</v>
      </c>
      <c r="E117" s="81">
        <v>3990.6652338569625</v>
      </c>
    </row>
    <row r="118" spans="1:5" x14ac:dyDescent="0.2">
      <c r="A118" s="80" t="s">
        <v>1459</v>
      </c>
      <c r="B118" s="80" t="s">
        <v>1460</v>
      </c>
      <c r="C118" s="81">
        <v>0</v>
      </c>
      <c r="D118" s="82">
        <v>0</v>
      </c>
      <c r="E118" s="81">
        <v>10435.050403625937</v>
      </c>
    </row>
    <row r="119" spans="1:5" x14ac:dyDescent="0.2">
      <c r="A119" s="80" t="s">
        <v>1439</v>
      </c>
      <c r="B119" s="80" t="s">
        <v>1466</v>
      </c>
      <c r="C119" s="81">
        <v>1250.9639999999999</v>
      </c>
      <c r="D119" s="82">
        <v>2.3701661292163411E-3</v>
      </c>
      <c r="E119" s="81">
        <v>5251.4845213999997</v>
      </c>
    </row>
    <row r="120" spans="1:5" x14ac:dyDescent="0.2">
      <c r="A120" s="80" t="s">
        <v>1452</v>
      </c>
      <c r="B120" s="80" t="s">
        <v>1533</v>
      </c>
      <c r="C120" s="81">
        <v>0</v>
      </c>
      <c r="D120" s="82">
        <v>0</v>
      </c>
      <c r="E120" s="81">
        <v>715.06102477103832</v>
      </c>
    </row>
    <row r="121" spans="1:5" x14ac:dyDescent="0.2">
      <c r="A121" s="80" t="s">
        <v>1467</v>
      </c>
      <c r="B121" s="80" t="s">
        <v>1468</v>
      </c>
      <c r="C121" s="81">
        <v>0</v>
      </c>
      <c r="D121" s="82">
        <v>0</v>
      </c>
      <c r="E121" s="81">
        <v>876.74023073227909</v>
      </c>
    </row>
    <row r="122" spans="1:5" x14ac:dyDescent="0.2">
      <c r="A122" s="80" t="s">
        <v>1469</v>
      </c>
      <c r="B122" s="80" t="s">
        <v>1470</v>
      </c>
      <c r="C122" s="81">
        <v>0</v>
      </c>
      <c r="D122" s="82">
        <v>0</v>
      </c>
      <c r="E122" s="81">
        <v>1408.0150019098819</v>
      </c>
    </row>
    <row r="123" spans="1:5" x14ac:dyDescent="0.2">
      <c r="A123" s="80" t="s">
        <v>1454</v>
      </c>
      <c r="B123" s="80" t="s">
        <v>1471</v>
      </c>
      <c r="C123" s="81">
        <v>0</v>
      </c>
      <c r="D123" s="82">
        <v>0</v>
      </c>
      <c r="E123" s="81">
        <v>2815.5041412</v>
      </c>
    </row>
    <row r="124" spans="1:5" x14ac:dyDescent="0.2">
      <c r="A124" s="80" t="s">
        <v>1215</v>
      </c>
      <c r="B124" s="80" t="s">
        <v>1534</v>
      </c>
      <c r="C124" s="81">
        <v>0</v>
      </c>
      <c r="D124" s="82">
        <v>0</v>
      </c>
      <c r="E124" s="81">
        <v>2021.3177254098355</v>
      </c>
    </row>
    <row r="125" spans="1:5" x14ac:dyDescent="0.2">
      <c r="A125" s="80" t="s">
        <v>1535</v>
      </c>
      <c r="B125" s="80" t="s">
        <v>1536</v>
      </c>
      <c r="C125" s="81">
        <v>0</v>
      </c>
      <c r="D125" s="82">
        <v>0</v>
      </c>
      <c r="E125" s="81">
        <v>2838.3193988999997</v>
      </c>
    </row>
    <row r="126" spans="1:5" x14ac:dyDescent="0.2">
      <c r="A126" s="80" t="s">
        <v>1529</v>
      </c>
      <c r="B126" s="80" t="s">
        <v>1537</v>
      </c>
      <c r="C126" s="81">
        <v>0</v>
      </c>
      <c r="D126" s="82">
        <v>0</v>
      </c>
      <c r="E126" s="81">
        <v>279.92468226588448</v>
      </c>
    </row>
    <row r="127" spans="1:5" x14ac:dyDescent="0.2">
      <c r="A127" s="80" t="s">
        <v>1538</v>
      </c>
      <c r="B127" s="80" t="s">
        <v>1539</v>
      </c>
      <c r="C127" s="81">
        <v>0</v>
      </c>
      <c r="D127" s="82">
        <v>0</v>
      </c>
      <c r="E127" s="81">
        <v>7855.754667692263</v>
      </c>
    </row>
    <row r="128" spans="1:5" x14ac:dyDescent="0.2">
      <c r="A128" s="80" t="s">
        <v>1531</v>
      </c>
      <c r="B128" s="80" t="s">
        <v>1540</v>
      </c>
      <c r="C128" s="81">
        <v>0</v>
      </c>
      <c r="D128" s="82">
        <v>0</v>
      </c>
      <c r="E128" s="81">
        <v>16298.881706649172</v>
      </c>
    </row>
    <row r="129" spans="1:7" ht="14.4" x14ac:dyDescent="0.3">
      <c r="A129" s="43"/>
    </row>
    <row r="130" spans="1:7" x14ac:dyDescent="0.2">
      <c r="A130" s="65" t="s">
        <v>1456</v>
      </c>
    </row>
    <row r="131" spans="1:7" x14ac:dyDescent="0.2">
      <c r="A131" s="65" t="s">
        <v>1441</v>
      </c>
    </row>
    <row r="133" spans="1:7" ht="27.75" customHeight="1" x14ac:dyDescent="0.2">
      <c r="A133" s="100" t="s">
        <v>1511</v>
      </c>
      <c r="B133" s="100"/>
      <c r="C133" s="100"/>
      <c r="D133" s="100"/>
      <c r="E133" s="100"/>
      <c r="F133" s="100"/>
      <c r="G133" s="100"/>
    </row>
    <row r="135" spans="1:7" ht="15" customHeight="1" x14ac:dyDescent="0.2">
      <c r="A135" s="18" t="s">
        <v>1512</v>
      </c>
    </row>
    <row r="136" spans="1:7" x14ac:dyDescent="0.2">
      <c r="A136" s="55" t="s">
        <v>955</v>
      </c>
    </row>
    <row r="138" spans="1:7" ht="60.75" customHeight="1" x14ac:dyDescent="0.2">
      <c r="A138" s="101" t="s">
        <v>1513</v>
      </c>
      <c r="B138" s="101"/>
      <c r="C138" s="101"/>
      <c r="D138" s="101"/>
      <c r="E138" s="101"/>
      <c r="F138" s="101"/>
      <c r="G138" s="101"/>
    </row>
    <row r="140" spans="1:7" ht="39" customHeight="1" x14ac:dyDescent="0.2">
      <c r="A140" s="101" t="s">
        <v>1514</v>
      </c>
      <c r="B140" s="101"/>
      <c r="C140" s="101"/>
      <c r="D140" s="101"/>
      <c r="E140" s="101"/>
      <c r="F140" s="101"/>
      <c r="G140" s="101"/>
    </row>
    <row r="141" spans="1:7" x14ac:dyDescent="0.2">
      <c r="A141" s="55" t="s">
        <v>1093</v>
      </c>
      <c r="B141" s="57"/>
      <c r="C141" s="57"/>
      <c r="D141" s="57"/>
      <c r="E141" s="57"/>
      <c r="F141" s="57"/>
      <c r="G141" s="57"/>
    </row>
    <row r="143" spans="1:7" ht="28.5" customHeight="1" x14ac:dyDescent="0.2">
      <c r="A143" s="102" t="s">
        <v>1515</v>
      </c>
      <c r="B143" s="102"/>
      <c r="C143" s="102"/>
      <c r="D143" s="102"/>
      <c r="E143" s="102"/>
      <c r="F143" s="102"/>
      <c r="G143" s="102"/>
    </row>
    <row r="144" spans="1:7" x14ac:dyDescent="0.2">
      <c r="A144" s="60"/>
      <c r="B144" s="60"/>
      <c r="C144" s="60"/>
      <c r="D144" s="60"/>
      <c r="E144" s="60"/>
      <c r="F144" s="60"/>
      <c r="G144" s="60"/>
    </row>
    <row r="145" spans="1:9" ht="15" customHeight="1" x14ac:dyDescent="0.2">
      <c r="A145" s="90" t="s">
        <v>1516</v>
      </c>
      <c r="B145" s="91"/>
      <c r="C145" s="91"/>
      <c r="D145" s="91"/>
      <c r="E145" s="91"/>
      <c r="F145" s="91"/>
      <c r="G145" s="91"/>
    </row>
    <row r="146" spans="1:9" x14ac:dyDescent="0.2">
      <c r="A146" s="50" t="s">
        <v>47</v>
      </c>
    </row>
    <row r="147" spans="1:9" x14ac:dyDescent="0.2">
      <c r="A147" s="50"/>
    </row>
    <row r="148" spans="1:9" x14ac:dyDescent="0.2">
      <c r="A148" s="18" t="s">
        <v>1565</v>
      </c>
    </row>
    <row r="149" spans="1:9" x14ac:dyDescent="0.2">
      <c r="A149" s="50"/>
    </row>
    <row r="150" spans="1:9" x14ac:dyDescent="0.2">
      <c r="A150" s="50"/>
    </row>
    <row r="151" spans="1:9" s="1" customFormat="1" ht="13.8" x14ac:dyDescent="0.2">
      <c r="A151" s="92" t="s">
        <v>1229</v>
      </c>
      <c r="B151" s="93"/>
      <c r="C151" s="93"/>
      <c r="D151" s="93"/>
      <c r="E151" s="93"/>
      <c r="F151" s="93"/>
      <c r="G151" s="93"/>
    </row>
    <row r="152" spans="1:9" x14ac:dyDescent="0.2">
      <c r="A152" s="18" t="s">
        <v>7</v>
      </c>
    </row>
    <row r="153" spans="1:9" s="1" customFormat="1" ht="17.55" customHeight="1" x14ac:dyDescent="0.2">
      <c r="A153" s="8" t="s">
        <v>2</v>
      </c>
      <c r="B153" s="8" t="s">
        <v>0</v>
      </c>
      <c r="C153" s="17" t="s">
        <v>727</v>
      </c>
      <c r="D153" s="16" t="s">
        <v>1</v>
      </c>
      <c r="E153" s="15" t="s">
        <v>3</v>
      </c>
      <c r="F153" s="15" t="s">
        <v>4</v>
      </c>
      <c r="G153" s="15" t="s">
        <v>6</v>
      </c>
    </row>
    <row r="154" spans="1:9" x14ac:dyDescent="0.2">
      <c r="A154" s="21" t="s">
        <v>26</v>
      </c>
      <c r="B154" s="22"/>
      <c r="C154" s="22"/>
      <c r="D154" s="23"/>
      <c r="E154" s="24"/>
      <c r="F154" s="25"/>
      <c r="G154" s="24"/>
    </row>
    <row r="155" spans="1:9" x14ac:dyDescent="0.2">
      <c r="A155" s="26" t="s">
        <v>27</v>
      </c>
      <c r="B155" s="27"/>
      <c r="C155" s="27"/>
      <c r="D155" s="28"/>
      <c r="E155" s="29"/>
      <c r="F155" s="30"/>
      <c r="G155" s="29"/>
    </row>
    <row r="156" spans="1:9" x14ac:dyDescent="0.2">
      <c r="A156" s="27" t="s">
        <v>1097</v>
      </c>
      <c r="B156" s="27" t="s">
        <v>1098</v>
      </c>
      <c r="C156" s="27" t="s">
        <v>1099</v>
      </c>
      <c r="D156" s="31">
        <v>5230</v>
      </c>
      <c r="E156" s="29">
        <v>0</v>
      </c>
      <c r="F156" s="30">
        <v>100</v>
      </c>
      <c r="G156" s="29">
        <v>0</v>
      </c>
    </row>
    <row r="157" spans="1:9" x14ac:dyDescent="0.2">
      <c r="A157" s="26" t="s">
        <v>34</v>
      </c>
      <c r="B157" s="26"/>
      <c r="C157" s="26"/>
      <c r="D157" s="32"/>
      <c r="E157" s="33">
        <f>SUM(E155:E156)</f>
        <v>0</v>
      </c>
      <c r="F157" s="34">
        <f>SUM(F155:F156)</f>
        <v>100</v>
      </c>
      <c r="G157" s="33"/>
      <c r="H157" s="18"/>
      <c r="I157" s="18"/>
    </row>
    <row r="158" spans="1:9" x14ac:dyDescent="0.2">
      <c r="A158" s="27"/>
      <c r="B158" s="27"/>
      <c r="C158" s="27"/>
      <c r="D158" s="28"/>
      <c r="E158" s="29"/>
      <c r="F158" s="30"/>
      <c r="G158" s="29"/>
    </row>
    <row r="159" spans="1:9" x14ac:dyDescent="0.2">
      <c r="A159" s="26" t="s">
        <v>36</v>
      </c>
      <c r="B159" s="26"/>
      <c r="C159" s="26"/>
      <c r="D159" s="32"/>
      <c r="E159" s="33">
        <f>E157</f>
        <v>0</v>
      </c>
      <c r="F159" s="34">
        <f>F157</f>
        <v>100</v>
      </c>
      <c r="G159" s="33"/>
      <c r="H159" s="18"/>
      <c r="I159" s="18"/>
    </row>
    <row r="160" spans="1:9" x14ac:dyDescent="0.2">
      <c r="A160" s="26"/>
      <c r="B160" s="26"/>
      <c r="C160" s="26"/>
      <c r="D160" s="32"/>
      <c r="E160" s="33"/>
      <c r="F160" s="34"/>
      <c r="G160" s="33"/>
      <c r="H160" s="18"/>
      <c r="I160" s="18"/>
    </row>
    <row r="161" spans="1:9" x14ac:dyDescent="0.2">
      <c r="A161" s="26" t="s">
        <v>38</v>
      </c>
      <c r="B161" s="26"/>
      <c r="C161" s="26"/>
      <c r="D161" s="32"/>
      <c r="E161" s="33">
        <f>E163-(E157)</f>
        <v>8.9999999999999996E-7</v>
      </c>
      <c r="F161" s="34">
        <v>0</v>
      </c>
      <c r="G161" s="33"/>
      <c r="H161" s="18"/>
      <c r="I161" s="18"/>
    </row>
    <row r="162" spans="1:9" x14ac:dyDescent="0.2">
      <c r="A162" s="26"/>
      <c r="B162" s="26"/>
      <c r="C162" s="26"/>
      <c r="D162" s="32"/>
      <c r="E162" s="33"/>
      <c r="F162" s="34"/>
      <c r="G162" s="33"/>
      <c r="H162" s="18"/>
      <c r="I162" s="18"/>
    </row>
    <row r="163" spans="1:9" x14ac:dyDescent="0.2">
      <c r="A163" s="35" t="s">
        <v>37</v>
      </c>
      <c r="B163" s="35"/>
      <c r="C163" s="35"/>
      <c r="D163" s="36"/>
      <c r="E163" s="37">
        <v>8.9999999999999996E-7</v>
      </c>
      <c r="F163" s="38">
        <v>100</v>
      </c>
      <c r="G163" s="37"/>
      <c r="H163" s="18"/>
      <c r="I163" s="18"/>
    </row>
    <row r="165" spans="1:9" x14ac:dyDescent="0.2">
      <c r="A165" s="18" t="s">
        <v>39</v>
      </c>
    </row>
    <row r="166" spans="1:9" x14ac:dyDescent="0.2">
      <c r="A166" s="48" t="s">
        <v>1091</v>
      </c>
    </row>
    <row r="167" spans="1:9" x14ac:dyDescent="0.2">
      <c r="A167" s="18" t="s">
        <v>1100</v>
      </c>
    </row>
    <row r="169" spans="1:9" x14ac:dyDescent="0.2">
      <c r="A169" s="18" t="s">
        <v>40</v>
      </c>
    </row>
    <row r="170" spans="1:9" s="13" customFormat="1" x14ac:dyDescent="0.2">
      <c r="A170" s="18" t="s">
        <v>41</v>
      </c>
      <c r="B170" s="9"/>
      <c r="C170" s="9"/>
      <c r="D170" s="10"/>
      <c r="F170" s="14"/>
      <c r="H170" s="9"/>
      <c r="I170" s="9"/>
    </row>
    <row r="171" spans="1:9" s="13" customFormat="1" x14ac:dyDescent="0.2">
      <c r="A171" s="18" t="s">
        <v>42</v>
      </c>
      <c r="B171" s="18"/>
      <c r="C171" s="39" t="s">
        <v>44</v>
      </c>
      <c r="D171" s="19" t="s">
        <v>43</v>
      </c>
      <c r="F171" s="14"/>
      <c r="H171" s="9"/>
      <c r="I171" s="9"/>
    </row>
    <row r="172" spans="1:9" s="13" customFormat="1" x14ac:dyDescent="0.2">
      <c r="A172" s="9" t="s">
        <v>820</v>
      </c>
      <c r="B172" s="9"/>
      <c r="C172" s="40">
        <v>0</v>
      </c>
      <c r="D172" s="40">
        <v>0</v>
      </c>
      <c r="F172" s="14"/>
      <c r="H172" s="9"/>
      <c r="I172" s="9"/>
    </row>
    <row r="173" spans="1:9" s="13" customFormat="1" x14ac:dyDescent="0.2">
      <c r="A173" s="9" t="s">
        <v>1168</v>
      </c>
      <c r="B173" s="9"/>
      <c r="C173" s="40">
        <v>0</v>
      </c>
      <c r="D173" s="40">
        <v>0</v>
      </c>
      <c r="F173" s="14"/>
      <c r="H173" s="9"/>
      <c r="I173" s="9"/>
    </row>
    <row r="174" spans="1:9" s="13" customFormat="1" x14ac:dyDescent="0.2">
      <c r="A174" s="9" t="s">
        <v>822</v>
      </c>
      <c r="B174" s="9"/>
      <c r="C174" s="40">
        <v>0</v>
      </c>
      <c r="D174" s="40">
        <v>0</v>
      </c>
      <c r="F174" s="14"/>
      <c r="H174" s="9"/>
      <c r="I174" s="9"/>
    </row>
    <row r="175" spans="1:9" s="13" customFormat="1" x14ac:dyDescent="0.2">
      <c r="A175" s="9" t="s">
        <v>823</v>
      </c>
      <c r="B175" s="9"/>
      <c r="C175" s="40">
        <v>0</v>
      </c>
      <c r="D175" s="40">
        <v>0</v>
      </c>
      <c r="F175" s="14"/>
      <c r="H175" s="9"/>
      <c r="I175" s="9"/>
    </row>
    <row r="176" spans="1:9" s="13" customFormat="1" x14ac:dyDescent="0.2">
      <c r="A176" s="9" t="s">
        <v>1472</v>
      </c>
      <c r="B176" s="9"/>
      <c r="C176" s="40">
        <v>0</v>
      </c>
      <c r="D176" s="40">
        <v>0</v>
      </c>
      <c r="F176" s="14"/>
      <c r="H176" s="9"/>
      <c r="I176" s="9"/>
    </row>
    <row r="177" spans="1:9" s="13" customFormat="1" x14ac:dyDescent="0.2">
      <c r="A177" s="9" t="s">
        <v>824</v>
      </c>
      <c r="B177" s="9"/>
      <c r="C177" s="40">
        <v>0</v>
      </c>
      <c r="D177" s="40">
        <v>0</v>
      </c>
      <c r="F177" s="14"/>
      <c r="H177" s="9"/>
      <c r="I177" s="9"/>
    </row>
    <row r="178" spans="1:9" s="13" customFormat="1" x14ac:dyDescent="0.2">
      <c r="A178" s="9" t="s">
        <v>1225</v>
      </c>
      <c r="B178" s="9"/>
      <c r="C178" s="40">
        <v>0</v>
      </c>
      <c r="D178" s="40">
        <v>0</v>
      </c>
      <c r="F178" s="14"/>
      <c r="H178" s="9"/>
      <c r="I178" s="9"/>
    </row>
    <row r="179" spans="1:9" s="13" customFormat="1" x14ac:dyDescent="0.2">
      <c r="A179" s="9" t="s">
        <v>826</v>
      </c>
      <c r="B179" s="9"/>
      <c r="C179" s="40">
        <v>0</v>
      </c>
      <c r="D179" s="40">
        <v>0</v>
      </c>
      <c r="F179" s="14"/>
      <c r="H179" s="9"/>
      <c r="I179" s="9"/>
    </row>
    <row r="180" spans="1:9" s="13" customFormat="1" x14ac:dyDescent="0.2">
      <c r="A180" s="9" t="s">
        <v>827</v>
      </c>
      <c r="B180" s="9"/>
      <c r="C180" s="40">
        <v>0</v>
      </c>
      <c r="D180" s="40">
        <v>0</v>
      </c>
      <c r="F180" s="14"/>
      <c r="H180" s="9"/>
      <c r="I180" s="9"/>
    </row>
    <row r="181" spans="1:9" s="13" customFormat="1" x14ac:dyDescent="0.2">
      <c r="A181" s="9"/>
      <c r="B181" s="9"/>
      <c r="C181" s="40"/>
      <c r="D181" s="40"/>
      <c r="F181" s="14"/>
      <c r="H181" s="9"/>
      <c r="I181" s="9"/>
    </row>
    <row r="182" spans="1:9" s="13" customFormat="1" x14ac:dyDescent="0.2">
      <c r="A182" s="9" t="s">
        <v>782</v>
      </c>
      <c r="B182" s="9"/>
      <c r="C182" s="9"/>
      <c r="D182" s="10"/>
      <c r="F182" s="14"/>
      <c r="H182" s="9"/>
      <c r="I182" s="9"/>
    </row>
    <row r="183" spans="1:9" s="13" customFormat="1" x14ac:dyDescent="0.2">
      <c r="A183" s="9"/>
      <c r="B183" s="9"/>
      <c r="C183" s="9"/>
      <c r="D183" s="10"/>
      <c r="F183" s="14"/>
      <c r="H183" s="9"/>
      <c r="I183" s="9"/>
    </row>
    <row r="184" spans="1:9" s="13" customFormat="1" x14ac:dyDescent="0.2">
      <c r="A184" s="48" t="s">
        <v>1473</v>
      </c>
      <c r="B184" s="9"/>
      <c r="C184" s="9"/>
      <c r="D184" s="10"/>
      <c r="F184" s="14"/>
      <c r="H184" s="9"/>
      <c r="I184" s="9"/>
    </row>
    <row r="186" spans="1:9" s="13" customFormat="1" x14ac:dyDescent="0.2">
      <c r="A186" s="18" t="s">
        <v>1421</v>
      </c>
      <c r="B186" s="9"/>
      <c r="C186" s="9"/>
      <c r="D186" s="41" t="s">
        <v>45</v>
      </c>
      <c r="F186" s="14"/>
      <c r="H186" s="9"/>
      <c r="I186" s="9"/>
    </row>
    <row r="187" spans="1:9" s="13" customFormat="1" x14ac:dyDescent="0.2">
      <c r="A187" s="9" t="s">
        <v>712</v>
      </c>
      <c r="B187" s="9"/>
      <c r="C187" s="9"/>
      <c r="D187" s="10"/>
      <c r="F187" s="14"/>
      <c r="H187" s="9"/>
      <c r="I187" s="9"/>
    </row>
    <row r="188" spans="1:9" x14ac:dyDescent="0.2">
      <c r="A188" s="50" t="s">
        <v>713</v>
      </c>
    </row>
    <row r="190" spans="1:9" ht="15" customHeight="1" x14ac:dyDescent="0.2">
      <c r="A190" s="90" t="s">
        <v>1101</v>
      </c>
      <c r="B190" s="91"/>
      <c r="C190" s="91"/>
      <c r="D190" s="91"/>
      <c r="E190" s="91"/>
      <c r="F190" s="91"/>
      <c r="G190" s="91"/>
    </row>
    <row r="191" spans="1:9" x14ac:dyDescent="0.2">
      <c r="A191" s="50" t="s">
        <v>47</v>
      </c>
    </row>
    <row r="192" spans="1:9" x14ac:dyDescent="0.2">
      <c r="A192" s="50"/>
    </row>
    <row r="193" spans="1:9" x14ac:dyDescent="0.2">
      <c r="A193" s="50"/>
    </row>
    <row r="195" spans="1:9" s="1" customFormat="1" ht="13.8" x14ac:dyDescent="0.2">
      <c r="A195" s="92" t="s">
        <v>1230</v>
      </c>
      <c r="B195" s="93"/>
      <c r="C195" s="93"/>
      <c r="D195" s="93"/>
      <c r="E195" s="93"/>
      <c r="F195" s="93"/>
      <c r="G195" s="93"/>
    </row>
    <row r="196" spans="1:9" x14ac:dyDescent="0.2">
      <c r="A196" s="18" t="s">
        <v>7</v>
      </c>
    </row>
    <row r="197" spans="1:9" s="1" customFormat="1" ht="17.55" customHeight="1" x14ac:dyDescent="0.2">
      <c r="A197" s="8" t="s">
        <v>2</v>
      </c>
      <c r="B197" s="8" t="s">
        <v>0</v>
      </c>
      <c r="C197" s="17" t="s">
        <v>727</v>
      </c>
      <c r="D197" s="16" t="s">
        <v>1</v>
      </c>
      <c r="E197" s="15" t="s">
        <v>3</v>
      </c>
      <c r="F197" s="15" t="s">
        <v>4</v>
      </c>
      <c r="G197" s="15" t="s">
        <v>6</v>
      </c>
    </row>
    <row r="198" spans="1:9" x14ac:dyDescent="0.2">
      <c r="A198" s="21" t="s">
        <v>26</v>
      </c>
      <c r="B198" s="22"/>
      <c r="C198" s="22"/>
      <c r="D198" s="23"/>
      <c r="E198" s="24"/>
      <c r="F198" s="25"/>
      <c r="G198" s="24"/>
    </row>
    <row r="199" spans="1:9" x14ac:dyDescent="0.2">
      <c r="A199" s="26" t="s">
        <v>27</v>
      </c>
      <c r="B199" s="27"/>
      <c r="C199" s="27"/>
      <c r="D199" s="28"/>
      <c r="E199" s="29"/>
      <c r="F199" s="30"/>
      <c r="G199" s="29"/>
    </row>
    <row r="200" spans="1:9" ht="20.399999999999999" x14ac:dyDescent="0.2">
      <c r="A200" s="27" t="s">
        <v>1103</v>
      </c>
      <c r="B200" s="27" t="s">
        <v>1104</v>
      </c>
      <c r="C200" s="51" t="s">
        <v>1105</v>
      </c>
      <c r="D200" s="31">
        <v>3523</v>
      </c>
      <c r="E200" s="29">
        <v>0</v>
      </c>
      <c r="F200" s="30">
        <v>100</v>
      </c>
      <c r="G200" s="29">
        <v>0</v>
      </c>
    </row>
    <row r="201" spans="1:9" x14ac:dyDescent="0.2">
      <c r="A201" s="26" t="s">
        <v>34</v>
      </c>
      <c r="B201" s="26"/>
      <c r="C201" s="26"/>
      <c r="D201" s="32"/>
      <c r="E201" s="33">
        <f>SUM(E199:E200)</f>
        <v>0</v>
      </c>
      <c r="F201" s="34">
        <f>SUM(F199:F200)</f>
        <v>100</v>
      </c>
      <c r="G201" s="33"/>
      <c r="H201" s="18"/>
      <c r="I201" s="18"/>
    </row>
    <row r="202" spans="1:9" x14ac:dyDescent="0.2">
      <c r="A202" s="27"/>
      <c r="B202" s="27"/>
      <c r="C202" s="27"/>
      <c r="D202" s="28"/>
      <c r="E202" s="29"/>
      <c r="F202" s="30"/>
      <c r="G202" s="29"/>
    </row>
    <row r="203" spans="1:9" x14ac:dyDescent="0.2">
      <c r="A203" s="26" t="s">
        <v>36</v>
      </c>
      <c r="B203" s="26"/>
      <c r="C203" s="26"/>
      <c r="D203" s="32"/>
      <c r="E203" s="33">
        <f>E201</f>
        <v>0</v>
      </c>
      <c r="F203" s="34">
        <f>F201</f>
        <v>100</v>
      </c>
      <c r="G203" s="33"/>
      <c r="H203" s="18"/>
      <c r="I203" s="18"/>
    </row>
    <row r="204" spans="1:9" x14ac:dyDescent="0.2">
      <c r="A204" s="26"/>
      <c r="B204" s="26"/>
      <c r="C204" s="26"/>
      <c r="D204" s="32"/>
      <c r="E204" s="33"/>
      <c r="F204" s="34"/>
      <c r="G204" s="33"/>
      <c r="H204" s="18"/>
      <c r="I204" s="18"/>
    </row>
    <row r="205" spans="1:9" x14ac:dyDescent="0.2">
      <c r="A205" s="26" t="s">
        <v>38</v>
      </c>
      <c r="B205" s="26"/>
      <c r="C205" s="26"/>
      <c r="D205" s="32"/>
      <c r="E205" s="33">
        <f>E207-(E201)</f>
        <v>8.9999999999999996E-7</v>
      </c>
      <c r="F205" s="34">
        <v>0</v>
      </c>
      <c r="G205" s="33"/>
      <c r="H205" s="18"/>
      <c r="I205" s="18"/>
    </row>
    <row r="206" spans="1:9" x14ac:dyDescent="0.2">
      <c r="A206" s="26"/>
      <c r="B206" s="26"/>
      <c r="C206" s="26"/>
      <c r="D206" s="32"/>
      <c r="E206" s="33"/>
      <c r="F206" s="34"/>
      <c r="G206" s="33"/>
      <c r="H206" s="18"/>
      <c r="I206" s="18"/>
    </row>
    <row r="207" spans="1:9" x14ac:dyDescent="0.2">
      <c r="A207" s="35" t="s">
        <v>37</v>
      </c>
      <c r="B207" s="35"/>
      <c r="C207" s="35"/>
      <c r="D207" s="36"/>
      <c r="E207" s="37">
        <v>8.9999999999999996E-7</v>
      </c>
      <c r="F207" s="38">
        <v>100</v>
      </c>
      <c r="G207" s="37"/>
      <c r="H207" s="18"/>
      <c r="I207" s="18"/>
    </row>
    <row r="209" spans="1:4" x14ac:dyDescent="0.2">
      <c r="A209" s="18" t="s">
        <v>39</v>
      </c>
    </row>
    <row r="210" spans="1:4" x14ac:dyDescent="0.2">
      <c r="A210" s="18" t="s">
        <v>1091</v>
      </c>
    </row>
    <row r="212" spans="1:4" x14ac:dyDescent="0.2">
      <c r="A212" s="18" t="s">
        <v>40</v>
      </c>
    </row>
    <row r="213" spans="1:4" x14ac:dyDescent="0.2">
      <c r="A213" s="18" t="s">
        <v>41</v>
      </c>
    </row>
    <row r="214" spans="1:4" x14ac:dyDescent="0.2">
      <c r="A214" s="18" t="s">
        <v>42</v>
      </c>
      <c r="B214" s="18"/>
      <c r="C214" s="39" t="s">
        <v>44</v>
      </c>
      <c r="D214" s="19" t="s">
        <v>43</v>
      </c>
    </row>
    <row r="215" spans="1:4" x14ac:dyDescent="0.2">
      <c r="A215" s="9" t="s">
        <v>820</v>
      </c>
      <c r="C215" s="40">
        <v>0</v>
      </c>
      <c r="D215" s="40">
        <v>0</v>
      </c>
    </row>
    <row r="216" spans="1:4" x14ac:dyDescent="0.2">
      <c r="A216" s="9" t="s">
        <v>1168</v>
      </c>
      <c r="C216" s="40">
        <v>0</v>
      </c>
      <c r="D216" s="40">
        <v>0</v>
      </c>
    </row>
    <row r="217" spans="1:4" x14ac:dyDescent="0.2">
      <c r="A217" s="9" t="s">
        <v>822</v>
      </c>
      <c r="C217" s="40">
        <v>0</v>
      </c>
      <c r="D217" s="40">
        <v>0</v>
      </c>
    </row>
    <row r="218" spans="1:4" x14ac:dyDescent="0.2">
      <c r="A218" s="9" t="s">
        <v>823</v>
      </c>
      <c r="C218" s="40">
        <v>0</v>
      </c>
      <c r="D218" s="40">
        <v>0</v>
      </c>
    </row>
    <row r="219" spans="1:4" x14ac:dyDescent="0.2">
      <c r="A219" s="9" t="s">
        <v>1472</v>
      </c>
      <c r="C219" s="40">
        <v>0</v>
      </c>
      <c r="D219" s="40">
        <v>0</v>
      </c>
    </row>
    <row r="220" spans="1:4" x14ac:dyDescent="0.2">
      <c r="A220" s="9" t="s">
        <v>824</v>
      </c>
      <c r="C220" s="40">
        <v>0</v>
      </c>
      <c r="D220" s="40">
        <v>0</v>
      </c>
    </row>
    <row r="221" spans="1:4" x14ac:dyDescent="0.2">
      <c r="A221" s="9" t="s">
        <v>1225</v>
      </c>
      <c r="C221" s="40">
        <v>0</v>
      </c>
      <c r="D221" s="40">
        <v>0</v>
      </c>
    </row>
    <row r="222" spans="1:4" x14ac:dyDescent="0.2">
      <c r="A222" s="9" t="s">
        <v>826</v>
      </c>
      <c r="C222" s="40">
        <v>0</v>
      </c>
      <c r="D222" s="40">
        <v>0</v>
      </c>
    </row>
    <row r="223" spans="1:4" x14ac:dyDescent="0.2">
      <c r="A223" s="9" t="s">
        <v>827</v>
      </c>
      <c r="C223" s="40">
        <v>0</v>
      </c>
      <c r="D223" s="40">
        <v>0</v>
      </c>
    </row>
    <row r="224" spans="1:4" x14ac:dyDescent="0.2">
      <c r="C224" s="40"/>
      <c r="D224" s="40"/>
    </row>
    <row r="225" spans="1:7" x14ac:dyDescent="0.2">
      <c r="A225" s="9" t="s">
        <v>782</v>
      </c>
    </row>
    <row r="227" spans="1:7" x14ac:dyDescent="0.2">
      <c r="A227" s="48" t="s">
        <v>1473</v>
      </c>
    </row>
    <row r="229" spans="1:7" x14ac:dyDescent="0.2">
      <c r="A229" s="18" t="s">
        <v>1421</v>
      </c>
      <c r="D229" s="41" t="s">
        <v>45</v>
      </c>
    </row>
    <row r="230" spans="1:7" x14ac:dyDescent="0.2">
      <c r="A230" s="9" t="s">
        <v>712</v>
      </c>
    </row>
    <row r="231" spans="1:7" x14ac:dyDescent="0.2">
      <c r="A231" s="50" t="s">
        <v>713</v>
      </c>
    </row>
    <row r="233" spans="1:7" ht="15" customHeight="1" x14ac:dyDescent="0.2">
      <c r="A233" s="90" t="s">
        <v>1101</v>
      </c>
      <c r="B233" s="91"/>
      <c r="C233" s="91"/>
      <c r="D233" s="91"/>
      <c r="E233" s="91"/>
      <c r="F233" s="91"/>
      <c r="G233" s="91"/>
    </row>
    <row r="234" spans="1:7" x14ac:dyDescent="0.2">
      <c r="A234" s="50" t="s">
        <v>47</v>
      </c>
    </row>
    <row r="236" spans="1:7" x14ac:dyDescent="0.2">
      <c r="A236" s="50"/>
    </row>
  </sheetData>
  <mergeCells count="10">
    <mergeCell ref="A151:G151"/>
    <mergeCell ref="A190:G190"/>
    <mergeCell ref="A195:G195"/>
    <mergeCell ref="A233:G233"/>
    <mergeCell ref="A1:G1"/>
    <mergeCell ref="A133:G133"/>
    <mergeCell ref="A138:G138"/>
    <mergeCell ref="A140:G140"/>
    <mergeCell ref="A143:G143"/>
    <mergeCell ref="A145:G145"/>
  </mergeCells>
  <conditionalFormatting sqref="F2:F3 F5:F47 F154:F155 F198:F199 F50:F62 F71:F72 F152 F164:F185 F194 F196 F208:F228 F237:F65587 F76 F78:F107 F116:F132">
    <cfRule type="cellIs" dxfId="40" priority="19" stopIfTrue="1" operator="between">
      <formula>0.009</formula>
      <formula>-0.009</formula>
    </cfRule>
  </conditionalFormatting>
  <conditionalFormatting sqref="F108:F111">
    <cfRule type="cellIs" dxfId="39" priority="18" stopIfTrue="1" operator="between">
      <formula>0.009</formula>
      <formula>-0.009</formula>
    </cfRule>
  </conditionalFormatting>
  <conditionalFormatting sqref="F146:F150">
    <cfRule type="cellIs" dxfId="38" priority="15" stopIfTrue="1" operator="between">
      <formula>0.009</formula>
      <formula>-0.009</formula>
    </cfRule>
  </conditionalFormatting>
  <conditionalFormatting sqref="F134:F137 F139 F142">
    <cfRule type="cellIs" dxfId="37" priority="17" stopIfTrue="1" operator="between">
      <formula>0.009</formula>
      <formula>-0.009</formula>
    </cfRule>
  </conditionalFormatting>
  <conditionalFormatting sqref="F158:F160 F162:F163">
    <cfRule type="cellIs" dxfId="36" priority="14" stopIfTrue="1" operator="between">
      <formula>0.009</formula>
      <formula>-0.009</formula>
    </cfRule>
  </conditionalFormatting>
  <conditionalFormatting sqref="F156:F157">
    <cfRule type="cellIs" dxfId="35" priority="13" stopIfTrue="1" operator="between">
      <formula>0.009</formula>
      <formula>-0.009</formula>
    </cfRule>
  </conditionalFormatting>
  <conditionalFormatting sqref="F186:F189">
    <cfRule type="cellIs" dxfId="34" priority="12" stopIfTrue="1" operator="between">
      <formula>0.009</formula>
      <formula>-0.009</formula>
    </cfRule>
  </conditionalFormatting>
  <conditionalFormatting sqref="F192:F193">
    <cfRule type="cellIs" dxfId="33" priority="11" stopIfTrue="1" operator="between">
      <formula>0.009</formula>
      <formula>-0.009</formula>
    </cfRule>
  </conditionalFormatting>
  <conditionalFormatting sqref="F191">
    <cfRule type="cellIs" dxfId="32" priority="9" stopIfTrue="1" operator="between">
      <formula>0.009</formula>
      <formula>-0.009</formula>
    </cfRule>
  </conditionalFormatting>
  <conditionalFormatting sqref="F202:F204 F206:F207">
    <cfRule type="cellIs" dxfId="31" priority="8" stopIfTrue="1" operator="between">
      <formula>0.009</formula>
      <formula>-0.009</formula>
    </cfRule>
  </conditionalFormatting>
  <conditionalFormatting sqref="F200:F201">
    <cfRule type="cellIs" dxfId="30" priority="7" stopIfTrue="1" operator="between">
      <formula>0.009</formula>
      <formula>-0.009</formula>
    </cfRule>
  </conditionalFormatting>
  <conditionalFormatting sqref="F229:F232">
    <cfRule type="cellIs" dxfId="29" priority="6" stopIfTrue="1" operator="between">
      <formula>0.009</formula>
      <formula>-0.009</formula>
    </cfRule>
  </conditionalFormatting>
  <conditionalFormatting sqref="F234">
    <cfRule type="cellIs" dxfId="28" priority="4" stopIfTrue="1" operator="between">
      <formula>0.009</formula>
      <formula>-0.009</formula>
    </cfRule>
  </conditionalFormatting>
  <conditionalFormatting sqref="F235:F236">
    <cfRule type="cellIs" dxfId="27" priority="5" stopIfTrue="1" operator="between">
      <formula>0.009</formula>
      <formula>-0.009</formula>
    </cfRule>
  </conditionalFormatting>
  <conditionalFormatting sqref="F73:F75">
    <cfRule type="cellIs" dxfId="26" priority="3" stopIfTrue="1" operator="between">
      <formula>0.009</formula>
      <formula>-0.009</formula>
    </cfRule>
  </conditionalFormatting>
  <conditionalFormatting sqref="F112:F115">
    <cfRule type="cellIs" dxfId="25" priority="1" stopIfTrue="1" operator="between">
      <formula>0.009</formula>
      <formula>-0.009</formula>
    </cfRule>
  </conditionalFormatting>
  <hyperlinks>
    <hyperlink ref="A110" r:id="rId1" xr:uid="{00000000-0004-0000-3B00-000000000000}"/>
    <hyperlink ref="A136" r:id="rId2" xr:uid="{00000000-0004-0000-3B00-000001000000}"/>
    <hyperlink ref="A141" r:id="rId3" xr:uid="{00000000-0004-0000-3B00-000002000000}"/>
    <hyperlink ref="A146" r:id="rId4" xr:uid="{00000000-0004-0000-3B00-000003000000}"/>
    <hyperlink ref="A188" r:id="rId5" xr:uid="{00000000-0004-0000-3B00-000004000000}"/>
    <hyperlink ref="A191" r:id="rId6" xr:uid="{00000000-0004-0000-3B00-000005000000}"/>
    <hyperlink ref="A231" r:id="rId7" xr:uid="{00000000-0004-0000-3B00-000006000000}"/>
    <hyperlink ref="A234" r:id="rId8" xr:uid="{00000000-0004-0000-3B00-000007000000}"/>
  </hyperlinks>
  <pageMargins left="0.7" right="0.7" top="0.75" bottom="0.75" header="0.3" footer="0.3"/>
  <pageSetup paperSize="9" scale="42" orientation="portrait" r:id="rId9"/>
  <headerFooter>
    <oddFooter>&amp;R&amp;1#&amp;"Calibri"&amp;10&amp;KFF0000|PUBLIC|</oddFooter>
    <evenFooter>&amp;LPUBLIC</evenFooter>
    <firstFooter>&amp;LPUBLIC</firstFooter>
  </headerFooter>
  <rowBreaks count="2" manualBreakCount="2">
    <brk id="149" max="6" man="1"/>
    <brk id="192" max="16383" man="1"/>
  </rowBreaks>
  <colBreaks count="1" manualBreakCount="1">
    <brk id="7" max="1048575" man="1"/>
  </colBreaks>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I132"/>
  <sheetViews>
    <sheetView view="pageBreakPreview" zoomScaleNormal="100" zoomScaleSheetLayoutView="100" workbookViewId="0">
      <selection sqref="A1:G1"/>
    </sheetView>
  </sheetViews>
  <sheetFormatPr defaultColWidth="9.21875" defaultRowHeight="10.199999999999999" x14ac:dyDescent="0.2"/>
  <cols>
    <col min="1" max="1" width="38.77734375" style="9" bestFit="1" customWidth="1"/>
    <col min="2" max="2" width="69.21875" style="9" bestFit="1" customWidth="1"/>
    <col min="3" max="3" width="15.44140625" style="9" bestFit="1" customWidth="1"/>
    <col min="4" max="4" width="15.44140625" style="10" bestFit="1" customWidth="1"/>
    <col min="5" max="5" width="23" style="13" bestFit="1" customWidth="1"/>
    <col min="6" max="6" width="13.5546875" style="14" bestFit="1" customWidth="1"/>
    <col min="7" max="7" width="14.21875" style="13" customWidth="1"/>
    <col min="8" max="16384" width="9.21875" style="9"/>
  </cols>
  <sheetData>
    <row r="1" spans="1:7" s="1" customFormat="1" ht="13.8" x14ac:dyDescent="0.2">
      <c r="A1" s="92" t="s">
        <v>1557</v>
      </c>
      <c r="B1" s="93"/>
      <c r="C1" s="93"/>
      <c r="D1" s="93"/>
      <c r="E1" s="93"/>
      <c r="F1" s="93"/>
      <c r="G1" s="93"/>
    </row>
    <row r="2" spans="1:7" s="1" customFormat="1" ht="12" x14ac:dyDescent="0.25">
      <c r="A2" s="56" t="s">
        <v>1011</v>
      </c>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727</v>
      </c>
      <c r="D4" s="16" t="s">
        <v>1</v>
      </c>
      <c r="E4" s="15" t="s">
        <v>3</v>
      </c>
      <c r="F4" s="15" t="s">
        <v>4</v>
      </c>
      <c r="G4" s="15" t="s">
        <v>6</v>
      </c>
    </row>
    <row r="5" spans="1:7" x14ac:dyDescent="0.2">
      <c r="A5" s="21" t="s">
        <v>26</v>
      </c>
      <c r="B5" s="22"/>
      <c r="C5" s="22"/>
      <c r="D5" s="23"/>
      <c r="E5" s="24"/>
      <c r="F5" s="25"/>
      <c r="G5" s="24"/>
    </row>
    <row r="6" spans="1:7" x14ac:dyDescent="0.2">
      <c r="A6" s="26" t="s">
        <v>27</v>
      </c>
      <c r="B6" s="27"/>
      <c r="C6" s="27"/>
      <c r="D6" s="28"/>
      <c r="E6" s="29"/>
      <c r="F6" s="30"/>
      <c r="G6" s="29"/>
    </row>
    <row r="7" spans="1:7" x14ac:dyDescent="0.2">
      <c r="A7" s="27" t="s">
        <v>1020</v>
      </c>
      <c r="B7" s="27" t="s">
        <v>1021</v>
      </c>
      <c r="C7" s="27" t="s">
        <v>1022</v>
      </c>
      <c r="D7" s="31">
        <v>2797</v>
      </c>
      <c r="E7" s="29">
        <v>25418.996149999999</v>
      </c>
      <c r="F7" s="30">
        <v>14.159770685642799</v>
      </c>
      <c r="G7" s="29">
        <v>11.762700000000001</v>
      </c>
    </row>
    <row r="8" spans="1:7" x14ac:dyDescent="0.2">
      <c r="A8" s="27" t="s">
        <v>892</v>
      </c>
      <c r="B8" s="27" t="s">
        <v>893</v>
      </c>
      <c r="C8" s="27" t="s">
        <v>894</v>
      </c>
      <c r="D8" s="31">
        <v>1910</v>
      </c>
      <c r="E8" s="29">
        <v>21616.826099999998</v>
      </c>
      <c r="F8" s="30">
        <v>12.041754077193101</v>
      </c>
      <c r="G8" s="29">
        <v>7.4999000000000002</v>
      </c>
    </row>
    <row r="9" spans="1:7" x14ac:dyDescent="0.2">
      <c r="A9" s="27" t="s">
        <v>1122</v>
      </c>
      <c r="B9" s="27" t="s">
        <v>1123</v>
      </c>
      <c r="C9" s="27" t="s">
        <v>911</v>
      </c>
      <c r="D9" s="31">
        <v>1550</v>
      </c>
      <c r="E9" s="29">
        <v>15739.072</v>
      </c>
      <c r="F9" s="30">
        <v>8.7675236665403098</v>
      </c>
      <c r="G9" s="29">
        <v>9.3290000000000006</v>
      </c>
    </row>
    <row r="10" spans="1:7" x14ac:dyDescent="0.2">
      <c r="A10" s="27" t="s">
        <v>1231</v>
      </c>
      <c r="B10" s="27" t="s">
        <v>1232</v>
      </c>
      <c r="C10" s="27" t="s">
        <v>1014</v>
      </c>
      <c r="D10" s="31">
        <v>5858</v>
      </c>
      <c r="E10" s="29">
        <v>12358.880349999999</v>
      </c>
      <c r="F10" s="30">
        <v>6.8845720993311996</v>
      </c>
      <c r="G10" s="29">
        <v>9.5698000000000008</v>
      </c>
    </row>
    <row r="11" spans="1:7" x14ac:dyDescent="0.2">
      <c r="A11" s="27" t="s">
        <v>1233</v>
      </c>
      <c r="B11" s="27" t="s">
        <v>1234</v>
      </c>
      <c r="C11" s="27" t="s">
        <v>1019</v>
      </c>
      <c r="D11" s="31">
        <v>12100</v>
      </c>
      <c r="E11" s="29">
        <v>12045.4774</v>
      </c>
      <c r="F11" s="30">
        <v>6.7099895203018596</v>
      </c>
      <c r="G11" s="29">
        <v>10.3695</v>
      </c>
    </row>
    <row r="12" spans="1:7" x14ac:dyDescent="0.2">
      <c r="A12" s="27" t="s">
        <v>1029</v>
      </c>
      <c r="B12" s="27" t="s">
        <v>1030</v>
      </c>
      <c r="C12" s="27" t="s">
        <v>1031</v>
      </c>
      <c r="D12" s="31">
        <v>723</v>
      </c>
      <c r="E12" s="29">
        <v>10286.807849999999</v>
      </c>
      <c r="F12" s="30">
        <v>5.7303144224785099</v>
      </c>
      <c r="G12" s="29">
        <v>11.4499</v>
      </c>
    </row>
    <row r="13" spans="1:7" x14ac:dyDescent="0.2">
      <c r="A13" s="27" t="s">
        <v>1235</v>
      </c>
      <c r="B13" s="27" t="s">
        <v>1236</v>
      </c>
      <c r="C13" s="27" t="s">
        <v>30</v>
      </c>
      <c r="D13" s="31">
        <v>1000</v>
      </c>
      <c r="E13" s="29">
        <v>10161.59</v>
      </c>
      <c r="F13" s="30">
        <v>5.6605612335136</v>
      </c>
      <c r="G13" s="29">
        <v>9.6473999999999993</v>
      </c>
    </row>
    <row r="14" spans="1:7" x14ac:dyDescent="0.2">
      <c r="A14" s="27" t="s">
        <v>1017</v>
      </c>
      <c r="B14" s="27" t="s">
        <v>1018</v>
      </c>
      <c r="C14" s="27" t="s">
        <v>1019</v>
      </c>
      <c r="D14" s="31">
        <v>780</v>
      </c>
      <c r="E14" s="29">
        <v>7676.5415999999996</v>
      </c>
      <c r="F14" s="30">
        <v>4.27625340014845</v>
      </c>
      <c r="G14" s="29">
        <v>18.175899999999999</v>
      </c>
    </row>
    <row r="15" spans="1:7" x14ac:dyDescent="0.2">
      <c r="A15" s="27" t="s">
        <v>1023</v>
      </c>
      <c r="B15" s="27" t="s">
        <v>1024</v>
      </c>
      <c r="C15" s="27" t="s">
        <v>1019</v>
      </c>
      <c r="D15" s="31">
        <v>650</v>
      </c>
      <c r="E15" s="29">
        <v>6521.0145000000002</v>
      </c>
      <c r="F15" s="30">
        <v>3.6325616248913901</v>
      </c>
      <c r="G15" s="29">
        <v>8.1798999999999999</v>
      </c>
    </row>
    <row r="16" spans="1:7" x14ac:dyDescent="0.2">
      <c r="A16" s="27" t="s">
        <v>1197</v>
      </c>
      <c r="B16" s="27" t="s">
        <v>1198</v>
      </c>
      <c r="C16" s="27" t="s">
        <v>1014</v>
      </c>
      <c r="D16" s="31">
        <v>646</v>
      </c>
      <c r="E16" s="29">
        <v>6519.7808400000004</v>
      </c>
      <c r="F16" s="30">
        <v>3.6318744088187702</v>
      </c>
      <c r="G16" s="29">
        <v>10.329599999999999</v>
      </c>
    </row>
    <row r="17" spans="1:9" x14ac:dyDescent="0.2">
      <c r="A17" s="27" t="s">
        <v>909</v>
      </c>
      <c r="B17" s="27" t="s">
        <v>910</v>
      </c>
      <c r="C17" s="27" t="s">
        <v>911</v>
      </c>
      <c r="D17" s="31">
        <v>619</v>
      </c>
      <c r="E17" s="29">
        <v>6339.6927699999997</v>
      </c>
      <c r="F17" s="30">
        <v>3.5315555071842502</v>
      </c>
      <c r="G17" s="29">
        <v>9.75</v>
      </c>
    </row>
    <row r="18" spans="1:9" x14ac:dyDescent="0.2">
      <c r="A18" s="27" t="s">
        <v>1012</v>
      </c>
      <c r="B18" s="27" t="s">
        <v>1013</v>
      </c>
      <c r="C18" s="27" t="s">
        <v>1014</v>
      </c>
      <c r="D18" s="31">
        <v>501</v>
      </c>
      <c r="E18" s="29">
        <v>5113.6067999999996</v>
      </c>
      <c r="F18" s="30">
        <v>2.8485585834019602</v>
      </c>
      <c r="G18" s="29">
        <v>8.8696999999999999</v>
      </c>
    </row>
    <row r="19" spans="1:9" x14ac:dyDescent="0.2">
      <c r="A19" s="27" t="s">
        <v>1195</v>
      </c>
      <c r="B19" s="27" t="s">
        <v>1196</v>
      </c>
      <c r="C19" s="27" t="s">
        <v>1014</v>
      </c>
      <c r="D19" s="31">
        <v>350</v>
      </c>
      <c r="E19" s="29">
        <v>3561.3305</v>
      </c>
      <c r="F19" s="30">
        <v>1.98385581075694</v>
      </c>
      <c r="G19" s="29">
        <v>10.0899</v>
      </c>
    </row>
    <row r="20" spans="1:9" x14ac:dyDescent="0.2">
      <c r="A20" s="27" t="s">
        <v>1053</v>
      </c>
      <c r="B20" s="27" t="s">
        <v>1054</v>
      </c>
      <c r="C20" s="27" t="s">
        <v>1014</v>
      </c>
      <c r="D20" s="31">
        <v>240</v>
      </c>
      <c r="E20" s="29">
        <v>2420.904</v>
      </c>
      <c r="F20" s="30">
        <v>1.34857589535279</v>
      </c>
      <c r="G20" s="29">
        <v>8.2799999999999994</v>
      </c>
    </row>
    <row r="21" spans="1:9" x14ac:dyDescent="0.2">
      <c r="A21" s="27" t="s">
        <v>1039</v>
      </c>
      <c r="B21" s="27" t="s">
        <v>1040</v>
      </c>
      <c r="C21" s="27" t="s">
        <v>1041</v>
      </c>
      <c r="D21" s="31">
        <v>204</v>
      </c>
      <c r="E21" s="29">
        <v>2169.5787599999999</v>
      </c>
      <c r="F21" s="30">
        <v>1.2085739950057499</v>
      </c>
      <c r="G21" s="29">
        <v>6.0118999999999998</v>
      </c>
    </row>
    <row r="22" spans="1:9" x14ac:dyDescent="0.2">
      <c r="A22" s="27" t="s">
        <v>1057</v>
      </c>
      <c r="B22" s="27" t="s">
        <v>1058</v>
      </c>
      <c r="C22" s="27" t="s">
        <v>30</v>
      </c>
      <c r="D22" s="31">
        <v>200</v>
      </c>
      <c r="E22" s="29">
        <v>2052.02</v>
      </c>
      <c r="F22" s="30">
        <v>1.1430873379455899</v>
      </c>
      <c r="G22" s="29">
        <v>8.3228000000000009</v>
      </c>
    </row>
    <row r="23" spans="1:9" x14ac:dyDescent="0.2">
      <c r="A23" s="27" t="s">
        <v>1025</v>
      </c>
      <c r="B23" s="27" t="s">
        <v>1026</v>
      </c>
      <c r="C23" s="27" t="s">
        <v>1022</v>
      </c>
      <c r="D23" s="31">
        <v>250</v>
      </c>
      <c r="E23" s="29">
        <v>2004.248</v>
      </c>
      <c r="F23" s="30">
        <v>1.1164757219241399</v>
      </c>
      <c r="G23" s="29">
        <v>9.6891999999999996</v>
      </c>
    </row>
    <row r="24" spans="1:9" x14ac:dyDescent="0.2">
      <c r="A24" s="27" t="s">
        <v>1237</v>
      </c>
      <c r="B24" s="27" t="s">
        <v>1238</v>
      </c>
      <c r="C24" s="27" t="s">
        <v>1239</v>
      </c>
      <c r="D24" s="31">
        <v>150</v>
      </c>
      <c r="E24" s="29">
        <v>1931.058</v>
      </c>
      <c r="F24" s="30">
        <v>1.07570489012707</v>
      </c>
      <c r="G24" s="29">
        <v>11.4757</v>
      </c>
    </row>
    <row r="25" spans="1:9" x14ac:dyDescent="0.2">
      <c r="A25" s="27" t="s">
        <v>1042</v>
      </c>
      <c r="B25" s="27" t="s">
        <v>1043</v>
      </c>
      <c r="C25" s="27" t="s">
        <v>1014</v>
      </c>
      <c r="D25" s="31">
        <v>150</v>
      </c>
      <c r="E25" s="29">
        <v>1520.7764999999999</v>
      </c>
      <c r="F25" s="30">
        <v>0.84715566173585899</v>
      </c>
      <c r="G25" s="29">
        <v>8.7695000000000007</v>
      </c>
    </row>
    <row r="26" spans="1:9" x14ac:dyDescent="0.2">
      <c r="A26" s="27" t="s">
        <v>1240</v>
      </c>
      <c r="B26" s="27" t="s">
        <v>1241</v>
      </c>
      <c r="C26" s="27" t="s">
        <v>30</v>
      </c>
      <c r="D26" s="31">
        <v>150</v>
      </c>
      <c r="E26" s="29">
        <v>1488.0284999999999</v>
      </c>
      <c r="F26" s="30">
        <v>0.82891323517908</v>
      </c>
      <c r="G26" s="29">
        <v>9.4518000000000004</v>
      </c>
    </row>
    <row r="27" spans="1:9" x14ac:dyDescent="0.2">
      <c r="A27" s="27" t="s">
        <v>1059</v>
      </c>
      <c r="B27" s="27" t="s">
        <v>1060</v>
      </c>
      <c r="C27" s="27" t="s">
        <v>1022</v>
      </c>
      <c r="D27" s="31">
        <v>30</v>
      </c>
      <c r="E27" s="29">
        <v>303.48480000000001</v>
      </c>
      <c r="F27" s="30">
        <v>0.169057627186358</v>
      </c>
      <c r="G27" s="29">
        <v>4.7949999999999999</v>
      </c>
    </row>
    <row r="28" spans="1:9" x14ac:dyDescent="0.2">
      <c r="A28" s="26" t="s">
        <v>34</v>
      </c>
      <c r="B28" s="26"/>
      <c r="C28" s="26"/>
      <c r="D28" s="32"/>
      <c r="E28" s="33">
        <f>SUM(E6:E27)</f>
        <v>157249.71542000002</v>
      </c>
      <c r="F28" s="34">
        <f>SUM(F6:F27)</f>
        <v>87.596689404659813</v>
      </c>
      <c r="G28" s="33"/>
      <c r="H28" s="18"/>
      <c r="I28" s="18"/>
    </row>
    <row r="29" spans="1:9" x14ac:dyDescent="0.2">
      <c r="A29" s="27"/>
      <c r="B29" s="27"/>
      <c r="C29" s="27"/>
      <c r="D29" s="28"/>
      <c r="E29" s="29"/>
      <c r="F29" s="30"/>
      <c r="G29" s="29"/>
    </row>
    <row r="30" spans="1:9" x14ac:dyDescent="0.2">
      <c r="A30" s="26" t="s">
        <v>942</v>
      </c>
      <c r="B30" s="27"/>
      <c r="C30" s="27"/>
      <c r="D30" s="28"/>
      <c r="E30" s="29"/>
      <c r="F30" s="30"/>
      <c r="G30" s="29"/>
    </row>
    <row r="31" spans="1:9" x14ac:dyDescent="0.2">
      <c r="A31" s="27" t="s">
        <v>1070</v>
      </c>
      <c r="B31" s="27" t="s">
        <v>1071</v>
      </c>
      <c r="C31" s="27" t="s">
        <v>1066</v>
      </c>
      <c r="D31" s="31">
        <v>770</v>
      </c>
      <c r="E31" s="29">
        <v>6481.3721370000003</v>
      </c>
      <c r="F31" s="30">
        <v>3.6104786611817001</v>
      </c>
      <c r="G31" s="29">
        <v>11.6854</v>
      </c>
    </row>
    <row r="32" spans="1:9" x14ac:dyDescent="0.2">
      <c r="A32" s="27" t="s">
        <v>1075</v>
      </c>
      <c r="B32" s="27" t="s">
        <v>1076</v>
      </c>
      <c r="C32" s="27" t="s">
        <v>1063</v>
      </c>
      <c r="D32" s="31">
        <v>370</v>
      </c>
      <c r="E32" s="29">
        <v>3832.386</v>
      </c>
      <c r="F32" s="30">
        <v>2.1348485447120198</v>
      </c>
      <c r="G32" s="29">
        <v>7.5347999999999997</v>
      </c>
    </row>
    <row r="33" spans="1:9" x14ac:dyDescent="0.2">
      <c r="A33" s="27" t="s">
        <v>1207</v>
      </c>
      <c r="B33" s="27" t="s">
        <v>1208</v>
      </c>
      <c r="C33" s="27" t="s">
        <v>1186</v>
      </c>
      <c r="D33" s="31">
        <v>300</v>
      </c>
      <c r="E33" s="29">
        <v>2937.6930000000002</v>
      </c>
      <c r="F33" s="30">
        <v>1.63645562473631</v>
      </c>
      <c r="G33" s="29">
        <v>12.6745</v>
      </c>
    </row>
    <row r="34" spans="1:9" x14ac:dyDescent="0.2">
      <c r="A34" s="27" t="s">
        <v>1079</v>
      </c>
      <c r="B34" s="27" t="s">
        <v>1080</v>
      </c>
      <c r="C34" s="27" t="s">
        <v>1066</v>
      </c>
      <c r="D34" s="31">
        <v>250</v>
      </c>
      <c r="E34" s="29">
        <v>2174.8940499999999</v>
      </c>
      <c r="F34" s="30">
        <v>1.2115349021589501</v>
      </c>
      <c r="G34" s="29">
        <v>11.6884</v>
      </c>
    </row>
    <row r="35" spans="1:9" x14ac:dyDescent="0.2">
      <c r="A35" s="27" t="s">
        <v>1064</v>
      </c>
      <c r="B35" s="27" t="s">
        <v>1065</v>
      </c>
      <c r="C35" s="27" t="s">
        <v>1066</v>
      </c>
      <c r="D35" s="31">
        <v>110</v>
      </c>
      <c r="E35" s="29">
        <v>977.90994509999996</v>
      </c>
      <c r="F35" s="30">
        <v>0.54474930843504499</v>
      </c>
      <c r="G35" s="29">
        <v>11.6884</v>
      </c>
    </row>
    <row r="36" spans="1:9" x14ac:dyDescent="0.2">
      <c r="A36" s="27" t="s">
        <v>1077</v>
      </c>
      <c r="B36" s="27" t="s">
        <v>1078</v>
      </c>
      <c r="C36" s="27" t="s">
        <v>1063</v>
      </c>
      <c r="D36" s="31">
        <v>10</v>
      </c>
      <c r="E36" s="29">
        <v>976.38939000000005</v>
      </c>
      <c r="F36" s="30">
        <v>0.54390227610521502</v>
      </c>
      <c r="G36" s="29">
        <v>7.7050000000000001</v>
      </c>
    </row>
    <row r="37" spans="1:9" x14ac:dyDescent="0.2">
      <c r="A37" s="27" t="s">
        <v>1067</v>
      </c>
      <c r="B37" s="27" t="s">
        <v>1068</v>
      </c>
      <c r="C37" s="27" t="s">
        <v>1069</v>
      </c>
      <c r="D37" s="31">
        <v>50</v>
      </c>
      <c r="E37" s="29">
        <v>474.33249999999998</v>
      </c>
      <c r="F37" s="30">
        <v>0.26422913749674898</v>
      </c>
      <c r="G37" s="29">
        <v>12.09</v>
      </c>
    </row>
    <row r="38" spans="1:9" x14ac:dyDescent="0.2">
      <c r="A38" s="27" t="s">
        <v>1081</v>
      </c>
      <c r="B38" s="27" t="s">
        <v>1082</v>
      </c>
      <c r="C38" s="27" t="s">
        <v>1083</v>
      </c>
      <c r="D38" s="31">
        <v>1400</v>
      </c>
      <c r="E38" s="29">
        <v>0</v>
      </c>
      <c r="F38" s="29">
        <v>0</v>
      </c>
      <c r="G38" s="29">
        <v>0</v>
      </c>
    </row>
    <row r="39" spans="1:9" x14ac:dyDescent="0.2">
      <c r="A39" s="27" t="s">
        <v>1084</v>
      </c>
      <c r="B39" s="27" t="s">
        <v>1085</v>
      </c>
      <c r="C39" s="27" t="s">
        <v>1083</v>
      </c>
      <c r="D39" s="31">
        <v>688</v>
      </c>
      <c r="E39" s="29">
        <v>0</v>
      </c>
      <c r="F39" s="29">
        <v>0</v>
      </c>
      <c r="G39" s="29">
        <v>0</v>
      </c>
    </row>
    <row r="40" spans="1:9" x14ac:dyDescent="0.2">
      <c r="A40" s="27" t="s">
        <v>1242</v>
      </c>
      <c r="B40" s="27" t="s">
        <v>1243</v>
      </c>
      <c r="C40" s="27" t="s">
        <v>1083</v>
      </c>
      <c r="D40" s="31">
        <v>400</v>
      </c>
      <c r="E40" s="29">
        <v>0</v>
      </c>
      <c r="F40" s="29">
        <v>0</v>
      </c>
      <c r="G40" s="29">
        <v>0</v>
      </c>
    </row>
    <row r="41" spans="1:9" x14ac:dyDescent="0.2">
      <c r="A41" s="26" t="s">
        <v>34</v>
      </c>
      <c r="B41" s="26"/>
      <c r="C41" s="26"/>
      <c r="D41" s="32"/>
      <c r="E41" s="33">
        <f>SUM(E30:E40)</f>
        <v>17854.9770221</v>
      </c>
      <c r="F41" s="34">
        <f>SUM(F30:F40)</f>
        <v>9.9461984548259892</v>
      </c>
      <c r="G41" s="33"/>
      <c r="H41" s="18"/>
      <c r="I41" s="18"/>
    </row>
    <row r="42" spans="1:9" x14ac:dyDescent="0.2">
      <c r="A42" s="27"/>
      <c r="B42" s="27"/>
      <c r="C42" s="27"/>
      <c r="D42" s="28"/>
      <c r="E42" s="29"/>
      <c r="F42" s="30"/>
      <c r="G42" s="29"/>
    </row>
    <row r="43" spans="1:9" x14ac:dyDescent="0.2">
      <c r="A43" s="26" t="s">
        <v>35</v>
      </c>
      <c r="B43" s="27"/>
      <c r="C43" s="27"/>
      <c r="D43" s="28"/>
      <c r="E43" s="29"/>
      <c r="F43" s="30"/>
      <c r="G43" s="29"/>
    </row>
    <row r="44" spans="1:9" x14ac:dyDescent="0.2">
      <c r="A44" s="27" t="s">
        <v>1088</v>
      </c>
      <c r="B44" s="27" t="s">
        <v>1089</v>
      </c>
      <c r="C44" s="27" t="s">
        <v>1090</v>
      </c>
      <c r="D44" s="31">
        <v>17604.79</v>
      </c>
      <c r="E44" s="29">
        <v>590.06654189999995</v>
      </c>
      <c r="F44" s="30">
        <v>0.32869932680540798</v>
      </c>
      <c r="G44" s="29">
        <v>3.3814000000000002</v>
      </c>
    </row>
    <row r="45" spans="1:9" x14ac:dyDescent="0.2">
      <c r="A45" s="26" t="s">
        <v>34</v>
      </c>
      <c r="B45" s="26"/>
      <c r="C45" s="26"/>
      <c r="D45" s="32"/>
      <c r="E45" s="33">
        <f>SUM(E44:E44)</f>
        <v>590.06654189999995</v>
      </c>
      <c r="F45" s="34">
        <f>SUM(F44:F44)</f>
        <v>0.32869932680540798</v>
      </c>
      <c r="G45" s="33"/>
    </row>
    <row r="46" spans="1:9" x14ac:dyDescent="0.2">
      <c r="A46" s="27"/>
      <c r="B46" s="27"/>
      <c r="C46" s="27"/>
      <c r="D46" s="28"/>
      <c r="E46" s="29"/>
      <c r="F46" s="30"/>
      <c r="G46" s="29"/>
    </row>
    <row r="47" spans="1:9" x14ac:dyDescent="0.2">
      <c r="A47" s="26" t="s">
        <v>36</v>
      </c>
      <c r="B47" s="26"/>
      <c r="C47" s="26"/>
      <c r="D47" s="32"/>
      <c r="E47" s="33">
        <f>E28+E41+E45</f>
        <v>175694.75898400004</v>
      </c>
      <c r="F47" s="33">
        <f>F28+F41+F45</f>
        <v>97.871587186291208</v>
      </c>
      <c r="G47" s="33"/>
      <c r="H47" s="18"/>
      <c r="I47" s="18"/>
    </row>
    <row r="48" spans="1:9" x14ac:dyDescent="0.2">
      <c r="A48" s="26"/>
      <c r="B48" s="26"/>
      <c r="C48" s="26"/>
      <c r="D48" s="32"/>
      <c r="E48" s="33"/>
      <c r="F48" s="34"/>
      <c r="G48" s="33"/>
      <c r="H48" s="18"/>
      <c r="I48" s="18"/>
    </row>
    <row r="49" spans="1:9" x14ac:dyDescent="0.2">
      <c r="A49" s="26" t="s">
        <v>38</v>
      </c>
      <c r="B49" s="26"/>
      <c r="C49" s="26"/>
      <c r="D49" s="32"/>
      <c r="E49" s="33">
        <f>E51-(E28+E41+E45)</f>
        <v>3820.8328593999613</v>
      </c>
      <c r="F49" s="33">
        <f>F51-(F28+F41+F45)</f>
        <v>2.1284128137087919</v>
      </c>
      <c r="G49" s="33"/>
      <c r="H49" s="18"/>
      <c r="I49" s="18"/>
    </row>
    <row r="50" spans="1:9" x14ac:dyDescent="0.2">
      <c r="A50" s="26"/>
      <c r="B50" s="26"/>
      <c r="C50" s="26"/>
      <c r="D50" s="32"/>
      <c r="E50" s="33"/>
      <c r="F50" s="34"/>
      <c r="G50" s="33"/>
      <c r="H50" s="18"/>
      <c r="I50" s="18"/>
    </row>
    <row r="51" spans="1:9" x14ac:dyDescent="0.2">
      <c r="A51" s="35" t="s">
        <v>37</v>
      </c>
      <c r="B51" s="35"/>
      <c r="C51" s="35"/>
      <c r="D51" s="36"/>
      <c r="E51" s="37">
        <v>179515.59184340001</v>
      </c>
      <c r="F51" s="38">
        <v>100</v>
      </c>
      <c r="G51" s="37"/>
      <c r="H51" s="18"/>
      <c r="I51" s="18"/>
    </row>
    <row r="53" spans="1:9" x14ac:dyDescent="0.2">
      <c r="A53" s="18" t="s">
        <v>39</v>
      </c>
    </row>
    <row r="54" spans="1:9" x14ac:dyDescent="0.2">
      <c r="A54" s="68" t="s">
        <v>1434</v>
      </c>
    </row>
    <row r="56" spans="1:9" x14ac:dyDescent="0.2">
      <c r="A56" s="18" t="s">
        <v>40</v>
      </c>
    </row>
    <row r="57" spans="1:9" x14ac:dyDescent="0.2">
      <c r="A57" s="18" t="s">
        <v>41</v>
      </c>
    </row>
    <row r="58" spans="1:9" x14ac:dyDescent="0.2">
      <c r="A58" s="18" t="s">
        <v>42</v>
      </c>
      <c r="B58" s="18"/>
      <c r="C58" s="39" t="s">
        <v>44</v>
      </c>
      <c r="D58" s="19" t="s">
        <v>43</v>
      </c>
    </row>
    <row r="59" spans="1:9" x14ac:dyDescent="0.2">
      <c r="A59" s="9" t="s">
        <v>65</v>
      </c>
      <c r="C59" s="40">
        <v>20.3203</v>
      </c>
      <c r="D59" s="40">
        <v>22.8567</v>
      </c>
    </row>
    <row r="60" spans="1:9" x14ac:dyDescent="0.2">
      <c r="A60" s="9" t="s">
        <v>1003</v>
      </c>
      <c r="C60" s="40">
        <v>9.4205000000000005</v>
      </c>
      <c r="D60" s="40">
        <v>10.596399999999999</v>
      </c>
    </row>
    <row r="61" spans="1:9" x14ac:dyDescent="0.2">
      <c r="A61" s="9" t="s">
        <v>66</v>
      </c>
      <c r="C61" s="40">
        <v>21.590900000000001</v>
      </c>
      <c r="D61" s="40">
        <v>24.362100000000002</v>
      </c>
    </row>
    <row r="62" spans="1:9" x14ac:dyDescent="0.2">
      <c r="A62" s="9" t="s">
        <v>1004</v>
      </c>
      <c r="C62" s="40">
        <v>10.1396</v>
      </c>
      <c r="D62" s="40">
        <v>11.441000000000001</v>
      </c>
    </row>
    <row r="63" spans="1:9" x14ac:dyDescent="0.2">
      <c r="C63" s="40"/>
      <c r="D63" s="40"/>
    </row>
    <row r="64" spans="1:9" x14ac:dyDescent="0.2">
      <c r="A64" s="9" t="s">
        <v>782</v>
      </c>
      <c r="C64" s="40"/>
      <c r="D64" s="40"/>
    </row>
    <row r="66" spans="1:5" x14ac:dyDescent="0.2">
      <c r="A66" s="18" t="s">
        <v>1560</v>
      </c>
      <c r="D66" s="41" t="s">
        <v>45</v>
      </c>
    </row>
    <row r="68" spans="1:5" x14ac:dyDescent="0.2">
      <c r="A68" s="18" t="s">
        <v>783</v>
      </c>
      <c r="D68" s="42">
        <v>3.7074650299726022</v>
      </c>
      <c r="E68" s="13" t="s">
        <v>46</v>
      </c>
    </row>
    <row r="70" spans="1:5" x14ac:dyDescent="0.2">
      <c r="A70" s="18" t="s">
        <v>717</v>
      </c>
      <c r="D70" s="41" t="s">
        <v>45</v>
      </c>
    </row>
    <row r="71" spans="1:5" x14ac:dyDescent="0.2">
      <c r="A71" s="9" t="s">
        <v>712</v>
      </c>
    </row>
    <row r="72" spans="1:5" x14ac:dyDescent="0.2">
      <c r="A72" s="50" t="s">
        <v>713</v>
      </c>
    </row>
    <row r="74" spans="1:5" x14ac:dyDescent="0.2">
      <c r="A74" s="18" t="s">
        <v>1438</v>
      </c>
    </row>
    <row r="76" spans="1:5" x14ac:dyDescent="0.2">
      <c r="A76" s="9" t="s">
        <v>1442</v>
      </c>
    </row>
    <row r="78" spans="1:5" ht="51" x14ac:dyDescent="0.2">
      <c r="A78" s="78" t="s">
        <v>2</v>
      </c>
      <c r="B78" s="79" t="s">
        <v>1457</v>
      </c>
      <c r="C78" s="79" t="s">
        <v>1443</v>
      </c>
      <c r="D78" s="79" t="s">
        <v>1444</v>
      </c>
      <c r="E78" s="79" t="s">
        <v>1445</v>
      </c>
    </row>
    <row r="79" spans="1:5" x14ac:dyDescent="0.2">
      <c r="A79" s="80" t="s">
        <v>1527</v>
      </c>
      <c r="B79" s="80" t="s">
        <v>1541</v>
      </c>
      <c r="C79" s="81">
        <v>0</v>
      </c>
      <c r="D79" s="82">
        <v>0</v>
      </c>
      <c r="E79" s="81">
        <v>6066.8173590186634</v>
      </c>
    </row>
    <row r="81" spans="1:7" x14ac:dyDescent="0.2">
      <c r="A81" s="65" t="s">
        <v>1441</v>
      </c>
    </row>
    <row r="83" spans="1:7" ht="40.5" customHeight="1" x14ac:dyDescent="0.2">
      <c r="A83" s="101" t="s">
        <v>1510</v>
      </c>
      <c r="B83" s="101"/>
      <c r="C83" s="101"/>
      <c r="D83" s="101"/>
      <c r="E83" s="101"/>
      <c r="F83" s="101"/>
      <c r="G83" s="101"/>
    </row>
    <row r="85" spans="1:7" ht="37.5" customHeight="1" x14ac:dyDescent="0.2">
      <c r="A85" s="101" t="s">
        <v>1092</v>
      </c>
      <c r="B85" s="101"/>
      <c r="C85" s="101"/>
      <c r="D85" s="101"/>
      <c r="E85" s="101"/>
      <c r="F85" s="101"/>
      <c r="G85" s="101"/>
    </row>
    <row r="86" spans="1:7" x14ac:dyDescent="0.2">
      <c r="A86" s="55" t="s">
        <v>1093</v>
      </c>
      <c r="B86" s="57"/>
      <c r="C86" s="57"/>
      <c r="D86" s="57"/>
      <c r="E86" s="57"/>
      <c r="F86" s="57"/>
      <c r="G86" s="57"/>
    </row>
    <row r="88" spans="1:7" ht="28.5" customHeight="1" x14ac:dyDescent="0.2">
      <c r="A88" s="102" t="s">
        <v>1094</v>
      </c>
      <c r="B88" s="102"/>
      <c r="C88" s="102"/>
      <c r="D88" s="102"/>
      <c r="E88" s="102"/>
      <c r="F88" s="102"/>
      <c r="G88" s="102"/>
    </row>
    <row r="90" spans="1:7" ht="15" customHeight="1" x14ac:dyDescent="0.2">
      <c r="A90" s="90" t="s">
        <v>1095</v>
      </c>
      <c r="B90" s="91"/>
      <c r="C90" s="91"/>
      <c r="D90" s="91"/>
      <c r="E90" s="91"/>
      <c r="F90" s="91"/>
      <c r="G90" s="91"/>
    </row>
    <row r="91" spans="1:7" x14ac:dyDescent="0.2">
      <c r="A91" s="50" t="s">
        <v>47</v>
      </c>
    </row>
    <row r="92" spans="1:7" x14ac:dyDescent="0.2">
      <c r="A92" s="50"/>
    </row>
    <row r="93" spans="1:7" x14ac:dyDescent="0.2">
      <c r="A93" s="18" t="s">
        <v>1565</v>
      </c>
    </row>
    <row r="95" spans="1:7" x14ac:dyDescent="0.2">
      <c r="A95" s="50"/>
    </row>
    <row r="97" spans="1:9" s="1" customFormat="1" ht="13.8" x14ac:dyDescent="0.2">
      <c r="A97" s="92" t="s">
        <v>1244</v>
      </c>
      <c r="B97" s="93"/>
      <c r="C97" s="93"/>
      <c r="D97" s="93"/>
      <c r="E97" s="93"/>
      <c r="F97" s="93"/>
      <c r="G97" s="93"/>
    </row>
    <row r="98" spans="1:9" x14ac:dyDescent="0.2">
      <c r="A98" s="18" t="s">
        <v>7</v>
      </c>
    </row>
    <row r="99" spans="1:9" s="1" customFormat="1" ht="17.55" customHeight="1" x14ac:dyDescent="0.2">
      <c r="A99" s="8" t="s">
        <v>2</v>
      </c>
      <c r="B99" s="8" t="s">
        <v>0</v>
      </c>
      <c r="C99" s="17" t="s">
        <v>727</v>
      </c>
      <c r="D99" s="16" t="s">
        <v>1</v>
      </c>
      <c r="E99" s="15" t="s">
        <v>3</v>
      </c>
      <c r="F99" s="15" t="s">
        <v>4</v>
      </c>
      <c r="G99" s="15" t="s">
        <v>6</v>
      </c>
    </row>
    <row r="100" spans="1:9" x14ac:dyDescent="0.2">
      <c r="A100" s="21" t="s">
        <v>26</v>
      </c>
      <c r="B100" s="22"/>
      <c r="C100" s="22"/>
      <c r="D100" s="23"/>
      <c r="E100" s="24"/>
      <c r="F100" s="25"/>
      <c r="G100" s="24"/>
    </row>
    <row r="101" spans="1:9" x14ac:dyDescent="0.2">
      <c r="A101" s="26" t="s">
        <v>27</v>
      </c>
      <c r="B101" s="27"/>
      <c r="C101" s="27"/>
      <c r="D101" s="28"/>
      <c r="E101" s="29"/>
      <c r="F101" s="30"/>
      <c r="G101" s="29"/>
    </row>
    <row r="102" spans="1:9" x14ac:dyDescent="0.2">
      <c r="A102" s="27" t="s">
        <v>1097</v>
      </c>
      <c r="B102" s="27" t="s">
        <v>1098</v>
      </c>
      <c r="C102" s="27" t="s">
        <v>1099</v>
      </c>
      <c r="D102" s="31">
        <v>1450</v>
      </c>
      <c r="E102" s="29">
        <v>0</v>
      </c>
      <c r="F102" s="30">
        <v>100</v>
      </c>
      <c r="G102" s="29">
        <v>0</v>
      </c>
    </row>
    <row r="103" spans="1:9" x14ac:dyDescent="0.2">
      <c r="A103" s="26" t="s">
        <v>34</v>
      </c>
      <c r="B103" s="26"/>
      <c r="C103" s="26"/>
      <c r="D103" s="32"/>
      <c r="E103" s="33">
        <v>0</v>
      </c>
      <c r="F103" s="34">
        <v>100</v>
      </c>
      <c r="G103" s="33"/>
      <c r="H103" s="18"/>
      <c r="I103" s="18"/>
    </row>
    <row r="104" spans="1:9" x14ac:dyDescent="0.2">
      <c r="A104" s="27"/>
      <c r="B104" s="27"/>
      <c r="C104" s="27"/>
      <c r="D104" s="28"/>
      <c r="E104" s="29"/>
      <c r="F104" s="30"/>
      <c r="G104" s="29"/>
    </row>
    <row r="105" spans="1:9" x14ac:dyDescent="0.2">
      <c r="A105" s="26" t="s">
        <v>36</v>
      </c>
      <c r="B105" s="26"/>
      <c r="C105" s="26"/>
      <c r="D105" s="32"/>
      <c r="E105" s="33">
        <v>0</v>
      </c>
      <c r="F105" s="34">
        <v>100</v>
      </c>
      <c r="G105" s="33"/>
      <c r="H105" s="18"/>
      <c r="I105" s="18"/>
    </row>
    <row r="106" spans="1:9" x14ac:dyDescent="0.2">
      <c r="A106" s="26"/>
      <c r="B106" s="26"/>
      <c r="C106" s="26"/>
      <c r="D106" s="32"/>
      <c r="E106" s="33"/>
      <c r="F106" s="34"/>
      <c r="G106" s="33"/>
      <c r="H106" s="18"/>
      <c r="I106" s="18"/>
    </row>
    <row r="107" spans="1:9" x14ac:dyDescent="0.2">
      <c r="A107" s="26" t="s">
        <v>38</v>
      </c>
      <c r="B107" s="26"/>
      <c r="C107" s="26"/>
      <c r="D107" s="32"/>
      <c r="E107" s="33">
        <v>3.9999999999999998E-7</v>
      </c>
      <c r="F107" s="34">
        <v>0</v>
      </c>
      <c r="G107" s="33"/>
      <c r="H107" s="18"/>
      <c r="I107" s="18"/>
    </row>
    <row r="108" spans="1:9" x14ac:dyDescent="0.2">
      <c r="A108" s="26"/>
      <c r="B108" s="26"/>
      <c r="C108" s="26"/>
      <c r="D108" s="32"/>
      <c r="E108" s="33"/>
      <c r="F108" s="34"/>
      <c r="G108" s="33"/>
      <c r="H108" s="18"/>
      <c r="I108" s="18"/>
    </row>
    <row r="109" spans="1:9" x14ac:dyDescent="0.2">
      <c r="A109" s="35" t="s">
        <v>37</v>
      </c>
      <c r="B109" s="35"/>
      <c r="C109" s="35"/>
      <c r="D109" s="36"/>
      <c r="E109" s="37">
        <v>3.9999999999999998E-7</v>
      </c>
      <c r="F109" s="38">
        <v>100</v>
      </c>
      <c r="G109" s="37"/>
      <c r="H109" s="18"/>
      <c r="I109" s="18"/>
    </row>
    <row r="111" spans="1:9" x14ac:dyDescent="0.2">
      <c r="A111" s="18" t="s">
        <v>39</v>
      </c>
    </row>
    <row r="112" spans="1:9" x14ac:dyDescent="0.2">
      <c r="A112" s="48" t="s">
        <v>1091</v>
      </c>
    </row>
    <row r="113" spans="1:4" x14ac:dyDescent="0.2">
      <c r="A113" s="18" t="s">
        <v>1100</v>
      </c>
    </row>
    <row r="115" spans="1:4" x14ac:dyDescent="0.2">
      <c r="A115" s="18" t="s">
        <v>40</v>
      </c>
    </row>
    <row r="116" spans="1:4" x14ac:dyDescent="0.2">
      <c r="A116" s="18" t="s">
        <v>41</v>
      </c>
    </row>
    <row r="117" spans="1:4" x14ac:dyDescent="0.2">
      <c r="A117" s="18" t="s">
        <v>42</v>
      </c>
      <c r="B117" s="18"/>
      <c r="C117" s="39" t="s">
        <v>44</v>
      </c>
      <c r="D117" s="19" t="s">
        <v>43</v>
      </c>
    </row>
    <row r="118" spans="1:4" x14ac:dyDescent="0.2">
      <c r="A118" s="9" t="s">
        <v>65</v>
      </c>
      <c r="C118" s="40">
        <v>0</v>
      </c>
      <c r="D118" s="40">
        <v>0</v>
      </c>
    </row>
    <row r="119" spans="1:4" x14ac:dyDescent="0.2">
      <c r="A119" s="9" t="s">
        <v>1003</v>
      </c>
      <c r="C119" s="40">
        <v>0</v>
      </c>
      <c r="D119" s="40">
        <v>0</v>
      </c>
    </row>
    <row r="120" spans="1:4" x14ac:dyDescent="0.2">
      <c r="A120" s="9" t="s">
        <v>66</v>
      </c>
      <c r="C120" s="40">
        <v>0</v>
      </c>
      <c r="D120" s="40">
        <v>0</v>
      </c>
    </row>
    <row r="121" spans="1:4" x14ac:dyDescent="0.2">
      <c r="A121" s="9" t="s">
        <v>1004</v>
      </c>
      <c r="C121" s="40">
        <v>0</v>
      </c>
      <c r="D121" s="40">
        <v>0</v>
      </c>
    </row>
    <row r="123" spans="1:4" x14ac:dyDescent="0.2">
      <c r="A123" s="9" t="s">
        <v>782</v>
      </c>
    </row>
    <row r="125" spans="1:4" x14ac:dyDescent="0.2">
      <c r="A125" s="18" t="s">
        <v>1421</v>
      </c>
      <c r="D125" s="41" t="s">
        <v>45</v>
      </c>
    </row>
    <row r="126" spans="1:4" x14ac:dyDescent="0.2">
      <c r="A126" s="9" t="s">
        <v>712</v>
      </c>
    </row>
    <row r="127" spans="1:4" x14ac:dyDescent="0.2">
      <c r="A127" s="50" t="s">
        <v>713</v>
      </c>
    </row>
    <row r="129" spans="1:7" ht="15" customHeight="1" x14ac:dyDescent="0.2">
      <c r="A129" s="90" t="s">
        <v>1101</v>
      </c>
      <c r="B129" s="91"/>
      <c r="C129" s="91"/>
      <c r="D129" s="91"/>
      <c r="E129" s="91"/>
      <c r="F129" s="91"/>
      <c r="G129" s="91"/>
    </row>
    <row r="130" spans="1:7" x14ac:dyDescent="0.2">
      <c r="A130" s="50" t="s">
        <v>47</v>
      </c>
    </row>
    <row r="132" spans="1:7" x14ac:dyDescent="0.2">
      <c r="A132" s="50"/>
    </row>
  </sheetData>
  <mergeCells count="7">
    <mergeCell ref="A129:G129"/>
    <mergeCell ref="A1:G1"/>
    <mergeCell ref="A83:G83"/>
    <mergeCell ref="A85:G85"/>
    <mergeCell ref="A88:G88"/>
    <mergeCell ref="A90:G90"/>
    <mergeCell ref="A97:G97"/>
  </mergeCells>
  <conditionalFormatting sqref="F2:F3 F5:F37 F100:F124 F41:F42 F48 F96 F98 F133:F65560 F46 F50:F82">
    <cfRule type="cellIs" dxfId="24" priority="10" stopIfTrue="1" operator="between">
      <formula>0.009</formula>
      <formula>-0.009</formula>
    </cfRule>
  </conditionalFormatting>
  <conditionalFormatting sqref="F89">
    <cfRule type="cellIs" dxfId="23" priority="8" stopIfTrue="1" operator="between">
      <formula>0.009</formula>
      <formula>-0.009</formula>
    </cfRule>
  </conditionalFormatting>
  <conditionalFormatting sqref="F84 F87">
    <cfRule type="cellIs" dxfId="22" priority="7" stopIfTrue="1" operator="between">
      <formula>0.009</formula>
      <formula>-0.009</formula>
    </cfRule>
  </conditionalFormatting>
  <conditionalFormatting sqref="F91:F93">
    <cfRule type="cellIs" dxfId="21" priority="5" stopIfTrue="1" operator="between">
      <formula>0.009</formula>
      <formula>-0.009</formula>
    </cfRule>
  </conditionalFormatting>
  <conditionalFormatting sqref="F94:F95">
    <cfRule type="cellIs" dxfId="20" priority="6" stopIfTrue="1" operator="between">
      <formula>0.009</formula>
      <formula>-0.009</formula>
    </cfRule>
  </conditionalFormatting>
  <conditionalFormatting sqref="F125:F128">
    <cfRule type="cellIs" dxfId="19" priority="4" stopIfTrue="1" operator="between">
      <formula>0.009</formula>
      <formula>-0.009</formula>
    </cfRule>
  </conditionalFormatting>
  <conditionalFormatting sqref="F130">
    <cfRule type="cellIs" dxfId="18" priority="2" stopIfTrue="1" operator="between">
      <formula>0.009</formula>
      <formula>-0.009</formula>
    </cfRule>
  </conditionalFormatting>
  <conditionalFormatting sqref="F131:F132">
    <cfRule type="cellIs" dxfId="17" priority="3" stopIfTrue="1" operator="between">
      <formula>0.009</formula>
      <formula>-0.009</formula>
    </cfRule>
  </conditionalFormatting>
  <conditionalFormatting sqref="F43:F45">
    <cfRule type="cellIs" dxfId="16" priority="1" stopIfTrue="1" operator="between">
      <formula>0.009</formula>
      <formula>-0.009</formula>
    </cfRule>
  </conditionalFormatting>
  <hyperlinks>
    <hyperlink ref="A72" r:id="rId1" xr:uid="{00000000-0004-0000-3C00-000000000000}"/>
    <hyperlink ref="A86" r:id="rId2" xr:uid="{00000000-0004-0000-3C00-000001000000}"/>
    <hyperlink ref="A91" r:id="rId3" xr:uid="{00000000-0004-0000-3C00-000002000000}"/>
    <hyperlink ref="A127" r:id="rId4" xr:uid="{00000000-0004-0000-3C00-000003000000}"/>
    <hyperlink ref="A130" r:id="rId5" xr:uid="{00000000-0004-0000-3C00-000004000000}"/>
  </hyperlinks>
  <pageMargins left="0.7" right="0.7" top="0.75" bottom="0.75" header="0.3" footer="0.3"/>
  <pageSetup paperSize="9" scale="46" orientation="portrait" r:id="rId6"/>
  <headerFooter>
    <oddFooter>&amp;R&amp;1#&amp;"Calibri"&amp;10&amp;KFF0000|PUBLIC|</oddFooter>
    <evenFooter>&amp;LPUBLIC</evenFooter>
    <firstFooter>&amp;LPUBLIC</firstFooter>
  </headerFooter>
  <rowBreaks count="1" manualBreakCount="1">
    <brk id="94" max="16383" man="1"/>
  </rowBreaks>
  <colBreaks count="1" manualBreakCount="1">
    <brk id="7" max="1048575" man="1"/>
  </colBreaks>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I194"/>
  <sheetViews>
    <sheetView view="pageBreakPreview" zoomScaleNormal="100" zoomScaleSheetLayoutView="100" workbookViewId="0">
      <selection sqref="A1:G1"/>
    </sheetView>
  </sheetViews>
  <sheetFormatPr defaultColWidth="9.21875" defaultRowHeight="10.199999999999999" x14ac:dyDescent="0.2"/>
  <cols>
    <col min="1" max="1" width="38.77734375" style="9" bestFit="1" customWidth="1"/>
    <col min="2" max="2" width="69.21875" style="9" bestFit="1" customWidth="1"/>
    <col min="3" max="3" width="15.44140625" style="9" bestFit="1" customWidth="1"/>
    <col min="4" max="4" width="15.44140625" style="10" bestFit="1" customWidth="1"/>
    <col min="5" max="5" width="23" style="13" bestFit="1" customWidth="1"/>
    <col min="6" max="6" width="13.5546875" style="14" bestFit="1" customWidth="1"/>
    <col min="7" max="7" width="14.21875" style="13" customWidth="1"/>
    <col min="8" max="16384" width="9.21875" style="9"/>
  </cols>
  <sheetData>
    <row r="1" spans="1:7" s="1" customFormat="1" ht="13.8" x14ac:dyDescent="0.2">
      <c r="A1" s="92" t="s">
        <v>1558</v>
      </c>
      <c r="B1" s="93"/>
      <c r="C1" s="93"/>
      <c r="D1" s="93"/>
      <c r="E1" s="93"/>
      <c r="F1" s="93"/>
      <c r="G1" s="93"/>
    </row>
    <row r="2" spans="1:7" s="1" customFormat="1" ht="12" x14ac:dyDescent="0.25">
      <c r="A2" s="56" t="s">
        <v>1011</v>
      </c>
      <c r="D2" s="6"/>
      <c r="E2" s="7"/>
      <c r="F2" s="12"/>
      <c r="G2" s="13"/>
    </row>
    <row r="3" spans="1:7" s="1" customFormat="1" ht="12" x14ac:dyDescent="0.2">
      <c r="A3" s="11" t="s">
        <v>7</v>
      </c>
      <c r="B3" s="2"/>
      <c r="C3" s="3"/>
      <c r="D3" s="4"/>
      <c r="E3" s="5"/>
      <c r="F3" s="12"/>
      <c r="G3" s="13"/>
    </row>
    <row r="4" spans="1:7" s="1" customFormat="1" ht="17.55" customHeight="1" x14ac:dyDescent="0.2">
      <c r="A4" s="8" t="s">
        <v>2</v>
      </c>
      <c r="B4" s="8" t="s">
        <v>0</v>
      </c>
      <c r="C4" s="17" t="s">
        <v>727</v>
      </c>
      <c r="D4" s="16" t="s">
        <v>1</v>
      </c>
      <c r="E4" s="15" t="s">
        <v>3</v>
      </c>
      <c r="F4" s="15" t="s">
        <v>4</v>
      </c>
      <c r="G4" s="15" t="s">
        <v>6</v>
      </c>
    </row>
    <row r="5" spans="1:7" x14ac:dyDescent="0.2">
      <c r="A5" s="21" t="s">
        <v>26</v>
      </c>
      <c r="B5" s="22"/>
      <c r="C5" s="22"/>
      <c r="D5" s="23"/>
      <c r="E5" s="24"/>
      <c r="F5" s="25"/>
      <c r="G5" s="24"/>
    </row>
    <row r="6" spans="1:7" x14ac:dyDescent="0.2">
      <c r="A6" s="26" t="s">
        <v>27</v>
      </c>
      <c r="B6" s="27"/>
      <c r="C6" s="27"/>
      <c r="D6" s="28"/>
      <c r="E6" s="29"/>
      <c r="F6" s="30"/>
      <c r="G6" s="29"/>
    </row>
    <row r="7" spans="1:7" x14ac:dyDescent="0.2">
      <c r="A7" s="27" t="s">
        <v>909</v>
      </c>
      <c r="B7" s="27" t="s">
        <v>910</v>
      </c>
      <c r="C7" s="27" t="s">
        <v>911</v>
      </c>
      <c r="D7" s="31">
        <v>3930</v>
      </c>
      <c r="E7" s="29">
        <v>40250.391900000002</v>
      </c>
      <c r="F7" s="30">
        <v>14.2162061369937</v>
      </c>
      <c r="G7" s="29">
        <v>9.75</v>
      </c>
    </row>
    <row r="8" spans="1:7" x14ac:dyDescent="0.2">
      <c r="A8" s="27" t="s">
        <v>1187</v>
      </c>
      <c r="B8" s="27" t="s">
        <v>1188</v>
      </c>
      <c r="C8" s="27" t="s">
        <v>1014</v>
      </c>
      <c r="D8" s="31">
        <v>10140</v>
      </c>
      <c r="E8" s="29">
        <v>21442.91604</v>
      </c>
      <c r="F8" s="30">
        <v>7.5735141998179696</v>
      </c>
      <c r="G8" s="29">
        <v>9.1844999999999999</v>
      </c>
    </row>
    <row r="9" spans="1:7" x14ac:dyDescent="0.2">
      <c r="A9" s="27" t="s">
        <v>1025</v>
      </c>
      <c r="B9" s="27" t="s">
        <v>1026</v>
      </c>
      <c r="C9" s="27" t="s">
        <v>1022</v>
      </c>
      <c r="D9" s="31">
        <v>2125</v>
      </c>
      <c r="E9" s="29">
        <v>17036.108</v>
      </c>
      <c r="F9" s="30">
        <v>6.0170550314588898</v>
      </c>
      <c r="G9" s="29">
        <v>9.6891999999999996</v>
      </c>
    </row>
    <row r="10" spans="1:7" x14ac:dyDescent="0.2">
      <c r="A10" s="27" t="s">
        <v>892</v>
      </c>
      <c r="B10" s="27" t="s">
        <v>893</v>
      </c>
      <c r="C10" s="27" t="s">
        <v>894</v>
      </c>
      <c r="D10" s="31">
        <v>1150</v>
      </c>
      <c r="E10" s="29">
        <v>13015.3665</v>
      </c>
      <c r="F10" s="30">
        <v>4.5969523370658596</v>
      </c>
      <c r="G10" s="29">
        <v>7.4999000000000002</v>
      </c>
    </row>
    <row r="11" spans="1:7" x14ac:dyDescent="0.2">
      <c r="A11" s="27" t="s">
        <v>1015</v>
      </c>
      <c r="B11" s="27" t="s">
        <v>1016</v>
      </c>
      <c r="C11" s="27" t="s">
        <v>1014</v>
      </c>
      <c r="D11" s="31">
        <v>5580</v>
      </c>
      <c r="E11" s="29">
        <v>11835.470160000001</v>
      </c>
      <c r="F11" s="30">
        <v>4.1802197588738901</v>
      </c>
      <c r="G11" s="29">
        <v>9.3095999999999997</v>
      </c>
    </row>
    <row r="12" spans="1:7" x14ac:dyDescent="0.2">
      <c r="A12" s="27" t="s">
        <v>1122</v>
      </c>
      <c r="B12" s="27" t="s">
        <v>1123</v>
      </c>
      <c r="C12" s="27" t="s">
        <v>911</v>
      </c>
      <c r="D12" s="31">
        <v>1000</v>
      </c>
      <c r="E12" s="29">
        <v>10154.24</v>
      </c>
      <c r="F12" s="30">
        <v>3.58641896861895</v>
      </c>
      <c r="G12" s="29">
        <v>9.3290000000000006</v>
      </c>
    </row>
    <row r="13" spans="1:7" x14ac:dyDescent="0.2">
      <c r="A13" s="27" t="s">
        <v>1240</v>
      </c>
      <c r="B13" s="27" t="s">
        <v>1241</v>
      </c>
      <c r="C13" s="27" t="s">
        <v>30</v>
      </c>
      <c r="D13" s="31">
        <v>850</v>
      </c>
      <c r="E13" s="29">
        <v>8432.1615000000002</v>
      </c>
      <c r="F13" s="30">
        <v>2.9781907804088199</v>
      </c>
      <c r="G13" s="29">
        <v>9.4518000000000004</v>
      </c>
    </row>
    <row r="14" spans="1:7" x14ac:dyDescent="0.2">
      <c r="A14" s="27" t="s">
        <v>1051</v>
      </c>
      <c r="B14" s="27" t="s">
        <v>1052</v>
      </c>
      <c r="C14" s="27" t="s">
        <v>1031</v>
      </c>
      <c r="D14" s="31">
        <v>510</v>
      </c>
      <c r="E14" s="29">
        <v>7204.9332000000004</v>
      </c>
      <c r="F14" s="30">
        <v>2.5447408270941398</v>
      </c>
      <c r="G14" s="29">
        <v>11.4499</v>
      </c>
    </row>
    <row r="15" spans="1:7" x14ac:dyDescent="0.2">
      <c r="A15" s="27" t="s">
        <v>1195</v>
      </c>
      <c r="B15" s="27" t="s">
        <v>1196</v>
      </c>
      <c r="C15" s="27" t="s">
        <v>1014</v>
      </c>
      <c r="D15" s="31">
        <v>648</v>
      </c>
      <c r="E15" s="29">
        <v>6593.5490399999999</v>
      </c>
      <c r="F15" s="30">
        <v>2.3288034700356999</v>
      </c>
      <c r="G15" s="29">
        <v>10.0899</v>
      </c>
    </row>
    <row r="16" spans="1:7" x14ac:dyDescent="0.2">
      <c r="A16" s="27" t="s">
        <v>1245</v>
      </c>
      <c r="B16" s="27" t="s">
        <v>1246</v>
      </c>
      <c r="C16" s="27" t="s">
        <v>1121</v>
      </c>
      <c r="D16" s="31">
        <v>650</v>
      </c>
      <c r="E16" s="29">
        <v>6439.7969999999996</v>
      </c>
      <c r="F16" s="30">
        <v>2.27449913679955</v>
      </c>
      <c r="G16" s="29">
        <v>11.8</v>
      </c>
    </row>
    <row r="17" spans="1:7" x14ac:dyDescent="0.2">
      <c r="A17" s="27" t="s">
        <v>1247</v>
      </c>
      <c r="B17" s="27" t="s">
        <v>1248</v>
      </c>
      <c r="C17" s="27" t="s">
        <v>1121</v>
      </c>
      <c r="D17" s="31">
        <v>650</v>
      </c>
      <c r="E17" s="29">
        <v>6208.7610000000004</v>
      </c>
      <c r="F17" s="30">
        <v>2.1928985548915101</v>
      </c>
      <c r="G17" s="29">
        <v>14.13</v>
      </c>
    </row>
    <row r="18" spans="1:7" x14ac:dyDescent="0.2">
      <c r="A18" s="27" t="s">
        <v>1012</v>
      </c>
      <c r="B18" s="27" t="s">
        <v>1013</v>
      </c>
      <c r="C18" s="27" t="s">
        <v>1014</v>
      </c>
      <c r="D18" s="31">
        <v>606</v>
      </c>
      <c r="E18" s="29">
        <v>6185.3208000000004</v>
      </c>
      <c r="F18" s="30">
        <v>2.1846196115232002</v>
      </c>
      <c r="G18" s="29">
        <v>8.8696999999999999</v>
      </c>
    </row>
    <row r="19" spans="1:7" x14ac:dyDescent="0.2">
      <c r="A19" s="27" t="s">
        <v>1042</v>
      </c>
      <c r="B19" s="27" t="s">
        <v>1043</v>
      </c>
      <c r="C19" s="27" t="s">
        <v>1014</v>
      </c>
      <c r="D19" s="31">
        <v>550</v>
      </c>
      <c r="E19" s="29">
        <v>5576.1805000000004</v>
      </c>
      <c r="F19" s="30">
        <v>1.9694747728676001</v>
      </c>
      <c r="G19" s="29">
        <v>8.7695000000000007</v>
      </c>
    </row>
    <row r="20" spans="1:7" x14ac:dyDescent="0.2">
      <c r="A20" s="27" t="s">
        <v>1032</v>
      </c>
      <c r="B20" s="27" t="s">
        <v>1033</v>
      </c>
      <c r="C20" s="27" t="s">
        <v>30</v>
      </c>
      <c r="D20" s="31">
        <v>550</v>
      </c>
      <c r="E20" s="29">
        <v>5498.13</v>
      </c>
      <c r="F20" s="30">
        <v>1.9419077866913601</v>
      </c>
      <c r="G20" s="29">
        <v>9.3755000000000006</v>
      </c>
    </row>
    <row r="21" spans="1:7" x14ac:dyDescent="0.2">
      <c r="A21" s="27" t="s">
        <v>1017</v>
      </c>
      <c r="B21" s="27" t="s">
        <v>1018</v>
      </c>
      <c r="C21" s="27" t="s">
        <v>1019</v>
      </c>
      <c r="D21" s="31">
        <v>550</v>
      </c>
      <c r="E21" s="29">
        <v>5412.9459999999999</v>
      </c>
      <c r="F21" s="30">
        <v>1.9118212894820401</v>
      </c>
      <c r="G21" s="29">
        <v>18.175899999999999</v>
      </c>
    </row>
    <row r="22" spans="1:7" x14ac:dyDescent="0.2">
      <c r="A22" s="27" t="s">
        <v>1249</v>
      </c>
      <c r="B22" s="27" t="s">
        <v>1250</v>
      </c>
      <c r="C22" s="27" t="s">
        <v>1036</v>
      </c>
      <c r="D22" s="31">
        <v>5000</v>
      </c>
      <c r="E22" s="29">
        <v>4926.3649999999998</v>
      </c>
      <c r="F22" s="30">
        <v>1.73996368830562</v>
      </c>
      <c r="G22" s="29">
        <v>11.2949</v>
      </c>
    </row>
    <row r="23" spans="1:7" x14ac:dyDescent="0.2">
      <c r="A23" s="27" t="s">
        <v>1034</v>
      </c>
      <c r="B23" s="27" t="s">
        <v>1035</v>
      </c>
      <c r="C23" s="27" t="s">
        <v>1036</v>
      </c>
      <c r="D23" s="31">
        <v>550</v>
      </c>
      <c r="E23" s="29">
        <v>4803.942</v>
      </c>
      <c r="F23" s="30">
        <v>1.6967245911998601</v>
      </c>
      <c r="G23" s="29">
        <v>21.123799999999999</v>
      </c>
    </row>
    <row r="24" spans="1:7" x14ac:dyDescent="0.2">
      <c r="A24" s="27" t="s">
        <v>1237</v>
      </c>
      <c r="B24" s="27" t="s">
        <v>1238</v>
      </c>
      <c r="C24" s="27" t="s">
        <v>1239</v>
      </c>
      <c r="D24" s="31">
        <v>350</v>
      </c>
      <c r="E24" s="29">
        <v>4505.8019999999997</v>
      </c>
      <c r="F24" s="30">
        <v>1.5914232637441299</v>
      </c>
      <c r="G24" s="29">
        <v>11.4757</v>
      </c>
    </row>
    <row r="25" spans="1:7" x14ac:dyDescent="0.2">
      <c r="A25" s="27" t="s">
        <v>1119</v>
      </c>
      <c r="B25" s="27" t="s">
        <v>1120</v>
      </c>
      <c r="C25" s="27" t="s">
        <v>1121</v>
      </c>
      <c r="D25" s="31">
        <v>450</v>
      </c>
      <c r="E25" s="29">
        <v>4500.2025000000003</v>
      </c>
      <c r="F25" s="30">
        <v>1.5894455526584399</v>
      </c>
      <c r="G25" s="29">
        <v>9.2993000000000006</v>
      </c>
    </row>
    <row r="26" spans="1:7" x14ac:dyDescent="0.2">
      <c r="A26" s="27" t="s">
        <v>1197</v>
      </c>
      <c r="B26" s="27" t="s">
        <v>1198</v>
      </c>
      <c r="C26" s="27" t="s">
        <v>1014</v>
      </c>
      <c r="D26" s="31">
        <v>352</v>
      </c>
      <c r="E26" s="29">
        <v>3552.5740799999999</v>
      </c>
      <c r="F26" s="30">
        <v>1.25474866340918</v>
      </c>
      <c r="G26" s="29">
        <v>10.329599999999999</v>
      </c>
    </row>
    <row r="27" spans="1:7" x14ac:dyDescent="0.2">
      <c r="A27" s="27" t="s">
        <v>1053</v>
      </c>
      <c r="B27" s="27" t="s">
        <v>1054</v>
      </c>
      <c r="C27" s="27" t="s">
        <v>1014</v>
      </c>
      <c r="D27" s="31">
        <v>351</v>
      </c>
      <c r="E27" s="29">
        <v>3540.5720999999999</v>
      </c>
      <c r="F27" s="30">
        <v>1.25050963333573</v>
      </c>
      <c r="G27" s="29">
        <v>8.2799999999999994</v>
      </c>
    </row>
    <row r="28" spans="1:7" x14ac:dyDescent="0.2">
      <c r="A28" s="27" t="s">
        <v>1048</v>
      </c>
      <c r="B28" s="27" t="s">
        <v>1035</v>
      </c>
      <c r="C28" s="27" t="s">
        <v>1036</v>
      </c>
      <c r="D28" s="31">
        <v>380</v>
      </c>
      <c r="E28" s="29">
        <v>3317.4189999999999</v>
      </c>
      <c r="F28" s="30">
        <v>1.1716932462160601</v>
      </c>
      <c r="G28" s="29">
        <v>21.172799999999999</v>
      </c>
    </row>
    <row r="29" spans="1:7" x14ac:dyDescent="0.2">
      <c r="A29" s="27" t="s">
        <v>1039</v>
      </c>
      <c r="B29" s="27" t="s">
        <v>1040</v>
      </c>
      <c r="C29" s="27" t="s">
        <v>1041</v>
      </c>
      <c r="D29" s="31">
        <v>310</v>
      </c>
      <c r="E29" s="29">
        <v>3296.9088999999999</v>
      </c>
      <c r="F29" s="30">
        <v>1.1644491972583499</v>
      </c>
      <c r="G29" s="29">
        <v>6.0118999999999998</v>
      </c>
    </row>
    <row r="30" spans="1:7" x14ac:dyDescent="0.2">
      <c r="A30" s="27" t="s">
        <v>1182</v>
      </c>
      <c r="B30" s="27" t="s">
        <v>1183</v>
      </c>
      <c r="C30" s="27" t="s">
        <v>1014</v>
      </c>
      <c r="D30" s="31">
        <v>306</v>
      </c>
      <c r="E30" s="29">
        <v>3123.6327000000001</v>
      </c>
      <c r="F30" s="30">
        <v>1.10324904338271</v>
      </c>
      <c r="G30" s="29">
        <v>9.9149999999999991</v>
      </c>
    </row>
    <row r="31" spans="1:7" x14ac:dyDescent="0.2">
      <c r="A31" s="27" t="s">
        <v>1046</v>
      </c>
      <c r="B31" s="27" t="s">
        <v>1047</v>
      </c>
      <c r="C31" s="27" t="s">
        <v>1019</v>
      </c>
      <c r="D31" s="31">
        <v>300</v>
      </c>
      <c r="E31" s="29">
        <v>3000.1350000000002</v>
      </c>
      <c r="F31" s="30">
        <v>1.0596303684389601</v>
      </c>
      <c r="G31" s="29">
        <v>7.4617000000000004</v>
      </c>
    </row>
    <row r="32" spans="1:7" x14ac:dyDescent="0.2">
      <c r="A32" s="27" t="s">
        <v>1124</v>
      </c>
      <c r="B32" s="27" t="s">
        <v>1125</v>
      </c>
      <c r="C32" s="27" t="s">
        <v>990</v>
      </c>
      <c r="D32" s="31">
        <v>270</v>
      </c>
      <c r="E32" s="29">
        <v>2725.4825999999998</v>
      </c>
      <c r="F32" s="30">
        <v>0.96262472575799896</v>
      </c>
      <c r="G32" s="29">
        <v>7.9470000000000001</v>
      </c>
    </row>
    <row r="33" spans="1:9" x14ac:dyDescent="0.2">
      <c r="A33" s="27" t="s">
        <v>1049</v>
      </c>
      <c r="B33" s="27" t="s">
        <v>1050</v>
      </c>
      <c r="C33" s="27" t="s">
        <v>30</v>
      </c>
      <c r="D33" s="31">
        <v>250</v>
      </c>
      <c r="E33" s="29">
        <v>2656.12</v>
      </c>
      <c r="F33" s="30">
        <v>0.93812625572452202</v>
      </c>
      <c r="G33" s="29">
        <v>9.4518000000000004</v>
      </c>
    </row>
    <row r="34" spans="1:9" x14ac:dyDescent="0.2">
      <c r="A34" s="27" t="s">
        <v>1126</v>
      </c>
      <c r="B34" s="27" t="s">
        <v>1127</v>
      </c>
      <c r="C34" s="27" t="s">
        <v>1014</v>
      </c>
      <c r="D34" s="31">
        <v>350</v>
      </c>
      <c r="E34" s="29">
        <v>2639.3141249999999</v>
      </c>
      <c r="F34" s="30">
        <v>0.93219051766000505</v>
      </c>
      <c r="G34" s="29">
        <v>8.1198999999999995</v>
      </c>
    </row>
    <row r="35" spans="1:9" x14ac:dyDescent="0.2">
      <c r="A35" s="27" t="s">
        <v>1128</v>
      </c>
      <c r="B35" s="27" t="s">
        <v>1129</v>
      </c>
      <c r="C35" s="27" t="s">
        <v>1121</v>
      </c>
      <c r="D35" s="31">
        <v>260</v>
      </c>
      <c r="E35" s="29">
        <v>2483.5043999999998</v>
      </c>
      <c r="F35" s="30">
        <v>0.87715942195660401</v>
      </c>
      <c r="G35" s="29">
        <v>14.13</v>
      </c>
    </row>
    <row r="36" spans="1:9" x14ac:dyDescent="0.2">
      <c r="A36" s="27" t="s">
        <v>1130</v>
      </c>
      <c r="B36" s="27" t="s">
        <v>1131</v>
      </c>
      <c r="C36" s="27" t="s">
        <v>1014</v>
      </c>
      <c r="D36" s="31">
        <v>176</v>
      </c>
      <c r="E36" s="29">
        <v>1797.9244799999999</v>
      </c>
      <c r="F36" s="30">
        <v>0.63501655064449603</v>
      </c>
      <c r="G36" s="29">
        <v>9.4644999999999992</v>
      </c>
    </row>
    <row r="37" spans="1:9" x14ac:dyDescent="0.2">
      <c r="A37" s="27" t="s">
        <v>1132</v>
      </c>
      <c r="B37" s="27" t="s">
        <v>1133</v>
      </c>
      <c r="C37" s="27" t="s">
        <v>1014</v>
      </c>
      <c r="D37" s="31">
        <v>176</v>
      </c>
      <c r="E37" s="29">
        <v>1792.9049600000001</v>
      </c>
      <c r="F37" s="30">
        <v>0.63324368514778095</v>
      </c>
      <c r="G37" s="29">
        <v>9.8445999999999998</v>
      </c>
    </row>
    <row r="38" spans="1:9" x14ac:dyDescent="0.2">
      <c r="A38" s="27" t="s">
        <v>1057</v>
      </c>
      <c r="B38" s="27" t="s">
        <v>1058</v>
      </c>
      <c r="C38" s="27" t="s">
        <v>30</v>
      </c>
      <c r="D38" s="31">
        <v>150</v>
      </c>
      <c r="E38" s="29">
        <v>1539.0150000000001</v>
      </c>
      <c r="F38" s="30">
        <v>0.54357121645628803</v>
      </c>
      <c r="G38" s="29">
        <v>8.3228000000000009</v>
      </c>
    </row>
    <row r="39" spans="1:9" x14ac:dyDescent="0.2">
      <c r="A39" s="27" t="s">
        <v>1055</v>
      </c>
      <c r="B39" s="27" t="s">
        <v>1056</v>
      </c>
      <c r="C39" s="27" t="s">
        <v>990</v>
      </c>
      <c r="D39" s="31">
        <v>90</v>
      </c>
      <c r="E39" s="29">
        <v>905.2749</v>
      </c>
      <c r="F39" s="30">
        <v>0.31973787040434598</v>
      </c>
      <c r="G39" s="29">
        <v>7.5979999999999999</v>
      </c>
    </row>
    <row r="40" spans="1:9" x14ac:dyDescent="0.2">
      <c r="A40" s="27" t="s">
        <v>1020</v>
      </c>
      <c r="B40" s="27" t="s">
        <v>1021</v>
      </c>
      <c r="C40" s="27" t="s">
        <v>1022</v>
      </c>
      <c r="D40" s="31">
        <v>95</v>
      </c>
      <c r="E40" s="29">
        <v>863.35524999999996</v>
      </c>
      <c r="F40" s="30">
        <v>0.30493209193959903</v>
      </c>
      <c r="G40" s="29">
        <v>11.762700000000001</v>
      </c>
    </row>
    <row r="41" spans="1:9" x14ac:dyDescent="0.2">
      <c r="A41" s="27" t="s">
        <v>1251</v>
      </c>
      <c r="B41" s="27" t="s">
        <v>1252</v>
      </c>
      <c r="C41" s="27" t="s">
        <v>885</v>
      </c>
      <c r="D41" s="31">
        <v>74</v>
      </c>
      <c r="E41" s="29">
        <v>754.63720000000001</v>
      </c>
      <c r="F41" s="30">
        <v>0.26653350408356502</v>
      </c>
      <c r="G41" s="29">
        <v>4.3250000000000002</v>
      </c>
    </row>
    <row r="42" spans="1:9" x14ac:dyDescent="0.2">
      <c r="A42" s="27" t="s">
        <v>1059</v>
      </c>
      <c r="B42" s="27" t="s">
        <v>1060</v>
      </c>
      <c r="C42" s="27" t="s">
        <v>1022</v>
      </c>
      <c r="D42" s="31">
        <v>40</v>
      </c>
      <c r="E42" s="29">
        <v>404.64640000000003</v>
      </c>
      <c r="F42" s="30">
        <v>0.142918773295035</v>
      </c>
      <c r="G42" s="29">
        <v>4.7949999999999999</v>
      </c>
    </row>
    <row r="43" spans="1:9" x14ac:dyDescent="0.2">
      <c r="A43" s="27" t="s">
        <v>1233</v>
      </c>
      <c r="B43" s="27" t="s">
        <v>1234</v>
      </c>
      <c r="C43" s="27" t="s">
        <v>1019</v>
      </c>
      <c r="D43" s="31">
        <v>400</v>
      </c>
      <c r="E43" s="29">
        <v>398.19760000000002</v>
      </c>
      <c r="F43" s="30">
        <v>0.14064109435059099</v>
      </c>
      <c r="G43" s="29">
        <v>10.3695</v>
      </c>
    </row>
    <row r="44" spans="1:9" x14ac:dyDescent="0.2">
      <c r="A44" s="26" t="s">
        <v>34</v>
      </c>
      <c r="B44" s="26"/>
      <c r="C44" s="26"/>
      <c r="D44" s="32"/>
      <c r="E44" s="33">
        <f>SUM(E6:E43)</f>
        <v>228814.20183499999</v>
      </c>
      <c r="F44" s="34">
        <f>SUM(F6:F43)</f>
        <v>80.815855617993066</v>
      </c>
      <c r="G44" s="33"/>
      <c r="H44" s="18"/>
      <c r="I44" s="18"/>
    </row>
    <row r="45" spans="1:9" x14ac:dyDescent="0.2">
      <c r="A45" s="27"/>
      <c r="B45" s="27"/>
      <c r="C45" s="27"/>
      <c r="D45" s="28"/>
      <c r="E45" s="29"/>
      <c r="F45" s="30"/>
      <c r="G45" s="29"/>
    </row>
    <row r="46" spans="1:9" x14ac:dyDescent="0.2">
      <c r="A46" s="26" t="s">
        <v>942</v>
      </c>
      <c r="B46" s="27"/>
      <c r="C46" s="27"/>
      <c r="D46" s="28"/>
      <c r="E46" s="29"/>
      <c r="F46" s="30"/>
      <c r="G46" s="29"/>
    </row>
    <row r="47" spans="1:9" x14ac:dyDescent="0.2">
      <c r="A47" s="27" t="s">
        <v>1077</v>
      </c>
      <c r="B47" s="27" t="s">
        <v>1078</v>
      </c>
      <c r="C47" s="27" t="s">
        <v>1063</v>
      </c>
      <c r="D47" s="31">
        <v>230</v>
      </c>
      <c r="E47" s="29">
        <v>22456.955969999999</v>
      </c>
      <c r="F47" s="30">
        <v>7.9316672511432298</v>
      </c>
      <c r="G47" s="29">
        <v>7.7050000000000001</v>
      </c>
    </row>
    <row r="48" spans="1:9" x14ac:dyDescent="0.2">
      <c r="A48" s="27" t="s">
        <v>1072</v>
      </c>
      <c r="B48" s="27" t="s">
        <v>1073</v>
      </c>
      <c r="C48" s="27" t="s">
        <v>1074</v>
      </c>
      <c r="D48" s="31">
        <v>1000</v>
      </c>
      <c r="E48" s="29">
        <v>7183.7227249999996</v>
      </c>
      <c r="F48" s="30">
        <v>2.5372494097282501</v>
      </c>
      <c r="G48" s="29">
        <v>11.33</v>
      </c>
    </row>
    <row r="49" spans="1:9" x14ac:dyDescent="0.2">
      <c r="A49" s="27" t="s">
        <v>1064</v>
      </c>
      <c r="B49" s="27" t="s">
        <v>1065</v>
      </c>
      <c r="C49" s="27" t="s">
        <v>1066</v>
      </c>
      <c r="D49" s="31">
        <v>580</v>
      </c>
      <c r="E49" s="29">
        <v>5156.2524380000004</v>
      </c>
      <c r="F49" s="30">
        <v>1.82115860474353</v>
      </c>
      <c r="G49" s="29">
        <v>11.6884</v>
      </c>
    </row>
    <row r="50" spans="1:9" x14ac:dyDescent="0.2">
      <c r="A50" s="27" t="s">
        <v>1067</v>
      </c>
      <c r="B50" s="27" t="s">
        <v>1068</v>
      </c>
      <c r="C50" s="27" t="s">
        <v>1069</v>
      </c>
      <c r="D50" s="31">
        <v>200</v>
      </c>
      <c r="E50" s="29">
        <v>1897.33</v>
      </c>
      <c r="F50" s="30">
        <v>0.67012600664646504</v>
      </c>
      <c r="G50" s="29">
        <v>12.09</v>
      </c>
    </row>
    <row r="51" spans="1:9" x14ac:dyDescent="0.2">
      <c r="A51" s="27" t="s">
        <v>1061</v>
      </c>
      <c r="B51" s="27" t="s">
        <v>1062</v>
      </c>
      <c r="C51" s="27" t="s">
        <v>1063</v>
      </c>
      <c r="D51" s="31">
        <v>110</v>
      </c>
      <c r="E51" s="29">
        <v>1139.0269000000001</v>
      </c>
      <c r="F51" s="30">
        <v>0.40229772783854301</v>
      </c>
      <c r="G51" s="29">
        <v>7.7549999999999999</v>
      </c>
    </row>
    <row r="52" spans="1:9" x14ac:dyDescent="0.2">
      <c r="A52" s="27" t="s">
        <v>1079</v>
      </c>
      <c r="B52" s="27" t="s">
        <v>1080</v>
      </c>
      <c r="C52" s="27" t="s">
        <v>1066</v>
      </c>
      <c r="D52" s="31">
        <v>130</v>
      </c>
      <c r="E52" s="29">
        <v>1130.9449059999999</v>
      </c>
      <c r="F52" s="30">
        <v>0.399443214198343</v>
      </c>
      <c r="G52" s="29">
        <v>11.6884</v>
      </c>
    </row>
    <row r="53" spans="1:9" x14ac:dyDescent="0.2">
      <c r="A53" s="27" t="s">
        <v>1075</v>
      </c>
      <c r="B53" s="27" t="s">
        <v>1076</v>
      </c>
      <c r="C53" s="27" t="s">
        <v>1063</v>
      </c>
      <c r="D53" s="31">
        <v>50</v>
      </c>
      <c r="E53" s="29">
        <v>517.89</v>
      </c>
      <c r="F53" s="30">
        <v>0.182915759294449</v>
      </c>
      <c r="G53" s="29">
        <v>7.5347999999999997</v>
      </c>
    </row>
    <row r="54" spans="1:9" x14ac:dyDescent="0.2">
      <c r="A54" s="27" t="s">
        <v>1253</v>
      </c>
      <c r="B54" s="27" t="s">
        <v>1254</v>
      </c>
      <c r="C54" s="27" t="s">
        <v>1083</v>
      </c>
      <c r="D54" s="31">
        <v>750</v>
      </c>
      <c r="E54" s="29">
        <v>0</v>
      </c>
      <c r="F54" s="29">
        <v>0</v>
      </c>
      <c r="G54" s="29">
        <v>0</v>
      </c>
    </row>
    <row r="55" spans="1:9" x14ac:dyDescent="0.2">
      <c r="A55" s="27" t="s">
        <v>1219</v>
      </c>
      <c r="B55" s="27" t="s">
        <v>1220</v>
      </c>
      <c r="C55" s="27" t="s">
        <v>1083</v>
      </c>
      <c r="D55" s="31">
        <v>150</v>
      </c>
      <c r="E55" s="29">
        <v>0</v>
      </c>
      <c r="F55" s="29">
        <v>0</v>
      </c>
      <c r="G55" s="29">
        <v>0</v>
      </c>
    </row>
    <row r="56" spans="1:9" x14ac:dyDescent="0.2">
      <c r="A56" s="26" t="s">
        <v>34</v>
      </c>
      <c r="B56" s="26"/>
      <c r="C56" s="26"/>
      <c r="D56" s="32"/>
      <c r="E56" s="33">
        <f>SUM(E46:E55)</f>
        <v>39482.122938999993</v>
      </c>
      <c r="F56" s="34">
        <f>SUM(F46:F55)</f>
        <v>13.944857973592809</v>
      </c>
      <c r="G56" s="33"/>
      <c r="H56" s="18"/>
      <c r="I56" s="18"/>
    </row>
    <row r="57" spans="1:9" x14ac:dyDescent="0.2">
      <c r="A57" s="27"/>
      <c r="B57" s="27"/>
      <c r="C57" s="27"/>
      <c r="D57" s="28"/>
      <c r="E57" s="29"/>
      <c r="F57" s="30"/>
      <c r="G57" s="29"/>
    </row>
    <row r="58" spans="1:9" x14ac:dyDescent="0.2">
      <c r="A58" s="26" t="s">
        <v>35</v>
      </c>
      <c r="B58" s="27"/>
      <c r="C58" s="27"/>
      <c r="D58" s="28"/>
      <c r="E58" s="29"/>
      <c r="F58" s="30"/>
      <c r="G58" s="29"/>
    </row>
    <row r="59" spans="1:9" x14ac:dyDescent="0.2">
      <c r="A59" s="27" t="s">
        <v>1088</v>
      </c>
      <c r="B59" s="27" t="s">
        <v>1255</v>
      </c>
      <c r="C59" s="27" t="s">
        <v>1090</v>
      </c>
      <c r="D59" s="31">
        <v>251242.31700000001</v>
      </c>
      <c r="E59" s="29">
        <v>8420.9857179999999</v>
      </c>
      <c r="F59" s="30">
        <v>2.9742435587010401</v>
      </c>
      <c r="G59" s="29">
        <v>3.3814000000000002</v>
      </c>
    </row>
    <row r="60" spans="1:9" x14ac:dyDescent="0.2">
      <c r="A60" s="26" t="s">
        <v>34</v>
      </c>
      <c r="B60" s="26"/>
      <c r="C60" s="26"/>
      <c r="D60" s="32"/>
      <c r="E60" s="33">
        <f>SUM(E59:E59)</f>
        <v>8420.9857179999999</v>
      </c>
      <c r="F60" s="34">
        <f>SUM(F59:F59)</f>
        <v>2.9742435587010401</v>
      </c>
      <c r="G60" s="33"/>
    </row>
    <row r="61" spans="1:9" x14ac:dyDescent="0.2">
      <c r="A61" s="27"/>
      <c r="B61" s="27"/>
      <c r="C61" s="27"/>
      <c r="D61" s="28"/>
      <c r="E61" s="29"/>
      <c r="F61" s="30"/>
      <c r="G61" s="29"/>
    </row>
    <row r="62" spans="1:9" x14ac:dyDescent="0.2">
      <c r="A62" s="26" t="s">
        <v>36</v>
      </c>
      <c r="B62" s="26"/>
      <c r="C62" s="26"/>
      <c r="D62" s="32"/>
      <c r="E62" s="33">
        <f>E44+E56+E60</f>
        <v>276717.31049199996</v>
      </c>
      <c r="F62" s="33">
        <f>F44+F56+F60</f>
        <v>97.734957150286903</v>
      </c>
      <c r="G62" s="33"/>
      <c r="H62" s="18"/>
      <c r="I62" s="18"/>
    </row>
    <row r="63" spans="1:9" x14ac:dyDescent="0.2">
      <c r="A63" s="26"/>
      <c r="B63" s="26"/>
      <c r="C63" s="26"/>
      <c r="D63" s="32"/>
      <c r="E63" s="33"/>
      <c r="F63" s="34"/>
      <c r="G63" s="33"/>
      <c r="H63" s="18"/>
      <c r="I63" s="18"/>
    </row>
    <row r="64" spans="1:9" x14ac:dyDescent="0.2">
      <c r="A64" s="26" t="s">
        <v>38</v>
      </c>
      <c r="B64" s="26"/>
      <c r="C64" s="26"/>
      <c r="D64" s="32"/>
      <c r="E64" s="33">
        <f>E66-(E44+E56+E60)</f>
        <v>6413.0233828000491</v>
      </c>
      <c r="F64" s="33">
        <f>F66-(F44+F56+F60)</f>
        <v>2.2650428497130974</v>
      </c>
      <c r="G64" s="33"/>
      <c r="H64" s="18"/>
      <c r="I64" s="18"/>
    </row>
    <row r="65" spans="1:9" x14ac:dyDescent="0.2">
      <c r="A65" s="26"/>
      <c r="B65" s="26"/>
      <c r="C65" s="26"/>
      <c r="D65" s="32"/>
      <c r="E65" s="33"/>
      <c r="F65" s="34"/>
      <c r="G65" s="33"/>
      <c r="H65" s="18"/>
      <c r="I65" s="18"/>
    </row>
    <row r="66" spans="1:9" x14ac:dyDescent="0.2">
      <c r="A66" s="35" t="s">
        <v>37</v>
      </c>
      <c r="B66" s="35"/>
      <c r="C66" s="35"/>
      <c r="D66" s="36"/>
      <c r="E66" s="37">
        <v>283130.33387480001</v>
      </c>
      <c r="F66" s="38">
        <v>100</v>
      </c>
      <c r="G66" s="37"/>
      <c r="H66" s="18"/>
      <c r="I66" s="18"/>
    </row>
    <row r="68" spans="1:9" x14ac:dyDescent="0.2">
      <c r="A68" s="18" t="s">
        <v>39</v>
      </c>
    </row>
    <row r="69" spans="1:9" x14ac:dyDescent="0.2">
      <c r="A69" s="48" t="s">
        <v>1091</v>
      </c>
    </row>
    <row r="70" spans="1:9" x14ac:dyDescent="0.2">
      <c r="A70" s="68" t="s">
        <v>1434</v>
      </c>
    </row>
    <row r="72" spans="1:9" x14ac:dyDescent="0.2">
      <c r="A72" s="18" t="s">
        <v>40</v>
      </c>
    </row>
    <row r="73" spans="1:9" x14ac:dyDescent="0.2">
      <c r="A73" s="18" t="s">
        <v>41</v>
      </c>
    </row>
    <row r="74" spans="1:9" x14ac:dyDescent="0.2">
      <c r="A74" s="18" t="s">
        <v>42</v>
      </c>
      <c r="B74" s="18"/>
      <c r="C74" s="39" t="s">
        <v>44</v>
      </c>
      <c r="D74" s="19" t="s">
        <v>43</v>
      </c>
    </row>
    <row r="75" spans="1:9" x14ac:dyDescent="0.2">
      <c r="A75" s="9" t="s">
        <v>65</v>
      </c>
      <c r="C75" s="40">
        <v>18.729800000000001</v>
      </c>
      <c r="D75" s="40">
        <v>20.697500000000002</v>
      </c>
    </row>
    <row r="76" spans="1:9" x14ac:dyDescent="0.2">
      <c r="A76" s="9" t="s">
        <v>1003</v>
      </c>
      <c r="C76" s="40">
        <v>10.043900000000001</v>
      </c>
      <c r="D76" s="40">
        <v>11.0991</v>
      </c>
    </row>
    <row r="77" spans="1:9" x14ac:dyDescent="0.2">
      <c r="A77" s="9" t="s">
        <v>66</v>
      </c>
      <c r="C77" s="40">
        <v>19.8979</v>
      </c>
      <c r="D77" s="40">
        <v>22.0472</v>
      </c>
    </row>
    <row r="78" spans="1:9" x14ac:dyDescent="0.2">
      <c r="A78" s="9" t="s">
        <v>1004</v>
      </c>
      <c r="C78" s="40">
        <v>10.9047</v>
      </c>
      <c r="D78" s="40">
        <v>12.082599999999999</v>
      </c>
    </row>
    <row r="79" spans="1:9" x14ac:dyDescent="0.2">
      <c r="C79" s="40"/>
      <c r="D79" s="40"/>
    </row>
    <row r="80" spans="1:9" x14ac:dyDescent="0.2">
      <c r="A80" s="9" t="s">
        <v>782</v>
      </c>
    </row>
    <row r="82" spans="1:5" x14ac:dyDescent="0.2">
      <c r="A82" s="18" t="s">
        <v>1560</v>
      </c>
      <c r="D82" s="41" t="s">
        <v>45</v>
      </c>
    </row>
    <row r="84" spans="1:5" x14ac:dyDescent="0.2">
      <c r="A84" s="18" t="s">
        <v>783</v>
      </c>
      <c r="D84" s="42">
        <v>2.9501980716986309</v>
      </c>
      <c r="E84" s="13" t="s">
        <v>46</v>
      </c>
    </row>
    <row r="86" spans="1:5" x14ac:dyDescent="0.2">
      <c r="A86" s="18" t="s">
        <v>717</v>
      </c>
      <c r="D86" s="41" t="s">
        <v>45</v>
      </c>
    </row>
    <row r="87" spans="1:5" x14ac:dyDescent="0.2">
      <c r="A87" s="9" t="s">
        <v>712</v>
      </c>
    </row>
    <row r="88" spans="1:5" x14ac:dyDescent="0.2">
      <c r="A88" s="50" t="s">
        <v>713</v>
      </c>
    </row>
    <row r="90" spans="1:5" x14ac:dyDescent="0.2">
      <c r="A90" s="18" t="s">
        <v>1438</v>
      </c>
    </row>
    <row r="92" spans="1:5" x14ac:dyDescent="0.2">
      <c r="A92" s="9" t="s">
        <v>1442</v>
      </c>
    </row>
    <row r="94" spans="1:5" ht="51" x14ac:dyDescent="0.2">
      <c r="A94" s="78" t="s">
        <v>2</v>
      </c>
      <c r="B94" s="79" t="s">
        <v>1457</v>
      </c>
      <c r="C94" s="79" t="s">
        <v>1443</v>
      </c>
      <c r="D94" s="79" t="s">
        <v>1444</v>
      </c>
      <c r="E94" s="79" t="s">
        <v>1445</v>
      </c>
    </row>
    <row r="95" spans="1:5" x14ac:dyDescent="0.2">
      <c r="A95" s="80" t="s">
        <v>1459</v>
      </c>
      <c r="B95" s="80" t="s">
        <v>1460</v>
      </c>
      <c r="C95" s="81">
        <v>0</v>
      </c>
      <c r="D95" s="82">
        <v>0</v>
      </c>
      <c r="E95" s="81">
        <v>3654.5898081939977</v>
      </c>
    </row>
    <row r="96" spans="1:5" x14ac:dyDescent="0.2">
      <c r="A96" s="80" t="s">
        <v>1450</v>
      </c>
      <c r="B96" s="80" t="s">
        <v>1451</v>
      </c>
      <c r="C96" s="81">
        <v>0</v>
      </c>
      <c r="D96" s="82">
        <v>0</v>
      </c>
      <c r="E96" s="81">
        <v>3990.8421564368368</v>
      </c>
    </row>
    <row r="97" spans="1:7" x14ac:dyDescent="0.2">
      <c r="A97" s="80" t="s">
        <v>1452</v>
      </c>
      <c r="B97" s="80" t="s">
        <v>1525</v>
      </c>
      <c r="C97" s="81">
        <v>0</v>
      </c>
      <c r="D97" s="82">
        <v>0</v>
      </c>
      <c r="E97" s="81">
        <v>1144.0976224136614</v>
      </c>
    </row>
    <row r="98" spans="1:7" x14ac:dyDescent="0.2">
      <c r="A98" s="80" t="s">
        <v>1453</v>
      </c>
      <c r="B98" s="80" t="s">
        <v>1526</v>
      </c>
      <c r="C98" s="81">
        <v>0</v>
      </c>
      <c r="D98" s="82">
        <v>0</v>
      </c>
      <c r="E98" s="81">
        <v>2043.4488387934427</v>
      </c>
    </row>
    <row r="99" spans="1:7" x14ac:dyDescent="0.2">
      <c r="A99" s="80" t="s">
        <v>1538</v>
      </c>
      <c r="B99" s="80" t="s">
        <v>1528</v>
      </c>
      <c r="C99" s="81">
        <v>0</v>
      </c>
      <c r="D99" s="82">
        <v>0</v>
      </c>
      <c r="E99" s="81">
        <v>6406.5321685814361</v>
      </c>
    </row>
    <row r="100" spans="1:7" x14ac:dyDescent="0.2">
      <c r="A100" s="80" t="s">
        <v>1527</v>
      </c>
      <c r="B100" s="80" t="s">
        <v>1542</v>
      </c>
      <c r="C100" s="81">
        <v>0</v>
      </c>
      <c r="D100" s="82">
        <v>0</v>
      </c>
      <c r="E100" s="81">
        <v>8545.3753259119821</v>
      </c>
    </row>
    <row r="101" spans="1:7" x14ac:dyDescent="0.2">
      <c r="A101" s="80" t="s">
        <v>1531</v>
      </c>
      <c r="B101" s="80" t="s">
        <v>1543</v>
      </c>
      <c r="C101" s="81">
        <v>0</v>
      </c>
      <c r="D101" s="82">
        <v>0</v>
      </c>
      <c r="E101" s="81">
        <v>9509.2685232166587</v>
      </c>
    </row>
    <row r="103" spans="1:7" x14ac:dyDescent="0.2">
      <c r="A103" s="65" t="s">
        <v>1456</v>
      </c>
    </row>
    <row r="104" spans="1:7" x14ac:dyDescent="0.2">
      <c r="A104" s="65" t="s">
        <v>1441</v>
      </c>
    </row>
    <row r="106" spans="1:7" ht="27" customHeight="1" x14ac:dyDescent="0.2">
      <c r="A106" s="100" t="s">
        <v>1507</v>
      </c>
      <c r="B106" s="100"/>
      <c r="C106" s="100"/>
      <c r="D106" s="100"/>
      <c r="E106" s="100"/>
      <c r="F106" s="100"/>
      <c r="G106" s="100"/>
    </row>
    <row r="108" spans="1:7" ht="36" customHeight="1" x14ac:dyDescent="0.2">
      <c r="A108" s="101" t="s">
        <v>1508</v>
      </c>
      <c r="B108" s="101"/>
      <c r="C108" s="101"/>
      <c r="D108" s="101"/>
      <c r="E108" s="101"/>
      <c r="F108" s="101"/>
      <c r="G108" s="101"/>
    </row>
    <row r="110" spans="1:7" ht="39" customHeight="1" x14ac:dyDescent="0.2">
      <c r="A110" s="101" t="s">
        <v>1509</v>
      </c>
      <c r="B110" s="101"/>
      <c r="C110" s="101"/>
      <c r="D110" s="101"/>
      <c r="E110" s="101"/>
      <c r="F110" s="101"/>
      <c r="G110" s="101"/>
    </row>
    <row r="111" spans="1:7" x14ac:dyDescent="0.2">
      <c r="A111" s="55" t="s">
        <v>1093</v>
      </c>
      <c r="B111" s="57"/>
      <c r="C111" s="57"/>
      <c r="D111" s="57"/>
      <c r="E111" s="57"/>
      <c r="F111" s="57"/>
      <c r="G111" s="57"/>
    </row>
    <row r="113" spans="1:7" ht="27" customHeight="1" x14ac:dyDescent="0.2">
      <c r="A113" s="102" t="s">
        <v>1227</v>
      </c>
      <c r="B113" s="102"/>
      <c r="C113" s="102"/>
      <c r="D113" s="102"/>
      <c r="E113" s="102"/>
      <c r="F113" s="102"/>
      <c r="G113" s="102"/>
    </row>
    <row r="115" spans="1:7" ht="15" customHeight="1" x14ac:dyDescent="0.2">
      <c r="A115" s="90" t="s">
        <v>1228</v>
      </c>
      <c r="B115" s="91"/>
      <c r="C115" s="91"/>
      <c r="D115" s="91"/>
      <c r="E115" s="91"/>
      <c r="F115" s="91"/>
      <c r="G115" s="91"/>
    </row>
    <row r="116" spans="1:7" x14ac:dyDescent="0.2">
      <c r="A116" s="50" t="s">
        <v>47</v>
      </c>
    </row>
    <row r="118" spans="1:7" x14ac:dyDescent="0.2">
      <c r="A118" s="18" t="s">
        <v>1552</v>
      </c>
    </row>
    <row r="119" spans="1:7" x14ac:dyDescent="0.2">
      <c r="A119" s="18"/>
    </row>
    <row r="120" spans="1:7" x14ac:dyDescent="0.2">
      <c r="A120" s="18" t="s">
        <v>1565</v>
      </c>
    </row>
    <row r="121" spans="1:7" x14ac:dyDescent="0.2">
      <c r="A121" s="50"/>
    </row>
    <row r="122" spans="1:7" ht="14.4" x14ac:dyDescent="0.3">
      <c r="A122" s="43"/>
    </row>
    <row r="123" spans="1:7" s="1" customFormat="1" ht="13.8" x14ac:dyDescent="0.2">
      <c r="A123" s="92" t="s">
        <v>1256</v>
      </c>
      <c r="B123" s="93"/>
      <c r="C123" s="93"/>
      <c r="D123" s="93"/>
      <c r="E123" s="93"/>
      <c r="F123" s="93"/>
      <c r="G123" s="93"/>
    </row>
    <row r="124" spans="1:7" x14ac:dyDescent="0.2">
      <c r="A124" s="18" t="s">
        <v>7</v>
      </c>
    </row>
    <row r="125" spans="1:7" s="1" customFormat="1" ht="17.55" customHeight="1" x14ac:dyDescent="0.2">
      <c r="A125" s="8" t="s">
        <v>2</v>
      </c>
      <c r="B125" s="8" t="s">
        <v>0</v>
      </c>
      <c r="C125" s="17" t="s">
        <v>727</v>
      </c>
      <c r="D125" s="16" t="s">
        <v>1</v>
      </c>
      <c r="E125" s="15" t="s">
        <v>3</v>
      </c>
      <c r="F125" s="15" t="s">
        <v>4</v>
      </c>
      <c r="G125" s="15" t="s">
        <v>6</v>
      </c>
    </row>
    <row r="126" spans="1:7" x14ac:dyDescent="0.2">
      <c r="A126" s="21" t="s">
        <v>26</v>
      </c>
      <c r="B126" s="22"/>
      <c r="C126" s="22"/>
      <c r="D126" s="23"/>
      <c r="E126" s="24"/>
      <c r="F126" s="25"/>
      <c r="G126" s="24"/>
    </row>
    <row r="127" spans="1:7" x14ac:dyDescent="0.2">
      <c r="A127" s="26" t="s">
        <v>27</v>
      </c>
      <c r="B127" s="27"/>
      <c r="C127" s="27"/>
      <c r="D127" s="28"/>
      <c r="E127" s="29"/>
      <c r="F127" s="30"/>
      <c r="G127" s="29"/>
    </row>
    <row r="128" spans="1:7" x14ac:dyDescent="0.2">
      <c r="A128" s="27" t="s">
        <v>1097</v>
      </c>
      <c r="B128" s="27" t="s">
        <v>1098</v>
      </c>
      <c r="C128" s="27" t="s">
        <v>1099</v>
      </c>
      <c r="D128" s="31">
        <v>3370</v>
      </c>
      <c r="E128" s="29">
        <v>0</v>
      </c>
      <c r="F128" s="61">
        <v>100</v>
      </c>
      <c r="G128" s="29">
        <v>0</v>
      </c>
    </row>
    <row r="129" spans="1:9" x14ac:dyDescent="0.2">
      <c r="A129" s="26" t="s">
        <v>34</v>
      </c>
      <c r="B129" s="26"/>
      <c r="C129" s="26"/>
      <c r="D129" s="32"/>
      <c r="E129" s="33">
        <f>SUM(E127:E128)</f>
        <v>0</v>
      </c>
      <c r="F129" s="62">
        <f>SUM(F127:F128)</f>
        <v>100</v>
      </c>
      <c r="G129" s="33"/>
      <c r="H129" s="18"/>
      <c r="I129" s="18"/>
    </row>
    <row r="130" spans="1:9" x14ac:dyDescent="0.2">
      <c r="A130" s="27"/>
      <c r="B130" s="27"/>
      <c r="C130" s="27"/>
      <c r="D130" s="28"/>
      <c r="E130" s="29"/>
      <c r="F130" s="63"/>
      <c r="G130" s="29"/>
    </row>
    <row r="131" spans="1:9" x14ac:dyDescent="0.2">
      <c r="A131" s="26" t="s">
        <v>36</v>
      </c>
      <c r="B131" s="26"/>
      <c r="C131" s="26"/>
      <c r="D131" s="32"/>
      <c r="E131" s="33">
        <f>E129</f>
        <v>0</v>
      </c>
      <c r="F131" s="62">
        <f>F129</f>
        <v>100</v>
      </c>
      <c r="G131" s="33"/>
      <c r="H131" s="18"/>
      <c r="I131" s="18"/>
    </row>
    <row r="132" spans="1:9" x14ac:dyDescent="0.2">
      <c r="A132" s="26"/>
      <c r="B132" s="26"/>
      <c r="C132" s="26"/>
      <c r="D132" s="32"/>
      <c r="E132" s="33"/>
      <c r="F132" s="62"/>
      <c r="G132" s="33"/>
      <c r="H132" s="18"/>
      <c r="I132" s="18"/>
    </row>
    <row r="133" spans="1:9" x14ac:dyDescent="0.2">
      <c r="A133" s="26" t="s">
        <v>38</v>
      </c>
      <c r="B133" s="26"/>
      <c r="C133" s="26"/>
      <c r="D133" s="32"/>
      <c r="E133" s="33">
        <f>E135-(E129)</f>
        <v>3.9999999999999998E-7</v>
      </c>
      <c r="F133" s="34">
        <v>0</v>
      </c>
      <c r="G133" s="33"/>
      <c r="H133" s="18"/>
      <c r="I133" s="18"/>
    </row>
    <row r="134" spans="1:9" x14ac:dyDescent="0.2">
      <c r="A134" s="26"/>
      <c r="B134" s="26"/>
      <c r="C134" s="26"/>
      <c r="D134" s="32"/>
      <c r="E134" s="33"/>
      <c r="F134" s="62"/>
      <c r="G134" s="33"/>
      <c r="H134" s="18"/>
      <c r="I134" s="18"/>
    </row>
    <row r="135" spans="1:9" x14ac:dyDescent="0.2">
      <c r="A135" s="35" t="s">
        <v>37</v>
      </c>
      <c r="B135" s="35"/>
      <c r="C135" s="35"/>
      <c r="D135" s="36"/>
      <c r="E135" s="37">
        <v>3.9999999999999998E-7</v>
      </c>
      <c r="F135" s="64">
        <v>100</v>
      </c>
      <c r="G135" s="37"/>
      <c r="H135" s="18"/>
      <c r="I135" s="18"/>
    </row>
    <row r="137" spans="1:9" x14ac:dyDescent="0.2">
      <c r="A137" s="18" t="s">
        <v>39</v>
      </c>
    </row>
    <row r="138" spans="1:9" x14ac:dyDescent="0.2">
      <c r="A138" s="48" t="s">
        <v>1091</v>
      </c>
    </row>
    <row r="139" spans="1:9" x14ac:dyDescent="0.2">
      <c r="A139" s="18" t="s">
        <v>1100</v>
      </c>
    </row>
    <row r="141" spans="1:9" x14ac:dyDescent="0.2">
      <c r="A141" s="18" t="s">
        <v>40</v>
      </c>
    </row>
    <row r="142" spans="1:9" x14ac:dyDescent="0.2">
      <c r="A142" s="18" t="s">
        <v>41</v>
      </c>
    </row>
    <row r="143" spans="1:9" x14ac:dyDescent="0.2">
      <c r="A143" s="18" t="s">
        <v>42</v>
      </c>
      <c r="B143" s="18"/>
      <c r="C143" s="39" t="s">
        <v>44</v>
      </c>
      <c r="D143" s="19" t="s">
        <v>43</v>
      </c>
    </row>
    <row r="144" spans="1:9" x14ac:dyDescent="0.2">
      <c r="A144" s="9" t="s">
        <v>65</v>
      </c>
      <c r="C144" s="40">
        <v>0</v>
      </c>
      <c r="D144" s="40">
        <v>0</v>
      </c>
    </row>
    <row r="145" spans="1:7" x14ac:dyDescent="0.2">
      <c r="A145" s="9" t="s">
        <v>1003</v>
      </c>
      <c r="C145" s="40">
        <v>0</v>
      </c>
      <c r="D145" s="40">
        <v>0</v>
      </c>
    </row>
    <row r="146" spans="1:7" x14ac:dyDescent="0.2">
      <c r="A146" s="9" t="s">
        <v>66</v>
      </c>
      <c r="C146" s="40">
        <v>0</v>
      </c>
      <c r="D146" s="40">
        <v>0</v>
      </c>
    </row>
    <row r="147" spans="1:7" x14ac:dyDescent="0.2">
      <c r="A147" s="9" t="s">
        <v>1004</v>
      </c>
      <c r="C147" s="40">
        <v>0</v>
      </c>
      <c r="D147" s="40">
        <v>0</v>
      </c>
    </row>
    <row r="148" spans="1:7" x14ac:dyDescent="0.2">
      <c r="C148" s="40"/>
      <c r="D148" s="40"/>
    </row>
    <row r="149" spans="1:7" x14ac:dyDescent="0.2">
      <c r="A149" s="9" t="s">
        <v>782</v>
      </c>
    </row>
    <row r="151" spans="1:7" x14ac:dyDescent="0.2">
      <c r="A151" s="18" t="s">
        <v>1421</v>
      </c>
      <c r="D151" s="41" t="s">
        <v>45</v>
      </c>
    </row>
    <row r="152" spans="1:7" x14ac:dyDescent="0.2">
      <c r="A152" s="9" t="s">
        <v>712</v>
      </c>
    </row>
    <row r="153" spans="1:7" x14ac:dyDescent="0.2">
      <c r="A153" s="50" t="s">
        <v>713</v>
      </c>
    </row>
    <row r="155" spans="1:7" ht="15" customHeight="1" x14ac:dyDescent="0.2">
      <c r="A155" s="90" t="s">
        <v>1101</v>
      </c>
      <c r="B155" s="91"/>
      <c r="C155" s="91"/>
      <c r="D155" s="91"/>
      <c r="E155" s="91"/>
      <c r="F155" s="91"/>
      <c r="G155" s="91"/>
    </row>
    <row r="156" spans="1:7" x14ac:dyDescent="0.2">
      <c r="A156" s="50" t="s">
        <v>47</v>
      </c>
    </row>
    <row r="157" spans="1:7" x14ac:dyDescent="0.2">
      <c r="A157" s="50"/>
    </row>
    <row r="158" spans="1:7" x14ac:dyDescent="0.2">
      <c r="A158" s="50"/>
    </row>
    <row r="160" spans="1:7" s="1" customFormat="1" ht="13.8" x14ac:dyDescent="0.2">
      <c r="A160" s="92" t="s">
        <v>1257</v>
      </c>
      <c r="B160" s="93"/>
      <c r="C160" s="93"/>
      <c r="D160" s="93"/>
      <c r="E160" s="93"/>
      <c r="F160" s="93"/>
      <c r="G160" s="93"/>
    </row>
    <row r="161" spans="1:9" x14ac:dyDescent="0.2">
      <c r="A161" s="18" t="s">
        <v>7</v>
      </c>
    </row>
    <row r="162" spans="1:9" s="1" customFormat="1" ht="17.55" customHeight="1" x14ac:dyDescent="0.2">
      <c r="A162" s="8" t="s">
        <v>2</v>
      </c>
      <c r="B162" s="8" t="s">
        <v>0</v>
      </c>
      <c r="C162" s="17" t="s">
        <v>727</v>
      </c>
      <c r="D162" s="16" t="s">
        <v>1</v>
      </c>
      <c r="E162" s="15" t="s">
        <v>3</v>
      </c>
      <c r="F162" s="15" t="s">
        <v>4</v>
      </c>
      <c r="G162" s="15" t="s">
        <v>6</v>
      </c>
    </row>
    <row r="163" spans="1:9" x14ac:dyDescent="0.2">
      <c r="A163" s="21" t="s">
        <v>26</v>
      </c>
      <c r="B163" s="22"/>
      <c r="C163" s="22"/>
      <c r="D163" s="23"/>
      <c r="E163" s="24"/>
      <c r="F163" s="25"/>
      <c r="G163" s="24"/>
    </row>
    <row r="164" spans="1:9" x14ac:dyDescent="0.2">
      <c r="A164" s="26" t="s">
        <v>27</v>
      </c>
      <c r="B164" s="27"/>
      <c r="C164" s="27"/>
      <c r="D164" s="28"/>
      <c r="E164" s="29"/>
      <c r="F164" s="30"/>
      <c r="G164" s="29"/>
    </row>
    <row r="165" spans="1:9" ht="20.399999999999999" x14ac:dyDescent="0.2">
      <c r="A165" s="27" t="s">
        <v>1103</v>
      </c>
      <c r="B165" s="27" t="s">
        <v>1104</v>
      </c>
      <c r="C165" s="51" t="s">
        <v>1105</v>
      </c>
      <c r="D165" s="31">
        <v>1695</v>
      </c>
      <c r="E165" s="29">
        <v>0</v>
      </c>
      <c r="F165" s="61">
        <v>100</v>
      </c>
      <c r="G165" s="29">
        <v>0</v>
      </c>
    </row>
    <row r="166" spans="1:9" x14ac:dyDescent="0.2">
      <c r="A166" s="26" t="s">
        <v>34</v>
      </c>
      <c r="B166" s="26"/>
      <c r="C166" s="26"/>
      <c r="D166" s="32"/>
      <c r="E166" s="33">
        <f>SUM(E164:E165)</f>
        <v>0</v>
      </c>
      <c r="F166" s="62">
        <f>SUM(F164:F165)</f>
        <v>100</v>
      </c>
      <c r="G166" s="33"/>
      <c r="H166" s="18"/>
      <c r="I166" s="18"/>
    </row>
    <row r="167" spans="1:9" x14ac:dyDescent="0.2">
      <c r="A167" s="27"/>
      <c r="B167" s="27"/>
      <c r="C167" s="27"/>
      <c r="D167" s="28"/>
      <c r="E167" s="29"/>
      <c r="F167" s="63"/>
      <c r="G167" s="29"/>
    </row>
    <row r="168" spans="1:9" x14ac:dyDescent="0.2">
      <c r="A168" s="26" t="s">
        <v>36</v>
      </c>
      <c r="B168" s="26"/>
      <c r="C168" s="26"/>
      <c r="D168" s="32"/>
      <c r="E168" s="33">
        <f>E166</f>
        <v>0</v>
      </c>
      <c r="F168" s="62">
        <f>F166</f>
        <v>100</v>
      </c>
      <c r="G168" s="33"/>
      <c r="H168" s="18"/>
      <c r="I168" s="18"/>
    </row>
    <row r="169" spans="1:9" x14ac:dyDescent="0.2">
      <c r="A169" s="26"/>
      <c r="B169" s="26"/>
      <c r="C169" s="26"/>
      <c r="D169" s="32"/>
      <c r="E169" s="33"/>
      <c r="F169" s="62"/>
      <c r="G169" s="33"/>
      <c r="H169" s="18"/>
      <c r="I169" s="18"/>
    </row>
    <row r="170" spans="1:9" x14ac:dyDescent="0.2">
      <c r="A170" s="26" t="s">
        <v>38</v>
      </c>
      <c r="B170" s="26"/>
      <c r="C170" s="26"/>
      <c r="D170" s="32"/>
      <c r="E170" s="33">
        <f>E172-(E166)</f>
        <v>3.9999999999999998E-7</v>
      </c>
      <c r="F170" s="34">
        <v>0</v>
      </c>
      <c r="G170" s="33"/>
      <c r="H170" s="18"/>
      <c r="I170" s="18"/>
    </row>
    <row r="171" spans="1:9" x14ac:dyDescent="0.2">
      <c r="A171" s="26"/>
      <c r="B171" s="26"/>
      <c r="C171" s="26"/>
      <c r="D171" s="32"/>
      <c r="E171" s="33"/>
      <c r="F171" s="62"/>
      <c r="G171" s="33"/>
      <c r="H171" s="18"/>
      <c r="I171" s="18"/>
    </row>
    <row r="172" spans="1:9" x14ac:dyDescent="0.2">
      <c r="A172" s="35" t="s">
        <v>37</v>
      </c>
      <c r="B172" s="35"/>
      <c r="C172" s="35"/>
      <c r="D172" s="36"/>
      <c r="E172" s="37">
        <v>3.9999999999999998E-7</v>
      </c>
      <c r="F172" s="64">
        <v>100</v>
      </c>
      <c r="G172" s="37"/>
      <c r="H172" s="18"/>
      <c r="I172" s="18"/>
    </row>
    <row r="174" spans="1:9" x14ac:dyDescent="0.2">
      <c r="A174" s="18" t="s">
        <v>39</v>
      </c>
    </row>
    <row r="175" spans="1:9" x14ac:dyDescent="0.2">
      <c r="A175" s="18" t="s">
        <v>1091</v>
      </c>
    </row>
    <row r="177" spans="1:7" x14ac:dyDescent="0.2">
      <c r="A177" s="18" t="s">
        <v>40</v>
      </c>
    </row>
    <row r="178" spans="1:7" x14ac:dyDescent="0.2">
      <c r="A178" s="18" t="s">
        <v>41</v>
      </c>
    </row>
    <row r="179" spans="1:7" x14ac:dyDescent="0.2">
      <c r="A179" s="18" t="s">
        <v>42</v>
      </c>
      <c r="B179" s="18"/>
      <c r="C179" s="39" t="s">
        <v>44</v>
      </c>
      <c r="D179" s="19" t="s">
        <v>43</v>
      </c>
    </row>
    <row r="180" spans="1:7" x14ac:dyDescent="0.2">
      <c r="A180" s="9" t="s">
        <v>65</v>
      </c>
      <c r="C180" s="40">
        <v>0</v>
      </c>
      <c r="D180" s="40">
        <v>0</v>
      </c>
    </row>
    <row r="181" spans="1:7" x14ac:dyDescent="0.2">
      <c r="A181" s="9" t="s">
        <v>1003</v>
      </c>
      <c r="C181" s="40">
        <v>0</v>
      </c>
      <c r="D181" s="40">
        <v>0</v>
      </c>
    </row>
    <row r="182" spans="1:7" x14ac:dyDescent="0.2">
      <c r="A182" s="9" t="s">
        <v>66</v>
      </c>
      <c r="C182" s="40">
        <v>0</v>
      </c>
      <c r="D182" s="40">
        <v>0</v>
      </c>
    </row>
    <row r="183" spans="1:7" x14ac:dyDescent="0.2">
      <c r="A183" s="9" t="s">
        <v>1004</v>
      </c>
      <c r="C183" s="40">
        <v>0</v>
      </c>
      <c r="D183" s="40">
        <v>0</v>
      </c>
    </row>
    <row r="184" spans="1:7" x14ac:dyDescent="0.2">
      <c r="C184" s="40"/>
      <c r="D184" s="40"/>
    </row>
    <row r="185" spans="1:7" x14ac:dyDescent="0.2">
      <c r="A185" s="9" t="s">
        <v>782</v>
      </c>
    </row>
    <row r="187" spans="1:7" x14ac:dyDescent="0.2">
      <c r="A187" s="18" t="s">
        <v>1421</v>
      </c>
      <c r="D187" s="41" t="s">
        <v>45</v>
      </c>
    </row>
    <row r="188" spans="1:7" x14ac:dyDescent="0.2">
      <c r="A188" s="65" t="s">
        <v>712</v>
      </c>
      <c r="B188" s="65"/>
      <c r="C188" s="65"/>
      <c r="D188" s="66"/>
    </row>
    <row r="189" spans="1:7" x14ac:dyDescent="0.2">
      <c r="A189" s="67" t="s">
        <v>713</v>
      </c>
      <c r="B189" s="65"/>
      <c r="C189" s="65"/>
      <c r="D189" s="66"/>
    </row>
    <row r="191" spans="1:7" ht="15" customHeight="1" x14ac:dyDescent="0.2">
      <c r="A191" s="90" t="s">
        <v>1101</v>
      </c>
      <c r="B191" s="91"/>
      <c r="C191" s="91"/>
      <c r="D191" s="91"/>
      <c r="E191" s="91"/>
      <c r="F191" s="91"/>
      <c r="G191" s="91"/>
    </row>
    <row r="192" spans="1:7" x14ac:dyDescent="0.2">
      <c r="A192" s="50" t="s">
        <v>47</v>
      </c>
    </row>
    <row r="194" spans="1:1" x14ac:dyDescent="0.2">
      <c r="A194" s="50"/>
    </row>
  </sheetData>
  <mergeCells count="10">
    <mergeCell ref="A123:G123"/>
    <mergeCell ref="A155:G155"/>
    <mergeCell ref="A160:G160"/>
    <mergeCell ref="A191:G191"/>
    <mergeCell ref="A1:G1"/>
    <mergeCell ref="A106:G106"/>
    <mergeCell ref="A108:G108"/>
    <mergeCell ref="A110:G110"/>
    <mergeCell ref="A113:G113"/>
    <mergeCell ref="A115:G115"/>
  </mergeCells>
  <conditionalFormatting sqref="F2:F3 F5:F53 F126:F127 F163:F164 F56:F57 F63 F65:F85 F122 F124 F136:F150 F159 F161 F173:F186 F195:F65575 F61 F105">
    <cfRule type="cellIs" dxfId="15" priority="17" stopIfTrue="1" operator="between">
      <formula>0.009</formula>
      <formula>-0.009</formula>
    </cfRule>
  </conditionalFormatting>
  <conditionalFormatting sqref="F86:F89">
    <cfRule type="cellIs" dxfId="14" priority="16" stopIfTrue="1" operator="between">
      <formula>0.009</formula>
      <formula>-0.009</formula>
    </cfRule>
  </conditionalFormatting>
  <conditionalFormatting sqref="F114">
    <cfRule type="cellIs" dxfId="13" priority="15" stopIfTrue="1" operator="between">
      <formula>0.009</formula>
      <formula>-0.009</formula>
    </cfRule>
  </conditionalFormatting>
  <conditionalFormatting sqref="F107 F109 F112">
    <cfRule type="cellIs" dxfId="12" priority="14" stopIfTrue="1" operator="between">
      <formula>0.009</formula>
      <formula>-0.009</formula>
    </cfRule>
  </conditionalFormatting>
  <conditionalFormatting sqref="F116">
    <cfRule type="cellIs" dxfId="11" priority="12" stopIfTrue="1" operator="between">
      <formula>0.009</formula>
      <formula>-0.009</formula>
    </cfRule>
  </conditionalFormatting>
  <conditionalFormatting sqref="F117:F121">
    <cfRule type="cellIs" dxfId="10" priority="13" stopIfTrue="1" operator="between">
      <formula>0.009</formula>
      <formula>-0.009</formula>
    </cfRule>
  </conditionalFormatting>
  <conditionalFormatting sqref="F129:F132 F134:F135">
    <cfRule type="cellIs" dxfId="9" priority="11" stopIfTrue="1" operator="between">
      <formula>0.009</formula>
      <formula>-0.009</formula>
    </cfRule>
  </conditionalFormatting>
  <conditionalFormatting sqref="F151:F154">
    <cfRule type="cellIs" dxfId="8" priority="10" stopIfTrue="1" operator="between">
      <formula>0.009</formula>
      <formula>-0.009</formula>
    </cfRule>
  </conditionalFormatting>
  <conditionalFormatting sqref="F156:F158">
    <cfRule type="cellIs" dxfId="7" priority="8" stopIfTrue="1" operator="between">
      <formula>0.009</formula>
      <formula>-0.009</formula>
    </cfRule>
  </conditionalFormatting>
  <conditionalFormatting sqref="F166:F169 F171:F172">
    <cfRule type="cellIs" dxfId="6" priority="7" stopIfTrue="1" operator="between">
      <formula>0.009</formula>
      <formula>-0.009</formula>
    </cfRule>
  </conditionalFormatting>
  <conditionalFormatting sqref="F187:F190">
    <cfRule type="cellIs" dxfId="5" priority="6" stopIfTrue="1" operator="between">
      <formula>0.009</formula>
      <formula>-0.009</formula>
    </cfRule>
  </conditionalFormatting>
  <conditionalFormatting sqref="F192">
    <cfRule type="cellIs" dxfId="4" priority="4" stopIfTrue="1" operator="between">
      <formula>0.009</formula>
      <formula>-0.009</formula>
    </cfRule>
  </conditionalFormatting>
  <conditionalFormatting sqref="F193:F194">
    <cfRule type="cellIs" dxfId="3" priority="5" stopIfTrue="1" operator="between">
      <formula>0.009</formula>
      <formula>-0.009</formula>
    </cfRule>
  </conditionalFormatting>
  <conditionalFormatting sqref="F58:F60">
    <cfRule type="cellIs" dxfId="2" priority="3" stopIfTrue="1" operator="between">
      <formula>0.009</formula>
      <formula>-0.009</formula>
    </cfRule>
  </conditionalFormatting>
  <conditionalFormatting sqref="F94:F101 F104">
    <cfRule type="cellIs" dxfId="1" priority="2" stopIfTrue="1" operator="between">
      <formula>0.009</formula>
      <formula>-0.009</formula>
    </cfRule>
  </conditionalFormatting>
  <conditionalFormatting sqref="F90:F93 F102:F103">
    <cfRule type="cellIs" dxfId="0" priority="1" stopIfTrue="1" operator="between">
      <formula>0.009</formula>
      <formula>-0.009</formula>
    </cfRule>
  </conditionalFormatting>
  <hyperlinks>
    <hyperlink ref="A88" r:id="rId1" xr:uid="{00000000-0004-0000-3D00-000000000000}"/>
    <hyperlink ref="A111" r:id="rId2" xr:uid="{00000000-0004-0000-3D00-000001000000}"/>
    <hyperlink ref="A116" r:id="rId3" xr:uid="{00000000-0004-0000-3D00-000002000000}"/>
    <hyperlink ref="A153" r:id="rId4" xr:uid="{00000000-0004-0000-3D00-000003000000}"/>
    <hyperlink ref="A156" r:id="rId5" xr:uid="{00000000-0004-0000-3D00-000004000000}"/>
    <hyperlink ref="A189" r:id="rId6" xr:uid="{00000000-0004-0000-3D00-000005000000}"/>
    <hyperlink ref="A192" r:id="rId7" xr:uid="{00000000-0004-0000-3D00-000006000000}"/>
  </hyperlinks>
  <pageMargins left="0.7" right="0.7" top="0.75" bottom="0.75" header="0.3" footer="0.3"/>
  <pageSetup paperSize="9" scale="46" orientation="portrait" r:id="rId8"/>
  <headerFooter>
    <oddFooter>&amp;R&amp;1#&amp;"Calibri"&amp;10&amp;KFF0000|PUBLIC|</oddFooter>
    <evenFooter>&amp;LPUBLIC</evenFooter>
    <firstFooter>&amp;LPUBLIC</firstFooter>
  </headerFooter>
  <rowBreaks count="2" manualBreakCount="2">
    <brk id="121" max="6" man="1"/>
    <brk id="157" max="16383" man="1"/>
  </rowBreaks>
  <colBreaks count="1" manualBreakCount="1">
    <brk id="7"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62</vt:i4>
      </vt:variant>
      <vt:variant>
        <vt:lpstr>Named Ranges</vt:lpstr>
      </vt:variant>
      <vt:variant>
        <vt:i4>62</vt:i4>
      </vt:variant>
    </vt:vector>
  </HeadingPairs>
  <TitlesOfParts>
    <vt:vector size="124" baseType="lpstr">
      <vt:lpstr>FILF</vt:lpstr>
      <vt:lpstr>FIONF</vt:lpstr>
      <vt:lpstr>FISF</vt:lpstr>
      <vt:lpstr>FIFRF</vt:lpstr>
      <vt:lpstr>FICDF</vt:lpstr>
      <vt:lpstr>FBPF</vt:lpstr>
      <vt:lpstr>FIGSF</vt:lpstr>
      <vt:lpstr>FMPS6C</vt:lpstr>
      <vt:lpstr>FMPS5F</vt:lpstr>
      <vt:lpstr>FMPS5E</vt:lpstr>
      <vt:lpstr>FMPS5D</vt:lpstr>
      <vt:lpstr>FMPS5C</vt:lpstr>
      <vt:lpstr>FMPS5B</vt:lpstr>
      <vt:lpstr>FMPS5A</vt:lpstr>
      <vt:lpstr>FMPS4F</vt:lpstr>
      <vt:lpstr>FMPS4E</vt:lpstr>
      <vt:lpstr>FMPS4D</vt:lpstr>
      <vt:lpstr>FMPS4C</vt:lpstr>
      <vt:lpstr>FMPS4B</vt:lpstr>
      <vt:lpstr>FMPS4A</vt:lpstr>
      <vt:lpstr>FMPS3F</vt:lpstr>
      <vt:lpstr>FMPS3E</vt:lpstr>
      <vt:lpstr>FMPS3D</vt:lpstr>
      <vt:lpstr>FMPS3C</vt:lpstr>
      <vt:lpstr>FMPS3B</vt:lpstr>
      <vt:lpstr>FMPS3A</vt:lpstr>
      <vt:lpstr>FMPS2C</vt:lpstr>
      <vt:lpstr>FMPS2B</vt:lpstr>
      <vt:lpstr>FMPS2A</vt:lpstr>
      <vt:lpstr>FIPP</vt:lpstr>
      <vt:lpstr>FIDHY</vt:lpstr>
      <vt:lpstr>FIESF</vt:lpstr>
      <vt:lpstr>FIEHF</vt:lpstr>
      <vt:lpstr>TIVF</vt:lpstr>
      <vt:lpstr>TIEIF</vt:lpstr>
      <vt:lpstr>FITF</vt:lpstr>
      <vt:lpstr>FISCF</vt:lpstr>
      <vt:lpstr>FIPF</vt:lpstr>
      <vt:lpstr>FIOF</vt:lpstr>
      <vt:lpstr>FIFEF</vt:lpstr>
      <vt:lpstr>FIEF</vt:lpstr>
      <vt:lpstr>FIEAF</vt:lpstr>
      <vt:lpstr>FIBF</vt:lpstr>
      <vt:lpstr>FBIF</vt:lpstr>
      <vt:lpstr>FAEF</vt:lpstr>
      <vt:lpstr>FIIF-NSE</vt:lpstr>
      <vt:lpstr>FITX</vt:lpstr>
      <vt:lpstr>FIUS</vt:lpstr>
      <vt:lpstr>FEGF</vt:lpstr>
      <vt:lpstr>FIMAS</vt:lpstr>
      <vt:lpstr>FIFOF-50's+</vt:lpstr>
      <vt:lpstr>FIFOF-50's</vt:lpstr>
      <vt:lpstr>FIFOF-40's</vt:lpstr>
      <vt:lpstr>FIFOF-30's</vt:lpstr>
      <vt:lpstr>FIFOF-20's</vt:lpstr>
      <vt:lpstr>FF</vt:lpstr>
      <vt:lpstr>FIDA</vt:lpstr>
      <vt:lpstr>FILDF</vt:lpstr>
      <vt:lpstr>FIUBF</vt:lpstr>
      <vt:lpstr>FISTIP</vt:lpstr>
      <vt:lpstr>FIIOF</vt:lpstr>
      <vt:lpstr>FICRF</vt:lpstr>
      <vt:lpstr>FAEF!Print_Area</vt:lpstr>
      <vt:lpstr>FBIF!Print_Area</vt:lpstr>
      <vt:lpstr>FBPF!Print_Area</vt:lpstr>
      <vt:lpstr>FEGF!Print_Area</vt:lpstr>
      <vt:lpstr>FF!Print_Area</vt:lpstr>
      <vt:lpstr>FIBF!Print_Area</vt:lpstr>
      <vt:lpstr>FICDF!Print_Area</vt:lpstr>
      <vt:lpstr>FICRF!Print_Area</vt:lpstr>
      <vt:lpstr>FIDA!Print_Area</vt:lpstr>
      <vt:lpstr>FIDHY!Print_Area</vt:lpstr>
      <vt:lpstr>FIEAF!Print_Area</vt:lpstr>
      <vt:lpstr>FIEF!Print_Area</vt:lpstr>
      <vt:lpstr>FIEHF!Print_Area</vt:lpstr>
      <vt:lpstr>FIESF!Print_Area</vt:lpstr>
      <vt:lpstr>FIFEF!Print_Area</vt:lpstr>
      <vt:lpstr>'FIFOF-20''s'!Print_Area</vt:lpstr>
      <vt:lpstr>'FIFOF-30''s'!Print_Area</vt:lpstr>
      <vt:lpstr>'FIFOF-40''s'!Print_Area</vt:lpstr>
      <vt:lpstr>'FIFOF-50''s'!Print_Area</vt:lpstr>
      <vt:lpstr>'FIFOF-50''s+'!Print_Area</vt:lpstr>
      <vt:lpstr>FIFRF!Print_Area</vt:lpstr>
      <vt:lpstr>FIGSF!Print_Area</vt:lpstr>
      <vt:lpstr>'FIIF-NSE'!Print_Area</vt:lpstr>
      <vt:lpstr>FIIOF!Print_Area</vt:lpstr>
      <vt:lpstr>FILDF!Print_Area</vt:lpstr>
      <vt:lpstr>FILF!Print_Area</vt:lpstr>
      <vt:lpstr>FIMAS!Print_Area</vt:lpstr>
      <vt:lpstr>FIOF!Print_Area</vt:lpstr>
      <vt:lpstr>FIONF!Print_Area</vt:lpstr>
      <vt:lpstr>FIPF!Print_Area</vt:lpstr>
      <vt:lpstr>FIPP!Print_Area</vt:lpstr>
      <vt:lpstr>FISCF!Print_Area</vt:lpstr>
      <vt:lpstr>FISF!Print_Area</vt:lpstr>
      <vt:lpstr>FISTIP!Print_Area</vt:lpstr>
      <vt:lpstr>FITF!Print_Area</vt:lpstr>
      <vt:lpstr>FITX!Print_Area</vt:lpstr>
      <vt:lpstr>FIUBF!Print_Area</vt:lpstr>
      <vt:lpstr>FIUS!Print_Area</vt:lpstr>
      <vt:lpstr>FMPS2A!Print_Area</vt:lpstr>
      <vt:lpstr>FMPS2B!Print_Area</vt:lpstr>
      <vt:lpstr>FMPS2C!Print_Area</vt:lpstr>
      <vt:lpstr>FMPS3A!Print_Area</vt:lpstr>
      <vt:lpstr>FMPS3B!Print_Area</vt:lpstr>
      <vt:lpstr>FMPS3C!Print_Area</vt:lpstr>
      <vt:lpstr>FMPS3D!Print_Area</vt:lpstr>
      <vt:lpstr>FMPS3E!Print_Area</vt:lpstr>
      <vt:lpstr>FMPS3F!Print_Area</vt:lpstr>
      <vt:lpstr>FMPS4A!Print_Area</vt:lpstr>
      <vt:lpstr>FMPS4B!Print_Area</vt:lpstr>
      <vt:lpstr>FMPS4C!Print_Area</vt:lpstr>
      <vt:lpstr>FMPS4D!Print_Area</vt:lpstr>
      <vt:lpstr>FMPS4E!Print_Area</vt:lpstr>
      <vt:lpstr>FMPS4F!Print_Area</vt:lpstr>
      <vt:lpstr>FMPS5A!Print_Area</vt:lpstr>
      <vt:lpstr>FMPS5B!Print_Area</vt:lpstr>
      <vt:lpstr>FMPS5C!Print_Area</vt:lpstr>
      <vt:lpstr>FMPS5D!Print_Area</vt:lpstr>
      <vt:lpstr>FMPS5E!Print_Area</vt:lpstr>
      <vt:lpstr>FMPS5F!Print_Area</vt:lpstr>
      <vt:lpstr>FMPS6C!Print_Area</vt:lpstr>
      <vt:lpstr>TIEIF!Print_Area</vt:lpstr>
      <vt:lpstr>TIVF!Print_Area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ISIN as on 31 March 2021</dc:title>
  <dc:creator/>
  <cp:keywords>Monthly ISIN, Monthly SEBI Portfolio, ISIN Report, SEBI Portfolio, ISIN Level Portfolio, Monthly portfolio, Debt portfolio, Equity portfolio, Fixed income portfolio, ISIN portfolio, portfolio disclosure</cp:keywords>
  <dc:description>PUBLIC</dc:description>
  <cp:lastModifiedBy/>
  <dcterms:created xsi:type="dcterms:W3CDTF">2006-09-16T00:00:00Z</dcterms:created>
  <dcterms:modified xsi:type="dcterms:W3CDTF">2021-04-09T06:06:08Z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ource">
    <vt:lpwstr>Internal</vt:lpwstr>
  </property>
  <property fmtid="{D5CDD505-2E9C-101B-9397-08002B2CF9AE}" pid="3" name="Footers">
    <vt:lpwstr>Footers</vt:lpwstr>
  </property>
  <property fmtid="{D5CDD505-2E9C-101B-9397-08002B2CF9AE}" pid="4" name="MSIP_Label_3486a02c-2dfb-4efe-823f-aa2d1f0e6ab7_Enabled">
    <vt:lpwstr>true</vt:lpwstr>
  </property>
  <property fmtid="{D5CDD505-2E9C-101B-9397-08002B2CF9AE}" pid="5" name="MSIP_Label_3486a02c-2dfb-4efe-823f-aa2d1f0e6ab7_SetDate">
    <vt:lpwstr>2021-04-09T04:31:55Z</vt:lpwstr>
  </property>
  <property fmtid="{D5CDD505-2E9C-101B-9397-08002B2CF9AE}" pid="6" name="MSIP_Label_3486a02c-2dfb-4efe-823f-aa2d1f0e6ab7_Method">
    <vt:lpwstr>Standard</vt:lpwstr>
  </property>
  <property fmtid="{D5CDD505-2E9C-101B-9397-08002B2CF9AE}" pid="7" name="MSIP_Label_3486a02c-2dfb-4efe-823f-aa2d1f0e6ab7_Name">
    <vt:lpwstr>CLAPUBLIC</vt:lpwstr>
  </property>
  <property fmtid="{D5CDD505-2E9C-101B-9397-08002B2CF9AE}" pid="8" name="MSIP_Label_3486a02c-2dfb-4efe-823f-aa2d1f0e6ab7_SiteId">
    <vt:lpwstr>e0fd434d-ba64-497b-90d2-859c472e1a92</vt:lpwstr>
  </property>
  <property fmtid="{D5CDD505-2E9C-101B-9397-08002B2CF9AE}" pid="9" name="MSIP_Label_3486a02c-2dfb-4efe-823f-aa2d1f0e6ab7_ActionId">
    <vt:lpwstr>beeeb4cc-192e-458b-a8c4-540e01600cce</vt:lpwstr>
  </property>
  <property fmtid="{D5CDD505-2E9C-101B-9397-08002B2CF9AE}" pid="10" name="MSIP_Label_3486a02c-2dfb-4efe-823f-aa2d1f0e6ab7_ContentBits">
    <vt:lpwstr>2</vt:lpwstr>
  </property>
  <property fmtid="{D5CDD505-2E9C-101B-9397-08002B2CF9AE}" pid="11" name="Classification">
    <vt:lpwstr>PUBLIC</vt:lpwstr>
  </property>
</Properties>
</file>