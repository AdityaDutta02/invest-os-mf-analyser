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1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Jul\ISIN\Final\"/>
    </mc:Choice>
  </mc:AlternateContent>
  <xr:revisionPtr revIDLastSave="0" documentId="13_ncr:1_{BC800C8D-1C54-4966-BDDC-F50FF5BF3A6E}" xr6:coauthVersionLast="43" xr6:coauthVersionMax="43" xr10:uidLastSave="{00000000-0000-0000-0000-000000000000}"/>
  <bookViews>
    <workbookView xWindow="-120" yWindow="-120" windowWidth="29040" windowHeight="15840" tabRatio="903" xr2:uid="{F1AFBCEC-2F49-4D30-B6BC-C70412F3C1BD}"/>
  </bookViews>
  <sheets>
    <sheet name="TIVF" sheetId="25" r:id="rId1"/>
    <sheet name="FITX" sheetId="23" r:id="rId2"/>
    <sheet name="FITF" sheetId="22" r:id="rId3"/>
    <sheet name="FISMF" sheetId="21" r:id="rId4"/>
    <sheet name="FIPF" sheetId="20" r:id="rId5"/>
    <sheet name="FIOF" sheetId="19" r:id="rId6"/>
    <sheet name="FBIF" sheetId="3" r:id="rId7"/>
    <sheet name="FIBF" sheetId="6" r:id="rId8"/>
    <sheet name="FIFEF" sheetId="11" r:id="rId9"/>
    <sheet name="FIEAF" sheetId="7" r:id="rId10"/>
    <sheet name="FAEF" sheetId="2" r:id="rId11"/>
    <sheet name="TIEIF" sheetId="9" r:id="rId12"/>
    <sheet name="FIEF" sheetId="8" r:id="rId13"/>
    <sheet name="FIIF-NSE" sheetId="17" r:id="rId14"/>
    <sheet name="FF" sheetId="5" r:id="rId15"/>
    <sheet name="FIMAS" sheetId="18" r:id="rId16"/>
    <sheet name="FIUS" sheetId="24" r:id="rId17"/>
    <sheet name="FEGF" sheetId="4" r:id="rId18"/>
    <sheet name="FIFOF-50's+" sheetId="16" r:id="rId19"/>
    <sheet name="FIFOF-50's" sheetId="15" r:id="rId20"/>
    <sheet name="FIFOF-40's" sheetId="14" r:id="rId21"/>
    <sheet name="FIFOF-30's" sheetId="13" r:id="rId22"/>
    <sheet name="FIFOF-20's" sheetId="12" r:id="rId23"/>
    <sheet name="FIESF" sheetId="26" r:id="rId24"/>
    <sheet name="FIEHF" sheetId="27" r:id="rId25"/>
    <sheet name="FIDHY" sheetId="28" r:id="rId26"/>
    <sheet name="FIPP" sheetId="29" r:id="rId27"/>
    <sheet name="FIIOF" sheetId="30" r:id="rId28"/>
    <sheet name="FIDA" sheetId="31" r:id="rId29"/>
    <sheet name="FICRF" sheetId="32" r:id="rId30"/>
    <sheet name="FICDF" sheetId="33" r:id="rId31"/>
    <sheet name="FBPF" sheetId="34" r:id="rId32"/>
    <sheet name="FIUBF" sheetId="35" r:id="rId33"/>
    <sheet name="FISTIP" sheetId="36" r:id="rId34"/>
    <sheet name="FISF" sheetId="37" r:id="rId35"/>
    <sheet name="FIONF" sheetId="38" r:id="rId36"/>
    <sheet name="FILF" sheetId="39" r:id="rId37"/>
    <sheet name="FILDF" sheetId="40" r:id="rId38"/>
    <sheet name="FIGSF" sheetId="41" r:id="rId39"/>
    <sheet name="FIFRF" sheetId="42" r:id="rId40"/>
    <sheet name="FMPS6C" sheetId="43" r:id="rId41"/>
    <sheet name="FMPS5F" sheetId="44" r:id="rId42"/>
    <sheet name="FMPS5E" sheetId="45" r:id="rId43"/>
    <sheet name="FMPS5D" sheetId="46" r:id="rId44"/>
    <sheet name="FMPS5C" sheetId="47" r:id="rId45"/>
    <sheet name="FMPS5B" sheetId="48" r:id="rId46"/>
    <sheet name="FMPS5A" sheetId="49" r:id="rId47"/>
    <sheet name="FMPS4F" sheetId="50" r:id="rId48"/>
    <sheet name="FMPS4E" sheetId="51" r:id="rId49"/>
    <sheet name="FMPS4D" sheetId="52" r:id="rId50"/>
    <sheet name="FMPS4C" sheetId="53" r:id="rId51"/>
    <sheet name="FMPS4B" sheetId="54" r:id="rId52"/>
    <sheet name="FMPS4A" sheetId="55" r:id="rId53"/>
    <sheet name="FMPS3F" sheetId="56" r:id="rId54"/>
    <sheet name="FMPS3E" sheetId="57" r:id="rId55"/>
    <sheet name="FMPS3D" sheetId="58" r:id="rId56"/>
    <sheet name="FMPS3C" sheetId="59" r:id="rId57"/>
    <sheet name="FMPS3B" sheetId="60" r:id="rId58"/>
    <sheet name="FMPS3A" sheetId="61" r:id="rId59"/>
    <sheet name="FMPS2C" sheetId="62" r:id="rId60"/>
    <sheet name="FMPS2B" sheetId="63" r:id="rId61"/>
    <sheet name="FMPS2A" sheetId="64" r:id="rId62"/>
    <sheet name="FMPS1B" sheetId="65" r:id="rId63"/>
    <sheet name="FMPS1A" sheetId="66" r:id="rId64"/>
  </sheets>
  <definedNames>
    <definedName name="_xlnm._FilterDatabase" localSheetId="23" hidden="1">FIESF!$A$7:$G$60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9" i="66" l="1"/>
  <c r="F19" i="66"/>
  <c r="E23" i="66"/>
  <c r="F23" i="66"/>
  <c r="E29" i="66"/>
  <c r="F29" i="66"/>
  <c r="F35" i="66"/>
  <c r="E19" i="65"/>
  <c r="F19" i="65"/>
  <c r="E23" i="65"/>
  <c r="F23" i="65"/>
  <c r="E29" i="65"/>
  <c r="F29" i="65"/>
  <c r="F35" i="65"/>
  <c r="E29" i="64"/>
  <c r="F29" i="64"/>
  <c r="E34" i="64"/>
  <c r="F34" i="64"/>
  <c r="F40" i="64"/>
  <c r="E25" i="63"/>
  <c r="F25" i="63"/>
  <c r="E30" i="63"/>
  <c r="F30" i="63"/>
  <c r="F36" i="63"/>
  <c r="E27" i="62"/>
  <c r="F27" i="62"/>
  <c r="E33" i="62"/>
  <c r="F33" i="62"/>
  <c r="F39" i="62"/>
  <c r="E23" i="61"/>
  <c r="F23" i="61"/>
  <c r="E29" i="61"/>
  <c r="F29" i="61"/>
  <c r="F35" i="61"/>
  <c r="E24" i="60"/>
  <c r="F24" i="60"/>
  <c r="E29" i="60"/>
  <c r="F29" i="60"/>
  <c r="F35" i="60"/>
  <c r="E26" i="59"/>
  <c r="F26" i="59"/>
  <c r="E31" i="59"/>
  <c r="F31" i="59"/>
  <c r="F37" i="59"/>
  <c r="E21" i="58"/>
  <c r="F21" i="58"/>
  <c r="E26" i="58"/>
  <c r="F26" i="58"/>
  <c r="F32" i="58"/>
  <c r="E23" i="57"/>
  <c r="F23" i="57"/>
  <c r="E29" i="57"/>
  <c r="F29" i="57"/>
  <c r="F35" i="57"/>
  <c r="E26" i="56"/>
  <c r="F26" i="56"/>
  <c r="E31" i="56"/>
  <c r="F31" i="56"/>
  <c r="F37" i="56"/>
  <c r="E25" i="55"/>
  <c r="F25" i="55"/>
  <c r="E29" i="55"/>
  <c r="F29" i="55"/>
  <c r="F35" i="55"/>
  <c r="E27" i="54"/>
  <c r="F27" i="54"/>
  <c r="E31" i="54"/>
  <c r="F31" i="54"/>
  <c r="F37" i="54"/>
  <c r="E23" i="53"/>
  <c r="F23" i="53"/>
  <c r="F29" i="53"/>
  <c r="E18" i="52"/>
  <c r="F18" i="52"/>
  <c r="E23" i="52"/>
  <c r="F23" i="52"/>
  <c r="F29" i="52"/>
  <c r="E20" i="51"/>
  <c r="F20" i="51"/>
  <c r="E24" i="51"/>
  <c r="F24" i="51"/>
  <c r="F30" i="51"/>
  <c r="E22" i="50"/>
  <c r="F22" i="50"/>
  <c r="E26" i="50"/>
  <c r="F26" i="50"/>
  <c r="F32" i="50"/>
  <c r="E18" i="49"/>
  <c r="F18" i="49"/>
  <c r="E22" i="49"/>
  <c r="F22" i="49"/>
  <c r="F28" i="49"/>
  <c r="E22" i="48"/>
  <c r="F22" i="48"/>
  <c r="F28" i="48"/>
  <c r="E23" i="47"/>
  <c r="F23" i="47"/>
  <c r="F29" i="47"/>
  <c r="E20" i="46"/>
  <c r="F20" i="46"/>
  <c r="F26" i="46"/>
  <c r="E20" i="45"/>
  <c r="F20" i="45"/>
  <c r="F26" i="45"/>
  <c r="E21" i="44"/>
  <c r="F21" i="44"/>
  <c r="F27" i="44"/>
  <c r="E21" i="43"/>
  <c r="F21" i="43"/>
  <c r="F27" i="43"/>
  <c r="E15" i="42"/>
  <c r="E35" i="42" s="1"/>
  <c r="E39" i="42" s="1"/>
  <c r="E19" i="42"/>
  <c r="E25" i="42"/>
  <c r="E33" i="42"/>
  <c r="E8" i="41"/>
  <c r="F8" i="41"/>
  <c r="F14" i="41"/>
  <c r="E53" i="40"/>
  <c r="F53" i="40"/>
  <c r="E82" i="40"/>
  <c r="F82" i="40"/>
  <c r="E92" i="40"/>
  <c r="F92" i="40"/>
  <c r="E105" i="40"/>
  <c r="F105" i="40"/>
  <c r="F111" i="40"/>
  <c r="E19" i="39"/>
  <c r="F19" i="39"/>
  <c r="E31" i="39"/>
  <c r="F31" i="39"/>
  <c r="E83" i="39"/>
  <c r="F83" i="39"/>
  <c r="F89" i="39"/>
  <c r="F7" i="38"/>
  <c r="E23" i="37"/>
  <c r="F23" i="37"/>
  <c r="E48" i="37"/>
  <c r="F48" i="37"/>
  <c r="F54" i="37"/>
  <c r="E100" i="36"/>
  <c r="E163" i="36"/>
  <c r="E165" i="36"/>
  <c r="E169" i="36" s="1"/>
  <c r="E94" i="35"/>
  <c r="E134" i="35"/>
  <c r="E140" i="35"/>
  <c r="E157" i="35"/>
  <c r="E159" i="35"/>
  <c r="E163" i="35" s="1"/>
  <c r="F64" i="35" s="1"/>
  <c r="E38" i="34"/>
  <c r="F38" i="34"/>
  <c r="E43" i="34"/>
  <c r="F43" i="34"/>
  <c r="F49" i="34"/>
  <c r="F8" i="33"/>
  <c r="F9" i="33"/>
  <c r="F10" i="33"/>
  <c r="F61" i="33" s="1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E61" i="33"/>
  <c r="F64" i="33"/>
  <c r="F67" i="33" s="1"/>
  <c r="F65" i="33"/>
  <c r="F66" i="33"/>
  <c r="E67" i="33"/>
  <c r="E69" i="33"/>
  <c r="F13" i="32"/>
  <c r="F22" i="32"/>
  <c r="F40" i="32"/>
  <c r="F44" i="32"/>
  <c r="F48" i="32"/>
  <c r="F56" i="32"/>
  <c r="F60" i="32"/>
  <c r="F68" i="32"/>
  <c r="F72" i="32"/>
  <c r="F76" i="32"/>
  <c r="E77" i="32"/>
  <c r="E115" i="32" s="1"/>
  <c r="E119" i="32" s="1"/>
  <c r="F52" i="32" s="1"/>
  <c r="F82" i="32"/>
  <c r="F90" i="32"/>
  <c r="F94" i="32"/>
  <c r="F98" i="32"/>
  <c r="F102" i="32"/>
  <c r="F106" i="32"/>
  <c r="F110" i="32"/>
  <c r="E113" i="32"/>
  <c r="E61" i="31"/>
  <c r="F61" i="31"/>
  <c r="E102" i="31"/>
  <c r="F102" i="31"/>
  <c r="F108" i="31"/>
  <c r="E47" i="30"/>
  <c r="F47" i="30"/>
  <c r="E74" i="30"/>
  <c r="F74" i="30"/>
  <c r="F80" i="30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E40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E61" i="29"/>
  <c r="F64" i="29"/>
  <c r="E65" i="29"/>
  <c r="F65" i="29"/>
  <c r="F68" i="29"/>
  <c r="E69" i="29"/>
  <c r="F69" i="29"/>
  <c r="F75" i="29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E34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E57" i="28"/>
  <c r="F57" i="28"/>
  <c r="F60" i="28"/>
  <c r="E61" i="28"/>
  <c r="F61" i="28"/>
  <c r="F67" i="28"/>
  <c r="E44" i="27"/>
  <c r="E49" i="27"/>
  <c r="E53" i="27"/>
  <c r="E76" i="27"/>
  <c r="E81" i="27"/>
  <c r="E85" i="27"/>
  <c r="F32" i="26"/>
  <c r="F39" i="26"/>
  <c r="E60" i="26"/>
  <c r="E82" i="26" s="1"/>
  <c r="E87" i="26" s="1"/>
  <c r="F8" i="26" s="1"/>
  <c r="G60" i="26"/>
  <c r="F63" i="26"/>
  <c r="F64" i="26" s="1"/>
  <c r="E64" i="26"/>
  <c r="E76" i="26"/>
  <c r="E80" i="26"/>
  <c r="F84" i="26"/>
  <c r="E87" i="27" l="1"/>
  <c r="E91" i="27" s="1"/>
  <c r="F61" i="29"/>
  <c r="F130" i="35"/>
  <c r="F8" i="42"/>
  <c r="F12" i="42"/>
  <c r="F9" i="42"/>
  <c r="F13" i="42"/>
  <c r="F23" i="42"/>
  <c r="F29" i="42"/>
  <c r="F10" i="42"/>
  <c r="F14" i="42"/>
  <c r="F31" i="42"/>
  <c r="F18" i="42"/>
  <c r="F19" i="42" s="1"/>
  <c r="F32" i="42"/>
  <c r="F28" i="42"/>
  <c r="F33" i="42" s="1"/>
  <c r="F11" i="42"/>
  <c r="F30" i="42"/>
  <c r="F37" i="42"/>
  <c r="F24" i="42"/>
  <c r="F71" i="26"/>
  <c r="F56" i="26"/>
  <c r="F24" i="26"/>
  <c r="F55" i="26"/>
  <c r="F23" i="26"/>
  <c r="F34" i="28"/>
  <c r="F107" i="35"/>
  <c r="F10" i="36"/>
  <c r="F14" i="36"/>
  <c r="F18" i="36"/>
  <c r="F22" i="36"/>
  <c r="F26" i="36"/>
  <c r="F30" i="36"/>
  <c r="F34" i="36"/>
  <c r="F38" i="36"/>
  <c r="F42" i="36"/>
  <c r="F46" i="36"/>
  <c r="F50" i="36"/>
  <c r="F54" i="36"/>
  <c r="F58" i="36"/>
  <c r="F62" i="36"/>
  <c r="F66" i="36"/>
  <c r="F70" i="36"/>
  <c r="F74" i="36"/>
  <c r="F78" i="36"/>
  <c r="F82" i="36"/>
  <c r="F86" i="36"/>
  <c r="F90" i="36"/>
  <c r="F94" i="36"/>
  <c r="F99" i="36"/>
  <c r="F105" i="36"/>
  <c r="F109" i="36"/>
  <c r="F113" i="36"/>
  <c r="F117" i="36"/>
  <c r="F121" i="36"/>
  <c r="F125" i="36"/>
  <c r="F129" i="36"/>
  <c r="F133" i="36"/>
  <c r="F137" i="36"/>
  <c r="F141" i="36"/>
  <c r="F145" i="36"/>
  <c r="F149" i="36"/>
  <c r="F153" i="36"/>
  <c r="F157" i="36"/>
  <c r="F11" i="36"/>
  <c r="F20" i="36"/>
  <c r="F29" i="36"/>
  <c r="F43" i="36"/>
  <c r="F52" i="36"/>
  <c r="F61" i="36"/>
  <c r="F75" i="36"/>
  <c r="F84" i="36"/>
  <c r="F93" i="36"/>
  <c r="F110" i="36"/>
  <c r="F119" i="36"/>
  <c r="F128" i="36"/>
  <c r="F142" i="36"/>
  <c r="F151" i="36"/>
  <c r="F160" i="36"/>
  <c r="F167" i="36"/>
  <c r="F9" i="36"/>
  <c r="F23" i="36"/>
  <c r="F41" i="36"/>
  <c r="F55" i="36"/>
  <c r="F108" i="36"/>
  <c r="F122" i="36"/>
  <c r="F16" i="36"/>
  <c r="F25" i="36"/>
  <c r="F39" i="36"/>
  <c r="F48" i="36"/>
  <c r="F57" i="36"/>
  <c r="F71" i="36"/>
  <c r="F80" i="36"/>
  <c r="F89" i="36"/>
  <c r="F106" i="36"/>
  <c r="F115" i="36"/>
  <c r="F124" i="36"/>
  <c r="F138" i="36"/>
  <c r="F147" i="36"/>
  <c r="F156" i="36"/>
  <c r="F87" i="36"/>
  <c r="F154" i="36"/>
  <c r="F12" i="36"/>
  <c r="F21" i="36"/>
  <c r="F35" i="36"/>
  <c r="F44" i="36"/>
  <c r="F53" i="36"/>
  <c r="F67" i="36"/>
  <c r="F76" i="36"/>
  <c r="F85" i="36"/>
  <c r="F111" i="36"/>
  <c r="F120" i="36"/>
  <c r="F134" i="36"/>
  <c r="F143" i="36"/>
  <c r="F152" i="36"/>
  <c r="F32" i="36"/>
  <c r="F8" i="36"/>
  <c r="F17" i="36"/>
  <c r="F31" i="36"/>
  <c r="F40" i="36"/>
  <c r="F49" i="36"/>
  <c r="F63" i="36"/>
  <c r="F72" i="36"/>
  <c r="F81" i="36"/>
  <c r="F95" i="36"/>
  <c r="F107" i="36"/>
  <c r="F116" i="36"/>
  <c r="F130" i="36"/>
  <c r="F139" i="36"/>
  <c r="F148" i="36"/>
  <c r="F162" i="36"/>
  <c r="F64" i="36"/>
  <c r="F73" i="36"/>
  <c r="F131" i="36"/>
  <c r="F140" i="36"/>
  <c r="F13" i="36"/>
  <c r="F27" i="36"/>
  <c r="F36" i="36"/>
  <c r="F45" i="36"/>
  <c r="F59" i="36"/>
  <c r="F68" i="36"/>
  <c r="F77" i="36"/>
  <c r="F91" i="36"/>
  <c r="F103" i="36"/>
  <c r="F163" i="36" s="1"/>
  <c r="F112" i="36"/>
  <c r="F126" i="36"/>
  <c r="F135" i="36"/>
  <c r="F144" i="36"/>
  <c r="F158" i="36"/>
  <c r="F19" i="36"/>
  <c r="F28" i="36"/>
  <c r="F37" i="36"/>
  <c r="F51" i="36"/>
  <c r="F60" i="36"/>
  <c r="F69" i="36"/>
  <c r="F83" i="36"/>
  <c r="F92" i="36"/>
  <c r="F104" i="36"/>
  <c r="F118" i="36"/>
  <c r="F127" i="36"/>
  <c r="F136" i="36"/>
  <c r="F150" i="36"/>
  <c r="F159" i="36"/>
  <c r="F15" i="36"/>
  <c r="F24" i="36"/>
  <c r="F33" i="36"/>
  <c r="F47" i="36"/>
  <c r="F56" i="36"/>
  <c r="F65" i="36"/>
  <c r="F79" i="36"/>
  <c r="F88" i="36"/>
  <c r="F98" i="36"/>
  <c r="F114" i="36"/>
  <c r="F123" i="36"/>
  <c r="F132" i="36"/>
  <c r="F146" i="36"/>
  <c r="F155" i="36"/>
  <c r="F16" i="26"/>
  <c r="F82" i="35"/>
  <c r="F15" i="26"/>
  <c r="F98" i="35"/>
  <c r="F40" i="29"/>
  <c r="F48" i="26"/>
  <c r="F75" i="26"/>
  <c r="F47" i="26"/>
  <c r="F40" i="26"/>
  <c r="F86" i="32"/>
  <c r="F153" i="35"/>
  <c r="F73" i="35"/>
  <c r="F8" i="32"/>
  <c r="F12" i="32"/>
  <c r="F16" i="32"/>
  <c r="F20" i="32"/>
  <c r="F24" i="32"/>
  <c r="F28" i="32"/>
  <c r="F32" i="32"/>
  <c r="F36" i="32"/>
  <c r="F15" i="32"/>
  <c r="F29" i="32"/>
  <c r="F38" i="32"/>
  <c r="F42" i="32"/>
  <c r="F46" i="32"/>
  <c r="F50" i="32"/>
  <c r="F54" i="32"/>
  <c r="F58" i="32"/>
  <c r="F62" i="32"/>
  <c r="F66" i="32"/>
  <c r="F70" i="32"/>
  <c r="F74" i="32"/>
  <c r="F80" i="32"/>
  <c r="F84" i="32"/>
  <c r="F88" i="32"/>
  <c r="F92" i="32"/>
  <c r="F96" i="32"/>
  <c r="F100" i="32"/>
  <c r="F104" i="32"/>
  <c r="F108" i="32"/>
  <c r="F112" i="32"/>
  <c r="F11" i="32"/>
  <c r="F25" i="32"/>
  <c r="F34" i="32"/>
  <c r="F21" i="32"/>
  <c r="F30" i="32"/>
  <c r="F39" i="32"/>
  <c r="F43" i="32"/>
  <c r="F47" i="32"/>
  <c r="F51" i="32"/>
  <c r="F55" i="32"/>
  <c r="F59" i="32"/>
  <c r="F63" i="32"/>
  <c r="F67" i="32"/>
  <c r="F71" i="32"/>
  <c r="F75" i="32"/>
  <c r="F81" i="32"/>
  <c r="F85" i="32"/>
  <c r="F89" i="32"/>
  <c r="F93" i="32"/>
  <c r="F97" i="32"/>
  <c r="F101" i="32"/>
  <c r="F105" i="32"/>
  <c r="F109" i="32"/>
  <c r="F17" i="32"/>
  <c r="F26" i="32"/>
  <c r="F35" i="32"/>
  <c r="F9" i="32"/>
  <c r="F18" i="32"/>
  <c r="F27" i="32"/>
  <c r="F117" i="32"/>
  <c r="F14" i="32"/>
  <c r="F23" i="32"/>
  <c r="F37" i="32"/>
  <c r="F41" i="32"/>
  <c r="F45" i="32"/>
  <c r="F49" i="32"/>
  <c r="F53" i="32"/>
  <c r="F57" i="32"/>
  <c r="F61" i="32"/>
  <c r="F65" i="32"/>
  <c r="F69" i="32"/>
  <c r="F73" i="32"/>
  <c r="F83" i="32"/>
  <c r="F87" i="32"/>
  <c r="F91" i="32"/>
  <c r="F95" i="32"/>
  <c r="F99" i="32"/>
  <c r="F103" i="32"/>
  <c r="F107" i="32"/>
  <c r="F111" i="32"/>
  <c r="F10" i="32"/>
  <c r="F19" i="32"/>
  <c r="F33" i="32"/>
  <c r="F64" i="32"/>
  <c r="F31" i="32"/>
  <c r="F69" i="33"/>
  <c r="F73" i="33" s="1"/>
  <c r="F50" i="35"/>
  <c r="F144" i="35"/>
  <c r="F10" i="26"/>
  <c r="F26" i="26"/>
  <c r="F34" i="26"/>
  <c r="F42" i="26"/>
  <c r="F50" i="26"/>
  <c r="F58" i="26"/>
  <c r="F12" i="26"/>
  <c r="F28" i="26"/>
  <c r="F52" i="26"/>
  <c r="F29" i="26"/>
  <c r="F11" i="26"/>
  <c r="F19" i="26"/>
  <c r="F27" i="26"/>
  <c r="F35" i="26"/>
  <c r="F43" i="26"/>
  <c r="F51" i="26"/>
  <c r="F59" i="26"/>
  <c r="F69" i="26"/>
  <c r="F73" i="26"/>
  <c r="F79" i="26"/>
  <c r="F80" i="26" s="1"/>
  <c r="F20" i="26"/>
  <c r="F36" i="26"/>
  <c r="F37" i="26"/>
  <c r="F44" i="26"/>
  <c r="F13" i="26"/>
  <c r="F53" i="26"/>
  <c r="F74" i="26"/>
  <c r="F14" i="26"/>
  <c r="F22" i="26"/>
  <c r="F30" i="26"/>
  <c r="F38" i="26"/>
  <c r="F46" i="26"/>
  <c r="F54" i="26"/>
  <c r="F9" i="26"/>
  <c r="F60" i="26" s="1"/>
  <c r="F17" i="26"/>
  <c r="F25" i="26"/>
  <c r="F33" i="26"/>
  <c r="F41" i="26"/>
  <c r="F49" i="26"/>
  <c r="F57" i="26"/>
  <c r="F72" i="26"/>
  <c r="F85" i="26"/>
  <c r="F18" i="26"/>
  <c r="F21" i="26"/>
  <c r="F45" i="26"/>
  <c r="F70" i="26"/>
  <c r="F31" i="26"/>
  <c r="F11" i="35"/>
  <c r="F15" i="35"/>
  <c r="F19" i="35"/>
  <c r="F23" i="35"/>
  <c r="F27" i="35"/>
  <c r="F31" i="35"/>
  <c r="F35" i="35"/>
  <c r="F39" i="35"/>
  <c r="F43" i="35"/>
  <c r="F47" i="35"/>
  <c r="F51" i="35"/>
  <c r="F55" i="35"/>
  <c r="F59" i="35"/>
  <c r="F63" i="35"/>
  <c r="F67" i="35"/>
  <c r="F71" i="35"/>
  <c r="F75" i="35"/>
  <c r="F79" i="35"/>
  <c r="F83" i="35"/>
  <c r="F87" i="35"/>
  <c r="F91" i="35"/>
  <c r="F97" i="35"/>
  <c r="F101" i="35"/>
  <c r="F105" i="35"/>
  <c r="F109" i="35"/>
  <c r="F113" i="35"/>
  <c r="F117" i="35"/>
  <c r="F121" i="35"/>
  <c r="F125" i="35"/>
  <c r="F129" i="35"/>
  <c r="F133" i="35"/>
  <c r="F146" i="35"/>
  <c r="F150" i="35"/>
  <c r="F154" i="35"/>
  <c r="F20" i="35"/>
  <c r="F29" i="35"/>
  <c r="F38" i="35"/>
  <c r="F52" i="35"/>
  <c r="F61" i="35"/>
  <c r="F70" i="35"/>
  <c r="F84" i="35"/>
  <c r="F93" i="35"/>
  <c r="F104" i="35"/>
  <c r="F118" i="35"/>
  <c r="F127" i="35"/>
  <c r="F139" i="35"/>
  <c r="F155" i="35"/>
  <c r="F9" i="35"/>
  <c r="F18" i="35"/>
  <c r="F16" i="35"/>
  <c r="F25" i="35"/>
  <c r="F34" i="35"/>
  <c r="F48" i="35"/>
  <c r="F57" i="35"/>
  <c r="F66" i="35"/>
  <c r="F80" i="35"/>
  <c r="F89" i="35"/>
  <c r="F100" i="35"/>
  <c r="F114" i="35"/>
  <c r="F123" i="35"/>
  <c r="F132" i="35"/>
  <c r="F151" i="35"/>
  <c r="F12" i="35"/>
  <c r="F21" i="35"/>
  <c r="F30" i="35"/>
  <c r="F44" i="35"/>
  <c r="F53" i="35"/>
  <c r="F62" i="35"/>
  <c r="F76" i="35"/>
  <c r="F85" i="35"/>
  <c r="F110" i="35"/>
  <c r="F119" i="35"/>
  <c r="F128" i="35"/>
  <c r="F147" i="35"/>
  <c r="F156" i="35"/>
  <c r="F8" i="35"/>
  <c r="F17" i="35"/>
  <c r="F26" i="35"/>
  <c r="F40" i="35"/>
  <c r="F49" i="35"/>
  <c r="F58" i="35"/>
  <c r="F72" i="35"/>
  <c r="F81" i="35"/>
  <c r="F90" i="35"/>
  <c r="F106" i="35"/>
  <c r="F115" i="35"/>
  <c r="F124" i="35"/>
  <c r="F143" i="35"/>
  <c r="F152" i="35"/>
  <c r="F13" i="35"/>
  <c r="F22" i="35"/>
  <c r="F36" i="35"/>
  <c r="F45" i="35"/>
  <c r="F54" i="35"/>
  <c r="F68" i="35"/>
  <c r="F77" i="35"/>
  <c r="F86" i="35"/>
  <c r="F102" i="35"/>
  <c r="F111" i="35"/>
  <c r="F120" i="35"/>
  <c r="F148" i="35"/>
  <c r="F14" i="35"/>
  <c r="F28" i="35"/>
  <c r="F37" i="35"/>
  <c r="F46" i="35"/>
  <c r="F60" i="35"/>
  <c r="F69" i="35"/>
  <c r="F78" i="35"/>
  <c r="F92" i="35"/>
  <c r="F103" i="35"/>
  <c r="F112" i="35"/>
  <c r="F126" i="35"/>
  <c r="F138" i="35"/>
  <c r="F140" i="35" s="1"/>
  <c r="F149" i="35"/>
  <c r="F161" i="35"/>
  <c r="F10" i="35"/>
  <c r="F24" i="35"/>
  <c r="F33" i="35"/>
  <c r="F42" i="35"/>
  <c r="F56" i="35"/>
  <c r="F65" i="35"/>
  <c r="F74" i="35"/>
  <c r="F88" i="35"/>
  <c r="F99" i="35"/>
  <c r="F108" i="35"/>
  <c r="F122" i="35"/>
  <c r="F131" i="35"/>
  <c r="F145" i="35"/>
  <c r="F32" i="35"/>
  <c r="F41" i="35"/>
  <c r="F116" i="35"/>
  <c r="E13" i="14"/>
  <c r="E7" i="14"/>
  <c r="E8" i="14"/>
  <c r="E9" i="14"/>
  <c r="E10" i="14"/>
  <c r="E6" i="14"/>
  <c r="D15" i="14"/>
  <c r="F76" i="26" l="1"/>
  <c r="F82" i="26" s="1"/>
  <c r="F87" i="26" s="1"/>
  <c r="F77" i="32"/>
  <c r="F100" i="36"/>
  <c r="F165" i="36" s="1"/>
  <c r="F169" i="36" s="1"/>
  <c r="F15" i="42"/>
  <c r="F157" i="35"/>
  <c r="F113" i="32"/>
  <c r="F12" i="27"/>
  <c r="F20" i="27"/>
  <c r="F28" i="27"/>
  <c r="F36" i="27"/>
  <c r="F61" i="27"/>
  <c r="F65" i="27"/>
  <c r="F69" i="27"/>
  <c r="F73" i="27"/>
  <c r="F79" i="27"/>
  <c r="F81" i="27" s="1"/>
  <c r="F14" i="27"/>
  <c r="F30" i="27"/>
  <c r="F38" i="27"/>
  <c r="F58" i="27"/>
  <c r="F62" i="27"/>
  <c r="F70" i="27"/>
  <c r="F74" i="27"/>
  <c r="F48" i="27"/>
  <c r="F13" i="27"/>
  <c r="F21" i="27"/>
  <c r="F29" i="27"/>
  <c r="F37" i="27"/>
  <c r="F22" i="27"/>
  <c r="F47" i="27"/>
  <c r="F66" i="27"/>
  <c r="F80" i="27"/>
  <c r="F7" i="27"/>
  <c r="F31" i="27"/>
  <c r="F23" i="27"/>
  <c r="F15" i="27"/>
  <c r="F8" i="27"/>
  <c r="F16" i="27"/>
  <c r="F24" i="27"/>
  <c r="F32" i="27"/>
  <c r="F40" i="27"/>
  <c r="F59" i="27"/>
  <c r="F63" i="27"/>
  <c r="F67" i="27"/>
  <c r="F71" i="27"/>
  <c r="F75" i="27"/>
  <c r="F11" i="27"/>
  <c r="F19" i="27"/>
  <c r="F27" i="27"/>
  <c r="F35" i="27"/>
  <c r="F43" i="27"/>
  <c r="F39" i="27"/>
  <c r="F89" i="27"/>
  <c r="F84" i="27"/>
  <c r="F85" i="27" s="1"/>
  <c r="F33" i="27"/>
  <c r="F34" i="27"/>
  <c r="F64" i="27"/>
  <c r="F26" i="27"/>
  <c r="F9" i="27"/>
  <c r="F41" i="27"/>
  <c r="F25" i="27"/>
  <c r="F68" i="27"/>
  <c r="F10" i="27"/>
  <c r="F42" i="27"/>
  <c r="F72" i="27"/>
  <c r="F18" i="27"/>
  <c r="F52" i="27"/>
  <c r="F53" i="27" s="1"/>
  <c r="F17" i="27"/>
  <c r="F60" i="27"/>
  <c r="F49" i="27"/>
  <c r="F94" i="35"/>
  <c r="F134" i="35"/>
  <c r="F25" i="42"/>
  <c r="F72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50" i="9"/>
  <c r="F46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7" i="9"/>
  <c r="E74" i="9"/>
  <c r="E70" i="9"/>
  <c r="F68" i="9"/>
  <c r="E68" i="9"/>
  <c r="F47" i="9"/>
  <c r="E47" i="9"/>
  <c r="F35" i="42" l="1"/>
  <c r="F39" i="42" s="1"/>
  <c r="F76" i="27"/>
  <c r="F115" i="32"/>
  <c r="F119" i="32" s="1"/>
  <c r="F159" i="35"/>
  <c r="F163" i="35" s="1"/>
  <c r="F44" i="27"/>
  <c r="F87" i="27" s="1"/>
  <c r="F91" i="27" s="1"/>
  <c r="F86" i="21"/>
  <c r="E48" i="19"/>
  <c r="F49" i="25" l="1"/>
  <c r="F53" i="25" s="1"/>
  <c r="E49" i="25"/>
  <c r="F68" i="23"/>
  <c r="F62" i="23"/>
  <c r="F56" i="23"/>
  <c r="E62" i="23"/>
  <c r="E56" i="23"/>
  <c r="F82" i="21"/>
  <c r="E82" i="21"/>
  <c r="F54" i="19"/>
  <c r="F48" i="19"/>
  <c r="F41" i="19"/>
  <c r="E41" i="19"/>
  <c r="F63" i="17"/>
  <c r="F57" i="17"/>
  <c r="E57" i="17"/>
  <c r="E11" i="14"/>
  <c r="E15" i="14" s="1"/>
  <c r="D11" i="14"/>
  <c r="F43" i="9"/>
  <c r="F70" i="9" s="1"/>
  <c r="F74" i="9" s="1"/>
  <c r="E43" i="9"/>
  <c r="F71" i="8"/>
  <c r="F59" i="8"/>
  <c r="F65" i="8"/>
  <c r="E65" i="8"/>
  <c r="E59" i="8"/>
  <c r="F42" i="3"/>
  <c r="F46" i="3" s="1"/>
  <c r="E42" i="3"/>
</calcChain>
</file>

<file path=xl/sharedStrings.xml><?xml version="1.0" encoding="utf-8"?>
<sst xmlns="http://schemas.openxmlformats.org/spreadsheetml/2006/main" count="8812" uniqueCount="1980">
  <si>
    <t>Franklin Asian Equity Fund As of Date -  31Jul2019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</si>
  <si>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</si>
  <si>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</si>
  <si>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</si>
  <si>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</si>
  <si>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</si>
  <si>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</si>
  <si>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</si>
  <si>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</si>
  <si>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>INE040A01026</t>
  </si>
  <si>
    <t>HDFC Bank Ltd.</t>
  </si>
  <si>
    <t>Banks</t>
  </si>
  <si>
    <t>INE849A01020</t>
  </si>
  <si>
    <t>Trent Ltd.</t>
  </si>
  <si>
    <t>Retailing</t>
  </si>
  <si>
    <t>INE053A01029</t>
  </si>
  <si>
    <t>Indian Hotels Co. Ltd.</t>
  </si>
  <si>
    <t>INE093I01010</t>
  </si>
  <si>
    <t>Oberoi Realty Ltd.</t>
  </si>
  <si>
    <t>Construction</t>
  </si>
  <si>
    <t>INE237A01028</t>
  </si>
  <si>
    <t>Kotak Mahindra Bank Ltd.</t>
  </si>
  <si>
    <t>INE298A01020</t>
  </si>
  <si>
    <t>Cummins India Ltd.</t>
  </si>
  <si>
    <t>Industrial Products</t>
  </si>
  <si>
    <t>INE038A01020</t>
  </si>
  <si>
    <t>Hindalco Industries Ltd.</t>
  </si>
  <si>
    <t>Non - Ferrous Metals</t>
  </si>
  <si>
    <t>INE410P01011</t>
  </si>
  <si>
    <t>Narayana Hrudayalaya Ltd., Reg S</t>
  </si>
  <si>
    <t>Healthcare Services</t>
  </si>
  <si>
    <t>INE338I01027</t>
  </si>
  <si>
    <t>Motilal Oswal Financial Services Ltd.</t>
  </si>
  <si>
    <t>Finance</t>
  </si>
  <si>
    <t>INE192A01025</t>
  </si>
  <si>
    <t>Tata Global Beverages Ltd.</t>
  </si>
  <si>
    <t>Consumer Non Durables</t>
  </si>
  <si>
    <t>INE155A01022</t>
  </si>
  <si>
    <t>Tata Motors Ltd.</t>
  </si>
  <si>
    <t>Auto</t>
  </si>
  <si>
    <t>INE669E01016</t>
  </si>
  <si>
    <t>Vodafone Idea Ltd.</t>
  </si>
  <si>
    <t>Telecom - Services</t>
  </si>
  <si>
    <t>Total</t>
  </si>
  <si>
    <t>Foreign Equity Securities</t>
  </si>
  <si>
    <t>CNE1000002M1</t>
  </si>
  <si>
    <t>China Merchants Bank Co. Ltd., H</t>
  </si>
  <si>
    <t>CNE1000003X6</t>
  </si>
  <si>
    <t>HK0000069689</t>
  </si>
  <si>
    <t>AIA Group Ltd.</t>
  </si>
  <si>
    <t>HK0669013440</t>
  </si>
  <si>
    <t>Techtronic Industries Co. Ltd.</t>
  </si>
  <si>
    <t>HK0883013259</t>
  </si>
  <si>
    <t>CNOOC Ltd.</t>
  </si>
  <si>
    <t>Oil</t>
  </si>
  <si>
    <t>ID1000061302</t>
  </si>
  <si>
    <t>Indocement Tunggal Prakarsa Tbk PT</t>
  </si>
  <si>
    <t>Cement</t>
  </si>
  <si>
    <t>ID1000106800</t>
  </si>
  <si>
    <t>Semen Indonesia (Persero) Tbk PT</t>
  </si>
  <si>
    <t>ID1000109507</t>
  </si>
  <si>
    <t>Bank Central Asia Tbk PT</t>
  </si>
  <si>
    <t>ID1000125503</t>
  </si>
  <si>
    <t>ACE Hardware Indonesia Tbk PT</t>
  </si>
  <si>
    <t>KYG2108Y1052</t>
  </si>
  <si>
    <t>China Resources Land Ltd.</t>
  </si>
  <si>
    <t>KYG210961051</t>
  </si>
  <si>
    <t>China Mengniu Dairy Co. Ltd.</t>
  </si>
  <si>
    <t>KYG2121R1039</t>
  </si>
  <si>
    <t>China Literature Ltd.</t>
  </si>
  <si>
    <t>Media &amp; Entertainment</t>
  </si>
  <si>
    <t>KYG4387E1070</t>
  </si>
  <si>
    <t>Health &amp; Happiness H&amp;H International Holdings Ltd.</t>
  </si>
  <si>
    <t>KYG8586D1097</t>
  </si>
  <si>
    <t>Sunny Optical Technology Group Co. Ltd.</t>
  </si>
  <si>
    <t>Hardware</t>
  </si>
  <si>
    <t>KYG875721634</t>
  </si>
  <si>
    <t>Tencent Holdings Ltd.</t>
  </si>
  <si>
    <t>Software</t>
  </si>
  <si>
    <t>LU0633102719</t>
  </si>
  <si>
    <t>Samsonite International SA</t>
  </si>
  <si>
    <t>SG1L01001701</t>
  </si>
  <si>
    <t>DBS Group Holdings Ltd.</t>
  </si>
  <si>
    <t>TH0003010Z12</t>
  </si>
  <si>
    <t>The Siam Cement PCL, fgn.</t>
  </si>
  <si>
    <t>TH0128B10Z17</t>
  </si>
  <si>
    <t>Minor International PCL, fgn.</t>
  </si>
  <si>
    <t>Hotels, Resorts And Other Recreational Activities</t>
  </si>
  <si>
    <t>TH0737010Y16</t>
  </si>
  <si>
    <t>TW0002330008</t>
  </si>
  <si>
    <t>Taiwan Semiconductor Manufacturing Co. Ltd.</t>
  </si>
  <si>
    <t>TW0003008009</t>
  </si>
  <si>
    <t>Largan Precision Co. Ltd.</t>
  </si>
  <si>
    <t>Consumer Durables</t>
  </si>
  <si>
    <t>TW0006414006</t>
  </si>
  <si>
    <t>Ennoconn Corp.</t>
  </si>
  <si>
    <t>US01609W1027</t>
  </si>
  <si>
    <t>Alibaba Group Holding Ltd., ADR</t>
  </si>
  <si>
    <t>US6475811070</t>
  </si>
  <si>
    <t>New Oriental Education &amp; Technology Group Inc., ADR</t>
  </si>
  <si>
    <t>Diversified Consumer Service</t>
  </si>
  <si>
    <t>Call, Cash &amp; Other Assets</t>
  </si>
  <si>
    <t>Net Asset</t>
  </si>
  <si>
    <t>Note</t>
  </si>
  <si>
    <t>a) NAV at the beginning and at the end of the Half-year ended 31Jul2019</t>
  </si>
  <si>
    <t>NAV as on 31-Jul-2019</t>
  </si>
  <si>
    <t>b) Dividends declared during the Half - year ended 31-Jul-2019</t>
  </si>
  <si>
    <t>Nil</t>
  </si>
  <si>
    <t>Franklin Build India Fund As of Date -  31Jul2019</t>
  </si>
  <si>
    <t>INE090A01021</t>
  </si>
  <si>
    <t>ICICI Bank Ltd.</t>
  </si>
  <si>
    <t>INE062A01020</t>
  </si>
  <si>
    <t>State Bank of India</t>
  </si>
  <si>
    <t>INE397D01024</t>
  </si>
  <si>
    <t>Bharti Airtel Ltd.</t>
  </si>
  <si>
    <t>INE733E01010</t>
  </si>
  <si>
    <t>NTPC Ltd.</t>
  </si>
  <si>
    <t>Power</t>
  </si>
  <si>
    <t>INE238A01034</t>
  </si>
  <si>
    <t>Axis Bank Ltd.</t>
  </si>
  <si>
    <t>INE029A01011</t>
  </si>
  <si>
    <t>Bharat Petroleum Corp. Ltd.</t>
  </si>
  <si>
    <t>Petroleum Products</t>
  </si>
  <si>
    <t>INE242A01010</t>
  </si>
  <si>
    <t>Indian Oil Corp. Ltd.</t>
  </si>
  <si>
    <t>INE481G01011</t>
  </si>
  <si>
    <t>UltraTech Cement Ltd.</t>
  </si>
  <si>
    <t>INE878B01027</t>
  </si>
  <si>
    <t>KEI Industries Ltd.</t>
  </si>
  <si>
    <t>INE347G01014</t>
  </si>
  <si>
    <t>Petronet LNG Ltd.</t>
  </si>
  <si>
    <t>Gas</t>
  </si>
  <si>
    <t>INE285B01017</t>
  </si>
  <si>
    <t>SpiceJet Ltd.</t>
  </si>
  <si>
    <t>Transportation</t>
  </si>
  <si>
    <t>INE671H01015</t>
  </si>
  <si>
    <t>Sobha Ltd.</t>
  </si>
  <si>
    <t>INE012A01025</t>
  </si>
  <si>
    <t>ACC Ltd.</t>
  </si>
  <si>
    <t>INE213A01029</t>
  </si>
  <si>
    <t>Oil &amp; Natural Gas Corp. Ltd.</t>
  </si>
  <si>
    <t>INE786A01032</t>
  </si>
  <si>
    <t>JK Lakshmi Cement Ltd.</t>
  </si>
  <si>
    <t>INE158A01026</t>
  </si>
  <si>
    <t>Hero Motocorp Ltd.</t>
  </si>
  <si>
    <t>INE129A01019</t>
  </si>
  <si>
    <t>GAIL India Ltd.</t>
  </si>
  <si>
    <t>INE355A01028</t>
  </si>
  <si>
    <t>Somany Ceramics Ltd.</t>
  </si>
  <si>
    <t>INE774D01024</t>
  </si>
  <si>
    <t>Mahindra &amp; Mahindra Financial Services Ltd.</t>
  </si>
  <si>
    <t>INE235A01022</t>
  </si>
  <si>
    <t>Finolex Cables Ltd.</t>
  </si>
  <si>
    <t>INE139A01034</t>
  </si>
  <si>
    <t>National Aluminium Co. Ltd.</t>
  </si>
  <si>
    <t>INE517F01014</t>
  </si>
  <si>
    <t>Gujarat Pipavav Port Ltd.</t>
  </si>
  <si>
    <t>INE752E01010</t>
  </si>
  <si>
    <t>Power Grid Corp. of India Ltd.</t>
  </si>
  <si>
    <t>INE686A01026</t>
  </si>
  <si>
    <t>ITD Cementation India Ltd.</t>
  </si>
  <si>
    <t>INE513A01014</t>
  </si>
  <si>
    <t>Schaeffler India Ltd.</t>
  </si>
  <si>
    <t>IN9155A01020</t>
  </si>
  <si>
    <t>INE323I01011</t>
  </si>
  <si>
    <t>Puravankara Projects Ltd.</t>
  </si>
  <si>
    <t>INE111A01025</t>
  </si>
  <si>
    <t>Container Corp. of India Ltd.</t>
  </si>
  <si>
    <t>INE227C01017</t>
  </si>
  <si>
    <t>M.M. Forgings Ltd.</t>
  </si>
  <si>
    <t>INE160A01022</t>
  </si>
  <si>
    <t>Punjab National Bank Ltd.</t>
  </si>
  <si>
    <t>INE470Y01017</t>
  </si>
  <si>
    <t>The New India Assurance Co. Ltd., Reg S</t>
  </si>
  <si>
    <t>INE871K01015</t>
  </si>
  <si>
    <t>Hindustan Media Ventures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</si>
  <si>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31Jul2019</t>
    </r>
  </si>
  <si>
    <t>INF090I01GK1</t>
  </si>
  <si>
    <t>INF090I01FN7</t>
  </si>
  <si>
    <r>
      <t>Franklin India Dynamic PE Ratio Fund of Funds As o</t>
    </r>
    <r>
      <rPr>
        <b/>
        <sz val="8"/>
        <color theme="1"/>
        <rFont val="Arial"/>
        <family val="2"/>
      </rPr>
      <t>f Date -  31Jul2019</t>
    </r>
  </si>
  <si>
    <t>INE009A01021</t>
  </si>
  <si>
    <t>Infosys Ltd.</t>
  </si>
  <si>
    <t>INE101A01026</t>
  </si>
  <si>
    <t>Mahindra &amp; Mahindra Ltd.</t>
  </si>
  <si>
    <t>INE860A01027</t>
  </si>
  <si>
    <t>HCL Technologies Ltd.</t>
  </si>
  <si>
    <t>INE089A01023</t>
  </si>
  <si>
    <t>Dr Reddy's Laboratories Ltd.</t>
  </si>
  <si>
    <t>Pharmaceuticals</t>
  </si>
  <si>
    <t>INE018A01030</t>
  </si>
  <si>
    <t>Larsen &amp; Toubro Ltd.</t>
  </si>
  <si>
    <t>Construction Project</t>
  </si>
  <si>
    <t>INE326A01037</t>
  </si>
  <si>
    <t>Lupin Ltd.</t>
  </si>
  <si>
    <t>INE646L01027</t>
  </si>
  <si>
    <t>InterGlobe Aviation Ltd., Reg S</t>
  </si>
  <si>
    <t>INE047A01021</t>
  </si>
  <si>
    <t>Grasim Industries Ltd.</t>
  </si>
  <si>
    <t>INE196A01026</t>
  </si>
  <si>
    <t>Marico Ltd.</t>
  </si>
  <si>
    <t>INE686F01025</t>
  </si>
  <si>
    <t>United Breweries Ltd.</t>
  </si>
  <si>
    <t>INE079A01024</t>
  </si>
  <si>
    <t>Ambuja Cements Ltd.</t>
  </si>
  <si>
    <t>INE010B01027</t>
  </si>
  <si>
    <t>Cadila Healthcare Ltd.</t>
  </si>
  <si>
    <t>INE528G01027</t>
  </si>
  <si>
    <t>Yes Bank Ltd.</t>
  </si>
  <si>
    <t>INE726G01019</t>
  </si>
  <si>
    <t>ICICI Prudential Life Insurance Co. Ltd., Reg S</t>
  </si>
  <si>
    <r>
      <t>Franklin India BlueChip Fund As of Date -  31Jul20</t>
    </r>
    <r>
      <rPr>
        <b/>
        <sz val="8"/>
        <color theme="1"/>
        <rFont val="Arial"/>
        <family val="2"/>
      </rPr>
      <t>19</t>
    </r>
  </si>
  <si>
    <t>INE149A01033</t>
  </si>
  <si>
    <t>Cholamandalam Financial Holdings Ltd.</t>
  </si>
  <si>
    <t>INE246F01010</t>
  </si>
  <si>
    <t>Gujarat State Petronet Ltd.</t>
  </si>
  <si>
    <t>INE531A01024</t>
  </si>
  <si>
    <t>Kansai Nerolac Paints Ltd.</t>
  </si>
  <si>
    <t>INE259A01022</t>
  </si>
  <si>
    <t>Colgate-Palmolive India Ltd.</t>
  </si>
  <si>
    <t>INE245A01021</t>
  </si>
  <si>
    <t>Tata Power Co. Ltd.</t>
  </si>
  <si>
    <t>INE572E01012</t>
  </si>
  <si>
    <t>PNB Housing Finance Ltd.</t>
  </si>
  <si>
    <t>INE169A01031</t>
  </si>
  <si>
    <t>Coromandel International Ltd.</t>
  </si>
  <si>
    <t>Fertilisers</t>
  </si>
  <si>
    <t>INE811K01011</t>
  </si>
  <si>
    <t>Prestige Estates Projects Ltd.</t>
  </si>
  <si>
    <t>INE536H01010</t>
  </si>
  <si>
    <t>Mahindra CIE Automotive Ltd.</t>
  </si>
  <si>
    <t>INE486A01013</t>
  </si>
  <si>
    <t>CESC Ltd.</t>
  </si>
  <si>
    <t>INE437A01024</t>
  </si>
  <si>
    <t>Apollo Hospitals Enterprise Ltd.</t>
  </si>
  <si>
    <t>INE094A01015</t>
  </si>
  <si>
    <t>Hindustan Petroleum Corp. Ltd.</t>
  </si>
  <si>
    <t>INE055A01016</t>
  </si>
  <si>
    <t>Century Textiles &amp; Industries Ltd.</t>
  </si>
  <si>
    <t>INE092A01019</t>
  </si>
  <si>
    <t>Tata Chemicals Ltd.</t>
  </si>
  <si>
    <t>Chemicals</t>
  </si>
  <si>
    <t>INE438A01022</t>
  </si>
  <si>
    <t>Apollo Tyres Ltd.</t>
  </si>
  <si>
    <t>Auto Ancillaries</t>
  </si>
  <si>
    <t>INE152A01029</t>
  </si>
  <si>
    <t>Thermax Ltd.</t>
  </si>
  <si>
    <t>Industrial Capital Goods</t>
  </si>
  <si>
    <t>INE171A01029</t>
  </si>
  <si>
    <t>Federal Bank Ltd.</t>
  </si>
  <si>
    <t>INE239A01016</t>
  </si>
  <si>
    <t>Nestle India Ltd.</t>
  </si>
  <si>
    <t>INE562A01011</t>
  </si>
  <si>
    <t>Indian Bank</t>
  </si>
  <si>
    <t>INE787D01026</t>
  </si>
  <si>
    <t>Balkrishna Industries Ltd.</t>
  </si>
  <si>
    <t>INE988K01017</t>
  </si>
  <si>
    <t>Equitas Holdings Ltd.</t>
  </si>
  <si>
    <t>INE647O01011</t>
  </si>
  <si>
    <t>Aditya Birla Fashion and Retail Ltd.</t>
  </si>
  <si>
    <t>INE081A01012</t>
  </si>
  <si>
    <t>Tata Steel Ltd.</t>
  </si>
  <si>
    <t>Ferrous Metals</t>
  </si>
  <si>
    <t>INE199G01027</t>
  </si>
  <si>
    <t>Jagran Prakashan Ltd.</t>
  </si>
  <si>
    <t>INE836F01026</t>
  </si>
  <si>
    <t>Dish TV India Ltd.</t>
  </si>
  <si>
    <t>INE669C01036</t>
  </si>
  <si>
    <t>Tech Mahindra Ltd.</t>
  </si>
  <si>
    <t>INE049A01027</t>
  </si>
  <si>
    <t>Himatsingka Seide Ltd.</t>
  </si>
  <si>
    <t>Textile Products</t>
  </si>
  <si>
    <t>INE020801028</t>
  </si>
  <si>
    <t>Spencers Retail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</si>
  <si>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31Jul2019</t>
    </r>
  </si>
  <si>
    <t>Franklin India Equity Fund As of Date -  31Jul2019</t>
  </si>
  <si>
    <t>INE226A01021</t>
  </si>
  <si>
    <t>Voltas Ltd.</t>
  </si>
  <si>
    <t>INE016A01026</t>
  </si>
  <si>
    <t>Dabur India Ltd.</t>
  </si>
  <si>
    <t>INE044A01036</t>
  </si>
  <si>
    <t>Sun Pharmaceutical Industries Ltd.</t>
  </si>
  <si>
    <t>INE663F01024</t>
  </si>
  <si>
    <t>Info Edge India Ltd.</t>
  </si>
  <si>
    <t>INE494B01023</t>
  </si>
  <si>
    <t>TVS Motor Co. Ltd.</t>
  </si>
  <si>
    <t>INE668F01031</t>
  </si>
  <si>
    <t>Jyothy Labs Ltd.</t>
  </si>
  <si>
    <t>INE183A01016</t>
  </si>
  <si>
    <t>Finolex Industries Ltd.</t>
  </si>
  <si>
    <t>INE465A01025</t>
  </si>
  <si>
    <t>Bharat Forge Ltd.</t>
  </si>
  <si>
    <t>INE176A01028</t>
  </si>
  <si>
    <t>Bata India Ltd.</t>
  </si>
  <si>
    <t>INE955V01021</t>
  </si>
  <si>
    <t>Arvind Fashions Ltd.</t>
  </si>
  <si>
    <t>INE797F01012</t>
  </si>
  <si>
    <t>Jubilant Foodworks Ltd.</t>
  </si>
  <si>
    <t>INE674K01013</t>
  </si>
  <si>
    <t>Aditya Birla Capital Ltd.</t>
  </si>
  <si>
    <t>INE036D01028</t>
  </si>
  <si>
    <t>Karur Vysya Bank Ltd.</t>
  </si>
  <si>
    <t>INE067A01029</t>
  </si>
  <si>
    <t>CG Power and Industrial Solutions Ltd.</t>
  </si>
  <si>
    <t>INE034A01011</t>
  </si>
  <si>
    <t>Arvind Ltd.</t>
  </si>
  <si>
    <t>INE462A01022</t>
  </si>
  <si>
    <t>Bayer Cropscience Ltd.</t>
  </si>
  <si>
    <t>Pesticides</t>
  </si>
  <si>
    <t>INE763G01038</t>
  </si>
  <si>
    <t>ICICI Securities Ltd.</t>
  </si>
  <si>
    <t>(b)Unlisted</t>
  </si>
  <si>
    <t/>
  </si>
  <si>
    <t>Numero Uno International Ltd.</t>
  </si>
  <si>
    <t>Quantum Information Systems</t>
  </si>
  <si>
    <t>INE696201123</t>
  </si>
  <si>
    <t>Quantum Information Services</t>
  </si>
  <si>
    <t>INE672A01018</t>
  </si>
  <si>
    <t>Tata Investment Corp. Ltd.</t>
  </si>
  <si>
    <t>INE891D01026</t>
  </si>
  <si>
    <t>Redington India Ltd.</t>
  </si>
  <si>
    <t>INE522F01014</t>
  </si>
  <si>
    <t>Coal India Ltd.</t>
  </si>
  <si>
    <t>Minerals/mining</t>
  </si>
  <si>
    <t>INE00R701025</t>
  </si>
  <si>
    <t>Dalmia Bharat Ltd.</t>
  </si>
  <si>
    <t>Services</t>
  </si>
  <si>
    <t>INE825A01012</t>
  </si>
  <si>
    <t>Vardhman Textiles Ltd.</t>
  </si>
  <si>
    <t>Textiles - Cotton</t>
  </si>
  <si>
    <t>INE823G01014</t>
  </si>
  <si>
    <t>JK Cement Ltd.</t>
  </si>
  <si>
    <t>INE376G01013</t>
  </si>
  <si>
    <t>Biocon Ltd.</t>
  </si>
  <si>
    <t>INE917I01010</t>
  </si>
  <si>
    <t>Bajaj Auto Ltd.</t>
  </si>
  <si>
    <t>INE208A01029</t>
  </si>
  <si>
    <t>Ashok Leyland Ltd.</t>
  </si>
  <si>
    <t>INE017A01032</t>
  </si>
  <si>
    <t>Great Eastern Shipping Co. Ltd.</t>
  </si>
  <si>
    <t>BMG2442N1048</t>
  </si>
  <si>
    <t>BMG4977W1038</t>
  </si>
  <si>
    <t>I.T Ltd.</t>
  </si>
  <si>
    <t>BMG570071099</t>
  </si>
  <si>
    <t>Luye Pharma Group Ltd.</t>
  </si>
  <si>
    <t>CNE1000004J3</t>
  </si>
  <si>
    <t>TravelSky Technology Ltd., H</t>
  </si>
  <si>
    <t>HK0165000859</t>
  </si>
  <si>
    <t>China Everbright Ltd.</t>
  </si>
  <si>
    <t>KYG982771092</t>
  </si>
  <si>
    <t>Xtep International Holdings Ltd.</t>
  </si>
  <si>
    <t>KYG9829N1025</t>
  </si>
  <si>
    <t>Xinyi Solar Holdings Ltd.</t>
  </si>
  <si>
    <t>TH0999010Z11</t>
  </si>
  <si>
    <t>TISCO Financial Group PCL, fgn.</t>
  </si>
  <si>
    <t>TW0001565000</t>
  </si>
  <si>
    <t>St. Shine Optical Co. Ltd.</t>
  </si>
  <si>
    <t>TW0003034005</t>
  </si>
  <si>
    <t>Novatek Microelectronics Corp. Ltd.</t>
  </si>
  <si>
    <t>Semiconductors</t>
  </si>
  <si>
    <t>TW0004126008</t>
  </si>
  <si>
    <t>Pacific Hospital Supply Co. Ltd.</t>
  </si>
  <si>
    <t>TW0004915004</t>
  </si>
  <si>
    <t>Primax Electronics Ltd.</t>
  </si>
  <si>
    <r>
      <t>Templeton India Equity Income Fund As of Date -  3</t>
    </r>
    <r>
      <rPr>
        <b/>
        <sz val="8"/>
        <color theme="1"/>
        <rFont val="Arial"/>
        <family val="2"/>
      </rPr>
      <t>1Jul2019</t>
    </r>
  </si>
  <si>
    <t>INE002A01018</t>
  </si>
  <si>
    <t>Reliance Industries Ltd.</t>
  </si>
  <si>
    <t>INE030A01027</t>
  </si>
  <si>
    <t>Hindustan Unilever Ltd.</t>
  </si>
  <si>
    <t>INE280A01028</t>
  </si>
  <si>
    <t>Titan Co. Ltd.</t>
  </si>
  <si>
    <t>INE296A01024</t>
  </si>
  <si>
    <t>Bajaj Finance Ltd.</t>
  </si>
  <si>
    <t>INE001A01036</t>
  </si>
  <si>
    <t>Housing Development Finance Corp. Ltd.</t>
  </si>
  <si>
    <t>INE021A01026</t>
  </si>
  <si>
    <t>Asian Paints Ltd.</t>
  </si>
  <si>
    <t>INE154A01025</t>
  </si>
  <si>
    <t>ITC Ltd.</t>
  </si>
  <si>
    <t>INE585B01010</t>
  </si>
  <si>
    <t>Maruti Suzuki India Ltd.</t>
  </si>
  <si>
    <t>INE463A01038</t>
  </si>
  <si>
    <t>Berger Paints India Ltd.</t>
  </si>
  <si>
    <t>INE918I01018</t>
  </si>
  <si>
    <t>Bajaj Finserv Ltd.</t>
  </si>
  <si>
    <t>INE358A01014</t>
  </si>
  <si>
    <t>Abbott India Ltd.</t>
  </si>
  <si>
    <t>INE123W01016</t>
  </si>
  <si>
    <t>SBI Life Insurance Co. Ltd.</t>
  </si>
  <si>
    <t>INE987B01026</t>
  </si>
  <si>
    <t>Natco Pharma Ltd.</t>
  </si>
  <si>
    <t>INE876N01018</t>
  </si>
  <si>
    <t>Orient Cement Ltd.</t>
  </si>
  <si>
    <t>INE603J01030</t>
  </si>
  <si>
    <t>PI Industries Ltd.</t>
  </si>
  <si>
    <t>INE334L01012</t>
  </si>
  <si>
    <t>Ujjivan Financial Services Ltd.</t>
  </si>
  <si>
    <t>INE373A01013</t>
  </si>
  <si>
    <t>BASF India Ltd.</t>
  </si>
  <si>
    <r>
      <t>Franklin India Focused Equity Fund As of Date -  3</t>
    </r>
    <r>
      <rPr>
        <b/>
        <sz val="8"/>
        <color theme="1"/>
        <rFont val="Arial"/>
        <family val="2"/>
      </rPr>
      <t>1Jul2019</t>
    </r>
  </si>
  <si>
    <t>INF090I01FH9</t>
  </si>
  <si>
    <t>INF090I01GY2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</si>
  <si>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31Jul2019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</si>
  <si>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31Jul2019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</si>
  <si>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31Jul2019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</si>
  <si>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31Jul2019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</si>
  <si>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</si>
  <si>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31Jul2019</t>
    </r>
  </si>
  <si>
    <t>INE467B01029</t>
  </si>
  <si>
    <t>Tata Consultancy Services Ltd.</t>
  </si>
  <si>
    <t>INE095A01012</t>
  </si>
  <si>
    <t>IndusInd Bank Ltd.</t>
  </si>
  <si>
    <t>INE075A01022</t>
  </si>
  <si>
    <t>Wipro Ltd.</t>
  </si>
  <si>
    <t>INE628A01036</t>
  </si>
  <si>
    <t>UPL Ltd.</t>
  </si>
  <si>
    <t>INE216A01030</t>
  </si>
  <si>
    <t>Britannia Industries Ltd.</t>
  </si>
  <si>
    <t>INE742F01042</t>
  </si>
  <si>
    <t>Adani Ports And Special Economic Zone Ltd.</t>
  </si>
  <si>
    <t>INE205A01025</t>
  </si>
  <si>
    <t>Vedanta Ltd.</t>
  </si>
  <si>
    <t>INE059A01026</t>
  </si>
  <si>
    <t>Cipla Ltd.</t>
  </si>
  <si>
    <t>INE019A01038</t>
  </si>
  <si>
    <t>JSW Steel Ltd.</t>
  </si>
  <si>
    <t>INE066A01013</t>
  </si>
  <si>
    <t>Eicher Motors Ltd.</t>
  </si>
  <si>
    <t>INE256A01028</t>
  </si>
  <si>
    <t>Zee Entertainment Enterprises Ltd.</t>
  </si>
  <si>
    <t>INE121J01017</t>
  </si>
  <si>
    <t>Bharti Infratel Ltd.</t>
  </si>
  <si>
    <t>Telecom -  Equipment &amp; Accessories</t>
  </si>
  <si>
    <t>INE148I01020</t>
  </si>
  <si>
    <t>Indiabulls Housing Finance Ltd.</t>
  </si>
  <si>
    <r>
      <t>Franklin India Index Fund - NSE Nifty Plan As of D</t>
    </r>
    <r>
      <rPr>
        <b/>
        <sz val="8"/>
        <color theme="1"/>
        <rFont val="Arial"/>
        <family val="2"/>
      </rPr>
      <t>ate -  31Jul2019</t>
    </r>
  </si>
  <si>
    <t>INF090I01JV2</t>
  </si>
  <si>
    <r>
      <t>Franklin India Multi-Asset Solution Fund As of Dat</t>
    </r>
    <r>
      <rPr>
        <b/>
        <sz val="8"/>
        <color theme="1"/>
        <rFont val="Arial"/>
        <family val="2"/>
      </rPr>
      <t>e -  31Jul2019</t>
    </r>
  </si>
  <si>
    <t>INE442H01029</t>
  </si>
  <si>
    <t>Ashoka Buildcon Ltd.</t>
  </si>
  <si>
    <t>INE612J01015</t>
  </si>
  <si>
    <t>Repco Home Finance Ltd.</t>
  </si>
  <si>
    <t>INE813H01021</t>
  </si>
  <si>
    <t>Torrent Power Ltd.</t>
  </si>
  <si>
    <t>INE435A01028</t>
  </si>
  <si>
    <t>International Paper APPM Ltd.</t>
  </si>
  <si>
    <t>Paper</t>
  </si>
  <si>
    <t>INE264A01014</t>
  </si>
  <si>
    <t>GlaxoSmithKline Consumer Healthcare Ltd.</t>
  </si>
  <si>
    <t>INE202Z01029</t>
  </si>
  <si>
    <t>Sundaram Finance Holdings Ltd.</t>
  </si>
  <si>
    <t>INE029L01018</t>
  </si>
  <si>
    <t>Kalyani Investment Co. Ltd.</t>
  </si>
  <si>
    <t>INE425Y01011</t>
  </si>
  <si>
    <t>CESC Ventures Ltd.</t>
  </si>
  <si>
    <t>Brillio Technologies Pvt. Ltd.</t>
  </si>
  <si>
    <t>Chennai Interactive Business Services Pvt Ltd.</t>
  </si>
  <si>
    <r>
      <t>Franklin India Opportunities Fund As of Date -  31</t>
    </r>
    <r>
      <rPr>
        <b/>
        <sz val="8"/>
        <color theme="1"/>
        <rFont val="Arial"/>
        <family val="2"/>
      </rPr>
      <t>Jul2019</t>
    </r>
  </si>
  <si>
    <t>Franklin India Prima Fund As of Date -  31Jul2019</t>
  </si>
  <si>
    <t>INE331A01037</t>
  </si>
  <si>
    <t>Ramco Cements Ltd.</t>
  </si>
  <si>
    <t>INE491A01021</t>
  </si>
  <si>
    <t>City Union Bank Ltd.</t>
  </si>
  <si>
    <t>INE640A01023</t>
  </si>
  <si>
    <t>SKF India Ltd.</t>
  </si>
  <si>
    <t>INE342J01019</t>
  </si>
  <si>
    <t>Wabco India Ltd.</t>
  </si>
  <si>
    <t>INE299U01018</t>
  </si>
  <si>
    <t>Crompton Greaves Consumer Electricals Ltd.</t>
  </si>
  <si>
    <t>INE660A01013</t>
  </si>
  <si>
    <t>Sundaram Finance Ltd.</t>
  </si>
  <si>
    <t>INE263A01024</t>
  </si>
  <si>
    <t>Bharat Electronics Ltd.</t>
  </si>
  <si>
    <t>INE548C01032</t>
  </si>
  <si>
    <t>Emami Ltd.</t>
  </si>
  <si>
    <t>INE115A01026</t>
  </si>
  <si>
    <t>LIC Housing Finance Ltd.</t>
  </si>
  <si>
    <t>INE212H01026</t>
  </si>
  <si>
    <t>AIA Engineering Ltd.</t>
  </si>
  <si>
    <t>INE976G01028</t>
  </si>
  <si>
    <t>RBL Bank Ltd., Reg S</t>
  </si>
  <si>
    <t>INE058A01010</t>
  </si>
  <si>
    <t>Sanofi India Ltd.</t>
  </si>
  <si>
    <t>INE769A01020</t>
  </si>
  <si>
    <t>Aarti Industries Ltd.</t>
  </si>
  <si>
    <t>INE217B01036</t>
  </si>
  <si>
    <t>Kajaria Ceramics Ltd.</t>
  </si>
  <si>
    <t>INE685A01028</t>
  </si>
  <si>
    <t>Torrent Pharmaceuticals Ltd.</t>
  </si>
  <si>
    <t>INE018I01017</t>
  </si>
  <si>
    <t>Mindtree Ltd.</t>
  </si>
  <si>
    <t>INE294Z01018</t>
  </si>
  <si>
    <t>The Anup Engineering Ltd.</t>
  </si>
  <si>
    <t>INE09EO01013</t>
  </si>
  <si>
    <t>INE791I01019</t>
  </si>
  <si>
    <t>Brigade Enterprises Ltd.</t>
  </si>
  <si>
    <t>INE288B01029</t>
  </si>
  <si>
    <t>Deepak Nitrite Ltd.</t>
  </si>
  <si>
    <t>INE317F01035</t>
  </si>
  <si>
    <t>Nesco Ltd.</t>
  </si>
  <si>
    <t>Commercial Services</t>
  </si>
  <si>
    <t>INE136B01020</t>
  </si>
  <si>
    <t>Cyient Ltd.</t>
  </si>
  <si>
    <t>INE100A01010</t>
  </si>
  <si>
    <t>Atul Ltd.</t>
  </si>
  <si>
    <t>INE572A01028</t>
  </si>
  <si>
    <t>J.B. Chemicals &amp; Pharmaceuticals Ltd.</t>
  </si>
  <si>
    <t>INE503A01015</t>
  </si>
  <si>
    <t>DCB Bank Ltd.</t>
  </si>
  <si>
    <t>INE600L01024</t>
  </si>
  <si>
    <t>Dr Lal PathLabs Ltd.</t>
  </si>
  <si>
    <t>INE635Q01029</t>
  </si>
  <si>
    <t>Gulf Oil Lubricants India Ltd.</t>
  </si>
  <si>
    <t>INE060A01024</t>
  </si>
  <si>
    <t>Navneet Education Ltd.</t>
  </si>
  <si>
    <t>INE930H01023</t>
  </si>
  <si>
    <t>KPR Mill Ltd.</t>
  </si>
  <si>
    <t>INE739E01017</t>
  </si>
  <si>
    <t>Cera Sanitaryware Ltd.</t>
  </si>
  <si>
    <t>INE758C01029</t>
  </si>
  <si>
    <t>Ahluwalia Contracts India Ltd.</t>
  </si>
  <si>
    <t>INE919I01024</t>
  </si>
  <si>
    <t>Music Broadcast Ltd.</t>
  </si>
  <si>
    <t>INE985S01024</t>
  </si>
  <si>
    <t>TeamLease Services Ltd.</t>
  </si>
  <si>
    <t>INE120A01034</t>
  </si>
  <si>
    <t>Carborundum Universal Ltd.</t>
  </si>
  <si>
    <t>INE738I01010</t>
  </si>
  <si>
    <t>eClerx Services Ltd.</t>
  </si>
  <si>
    <t>INE752H01013</t>
  </si>
  <si>
    <t>Care Ratings Ltd.</t>
  </si>
  <si>
    <t>INE472A01039</t>
  </si>
  <si>
    <t>Blue Star Ltd.</t>
  </si>
  <si>
    <t>INE421D01022</t>
  </si>
  <si>
    <t>CCL Products India Ltd.</t>
  </si>
  <si>
    <t>INE152M01016</t>
  </si>
  <si>
    <t>Triveni Turbine Ltd.</t>
  </si>
  <si>
    <t>INE054A01027</t>
  </si>
  <si>
    <t>VIP Industries Ltd.</t>
  </si>
  <si>
    <t>INE539A01019</t>
  </si>
  <si>
    <t>GHCL Ltd.</t>
  </si>
  <si>
    <t>INE613A01020</t>
  </si>
  <si>
    <t>Rallis India Ltd.</t>
  </si>
  <si>
    <t>INE634I01029</t>
  </si>
  <si>
    <t>KNR Constructions Ltd.</t>
  </si>
  <si>
    <t>INE131A01031</t>
  </si>
  <si>
    <t>Gujarat Mineral Development Corp. Ltd.</t>
  </si>
  <si>
    <t>INE019C01026</t>
  </si>
  <si>
    <t>Himadri Speciality Chemicals Ltd.</t>
  </si>
  <si>
    <t>INE038F01029</t>
  </si>
  <si>
    <t>TV Today Network Ltd.</t>
  </si>
  <si>
    <t>INE399G01015</t>
  </si>
  <si>
    <t>Ramkrishna Forgings Ltd.</t>
  </si>
  <si>
    <t>INE285K01026</t>
  </si>
  <si>
    <t>Techno Electric &amp; Engineering Co. Ltd.</t>
  </si>
  <si>
    <t>INE269B01029</t>
  </si>
  <si>
    <t>Lakshmi Machine Works Ltd.</t>
  </si>
  <si>
    <t>INE999B01013</t>
  </si>
  <si>
    <t>Sanghi Industries Ltd.</t>
  </si>
  <si>
    <t>INE455K01017</t>
  </si>
  <si>
    <t>Polycab India Ltd.</t>
  </si>
  <si>
    <t>INE075I01017</t>
  </si>
  <si>
    <t>Healthcare Global Enterprises Ltd.</t>
  </si>
  <si>
    <t>INE002S01010</t>
  </si>
  <si>
    <t>Mahanagar Gas Ltd.</t>
  </si>
  <si>
    <t>INE274V01019</t>
  </si>
  <si>
    <t>Shankara Building Products Ltd.</t>
  </si>
  <si>
    <t>INE501G01024</t>
  </si>
  <si>
    <t>HT Media Ltd.</t>
  </si>
  <si>
    <t>INE932A01024</t>
  </si>
  <si>
    <t>Pennar Industries Ltd.</t>
  </si>
  <si>
    <t>INE213C01025</t>
  </si>
  <si>
    <t>Banco Products India Ltd.</t>
  </si>
  <si>
    <t>INE834I01025</t>
  </si>
  <si>
    <t>Khadim India Ltd.</t>
  </si>
  <si>
    <t>INE265F01028</t>
  </si>
  <si>
    <t>Entertainment Network India Ltd.</t>
  </si>
  <si>
    <t>INE03JI01017</t>
  </si>
  <si>
    <t>Digicontent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</si>
  <si>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</si>
  <si>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</si>
  <si>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31Jul2019</t>
    </r>
  </si>
  <si>
    <t>INE214T01019</t>
  </si>
  <si>
    <t>Larsen &amp; Toubro Infotech Ltd., Reg S</t>
  </si>
  <si>
    <t>US3696041033</t>
  </si>
  <si>
    <t>US90184L1026</t>
  </si>
  <si>
    <r>
      <t>Franklin India Technology Fund As of Date -  31Jul</t>
    </r>
    <r>
      <rPr>
        <b/>
        <sz val="8"/>
        <color theme="1"/>
        <rFont val="Arial"/>
        <family val="2"/>
      </rPr>
      <t>2019</t>
    </r>
  </si>
  <si>
    <t>Franklin India Taxshield As of Date -  31Jul2019</t>
  </si>
  <si>
    <t>INE854D01024</t>
  </si>
  <si>
    <t>United Spirits Ltd.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</si>
  <si>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</si>
  <si>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</si>
  <si>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31Jul2019</t>
    </r>
  </si>
  <si>
    <t>Templeton India Value Fund As of Date -  31Jul2019</t>
  </si>
  <si>
    <t>INE576I01022</t>
  </si>
  <si>
    <t>J. Kumar Infraprojects Ltd.</t>
  </si>
  <si>
    <t>INE064C01014</t>
  </si>
  <si>
    <t>Trident Ltd.</t>
  </si>
  <si>
    <t>INE128A01029</t>
  </si>
  <si>
    <t>Eveready Industries India Ltd.</t>
  </si>
  <si>
    <t>Tata Motors Ltd DVR</t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</si>
  <si>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</si>
  <si>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</si>
  <si>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</si>
  <si>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</si>
  <si>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</si>
  <si>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</si>
  <si>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</si>
  <si>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</si>
  <si>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NAV as on 31-Jan-2019</t>
  </si>
  <si>
    <t>c) Portfolio Turnover Ratio during the Half - year  31-Jul-2019</t>
  </si>
  <si>
    <t>0.00*</t>
  </si>
  <si>
    <t>* Less than 0.01%</t>
  </si>
  <si>
    <t>Foreign Mutual Fund units</t>
  </si>
  <si>
    <t>LU0626261944</t>
  </si>
  <si>
    <t>Franklin Technology Fund, Class J</t>
  </si>
  <si>
    <t>Foreign Mutual Fund Units</t>
  </si>
  <si>
    <t>US1924461023</t>
  </si>
  <si>
    <t>US67066G1040</t>
  </si>
  <si>
    <t>US7475251036</t>
  </si>
  <si>
    <t>KR7005930003</t>
  </si>
  <si>
    <t>MU0295S00016</t>
  </si>
  <si>
    <t>MakeMyTrip Ltd.</t>
  </si>
  <si>
    <t>Arti Surfactants Ltd.#</t>
  </si>
  <si>
    <t># Awaiting Listing</t>
  </si>
  <si>
    <t>Cognizant Technology Solutions Corp.</t>
  </si>
  <si>
    <t>PHY077751022</t>
  </si>
  <si>
    <t>US22943F1003</t>
  </si>
  <si>
    <t>CNE0000018R8</t>
  </si>
  <si>
    <t>TH0128051909</t>
  </si>
  <si>
    <t>KR7006400006</t>
  </si>
  <si>
    <t>KR7055550008</t>
  </si>
  <si>
    <t>PHY8076N1120</t>
  </si>
  <si>
    <t>PHY9297P1004</t>
  </si>
  <si>
    <t>BDO Unibank Inc.</t>
  </si>
  <si>
    <t>CP All PCL</t>
  </si>
  <si>
    <t>Ctrip.com International Ltd., ADR</t>
  </si>
  <si>
    <t xml:space="preserve">Cement </t>
  </si>
  <si>
    <t>Kweichow Moutai Co. Ltd., A</t>
  </si>
  <si>
    <t>Hotels, Resorts &amp; 
Other Recreational 
Activities</t>
  </si>
  <si>
    <t>Minor International PCL, fgn - Warrants</t>
  </si>
  <si>
    <t>Ping An Insurance (Group) Co. of China Ltd.</t>
  </si>
  <si>
    <t>Samsung Electronics Co. Ltd.</t>
  </si>
  <si>
    <t>Samsung SDI Co. Ltd.</t>
  </si>
  <si>
    <t>Shinhan Financial Group Co. Ltd.</t>
  </si>
  <si>
    <t>SM Prime Holdings Inc.</t>
  </si>
  <si>
    <t>Universal Robina Corp.</t>
  </si>
  <si>
    <t>AEA002301017</t>
  </si>
  <si>
    <t>US30712A1034</t>
  </si>
  <si>
    <t>BRLEVEACNOR2</t>
  </si>
  <si>
    <t>KR7086900008</t>
  </si>
  <si>
    <t>GB00BF5SDZ96</t>
  </si>
  <si>
    <t xml:space="preserve">(b) Units of Real Eastate Investment Trusts (REITs) </t>
  </si>
  <si>
    <t>INE041025011</t>
  </si>
  <si>
    <t>Embassy Office Parks REIT</t>
  </si>
  <si>
    <t>Aramex PJSC</t>
  </si>
  <si>
    <t>COSCO Shipping Ports Ltd.</t>
  </si>
  <si>
    <t>Fanhua Inc., ADR</t>
  </si>
  <si>
    <t>Mahle-Metal Leve SA</t>
  </si>
  <si>
    <t>Medy-tox Inc.</t>
  </si>
  <si>
    <t>Stock Spirits Group PLC</t>
  </si>
  <si>
    <t>Mutual Funds</t>
  </si>
  <si>
    <t>Franklin India Short Term Income Plan</t>
  </si>
  <si>
    <t>Franklin India Bluechip Fund</t>
  </si>
  <si>
    <t>Mutual Funds / ETF</t>
  </si>
  <si>
    <t>INF732E01102</t>
  </si>
  <si>
    <t>R*Shares Gold Bees</t>
  </si>
  <si>
    <t>Franklin India Liquid Fund</t>
  </si>
  <si>
    <t>LU0195948665</t>
  </si>
  <si>
    <t>Franklin U.S. Opportunities Fund, Class I (Acc)</t>
  </si>
  <si>
    <t>LU0195949390</t>
  </si>
  <si>
    <t>Franklin European Growth Fund, Class I (Acc)</t>
  </si>
  <si>
    <t>Franklin India Savings Fund</t>
  </si>
  <si>
    <t>Templeton India Value Fund</t>
  </si>
  <si>
    <t>INF090I01HB8</t>
  </si>
  <si>
    <t>Franklin India Dynamic Accrual Fund</t>
  </si>
  <si>
    <t>INF090I01FW8</t>
  </si>
  <si>
    <t>Franklin India Corporate Debt Fund</t>
  </si>
  <si>
    <t>Franklin India Prima Fund</t>
  </si>
  <si>
    <t>d) Portfolio Turnover Ratio during the Half - year 31-Jul-2019</t>
  </si>
  <si>
    <t>(In Years)</t>
  </si>
  <si>
    <t>c) Average Maturity as on 31-Jul-2019</t>
  </si>
  <si>
    <t>Direct Monthly Dividend Plan</t>
  </si>
  <si>
    <t>Monthly Dividend Plan</t>
  </si>
  <si>
    <t>Direct Quarterly Dividend Plan</t>
  </si>
  <si>
    <t>Quarterly Dividend Plan</t>
  </si>
  <si>
    <t>a) NAV at the beginning and at the end of the Half-year ended 31-Jul-2019</t>
  </si>
  <si>
    <t>** Non - Traded / Thinly Traded Scrips</t>
  </si>
  <si>
    <t>Margin on Derivatives</t>
  </si>
  <si>
    <t>CRISIL A1+</t>
  </si>
  <si>
    <t>INE115A14BV5</t>
  </si>
  <si>
    <t>Commercial Paper</t>
  </si>
  <si>
    <t>CRISIL AA</t>
  </si>
  <si>
    <t>INE205A07030</t>
  </si>
  <si>
    <t>CRISIL AAA</t>
  </si>
  <si>
    <t>INE020B08BQ7</t>
  </si>
  <si>
    <t>ICRA AA</t>
  </si>
  <si>
    <t>INE523H07866</t>
  </si>
  <si>
    <t>INE134E08IW3</t>
  </si>
  <si>
    <t>INE906B07FE6</t>
  </si>
  <si>
    <t>INE134E08HV7</t>
  </si>
  <si>
    <t>CARE AA(SO)</t>
  </si>
  <si>
    <t>INE295J08014</t>
  </si>
  <si>
    <t>Debt Instruments</t>
  </si>
  <si>
    <t xml:space="preserve">(b) Real Eastate Investment Trusts (REITs) </t>
  </si>
  <si>
    <t xml:space="preserve"> </t>
  </si>
  <si>
    <t>Aurobindo Pharma Ltd.</t>
  </si>
  <si>
    <t>INE406A01037</t>
  </si>
  <si>
    <t>Bank of Baroda</t>
  </si>
  <si>
    <t>INE028A01039</t>
  </si>
  <si>
    <t>% to Net Assets Derivative</t>
  </si>
  <si>
    <t>Industry Classification / Rating</t>
  </si>
  <si>
    <r>
      <t>Franklin India Equity Savings Fund As of Date -  3</t>
    </r>
    <r>
      <rPr>
        <b/>
        <sz val="8"/>
        <color theme="1"/>
        <rFont val="Arial"/>
        <family val="2"/>
      </rPr>
      <t>1Jul2019</t>
    </r>
  </si>
  <si>
    <t>* Less Than 0.01 %</t>
  </si>
  <si>
    <t>CRISIL AA+</t>
  </si>
  <si>
    <t>INE321N07244</t>
  </si>
  <si>
    <t>CARE AA-</t>
  </si>
  <si>
    <t>INE896L07660</t>
  </si>
  <si>
    <t>(b) Privately Placed / Unlisted</t>
  </si>
  <si>
    <t>CRISIL AA-</t>
  </si>
  <si>
    <t>INE434A08067</t>
  </si>
  <si>
    <t>INE020B08BS3</t>
  </si>
  <si>
    <t>CARE AAA</t>
  </si>
  <si>
    <t>INE020B08BP9</t>
  </si>
  <si>
    <t>INE134E08IN2</t>
  </si>
  <si>
    <t>INE01XX07026</t>
  </si>
  <si>
    <t>INE134E08KC1</t>
  </si>
  <si>
    <t>INE434A09149</t>
  </si>
  <si>
    <t>INE053F07AC3</t>
  </si>
  <si>
    <t>ICRA AA-</t>
  </si>
  <si>
    <t>INE265J07282</t>
  </si>
  <si>
    <t>INE020B08740</t>
  </si>
  <si>
    <t>INE062A08124</t>
  </si>
  <si>
    <t>INE896L07561</t>
  </si>
  <si>
    <t>ICRA AA+</t>
  </si>
  <si>
    <t>INE514E08FL5</t>
  </si>
  <si>
    <t>IND AA-</t>
  </si>
  <si>
    <t>INE146O08035</t>
  </si>
  <si>
    <t xml:space="preserve">(c) Real Eastate Investment Trusts (REITs) </t>
  </si>
  <si>
    <t>Franklin India Equity Hybrid Fund As of -31Jul2019</t>
  </si>
  <si>
    <t>CARE A-</t>
  </si>
  <si>
    <t>INE528G09061</t>
  </si>
  <si>
    <t>CARE AA+</t>
  </si>
  <si>
    <t>INE038A07266</t>
  </si>
  <si>
    <t>BWR AA</t>
  </si>
  <si>
    <t>INE081A08207</t>
  </si>
  <si>
    <t>INE245A08067</t>
  </si>
  <si>
    <t>INE134E08JY7</t>
  </si>
  <si>
    <t>INE657N07415</t>
  </si>
  <si>
    <t>Franklin India Debt Hybrid Fund As of -31Jul2019</t>
  </si>
  <si>
    <t>c) Dividends declared during the Half - year ended 31-Jul-2019</t>
  </si>
  <si>
    <t>Franklin India Pension Plan As of -31Jul2019</t>
  </si>
  <si>
    <t>(In Year)</t>
  </si>
  <si>
    <t>ICRA A+</t>
  </si>
  <si>
    <t>INE918T07046</t>
  </si>
  <si>
    <t>CARE A+</t>
  </si>
  <si>
    <t>INE003S07189</t>
  </si>
  <si>
    <t>ICRA A+(SO)</t>
  </si>
  <si>
    <t>INE125X07016</t>
  </si>
  <si>
    <t>CARE A+(SO)</t>
  </si>
  <si>
    <t>INE139S07017</t>
  </si>
  <si>
    <t>IND A</t>
  </si>
  <si>
    <t>INE01EA07016</t>
  </si>
  <si>
    <t>INE659X07014</t>
  </si>
  <si>
    <t>INE03VJ07017</t>
  </si>
  <si>
    <t>INE209W07028</t>
  </si>
  <si>
    <t>ICRA A-</t>
  </si>
  <si>
    <t>INE00MX08011</t>
  </si>
  <si>
    <t>ICRA A(SO)</t>
  </si>
  <si>
    <t>INE598K07011</t>
  </si>
  <si>
    <t>BWR D</t>
  </si>
  <si>
    <t>INE333T07063</t>
  </si>
  <si>
    <t>INE598K07029</t>
  </si>
  <si>
    <t>ICRA BBB+</t>
  </si>
  <si>
    <t>INE720G08074</t>
  </si>
  <si>
    <t>INE575P08016</t>
  </si>
  <si>
    <t>BWR A+ (SO)</t>
  </si>
  <si>
    <t>INE080T07078</t>
  </si>
  <si>
    <t>CRISIL A+</t>
  </si>
  <si>
    <t>INE713G08046</t>
  </si>
  <si>
    <t>ICRA A-(SO)</t>
  </si>
  <si>
    <t>INE082T07033</t>
  </si>
  <si>
    <t>INE946S07148</t>
  </si>
  <si>
    <t>INE964Q07012</t>
  </si>
  <si>
    <t>INE660N07062</t>
  </si>
  <si>
    <t>INE003S07098</t>
  </si>
  <si>
    <t>BWR AA- (SO)</t>
  </si>
  <si>
    <t>INE00U207051</t>
  </si>
  <si>
    <t>CARE A(SO)</t>
  </si>
  <si>
    <t>INE764L07181</t>
  </si>
  <si>
    <t>INE971Z07059</t>
  </si>
  <si>
    <t>INE090A08UB4</t>
  </si>
  <si>
    <t>CARE AA</t>
  </si>
  <si>
    <t>INE245A08034</t>
  </si>
  <si>
    <t>BWR A</t>
  </si>
  <si>
    <t>INE459T07058</t>
  </si>
  <si>
    <t>INE020B08BU9</t>
  </si>
  <si>
    <t>INE146O08118</t>
  </si>
  <si>
    <t>INE459T07025</t>
  </si>
  <si>
    <t>CRISIL A+(SO)</t>
  </si>
  <si>
    <t>INE540P07210</t>
  </si>
  <si>
    <t>INE516Y07105</t>
  </si>
  <si>
    <t>ICRA A</t>
  </si>
  <si>
    <t>INE852O07063</t>
  </si>
  <si>
    <t>INE146O08092</t>
  </si>
  <si>
    <t>INE540P07293</t>
  </si>
  <si>
    <t>INE540P07343</t>
  </si>
  <si>
    <t>INE459T07041</t>
  </si>
  <si>
    <t>INE607M08048</t>
  </si>
  <si>
    <t>INE852O07089</t>
  </si>
  <si>
    <t>INE271C07137</t>
  </si>
  <si>
    <t>INE110L08037</t>
  </si>
  <si>
    <t>INE922K07039</t>
  </si>
  <si>
    <t>INE540P07301</t>
  </si>
  <si>
    <t>INE128S07408</t>
  </si>
  <si>
    <t>IND A+</t>
  </si>
  <si>
    <t>INE615S07065</t>
  </si>
  <si>
    <t>INE219X07033</t>
  </si>
  <si>
    <t>INE271C07178</t>
  </si>
  <si>
    <t>INE245A08042</t>
  </si>
  <si>
    <t>INE721A08DC8</t>
  </si>
  <si>
    <t>INE540P07350</t>
  </si>
  <si>
    <t>INE434A08083</t>
  </si>
  <si>
    <t>INE146O08134</t>
  </si>
  <si>
    <t>INE503A08044</t>
  </si>
  <si>
    <t>INE01E708057</t>
  </si>
  <si>
    <t>INE721A08DF1</t>
  </si>
  <si>
    <t>INE669E08318</t>
  </si>
  <si>
    <t>INE295J08022</t>
  </si>
  <si>
    <t>INE134E08JX9</t>
  </si>
  <si>
    <t>INE641O08035</t>
  </si>
  <si>
    <t>Rating</t>
  </si>
  <si>
    <r>
      <t>Franklin India Income Opportunities Fund As of -31</t>
    </r>
    <r>
      <rPr>
        <b/>
        <sz val="8"/>
        <color theme="1"/>
        <rFont val="Arial"/>
        <family val="2"/>
      </rPr>
      <t>Jul2019</t>
    </r>
  </si>
  <si>
    <t>INE003S07171</t>
  </si>
  <si>
    <t>INE918T07038</t>
  </si>
  <si>
    <t>INE582L07104</t>
  </si>
  <si>
    <t>INE081T08108</t>
  </si>
  <si>
    <t>INE003S07122</t>
  </si>
  <si>
    <t>INE922K07013</t>
  </si>
  <si>
    <t>INE840S07093</t>
  </si>
  <si>
    <t>INE946S07098</t>
  </si>
  <si>
    <t>INE080T07037</t>
  </si>
  <si>
    <t>BWR BBB(SO)</t>
  </si>
  <si>
    <t>INE498F07071</t>
  </si>
  <si>
    <t>INE285T07099</t>
  </si>
  <si>
    <t>INE971Z07109</t>
  </si>
  <si>
    <t>INE720G08082</t>
  </si>
  <si>
    <t>INE458O07036</t>
  </si>
  <si>
    <t>INE575P08024</t>
  </si>
  <si>
    <t>INE660N07047</t>
  </si>
  <si>
    <t>BWR A-(SO)</t>
  </si>
  <si>
    <t>INE507R07033</t>
  </si>
  <si>
    <t>INE311S08150</t>
  </si>
  <si>
    <t>INE567W07011</t>
  </si>
  <si>
    <t>INE311S08135</t>
  </si>
  <si>
    <t>INE316W07021</t>
  </si>
  <si>
    <t>INE003S07213</t>
  </si>
  <si>
    <t>INE949L08137</t>
  </si>
  <si>
    <t>INE155A08225</t>
  </si>
  <si>
    <t>INE850M08036</t>
  </si>
  <si>
    <t>INE146O08068</t>
  </si>
  <si>
    <t>INE081A08165</t>
  </si>
  <si>
    <t>INE658R08032</t>
  </si>
  <si>
    <t>INE01HV07015</t>
  </si>
  <si>
    <t>INE146O08159</t>
  </si>
  <si>
    <t>INE657N07183</t>
  </si>
  <si>
    <t>INE146O08100</t>
  </si>
  <si>
    <t>INE616U07036</t>
  </si>
  <si>
    <t>INE252T07057</t>
  </si>
  <si>
    <t>INE124N07200</t>
  </si>
  <si>
    <t>INE128S07374</t>
  </si>
  <si>
    <t>INE936D07075</t>
  </si>
  <si>
    <t>INE540P07228</t>
  </si>
  <si>
    <t>INE146O08084</t>
  </si>
  <si>
    <t>INE764L07173</t>
  </si>
  <si>
    <t>INE658R08024</t>
  </si>
  <si>
    <t>INE949L08152</t>
  </si>
  <si>
    <t>INE516Y07089</t>
  </si>
  <si>
    <t>INE657N07381</t>
  </si>
  <si>
    <t>INE124N07143</t>
  </si>
  <si>
    <t>INE128S07390</t>
  </si>
  <si>
    <t>INE528G08352</t>
  </si>
  <si>
    <t>INE01E708040</t>
  </si>
  <si>
    <t>INE657N07605</t>
  </si>
  <si>
    <t>INE140A07435</t>
  </si>
  <si>
    <r>
      <t>Franklin India Dynamic Accrual Fund As of -31Jul20</t>
    </r>
    <r>
      <rPr>
        <b/>
        <sz val="8"/>
        <color theme="1"/>
        <rFont val="Arial"/>
        <family val="2"/>
      </rPr>
      <t>19</t>
    </r>
  </si>
  <si>
    <t>INE971Z07091</t>
  </si>
  <si>
    <t>INE311S08168</t>
  </si>
  <si>
    <t>INE840S07085</t>
  </si>
  <si>
    <t>INE333T07055</t>
  </si>
  <si>
    <t>INE946S07080</t>
  </si>
  <si>
    <t>INE498F07063</t>
  </si>
  <si>
    <t>INE428K07011</t>
  </si>
  <si>
    <t>INE285T07081</t>
  </si>
  <si>
    <t>INE946S07130</t>
  </si>
  <si>
    <t>INE660N07054</t>
  </si>
  <si>
    <t>INE053F07AK6</t>
  </si>
  <si>
    <t>INE090A08TW2</t>
  </si>
  <si>
    <t>INE001A07OO9</t>
  </si>
  <si>
    <t>INE027E07709</t>
  </si>
  <si>
    <t>INE134E08JZ4</t>
  </si>
  <si>
    <t>INE667A08070</t>
  </si>
  <si>
    <t>INE155A08068</t>
  </si>
  <si>
    <t>INE540P07327</t>
  </si>
  <si>
    <t>INE540P07319</t>
  </si>
  <si>
    <t>INE852O07055</t>
  </si>
  <si>
    <t>CARE A</t>
  </si>
  <si>
    <t>INE128S07333</t>
  </si>
  <si>
    <t>INE155A08365</t>
  </si>
  <si>
    <t>INE124N07168</t>
  </si>
  <si>
    <t>INE540P07335</t>
  </si>
  <si>
    <t>INE540P07202</t>
  </si>
  <si>
    <t>INE945W07035</t>
  </si>
  <si>
    <t>INE852O07071</t>
  </si>
  <si>
    <t>INE852O07048</t>
  </si>
  <si>
    <t>INE128S07325</t>
  </si>
  <si>
    <t>INE128S07341</t>
  </si>
  <si>
    <t>INE016P07138</t>
  </si>
  <si>
    <t>INE016P07120</t>
  </si>
  <si>
    <t>INE01E708032</t>
  </si>
  <si>
    <t>INE140A07401</t>
  </si>
  <si>
    <t>Franklin India Credit Risk Fund As of -31Jul2019</t>
  </si>
  <si>
    <t>Direct Annual Dividend Plan</t>
  </si>
  <si>
    <t>Direct Half Yearly Dividend Plan</t>
  </si>
  <si>
    <t>Annual Dividend Plan</t>
  </si>
  <si>
    <t>Half Yearly Dividend Plan</t>
  </si>
  <si>
    <t>INE801J08019</t>
  </si>
  <si>
    <t>CARE BBB(SO)</t>
  </si>
  <si>
    <t>INE445K07106</t>
  </si>
  <si>
    <t>INE020B08AO4</t>
  </si>
  <si>
    <t>INE556F08JD2</t>
  </si>
  <si>
    <t>INE752E07MN5</t>
  </si>
  <si>
    <t>INE053F07942</t>
  </si>
  <si>
    <t>INE029A07075</t>
  </si>
  <si>
    <t>ICRA AAA</t>
  </si>
  <si>
    <t>INE860H07GE0</t>
  </si>
  <si>
    <t>INE053F09HR2</t>
  </si>
  <si>
    <t>INE296A07ON7</t>
  </si>
  <si>
    <t>INE481G08057</t>
  </si>
  <si>
    <t>INE848E07815</t>
  </si>
  <si>
    <t>INE020B08AS5</t>
  </si>
  <si>
    <t>CRISIL AAA(SO)</t>
  </si>
  <si>
    <t>INE861G08035</t>
  </si>
  <si>
    <t>INE296A07QQ5</t>
  </si>
  <si>
    <t>INE756I07CD9</t>
  </si>
  <si>
    <t>INE752E07MZ9</t>
  </si>
  <si>
    <t>INE261F08AI7</t>
  </si>
  <si>
    <t>INE134E08IH4</t>
  </si>
  <si>
    <t>INE115A07NW2</t>
  </si>
  <si>
    <t>INE916DA7MX1</t>
  </si>
  <si>
    <t>INE535H07AG6</t>
  </si>
  <si>
    <t>INE031A08731</t>
  </si>
  <si>
    <t>INE134E08JW1</t>
  </si>
  <si>
    <t>INE134E08FQ1</t>
  </si>
  <si>
    <t>INE295J08055</t>
  </si>
  <si>
    <t>INE134E08GT3</t>
  </si>
  <si>
    <t>INE261F08AL1</t>
  </si>
  <si>
    <t>INE733E07JO9</t>
  </si>
  <si>
    <t>INE941D07125</t>
  </si>
  <si>
    <t>INE115A07NM3</t>
  </si>
  <si>
    <t>INE110L07096</t>
  </si>
  <si>
    <t>INE752E07MQ8</t>
  </si>
  <si>
    <t>INE163N08073</t>
  </si>
  <si>
    <t>INE438A07144</t>
  </si>
  <si>
    <t>CARE AAA(SO)</t>
  </si>
  <si>
    <t>INE163N08065</t>
  </si>
  <si>
    <t>INE062A08140</t>
  </si>
  <si>
    <t>INE941D08065</t>
  </si>
  <si>
    <t>INE047A08141</t>
  </si>
  <si>
    <r>
      <t>Franklin India Corporate Debt Fund As of -31Jul201</t>
    </r>
    <r>
      <rPr>
        <b/>
        <sz val="8"/>
        <color theme="1"/>
        <rFont val="Arial"/>
        <family val="2"/>
      </rPr>
      <t>9</t>
    </r>
  </si>
  <si>
    <t>Direct Dividend Option</t>
  </si>
  <si>
    <t>Dividend Option</t>
  </si>
  <si>
    <t>INE556F16531</t>
  </si>
  <si>
    <t>Certificate of Deposit</t>
  </si>
  <si>
    <t>Money Market Instruments</t>
  </si>
  <si>
    <t>INE752E07NN3</t>
  </si>
  <si>
    <t>INE020B08BM6</t>
  </si>
  <si>
    <t>INE752E07LT4</t>
  </si>
  <si>
    <t>INE556F08JI1</t>
  </si>
  <si>
    <t>INE705A08094</t>
  </si>
  <si>
    <t>INE028A08083</t>
  </si>
  <si>
    <t>INE053F07934</t>
  </si>
  <si>
    <t>INE261F08BI5</t>
  </si>
  <si>
    <t>INE976G08064</t>
  </si>
  <si>
    <t>INE029A08040</t>
  </si>
  <si>
    <r>
      <t>Franklin India Banking &amp; PSU Debt Fund As of -31Ju</t>
    </r>
    <r>
      <rPr>
        <b/>
        <sz val="8"/>
        <color theme="1"/>
        <rFont val="Arial"/>
        <family val="2"/>
      </rPr>
      <t>l2019</t>
    </r>
  </si>
  <si>
    <t>Institutional Plan Daily Dividend Reinvestment Option</t>
  </si>
  <si>
    <t>Retail Plan Weekly Dividend Option</t>
  </si>
  <si>
    <t>Retail Plan Daily Dividend Option</t>
  </si>
  <si>
    <t>Direct Super Institutional Plan Weekly Dividend Option</t>
  </si>
  <si>
    <t>Direct Super Institutional Plan Daily Dividend Reinvestment Option</t>
  </si>
  <si>
    <t>Super Institutional Plan Weekly Dividend Option</t>
  </si>
  <si>
    <t>Super Institutional Plan Daily Dividend Reinvestment Option</t>
  </si>
  <si>
    <t>Institutional Plan Daily Dividend Option</t>
  </si>
  <si>
    <t>Institutional Plan Growth Option</t>
  </si>
  <si>
    <t>Retail Plan Growth Option</t>
  </si>
  <si>
    <t>Direct Super Institutional Plan Daily Dividend Option</t>
  </si>
  <si>
    <t>Direct Super Institutional Plan Growth Option</t>
  </si>
  <si>
    <t>Super Institutional Plan Daily Dividend Option</t>
  </si>
  <si>
    <t>Super Institutional Plan Growth Option</t>
  </si>
  <si>
    <t>ICRA A1+</t>
  </si>
  <si>
    <t>INE001A14UV7</t>
  </si>
  <si>
    <t>INE001A14UJ2</t>
  </si>
  <si>
    <t>INE371K14894</t>
  </si>
  <si>
    <t>INE001A14UH6</t>
  </si>
  <si>
    <t>INE371K14928</t>
  </si>
  <si>
    <t>INE371K14910</t>
  </si>
  <si>
    <t>INE371K14902</t>
  </si>
  <si>
    <t>CARE A1+</t>
  </si>
  <si>
    <t>INE623B14AL9</t>
  </si>
  <si>
    <t>INE752P14AF8</t>
  </si>
  <si>
    <t>INE476M14BW4</t>
  </si>
  <si>
    <t>INE691I14IZ4</t>
  </si>
  <si>
    <t>INE476M14CI1</t>
  </si>
  <si>
    <t>INE020B14581</t>
  </si>
  <si>
    <t>INE020B14623</t>
  </si>
  <si>
    <t>INE238A160K7</t>
  </si>
  <si>
    <t>INE480Q16283</t>
  </si>
  <si>
    <t>INE285T07073</t>
  </si>
  <si>
    <t>INE960S07081</t>
  </si>
  <si>
    <t>INE960S07073</t>
  </si>
  <si>
    <t>INE960S07065</t>
  </si>
  <si>
    <t>INE003S07155</t>
  </si>
  <si>
    <t>INE157D08043</t>
  </si>
  <si>
    <t>INE311S08143</t>
  </si>
  <si>
    <t>INE139S07025</t>
  </si>
  <si>
    <t>INE587B08037</t>
  </si>
  <si>
    <t>INE157D08050</t>
  </si>
  <si>
    <t>INE157D08068</t>
  </si>
  <si>
    <t>INE157D08035</t>
  </si>
  <si>
    <t>INE582L07138</t>
  </si>
  <si>
    <t>INE423Y07013</t>
  </si>
  <si>
    <t>INE918T07020</t>
  </si>
  <si>
    <t>INE371K08078</t>
  </si>
  <si>
    <t>INE081T07027</t>
  </si>
  <si>
    <t>INE567W07029</t>
  </si>
  <si>
    <t>INE157D08019</t>
  </si>
  <si>
    <t>INE316W07013</t>
  </si>
  <si>
    <t>INE157D08027</t>
  </si>
  <si>
    <t>INE357U08019</t>
  </si>
  <si>
    <t>INE529N07010</t>
  </si>
  <si>
    <t>INE081T08090</t>
  </si>
  <si>
    <t>INE680R07012</t>
  </si>
  <si>
    <t>INE392R08020</t>
  </si>
  <si>
    <t>INE752E07MI5</t>
  </si>
  <si>
    <t>INE756I07CA5</t>
  </si>
  <si>
    <t>INE134E08GN6</t>
  </si>
  <si>
    <t>INE514E08FK7</t>
  </si>
  <si>
    <t>INE016P07112</t>
  </si>
  <si>
    <t>INE721A07MW9</t>
  </si>
  <si>
    <t>INE804I08601</t>
  </si>
  <si>
    <t>INE721A07NV9</t>
  </si>
  <si>
    <t>INE091A07174</t>
  </si>
  <si>
    <t>INE572E09601</t>
  </si>
  <si>
    <t>INE657N07399</t>
  </si>
  <si>
    <t>INE115A07FS6</t>
  </si>
  <si>
    <t>IND AA+</t>
  </si>
  <si>
    <t>INE721A07NR7</t>
  </si>
  <si>
    <t>INE205A07105</t>
  </si>
  <si>
    <t>INE020B07EY7</t>
  </si>
  <si>
    <t>INE134E08GQ9</t>
  </si>
  <si>
    <t>INE124N07150</t>
  </si>
  <si>
    <t>INE155A08340</t>
  </si>
  <si>
    <t>INE658R08131</t>
  </si>
  <si>
    <t>INE001A07RA1</t>
  </si>
  <si>
    <t>INE459T07074</t>
  </si>
  <si>
    <t>INE459T07066</t>
  </si>
  <si>
    <t>INE146O08050</t>
  </si>
  <si>
    <t>INE945W07027</t>
  </si>
  <si>
    <t>INE155A08357</t>
  </si>
  <si>
    <t>CRISIL AA(SO)</t>
  </si>
  <si>
    <t>INE694L07123</t>
  </si>
  <si>
    <t>INE155A08217</t>
  </si>
  <si>
    <t>INE265J07183</t>
  </si>
  <si>
    <t>INE115A07FT4</t>
  </si>
  <si>
    <t>INE850M08028</t>
  </si>
  <si>
    <t>INE850M08044</t>
  </si>
  <si>
    <t>INE850M08051</t>
  </si>
  <si>
    <t>INE850M08069</t>
  </si>
  <si>
    <t>INE572E09395</t>
  </si>
  <si>
    <t>INE850M08077</t>
  </si>
  <si>
    <t>INE271C07160</t>
  </si>
  <si>
    <t>INE020B08864</t>
  </si>
  <si>
    <t>INE694L07107</t>
  </si>
  <si>
    <t>INE905O07028</t>
  </si>
  <si>
    <t>INE205A07048</t>
  </si>
  <si>
    <t>INE850M07111</t>
  </si>
  <si>
    <t>INE548V07021</t>
  </si>
  <si>
    <t>INE623B07115</t>
  </si>
  <si>
    <t>INE623B07107</t>
  </si>
  <si>
    <t>INE146O08043</t>
  </si>
  <si>
    <t>INE945W07019</t>
  </si>
  <si>
    <t>INE245A08091</t>
  </si>
  <si>
    <t>INE134E08GS5</t>
  </si>
  <si>
    <t>INE721A07OI4</t>
  </si>
  <si>
    <t>INE658R07257</t>
  </si>
  <si>
    <t>INE155A08316</t>
  </si>
  <si>
    <t>INE548V07039</t>
  </si>
  <si>
    <t>INE252T07040</t>
  </si>
  <si>
    <t>INE540P07277</t>
  </si>
  <si>
    <t>INE271C07129</t>
  </si>
  <si>
    <t>INE658R08149</t>
  </si>
  <si>
    <t>INE540P07194</t>
  </si>
  <si>
    <t>INE371K08128</t>
  </si>
  <si>
    <t>INE115A07FQ0</t>
  </si>
  <si>
    <t>INE540P07285</t>
  </si>
  <si>
    <t>INE721A07MA5</t>
  </si>
  <si>
    <t>INE572E09536</t>
  </si>
  <si>
    <t>INE657N07597</t>
  </si>
  <si>
    <t>INE651J07739</t>
  </si>
  <si>
    <r>
      <t>Franklin India Ultra Short Bond Fund As of -31Jul2</t>
    </r>
    <r>
      <rPr>
        <b/>
        <sz val="8"/>
        <color theme="1"/>
        <rFont val="Arial"/>
        <family val="2"/>
      </rPr>
      <t>019</t>
    </r>
  </si>
  <si>
    <t>Direct Retail Plan Quarterly Dividend Option</t>
  </si>
  <si>
    <t>Direct Retail Plan Monthly Dividend Option</t>
  </si>
  <si>
    <t>Direct Retail Plan Weekly Dividend Option</t>
  </si>
  <si>
    <t>Retail Plan Quarterly Dividend Option</t>
  </si>
  <si>
    <t>Retail Plan Monthly Dividend Option</t>
  </si>
  <si>
    <t>Direct Retail Plan Growth Option</t>
  </si>
  <si>
    <t>INE895D08766</t>
  </si>
  <si>
    <t>INE895D08634</t>
  </si>
  <si>
    <t>INE333T07048</t>
  </si>
  <si>
    <t>INE946S07106</t>
  </si>
  <si>
    <t>INE321N07152</t>
  </si>
  <si>
    <t>INE080T07045</t>
  </si>
  <si>
    <t>INE971Z07067</t>
  </si>
  <si>
    <t>INE080T07052</t>
  </si>
  <si>
    <t>INE946S07114</t>
  </si>
  <si>
    <t>INE971Z07075</t>
  </si>
  <si>
    <t>INE080T07060</t>
  </si>
  <si>
    <t>INE971Z07083</t>
  </si>
  <si>
    <t>INE971Z07026</t>
  </si>
  <si>
    <t>INE082T07017</t>
  </si>
  <si>
    <t>INE946S07122</t>
  </si>
  <si>
    <t>INE971Z07034</t>
  </si>
  <si>
    <t>INE971Z07042</t>
  </si>
  <si>
    <t>INE316W07039</t>
  </si>
  <si>
    <t>INE082T07025</t>
  </si>
  <si>
    <t>INE209W07010</t>
  </si>
  <si>
    <t>CARE D</t>
  </si>
  <si>
    <t>INE202B07IM7</t>
  </si>
  <si>
    <t>INE001A07QF2</t>
  </si>
  <si>
    <t>IND AAA</t>
  </si>
  <si>
    <t>INE774D07RY7</t>
  </si>
  <si>
    <t>INE110L07070</t>
  </si>
  <si>
    <t>INE535H07AU7</t>
  </si>
  <si>
    <t>INE020B08823</t>
  </si>
  <si>
    <t>INE261F08477</t>
  </si>
  <si>
    <t>INE128S07317</t>
  </si>
  <si>
    <t>INE694L07099</t>
  </si>
  <si>
    <t>INE146O08027</t>
  </si>
  <si>
    <t>INE503A08028</t>
  </si>
  <si>
    <t>INE020B08BG8</t>
  </si>
  <si>
    <t>INE265J07316</t>
  </si>
  <si>
    <t>INE657N07407</t>
  </si>
  <si>
    <t>INE608A08025</t>
  </si>
  <si>
    <t>INE459T07033</t>
  </si>
  <si>
    <t>INE459T07090</t>
  </si>
  <si>
    <t>INE459T07082</t>
  </si>
  <si>
    <t>INE128S07358</t>
  </si>
  <si>
    <t>INE016P07146</t>
  </si>
  <si>
    <t>INE852O07097</t>
  </si>
  <si>
    <t>INE01E708016</t>
  </si>
  <si>
    <t>INE01E708024</t>
  </si>
  <si>
    <r>
      <t>Franklin India Short Term Income Plan As of -31Jul</t>
    </r>
    <r>
      <rPr>
        <b/>
        <sz val="8"/>
        <color theme="1"/>
        <rFont val="Arial"/>
        <family val="2"/>
      </rPr>
      <t>2019</t>
    </r>
  </si>
  <si>
    <t>Institutional Plan Dividend Option</t>
  </si>
  <si>
    <t>Direct Retail Plan Daily Dividend Option</t>
  </si>
  <si>
    <t>INE691I14IR1</t>
  </si>
  <si>
    <t>INE523H14Q24</t>
  </si>
  <si>
    <t>INE975F14RH6</t>
  </si>
  <si>
    <t>INE523H14P25</t>
  </si>
  <si>
    <t>INE001A14VH4</t>
  </si>
  <si>
    <t>INE031A14382</t>
  </si>
  <si>
    <t>INE020B14631</t>
  </si>
  <si>
    <t>INE115A14BT9</t>
  </si>
  <si>
    <t>INE121A14QU3</t>
  </si>
  <si>
    <t>INE691I14IJ8</t>
  </si>
  <si>
    <t>INE027E14HK4</t>
  </si>
  <si>
    <t>INE477A14AC1</t>
  </si>
  <si>
    <t>INE027E14HI8</t>
  </si>
  <si>
    <t>INE667F14EX4</t>
  </si>
  <si>
    <t>INE020B14607</t>
  </si>
  <si>
    <t>INE535H14HW4</t>
  </si>
  <si>
    <t>INE001A14VO0</t>
  </si>
  <si>
    <t>INE742O14BU9</t>
  </si>
  <si>
    <t>INE134E14AL1</t>
  </si>
  <si>
    <t>IND A1+</t>
  </si>
  <si>
    <t>INE261F16371</t>
  </si>
  <si>
    <t>INE238A162K3</t>
  </si>
  <si>
    <t>INE261F16405</t>
  </si>
  <si>
    <t>INE238A162L1</t>
  </si>
  <si>
    <t>INE028A16BO0</t>
  </si>
  <si>
    <t>INE562A16JS2</t>
  </si>
  <si>
    <t>INE556F16630</t>
  </si>
  <si>
    <t>INE090A162T1</t>
  </si>
  <si>
    <t>INE095A16A17</t>
  </si>
  <si>
    <t>INE480Q16416</t>
  </si>
  <si>
    <t>INE261F16389</t>
  </si>
  <si>
    <t>INE028A16BF8</t>
  </si>
  <si>
    <t>INE040A16CE4</t>
  </si>
  <si>
    <t>INE090A162V7</t>
  </si>
  <si>
    <t>Franklin India Savings Fund As of -31Jul2019</t>
  </si>
  <si>
    <t>****Allotment date for the scheme was May 8, 2019</t>
  </si>
  <si>
    <t>Regular Plan Weekly Dividend Option</t>
  </si>
  <si>
    <t>Regular Plan Daily Divdend Reinvestment Option</t>
  </si>
  <si>
    <t>Direct Super Institutional Plan Daily Divdend Reinvestment Option</t>
  </si>
  <si>
    <t>Regular Plan Daily Dividend Reinvestment Option</t>
  </si>
  <si>
    <t>Regular Plan Growth Option</t>
  </si>
  <si>
    <t>Direct Super Institutional Weekly Dividend Option</t>
  </si>
  <si>
    <t>Direct Daily Dividend Reinvestment Option</t>
  </si>
  <si>
    <t>Direct Super Institutional Growth Option</t>
  </si>
  <si>
    <t>Franklin India overnight Fund As of -31Jul2019</t>
  </si>
  <si>
    <t>Institutional Plan Weekly Dividend Option</t>
  </si>
  <si>
    <t>Unclaimed Redemption Plan - Growth</t>
  </si>
  <si>
    <t>Unclaimed Dividend Plan - Growth</t>
  </si>
  <si>
    <t>Direct Super Institutional Daily Dividend Reinvestment Option</t>
  </si>
  <si>
    <t>INE012I14KZ9</t>
  </si>
  <si>
    <t>INE901W14AN1</t>
  </si>
  <si>
    <t>INE975F14QB1</t>
  </si>
  <si>
    <t>INE756I14CD5</t>
  </si>
  <si>
    <t>INE901W14AP6</t>
  </si>
  <si>
    <t>CARE A1+(SO)</t>
  </si>
  <si>
    <t>INE962S14703</t>
  </si>
  <si>
    <t>INE535H14HV6</t>
  </si>
  <si>
    <t>INE012I14KU0</t>
  </si>
  <si>
    <t>INE674K14644</t>
  </si>
  <si>
    <t>INE018E14MY4</t>
  </si>
  <si>
    <t>INE012I14KW6</t>
  </si>
  <si>
    <t>INE493F14318</t>
  </si>
  <si>
    <t>INE110L14KN1</t>
  </si>
  <si>
    <t>IND A1+ (SO)</t>
  </si>
  <si>
    <t>INE791T14159</t>
  </si>
  <si>
    <t>INE674K14651</t>
  </si>
  <si>
    <t>INE790I14AW8</t>
  </si>
  <si>
    <t>INE742F14JN5</t>
  </si>
  <si>
    <t>INE742F14IL1</t>
  </si>
  <si>
    <t>INE511C14UK4</t>
  </si>
  <si>
    <t>INE371K14860</t>
  </si>
  <si>
    <t>INE582L14ET1</t>
  </si>
  <si>
    <t>INE501G14AV5</t>
  </si>
  <si>
    <t>INE085A14FG2</t>
  </si>
  <si>
    <t>INE849D14FY8</t>
  </si>
  <si>
    <t>INE501G14AT9</t>
  </si>
  <si>
    <t>INE511C14UI8</t>
  </si>
  <si>
    <t>INE511C14UH0</t>
  </si>
  <si>
    <t>INE082G14408</t>
  </si>
  <si>
    <t>INE338I14AV8</t>
  </si>
  <si>
    <t>INE338I14AW6</t>
  </si>
  <si>
    <t>INE511C14UJ6</t>
  </si>
  <si>
    <t>INE501G14AU7</t>
  </si>
  <si>
    <t>INE028E14FN0</t>
  </si>
  <si>
    <t>INE742F14JO3</t>
  </si>
  <si>
    <t>INE725H14822</t>
  </si>
  <si>
    <t>INE371K14829</t>
  </si>
  <si>
    <t>INE110L14KL5</t>
  </si>
  <si>
    <t>INE742O14BP9</t>
  </si>
  <si>
    <t>INE085A14FI8</t>
  </si>
  <si>
    <t>INE205A14RO5</t>
  </si>
  <si>
    <t>INE07Z414010</t>
  </si>
  <si>
    <t>INE205A14RZ1</t>
  </si>
  <si>
    <t>INE535H14HU8</t>
  </si>
  <si>
    <t>INE110L14KM3</t>
  </si>
  <si>
    <t>INE242A14MP6</t>
  </si>
  <si>
    <t>INE498L14901</t>
  </si>
  <si>
    <t>INE742O14BN4</t>
  </si>
  <si>
    <t>INE242A14MN1</t>
  </si>
  <si>
    <t>INE238A161N9</t>
  </si>
  <si>
    <t>INE028A16BQ5</t>
  </si>
  <si>
    <t>INE238A164E2</t>
  </si>
  <si>
    <t>INE238A168M6</t>
  </si>
  <si>
    <t>INE028A16BL6</t>
  </si>
  <si>
    <t>INE090A169U4</t>
  </si>
  <si>
    <t>INE160A16MC3</t>
  </si>
  <si>
    <t>INE238A165O8</t>
  </si>
  <si>
    <t>INE523E07DS8</t>
  </si>
  <si>
    <t>INE523E07DU4</t>
  </si>
  <si>
    <t>INE851M07135</t>
  </si>
  <si>
    <t>INE691I07DO3</t>
  </si>
  <si>
    <t>INE001A07MZ9</t>
  </si>
  <si>
    <t>INE804I07C44</t>
  </si>
  <si>
    <t>INE651J07481</t>
  </si>
  <si>
    <t>INE155A08308</t>
  </si>
  <si>
    <t>INE721A07HQ1</t>
  </si>
  <si>
    <t>INE001A07MY2</t>
  </si>
  <si>
    <t>Franklin India Liquid Fund As of -31Jul2019</t>
  </si>
  <si>
    <t>INE001A14UX3</t>
  </si>
  <si>
    <t>INE371K14886</t>
  </si>
  <si>
    <t>INE001A14UT1</t>
  </si>
  <si>
    <t>INE261F16314</t>
  </si>
  <si>
    <t>INE238A165G4</t>
  </si>
  <si>
    <t>INE095A16ZK6</t>
  </si>
  <si>
    <t>INE918T07053</t>
  </si>
  <si>
    <t>INE476S08045</t>
  </si>
  <si>
    <t>INE002A08526</t>
  </si>
  <si>
    <t>INE146O07052</t>
  </si>
  <si>
    <t>INE721A08DE4</t>
  </si>
  <si>
    <t>INE516Y07097</t>
  </si>
  <si>
    <t>INE265J07324</t>
  </si>
  <si>
    <t>INE516Y07071</t>
  </si>
  <si>
    <t>Franklin India Low Duration Fund As of -31Jul2019</t>
  </si>
  <si>
    <t>Direct Quarterly Dividend Option</t>
  </si>
  <si>
    <t>Quarterly Dividend Option</t>
  </si>
  <si>
    <t>Direct Growth Option</t>
  </si>
  <si>
    <t>Growth Option</t>
  </si>
  <si>
    <t>SOVEREIGN</t>
  </si>
  <si>
    <t>7.32% GOI 2024 (28-Jan-2024)</t>
  </si>
  <si>
    <t>IN0020180488</t>
  </si>
  <si>
    <t>7.26% GOI 2029 (14-Jan-2029)</t>
  </si>
  <si>
    <t>IN0020180454</t>
  </si>
  <si>
    <t>Government Securities</t>
  </si>
  <si>
    <r>
      <t>Franklin India Government Securities Fund As of -3</t>
    </r>
    <r>
      <rPr>
        <b/>
        <sz val="8"/>
        <color theme="1"/>
        <rFont val="Arial"/>
        <family val="2"/>
      </rPr>
      <t>1Jul2019</t>
    </r>
  </si>
  <si>
    <t>GOI FRB 2020 (21-Dec-2020)</t>
  </si>
  <si>
    <t>IN0020092071</t>
  </si>
  <si>
    <t>Franklin India Floating Rate Fund As of -31Jul2019</t>
  </si>
  <si>
    <t>****Allotment date for the scheme was March 19, 2019</t>
  </si>
  <si>
    <t>(In years)</t>
  </si>
  <si>
    <t>INE535H07AT9</t>
  </si>
  <si>
    <t>INE031A08657</t>
  </si>
  <si>
    <t>INE774D07SQ1</t>
  </si>
  <si>
    <t>INE377Y07052</t>
  </si>
  <si>
    <t>INE891K07416</t>
  </si>
  <si>
    <r>
      <t>Franklin India Fixed Maturity Plans-Series 6 – Pla</t>
    </r>
    <r>
      <rPr>
        <b/>
        <sz val="8"/>
        <color theme="1"/>
        <rFont val="Arial"/>
        <family val="2"/>
      </rPr>
      <t>n C As of -31Jul2019</t>
    </r>
  </si>
  <si>
    <t>****Allotment date for the scheme was February 13, 2019</t>
  </si>
  <si>
    <t>INE831R07235</t>
  </si>
  <si>
    <t>INE020B08BF0</t>
  </si>
  <si>
    <r>
      <t>Franklin India Fixed Maturity Plans-Series 5 – Pla</t>
    </r>
    <r>
      <rPr>
        <b/>
        <sz val="8"/>
        <color theme="1"/>
        <rFont val="Arial"/>
        <family val="2"/>
      </rPr>
      <t>n F As of -31Jul2019</t>
    </r>
  </si>
  <si>
    <t>INE306N07KG9</t>
  </si>
  <si>
    <t>INE906B07FG1</t>
  </si>
  <si>
    <t>INE756I07CI8</t>
  </si>
  <si>
    <t>INE377Y07086</t>
  </si>
  <si>
    <r>
      <t>Franklin India Fixed Maturity Plans-Series 5 – Pla</t>
    </r>
    <r>
      <rPr>
        <b/>
        <sz val="8"/>
        <color theme="1"/>
        <rFont val="Arial"/>
        <family val="2"/>
      </rPr>
      <t>n E As of -31Jul2019</t>
    </r>
  </si>
  <si>
    <t>INE774D07SS7</t>
  </si>
  <si>
    <r>
      <t>Franklin India Fixed Maturity Plans – Series 5 – P</t>
    </r>
    <r>
      <rPr>
        <b/>
        <sz val="8"/>
        <color theme="1"/>
        <rFont val="Arial"/>
        <family val="2"/>
      </rPr>
      <t>lan D As of -31Jul2019</t>
    </r>
  </si>
  <si>
    <t>INE476M07BR8</t>
  </si>
  <si>
    <t>INE535H07AQ5</t>
  </si>
  <si>
    <r>
      <t>Franklin India Fixed Maturity Plans - Series 5 -Pl</t>
    </r>
    <r>
      <rPr>
        <b/>
        <sz val="8"/>
        <color theme="1"/>
        <rFont val="Arial"/>
        <family val="2"/>
      </rPr>
      <t>an C As of -31Jul2019</t>
    </r>
  </si>
  <si>
    <t>INE033L07GA4</t>
  </si>
  <si>
    <r>
      <t>Franklin India Fixed Maturity Plans – Series 5 - P</t>
    </r>
    <r>
      <rPr>
        <b/>
        <sz val="8"/>
        <color theme="1"/>
        <rFont val="Arial"/>
        <family val="2"/>
      </rPr>
      <t>lan B As of -31Jul2019</t>
    </r>
  </si>
  <si>
    <t>INE580B07463</t>
  </si>
  <si>
    <r>
      <t>Franklin India Fixed Maturity Plans – Series 5 – P</t>
    </r>
    <r>
      <rPr>
        <b/>
        <sz val="8"/>
        <color theme="1"/>
        <rFont val="Arial"/>
        <family val="2"/>
      </rPr>
      <t>lan A As of -31Jul2019</t>
    </r>
  </si>
  <si>
    <t>INE895D08790</t>
  </si>
  <si>
    <t>INE115A07LM7</t>
  </si>
  <si>
    <r>
      <t>Franklin India Fixed Maturity Plans – Series 4 – P</t>
    </r>
    <r>
      <rPr>
        <b/>
        <sz val="8"/>
        <color theme="1"/>
        <rFont val="Arial"/>
        <family val="2"/>
      </rPr>
      <t>lan F As of -31Jul2019</t>
    </r>
  </si>
  <si>
    <t>INE860H07FW4</t>
  </si>
  <si>
    <t>INE660A07PT8</t>
  </si>
  <si>
    <t>INE261F08AM9</t>
  </si>
  <si>
    <t>INE556F08JH3</t>
  </si>
  <si>
    <r>
      <t>Franklin India Fixed Maturity Plans-Series 4 – Pla</t>
    </r>
    <r>
      <rPr>
        <b/>
        <sz val="8"/>
        <color theme="1"/>
        <rFont val="Arial"/>
        <family val="2"/>
      </rPr>
      <t>n E As of -31Jul2019</t>
    </r>
  </si>
  <si>
    <t>Direct Growth</t>
  </si>
  <si>
    <t>Quarterly Dividend</t>
  </si>
  <si>
    <t>Dividend</t>
  </si>
  <si>
    <t>Growth</t>
  </si>
  <si>
    <t>INE377Y07045</t>
  </si>
  <si>
    <r>
      <t>Franklin India Fixed Maturity Plans – Series 4 – P</t>
    </r>
    <r>
      <rPr>
        <b/>
        <sz val="8"/>
        <color theme="1"/>
        <rFont val="Arial"/>
        <family val="2"/>
      </rPr>
      <t>lan D As of -31Jul2019</t>
    </r>
  </si>
  <si>
    <t>Direct Quarterly Dividend</t>
  </si>
  <si>
    <t>INE831R07201</t>
  </si>
  <si>
    <t>INE891K07440</t>
  </si>
  <si>
    <t>INE115A07MX2</t>
  </si>
  <si>
    <r>
      <t>Franklin India Fixed Maturity Plans – Series 4 – P</t>
    </r>
    <r>
      <rPr>
        <b/>
        <sz val="8"/>
        <color theme="1"/>
        <rFont val="Arial"/>
        <family val="2"/>
      </rPr>
      <t>lan C As of -31Jul2019</t>
    </r>
  </si>
  <si>
    <t>INE115A07MT0</t>
  </si>
  <si>
    <t>INE377Y07029</t>
  </si>
  <si>
    <t>INE071G08940</t>
  </si>
  <si>
    <t>INE660A07PN1</t>
  </si>
  <si>
    <t>INE134E08ID3</t>
  </si>
  <si>
    <t>INE027E07642</t>
  </si>
  <si>
    <t>INE535H07AK8</t>
  </si>
  <si>
    <t>INE134E08DN3</t>
  </si>
  <si>
    <t>INE020B07IW2</t>
  </si>
  <si>
    <r>
      <t>Franklin India Fixed Maturity Plans – Series 4 – P</t>
    </r>
    <r>
      <rPr>
        <b/>
        <sz val="8"/>
        <color theme="1"/>
        <rFont val="Arial"/>
        <family val="2"/>
      </rPr>
      <t>lan B As of -31Jul2019</t>
    </r>
  </si>
  <si>
    <t>INE020B08AW7</t>
  </si>
  <si>
    <t>INE476M07BM9</t>
  </si>
  <si>
    <t>INE556F08JF7</t>
  </si>
  <si>
    <t>INE891K07390</t>
  </si>
  <si>
    <t>INE110L07112</t>
  </si>
  <si>
    <r>
      <t>Franklin India Fixed Maturity Plans – Series 4 – P</t>
    </r>
    <r>
      <rPr>
        <b/>
        <sz val="8"/>
        <color theme="1"/>
        <rFont val="Arial"/>
        <family val="2"/>
      </rPr>
      <t>lan A As of -31Jul2019</t>
    </r>
  </si>
  <si>
    <t>INE244N07065</t>
  </si>
  <si>
    <t>INE115A07IO9</t>
  </si>
  <si>
    <t>INE756I07BW1</t>
  </si>
  <si>
    <t>INE134E08DM5</t>
  </si>
  <si>
    <t>INE883A07174</t>
  </si>
  <si>
    <t>INE774D07SB3</t>
  </si>
  <si>
    <t>INE031A08566</t>
  </si>
  <si>
    <r>
      <t>Franklin India Fixed Maturity Plans - Series 3 - P</t>
    </r>
    <r>
      <rPr>
        <b/>
        <sz val="8"/>
        <color theme="1"/>
        <rFont val="Arial"/>
        <family val="2"/>
      </rPr>
      <t>lan F As of -31Jul2019</t>
    </r>
  </si>
  <si>
    <t>INE895D08899</t>
  </si>
  <si>
    <t>INE261F08956</t>
  </si>
  <si>
    <t>INE916DA7PO3</t>
  </si>
  <si>
    <t>INE031A08590</t>
  </si>
  <si>
    <t>INE134E08JM2</t>
  </si>
  <si>
    <r>
      <t>Franklin India Fixed Maturity Plans - Series 3 - P</t>
    </r>
    <r>
      <rPr>
        <b/>
        <sz val="8"/>
        <color theme="1"/>
        <rFont val="Arial"/>
        <family val="2"/>
      </rPr>
      <t>lan E As of -31Jul2019</t>
    </r>
  </si>
  <si>
    <t>INE916DA7PI5</t>
  </si>
  <si>
    <r>
      <t>Franklin India Fixed Maturity Plans - Series 3 - P</t>
    </r>
    <r>
      <rPr>
        <b/>
        <sz val="8"/>
        <color theme="1"/>
        <rFont val="Arial"/>
        <family val="2"/>
      </rPr>
      <t>lan D As of -31Jul2019</t>
    </r>
  </si>
  <si>
    <t>INE895D08881</t>
  </si>
  <si>
    <t>INE752E07GX6</t>
  </si>
  <si>
    <t>INE020B08AR7</t>
  </si>
  <si>
    <t>INE556F08JA8</t>
  </si>
  <si>
    <t>INE134E08JK6</t>
  </si>
  <si>
    <r>
      <t>Franklin India Fixed Maturity Plans - Series 3 - P</t>
    </r>
    <r>
      <rPr>
        <b/>
        <sz val="8"/>
        <color theme="1"/>
        <rFont val="Arial"/>
        <family val="2"/>
      </rPr>
      <t>lan C As of -31Jul2019</t>
    </r>
  </si>
  <si>
    <t>INE296A07QB7</t>
  </si>
  <si>
    <r>
      <t>Franklin India Fixed Maturity Plans - Series 3 - P</t>
    </r>
    <r>
      <rPr>
        <b/>
        <sz val="8"/>
        <color theme="1"/>
        <rFont val="Arial"/>
        <family val="2"/>
      </rPr>
      <t>lan B As of -31Jul2019</t>
    </r>
  </si>
  <si>
    <t>INE031A08541</t>
  </si>
  <si>
    <t>INE115A07AL2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</si>
  <si>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-31Jul2019</t>
    </r>
  </si>
  <si>
    <t>INE756I07BU5</t>
  </si>
  <si>
    <r>
      <t>Franklin India Fixed Maturity Plans – Series 2 – P</t>
    </r>
    <r>
      <rPr>
        <b/>
        <sz val="8"/>
        <color theme="1"/>
        <rFont val="Arial"/>
        <family val="2"/>
      </rPr>
      <t>lan C As of -31Jul2019</t>
    </r>
  </si>
  <si>
    <t xml:space="preserve">Dividend Plan </t>
  </si>
  <si>
    <t>INE895D08725</t>
  </si>
  <si>
    <t>INE115A07JB4</t>
  </si>
  <si>
    <t>INE477A07274</t>
  </si>
  <si>
    <r>
      <t>Franklin India Fixed Maturity Plans – Series 2 – P</t>
    </r>
    <r>
      <rPr>
        <b/>
        <sz val="8"/>
        <color theme="1"/>
        <rFont val="Arial"/>
        <family val="2"/>
      </rPr>
      <t>lan B As of -31Jul2019</t>
    </r>
  </si>
  <si>
    <t>INE115A07LK1</t>
  </si>
  <si>
    <t>INE514E08928</t>
  </si>
  <si>
    <t>INE514E08951</t>
  </si>
  <si>
    <t>INE752E07ER3</t>
  </si>
  <si>
    <t>INE848E07419</t>
  </si>
  <si>
    <t>INE235P07167</t>
  </si>
  <si>
    <t>INE537P07117</t>
  </si>
  <si>
    <t>INE134E07505</t>
  </si>
  <si>
    <t>INE733E07JZ5</t>
  </si>
  <si>
    <r>
      <t>Franklin India Fixed Maturity Plans - Series 2 - P</t>
    </r>
    <r>
      <rPr>
        <b/>
        <sz val="8"/>
        <color theme="1"/>
        <rFont val="Arial"/>
        <family val="2"/>
      </rPr>
      <t>lan A As of -31Jul2019</t>
    </r>
  </si>
  <si>
    <t>Quarterly Direct Dividend Plan</t>
  </si>
  <si>
    <t>INE053F07959</t>
  </si>
  <si>
    <t>INE134E08GX5</t>
  </si>
  <si>
    <t>INE733E07CF2</t>
  </si>
  <si>
    <r>
      <t>Franklin India Fixed Maturity Plans - Series 1 - P</t>
    </r>
    <r>
      <rPr>
        <b/>
        <sz val="8"/>
        <color theme="1"/>
        <rFont val="Arial"/>
        <family val="2"/>
      </rPr>
      <t>lan B As of -31Jul2019</t>
    </r>
  </si>
  <si>
    <r>
      <t>Franklin India Fixed Maturity Plans – Series 1 – P</t>
    </r>
    <r>
      <rPr>
        <b/>
        <sz val="8"/>
        <color theme="1"/>
        <rFont val="Arial"/>
        <family val="2"/>
      </rPr>
      <t>lan A As of -31Jul2019</t>
    </r>
  </si>
  <si>
    <t>NA****</t>
  </si>
  <si>
    <t>9.70% Coastal Gujarat Power Ltd (25-Aug-2023) **</t>
  </si>
  <si>
    <t>8.36% Power Finance Corp Ltd (04-Sep-2020) **</t>
  </si>
  <si>
    <t>7.17% National Highways Authority Of India (23-Dec-2021)</t>
  </si>
  <si>
    <t>7.50% Power Finance Corp Ltd (17-Sep-2020) **</t>
  </si>
  <si>
    <t>8.80% JM Financial Products Ltd (28-Sep-2020) **</t>
  </si>
  <si>
    <t>9.45% Vedanta Ltd (17-Aug-2020) **</t>
  </si>
  <si>
    <t>Indostar Capital Finance Ltd (SBI MCLR + 225 Bps) (02-Nov-2021) **</t>
  </si>
  <si>
    <t>0.00% KKR India Financial Services Pvt Ltd (10-Mar-2021) **</t>
  </si>
  <si>
    <t>12.40% Hinduja Leyland Finance Ltd (03-Nov-2019) **</t>
  </si>
  <si>
    <t>8.60% Export-Import Bank Of India (31-Mar-2022) **</t>
  </si>
  <si>
    <t>Indostar Capital Finance Ltd (SBI MCLR + 95 Bps) (02-May-2023) **</t>
  </si>
  <si>
    <t>9.00% State Bank Of India (06-Sep-2021) **</t>
  </si>
  <si>
    <t>7.33% Indian Railway Finance Corp Ltd (27-Aug-2027) **</t>
  </si>
  <si>
    <t>9.55% Andhra Bank (26-Dec-2019) **</t>
  </si>
  <si>
    <t>8.85% Power Finance Corp Ltd (25-May-2029) **</t>
  </si>
  <si>
    <t>8.9508% Pipeline Infrastructure Pvt Ltd (22-Mar-2024) **</t>
  </si>
  <si>
    <t>7.27% Power Finance Corp Ltd (22-Dec-2021) **</t>
  </si>
  <si>
    <t>10.99% Andhra Bank (05-Aug-2021) **</t>
  </si>
  <si>
    <t>8.40% Edelweiss Rural &amp; Corporate Services Ltd (26-Oct-2020) **</t>
  </si>
  <si>
    <t>9.25% Power Finance Corp Ltd (25-Sep-2024) **</t>
  </si>
  <si>
    <t>9.48% The Tata Power Co Ltd (17-Nov-2019) **</t>
  </si>
  <si>
    <t>9.15% Tata Steel Ltd (24-Jan-2021) **</t>
  </si>
  <si>
    <t>9.55% Hindalco Industries Ltd (27-Jun-2022) **</t>
  </si>
  <si>
    <t>10.25% Yes Bank Ltd (05-Mar-2020) **</t>
  </si>
  <si>
    <t>11.5% Rivaaz Trade Ventures Pvt Ltd (30-Mar-2023) **</t>
  </si>
  <si>
    <t>0.00% Sadbhav Infrastructure Project Ltd (06-Jun-2023) **</t>
  </si>
  <si>
    <t>0.00% Adani Rail Infra Private Limited (28-Apr-2023) **</t>
  </si>
  <si>
    <t>12.68% Renew Power Ltd., Series III, (23-Mar-2020) **</t>
  </si>
  <si>
    <t>11.50% S D Corporation Private Ltd (03-Jun-2022) **</t>
  </si>
  <si>
    <t>9.60% Renew Wind Energy (Rajasthan One) Pvt Ltd (31-Mar-2023) **</t>
  </si>
  <si>
    <t>12.80% Nufuture Digital (India) Ltd (30-Sep-2023) **</t>
  </si>
  <si>
    <t>0.00% Diligent Media Corp Ltd. Series C (30-Jun-2020) **</t>
  </si>
  <si>
    <t>8.25% Vodafone Idea Ltd (10-Jul-2020) **</t>
  </si>
  <si>
    <t>13.40% Future Ideas Company Ltd (30-Sep-2023) **</t>
  </si>
  <si>
    <t>10.25% Star Health &amp; Allied Insurance Co Ltd (06-Sep-2024) **</t>
  </si>
  <si>
    <t>Jindal Power Ltd (Sbi+100 Bps) (20-Dec-2019) **</t>
  </si>
  <si>
    <t>9.00% Pune Solapur Expressways Pvt Ltd Series B (31-Mar-2029) **</t>
  </si>
  <si>
    <t>11.49% Reliance Big Pvt Ltd Series 3 (14-Jan-2021) **</t>
  </si>
  <si>
    <t>9.00% Pune Solapur Expressways Pvt Ltd Series A (31-Mar-2029) **</t>
  </si>
  <si>
    <t>11.7% Svantantra Microfin Private Limited (30-Nov-2023) **</t>
  </si>
  <si>
    <t>9.95% Narmada Wind Energy Pvt Ltd (31-Mar-2023) **</t>
  </si>
  <si>
    <t>11.25% Aadarshini Real Estate Developers Pvt Ltd (29-Jul-2020) **</t>
  </si>
  <si>
    <t>9.95% Molagavalli Renewable Pvt Ltd (31-Mar-2023) **</t>
  </si>
  <si>
    <t>11.90% Rishanth Wholesale Trading Private Ltd (20-Oct-2023) **</t>
  </si>
  <si>
    <t>11.35% Renew Solar Power Private Limited (01-Nov-2022) **</t>
  </si>
  <si>
    <t>9.75% TRPL Roadways Pvt Ltd (25-Mar-2022) **</t>
  </si>
  <si>
    <t>9.45% Renew Power Limited (31-Jul-2025) **</t>
  </si>
  <si>
    <t>11.84% Hero Wind Energy Pvt Ltd (10-Jun-2022) **</t>
  </si>
  <si>
    <t>9.55% Piramal Capital &amp; Housing Finance Ltd (08-Mar-2027) **</t>
  </si>
  <si>
    <t>9.10% Power Finance Corp Ltd (23-Mar-2029) **</t>
  </si>
  <si>
    <t>9.90% Coastal Gujarat Power Ltd (25-Aug-2028) **</t>
  </si>
  <si>
    <t>10.90% Vodafone Idea Ltd (02-Sep-2023) **</t>
  </si>
  <si>
    <t>9.90% Shriram Transport Finance Co Ltd (21-Jun-2024) **</t>
  </si>
  <si>
    <t>10.32% Andhra Pradesh Capital Region Development Authority (16-Aug-2028) **</t>
  </si>
  <si>
    <t>9.85% DCB Bank Ltd (12-Jan-2028) **</t>
  </si>
  <si>
    <t>10.15% Hinduja Leyland Finance Ltd (27-Mar-2025) **</t>
  </si>
  <si>
    <t>9.20% Andhra Bank (31-Oct-2022) **</t>
  </si>
  <si>
    <t>10.15% Uttar Pradesh Power Corp Ltd (20-Jan-2028) **</t>
  </si>
  <si>
    <t>10.25% Shriram Transport Finance Co Ltd (26-Apr-2024) **</t>
  </si>
  <si>
    <t>10.75% The Tata Power Co Ltd (21-Aug-2022) **</t>
  </si>
  <si>
    <t>12.25% DLF Ltd., Tranche II Series IV, (11-Aug-2020) **</t>
  </si>
  <si>
    <t>9.10% India Grid Trust (03-Jun-2022) **</t>
  </si>
  <si>
    <t>12.30% Sterlite Power Grid Ventures Ltd (28-Mar-2022) **</t>
  </si>
  <si>
    <t>12.64% Five-Star Business Finance Ltd (28-Jun-2022) **</t>
  </si>
  <si>
    <t>10.15% Uttar Pradesh Power Corp Ltd (20-Jan-2023) **</t>
  </si>
  <si>
    <t>0.00% India Shelter Finance Corp Ltd (02-May-2025) **</t>
  </si>
  <si>
    <t>9.25% Reliance Jio Infocomm Limited (17-Jun-2024) **</t>
  </si>
  <si>
    <t>12.25% DLF Ltd, Series IV (11-Aug-2020) **</t>
  </si>
  <si>
    <t>10.00% Aptus Value Housing Finance India Ltd (20-Jul-2025) **</t>
  </si>
  <si>
    <t>8.45% Tata Power Renewable Energy Ltd (25-May-2022) **</t>
  </si>
  <si>
    <t>9.95% Vastu Housing Finance Corp Ltd (27-Feb-2025) **</t>
  </si>
  <si>
    <t>10.15% Uttar Pradesh Power Corp Ltd (20-Jan-2027) **</t>
  </si>
  <si>
    <t>10.15% Uttar Pradesh Power Corp Ltd (20-Jan-2022) **</t>
  </si>
  <si>
    <t>11.10% Hinduja Leyland Finance Ltd (08-Apr-2022) **</t>
  </si>
  <si>
    <t>10.00% Aptus Value Housing Finance India Ltd (26-Feb-2025) **</t>
  </si>
  <si>
    <t>9.50% Piramal Capital &amp; Housing Finance Ltd (15-Apr-2022) **</t>
  </si>
  <si>
    <t>9.75% Uttar Pradesh Power Corp Ltd (20-Oct-2022) **</t>
  </si>
  <si>
    <t>9.20% Hinduja Leyland Finance Ltd (13-Sep-2024) **</t>
  </si>
  <si>
    <t>11.40% Tata Power Co Ltd (02-Jun-2021) **</t>
  </si>
  <si>
    <t>9.15% ICICI Bank Ltd (20-Jun-2023) **</t>
  </si>
  <si>
    <t>11.84% Hero Solar Energy Private Limited (10-Jun-2022) **</t>
  </si>
  <si>
    <t>10.00% Ma Multi-Trade Pvt Ltd (27-Nov-2020) **</t>
  </si>
  <si>
    <t>13.15% Greenko Solar Energy Private Limited (18-May-2020) **</t>
  </si>
  <si>
    <t>9.80% Ma Multi-Trade Pvt Ltd  Series B2 (17-Feb-2020) **</t>
  </si>
  <si>
    <t>10.20% Star Health &amp; Allied Insurance Co Ltd (31-Oct-2024) **</t>
  </si>
  <si>
    <t>9.41% Renew Wind Energy Delhi Pvt Ltd (30-Sep-2030) **</t>
  </si>
  <si>
    <t>Jindal Power Ltd (Sbi+100 Bps) (22-Dec-2020) **</t>
  </si>
  <si>
    <t>12.25% Rivaaz Trade Ventures Pvt Ltd (30-Sep-2023) **</t>
  </si>
  <si>
    <t>11.9% Rivaaz Trade Ventures Pvt Ltd (07-Aug-2020) **</t>
  </si>
  <si>
    <t>0.00% Essel Infraprojects Ltd, Series II (22-May-2020) **</t>
  </si>
  <si>
    <t>12.75% Future Ideas Company Ltd (30-Jun-2020) **</t>
  </si>
  <si>
    <t>12.15% Nufuture Digital (India) Ltd (02-Jun-2020) **</t>
  </si>
  <si>
    <t>11.90% Rivaaz Trade Ventures Pvt Ltd (11-May-2020) **</t>
  </si>
  <si>
    <t>9.99% India Shelter Finance Corp Ltd (10-Feb-2022) **</t>
  </si>
  <si>
    <t>13.01% Renew Power Ltd., Series VI, (23-Mar-2020) **</t>
  </si>
  <si>
    <t>10.90% Aasan Corporate Solutions Pvt Ltd (20-Dec-2019) **</t>
  </si>
  <si>
    <t>8.25% Tata Housing Development Co Ltd (27-Feb-2020) **</t>
  </si>
  <si>
    <t>0.00% Hero Wind Energy Pvt Ltd (21-Jun-2022) **</t>
  </si>
  <si>
    <t>9.50% Renew Power Limited (09-Sep-2020) **</t>
  </si>
  <si>
    <t>9.10% Piramal Enterprises Ltd (29-May-2020) **</t>
  </si>
  <si>
    <t>Edelweiss Rural &amp; Corporate Services Ltd (1Y SBI MCLR + 150 Bps) (29-Nov-2021) - Series II **</t>
  </si>
  <si>
    <t>10.32% Andhra Pradesh Capital Region Development Authority (16-Aug-2027) **</t>
  </si>
  <si>
    <t>9.50% Yes Bank Ltd (23-12-2021) **</t>
  </si>
  <si>
    <t>12.64% Five-Star Business Finance Ltd (28-May-2022) **</t>
  </si>
  <si>
    <t>10.9007% Esskay Fincorp Ltd (11-Jun-2021) **</t>
  </si>
  <si>
    <t>8.70% Edelweiss Rural &amp; Corporate Services Ltd (30-Jun-2027) **</t>
  </si>
  <si>
    <t>9.50% Piramal Capital &amp; Housing Finance Ltd (21-Apr-2022) **</t>
  </si>
  <si>
    <t>11.75% AU Small Finance Bank Ltd (04-May-2021) **</t>
  </si>
  <si>
    <t>11.00% Motilal Oswal Home Finance Ltd (03-May-2021) **</t>
  </si>
  <si>
    <t>0.00% Sadbhav Infrastructure Project Ltd (23-Apr-2023) **</t>
  </si>
  <si>
    <t>11.30% Hinduja Leyland Finance Ltd (21-Jul-2021) **</t>
  </si>
  <si>
    <t>9.75% Uttar Pradesh Power Corp Ltd (20-Oct-2023) **</t>
  </si>
  <si>
    <t>9.75% Jamnagar Utilities &amp; Power Pvt Ltd (02-Aug-2024) **</t>
  </si>
  <si>
    <t>12.64% Five-Star Business Finance Ltd (16-Apr-2022) **</t>
  </si>
  <si>
    <t>10.9007% Ess Kay Fincorp Limited (11-Jun-2021) **</t>
  </si>
  <si>
    <t>9.70% Xander Finance Pvt Ltd (30-Apr-2021) **</t>
  </si>
  <si>
    <t>9.40% Hinduja Leyland Finance Ltd (28-Aug-2024) **</t>
  </si>
  <si>
    <t>9.00% Edelweiss Rural &amp; Corporate Services Ltd (17-Apr-2020) **</t>
  </si>
  <si>
    <t>11.60% Hinduja Leyland Finance Ltd (29-Sep-2024) **</t>
  </si>
  <si>
    <t>11.00% Vivriti Capital Pvt Ltd (19-Mar-2021) **</t>
  </si>
  <si>
    <t>11.00% Motilal Oswal Home Finance Ltd (16-May-2021) **</t>
  </si>
  <si>
    <t>11.80% Tata Steel Ltd (18-Mar-2021) **</t>
  </si>
  <si>
    <t>11.50% Hinduja Leyland Finance Ltd (31-May-2021) **</t>
  </si>
  <si>
    <t>10.44% Northern Arc Capital Ltd Series B (02-Aug-2019) **</t>
  </si>
  <si>
    <t>9.73% Tata Motors Ltd (01-Oct-2020) **</t>
  </si>
  <si>
    <t>13.00% AU Small Finance Bank Ltd (19-Sep-2019) **</t>
  </si>
  <si>
    <t>9.60% Renew Power Limited (26-Feb-2021) **</t>
  </si>
  <si>
    <t>12.80% Nufuture Digital (India) Ltd (30-Sep-2022) **</t>
  </si>
  <si>
    <t>11.90% Rivaaz Trade Ventures Pvt Ltd (29-Feb-2020) **</t>
  </si>
  <si>
    <t>11.49% Reliance Infrastructure Consulting &amp; Engineers (15-Jan-2021) **</t>
  </si>
  <si>
    <t>0.00% Essel Infraprojects Ltd, Series I (22-May-2020) **</t>
  </si>
  <si>
    <t>12.15% Nufuture Digital (India) Ltd (30-Nov-2019) **</t>
  </si>
  <si>
    <t>11.49% Reliance Big Pvt Ltd Series 2 (14-Jan-2021) **</t>
  </si>
  <si>
    <t>11.90% Rivaaz Trade Ventures Pvt Ltd (30-Nov-2019) **</t>
  </si>
  <si>
    <t>9.80% Ma Multi-Trade Pvt Ltd Series B (26-Jul-2017) **</t>
  </si>
  <si>
    <t>12.25% Rivaaz Trade Ventures Pvt Ltd (30-Sep-2022) **</t>
  </si>
  <si>
    <t>9.10% Piramal Enterprises Ltd (15-May-2020) **</t>
  </si>
  <si>
    <t>10.32% Andhra Pradesh Capital Region Development Authority (16-Aug-2026) **</t>
  </si>
  <si>
    <t>10.50% Vistaar Financial Services Private Ltd (22-Jun-2023) **</t>
  </si>
  <si>
    <t>10.5% Vistaar Financial Services Private Ltd (23-Jul-2024) **</t>
  </si>
  <si>
    <t>10.21% Five-Star Business Finance Ltd (28-Mar-2023) **</t>
  </si>
  <si>
    <t>10.00% Aptus Value Housing Finance India Ltd (26-Dec-2024) **</t>
  </si>
  <si>
    <t>10.00% Aptus Value Housing Finance India Ltd (20-Jun-2025) **</t>
  </si>
  <si>
    <t>10.25% Incred Financial Services Private Limited (26-Apr-2021) **</t>
  </si>
  <si>
    <t>9.75% Uttar Pradesh Power Corp Ltd (20-Oct-2021) **</t>
  </si>
  <si>
    <t>10.15% Uttar Pradesh Power Corp Ltd (20-Jan-2026) **</t>
  </si>
  <si>
    <t>7.40% Tata Motors Ltd (29-Jun-2021) **</t>
  </si>
  <si>
    <t>10.00% Aptus Value Housing Finance India Ltd (24-Jan-2025) **</t>
  </si>
  <si>
    <t>10.15% Uttar Pradesh Power Corp Ltd (19-Jan-2024) **</t>
  </si>
  <si>
    <t>10.15% Uttar Pradesh Power Corp Ltd (20-Jan-2025) **</t>
  </si>
  <si>
    <t>9.70% Tata Motors Ltd (18-Jun-2020) **</t>
  </si>
  <si>
    <t>11.25% Syndicate Bank (15-Jul-2021) **</t>
  </si>
  <si>
    <t>8.98% Power Finance Corp Ltd (28-Mar-2029)</t>
  </si>
  <si>
    <t>8.9492% L&amp;T Finance Ltd (16-Aug-2021) **</t>
  </si>
  <si>
    <t>8.75% Housing Development Finance Corp Ltd (04-Mar-2021) **</t>
  </si>
  <si>
    <t>9.20% ICICI Bank Ltd (17-Mar-2022) **</t>
  </si>
  <si>
    <t>7.65% Indian Railway Finance Corp Ltd (15-Mar-2021) **</t>
  </si>
  <si>
    <t>9.50% Reliance Broadcast Network Ltd (20-Jul-2020) **</t>
  </si>
  <si>
    <t>7.48% Bennett Coleman And Co Ltd (26-Apr-2021) **</t>
  </si>
  <si>
    <t>7.85% Grasim Industries Ltd (15-Apr-2024) **</t>
  </si>
  <si>
    <t>10.25% Sikka Ports &amp; Terminals Limited (22-Aug-2021) **</t>
  </si>
  <si>
    <t>8.39% State Bank Of India (20-Feb-2049) **</t>
  </si>
  <si>
    <t>7.80% Apollo Tyres Ltd (29-Apr-2022) **</t>
  </si>
  <si>
    <t>8.40% Power Grid Corp Of India Ltd (27-May-2024) **</t>
  </si>
  <si>
    <t>8.00% Reliance Jio Infocomm Limited (16-Apr-2023) **</t>
  </si>
  <si>
    <t>10.40% Sikka Ports &amp; Terminals Limited (18-Jul-2021) **</t>
  </si>
  <si>
    <t>8.39% National Bank For Agriculture And Rural Development (19-Jul-2021) **</t>
  </si>
  <si>
    <t>8.55% Power Finance Corp Ltd (09-Dec-2021) **</t>
  </si>
  <si>
    <t>9.15% Coastal Gujarat Power Ltd (14-Jun-2022) **</t>
  </si>
  <si>
    <t>8.94% Power Finance Corp Ltd (25-Mar-2028) **</t>
  </si>
  <si>
    <t>8.18% Power Finance Corp Ltd (19-Mar-2022) **</t>
  </si>
  <si>
    <t>7.34% Housing &amp; Urban Development Corp Ltd (16-Sep-2022) **</t>
  </si>
  <si>
    <t>0.00% Fullerton India Credit Co Ltd (08-Apr-2021) **</t>
  </si>
  <si>
    <t>7.8526% Kotak Mahindra Prime Ltd (07-Apr-2020) **</t>
  </si>
  <si>
    <t>7.50% Power Finance Corp Ltd (16-Aug-2021) **</t>
  </si>
  <si>
    <t>8.60% National Bank For Agriculture And Rural Development (31-Jan-2022) **</t>
  </si>
  <si>
    <t>8.40% Power Grid Corp Of India Ltd (14-Sep-2021) **</t>
  </si>
  <si>
    <t>0.00% Bajaj Finance Ltd (05-Apr-2022) **</t>
  </si>
  <si>
    <t>9.95% Food Corporation Of India (07-Mar-2022) **</t>
  </si>
  <si>
    <t>8.50% NHPC Ltd (14-Jul-2021) **</t>
  </si>
  <si>
    <t>8.36% Ultratech Cement Ltd (07-Jun-2021) **</t>
  </si>
  <si>
    <t>7.8535% Bajaj Finance Ltd (07-Apr-2020) **</t>
  </si>
  <si>
    <t>9.57% Indian Railway Finance Corp Ltd (31-May-2021) **</t>
  </si>
  <si>
    <t>0.00% Aditya Birla Finance Ltd (08-Apr-2022) **</t>
  </si>
  <si>
    <t>7.35% Bharat Petroleum Corp Ltd (10-Mar-2022) **</t>
  </si>
  <si>
    <t>6.70% Indian Railway Finance Corp Ltd (24-Nov-2021) **</t>
  </si>
  <si>
    <t>8.40% Power Grid Corp Of India Ltd (27-May-2021) **</t>
  </si>
  <si>
    <t>7.65% Small Industries Development Bank Of India (15-Apr-2021) **</t>
  </si>
  <si>
    <t>Small Industries Development Bank Of India (28-Jan-2020) **</t>
  </si>
  <si>
    <t>7.69% Bharat Petroleum Corp Ltd (16-Jan-2023) **</t>
  </si>
  <si>
    <t>10.20% RBL Bank Ltd (15-Apr-2023) **</t>
  </si>
  <si>
    <t>7.90% National Bank For Agriculture And Rural Development (18-Apr-2022) **</t>
  </si>
  <si>
    <t>7.24% Indian Railway Finance Corp Ltd (08-Nov-2021) **</t>
  </si>
  <si>
    <t>8.50% Bank Of Baroda (02-Dec-2021) **</t>
  </si>
  <si>
    <t>10.49% Bank Of Baroda (17-Jan-2022) **</t>
  </si>
  <si>
    <t>8.81% Small Industries Development Bank Of India (25-Jan-2022) **</t>
  </si>
  <si>
    <t>8.93% Power Grid Corp Of India Ltd (20-Oct-2019) **</t>
  </si>
  <si>
    <t>8.13% Power Grid Corp Of India Ltd (23-Apr-2021) **</t>
  </si>
  <si>
    <t>L&amp;T Housing Finance Limited (27-Nov-2019) **</t>
  </si>
  <si>
    <t>L&amp;T Infrastructure Finance Co Ltd (02-Dec-2019) **</t>
  </si>
  <si>
    <t>L&amp;T Housing Finance Limited (14-Jan-2020) **</t>
  </si>
  <si>
    <t>Future Retail Ltd (04-Sep-2019) **</t>
  </si>
  <si>
    <t>Future Enterprises Ltd (03-Sep-2019) **</t>
  </si>
  <si>
    <t>Tata Realty &amp; Infrastructure Ltd (25-Feb-2020) **</t>
  </si>
  <si>
    <t>Tata Realty &amp; Infrastructure Ltd (03-Mar-2020) **</t>
  </si>
  <si>
    <t>Tata Realty &amp; Infrastructure Ltd (10-Mar-2020) **</t>
  </si>
  <si>
    <t>Housing Development Finance Corp Ltd (14-Nov-2019)</t>
  </si>
  <si>
    <t>Tata Realty &amp; Infrastructure Ltd (17-Mar-2020) **</t>
  </si>
  <si>
    <t>Housing Development Finance Corp Ltd (26-Nov-2019) **</t>
  </si>
  <si>
    <t>Housing Development Finance Corp Ltd (02-Mar-2020) **</t>
  </si>
  <si>
    <t>(MIBOR+160) Cooperatieve Rabobank (28-Nov-2019) **</t>
  </si>
  <si>
    <t>Axis Bank Ltd (07-Feb-2020) **</t>
  </si>
  <si>
    <t>0.00% Dolvi Minerals And Metals Pvt Limited (22-Oct-2019) **</t>
  </si>
  <si>
    <t>10.90% Piramal Realty Private Limited (13-Mar-2020) **</t>
  </si>
  <si>
    <t>10.90% Aasan Corporate Solutions Pvt Ltd (13-Dec-2019) **</t>
  </si>
  <si>
    <t>12.25% Greenko Wind Projects Pvt Ltd (14-Dec-2019) **</t>
  </si>
  <si>
    <t>0.00% Yes Capital India Pvt Ltd (12-Oct-2020) **</t>
  </si>
  <si>
    <t>9.00% Clix Capital Services Pvt Ltd (27-Jun-2023) **</t>
  </si>
  <si>
    <t>0.00% Hero Solar Energy Private Limited (21-Jun-2022) **</t>
  </si>
  <si>
    <t>10.75% Clix Capital Services Pvt Ltd (25-May-2023) **</t>
  </si>
  <si>
    <t>13.15% Greenko Solar Energy Private Limited (15-Jun-2020) **</t>
  </si>
  <si>
    <t>10.90% Aasan Corporate Solutions Pvt Ltd (13-Mar-2020) **</t>
  </si>
  <si>
    <t>9.10% Tata Realty &amp; Infrastructure Ltd (23-Aug-2019) **</t>
  </si>
  <si>
    <t>0.00% Hero Wind Energy Pvt Ltd (08-Feb-2022) **</t>
  </si>
  <si>
    <t>9.40% Small Business Fincredit India Pvt Ltd (28-Sep-2020) **</t>
  </si>
  <si>
    <t>8.19% Tata Housing Development Co Ltd (23-Apr-2020) **</t>
  </si>
  <si>
    <t>11.50% Clix Capital Services Pvt Ltd (06-Sep-2021) **</t>
  </si>
  <si>
    <t>11.50% Clix Capital Services Pvt Ltd (06-Jul-2021) **</t>
  </si>
  <si>
    <t>11.50% Clix Capital Services Pvt Ltd (06-May-2021) **</t>
  </si>
  <si>
    <t>11.50% Clix Finance India Private Limited (06-Jan-2022) **</t>
  </si>
  <si>
    <t>10.25% Renew Solar Power Private Limited (29-Nov-2019) **</t>
  </si>
  <si>
    <t>9.80% Ma Multi-Trade Pvt Ltd Series B1 (17-Feb-2020) **</t>
  </si>
  <si>
    <t>11.50% Clix Capital Services Pvt Ltd (12-Nov-2021) **</t>
  </si>
  <si>
    <t>10.30% Renew Power Limited (28-Sep-2022) **</t>
  </si>
  <si>
    <t>0.00% JSW Logistics Infrastructure Pvt Ltd (13-Sep-2019) **</t>
  </si>
  <si>
    <t>0.00% JSW Logistics Infrastructure Pvt Ltd (13-Dec-2019) **</t>
  </si>
  <si>
    <t>0.00% JSW Logistics Infrastructure Pvt Ltd (13-Mar-2020) **</t>
  </si>
  <si>
    <t>11.90% Rivaaz Trade Ventures Pvt Ltd (31-Aug-2019) **</t>
  </si>
  <si>
    <t>JM Financial Credit Solutions Ltd (1Y SBI MCLR + 160 Bps) (23-Jul-2024) **</t>
  </si>
  <si>
    <t>Edelweiss Rural &amp; Corporate Services Ltd (1Y SBI MCLR + 150 Bps) (29-Nov-2021) **</t>
  </si>
  <si>
    <t>Shriram Transport Finance Co Ltd ( One Year CD Rate + 150 Bps) (30-Mar-2020) **</t>
  </si>
  <si>
    <t>10.15% Uttar Pradesh Power Corp Ltd (20-Jan-2021) **</t>
  </si>
  <si>
    <t>0.00% LIC Housing Finance Ltd (02-Sep-2019) **</t>
  </si>
  <si>
    <t>0.00% Tata Realty &amp; Infrastructure Ltd (04-Jun-2021) **</t>
  </si>
  <si>
    <t>9.75% Uttar Pradesh Power Corp Ltd (20-Oct-2020) **</t>
  </si>
  <si>
    <t>Motilal Oswal Home Finance Ltd (SBI MCLR + 205 Bps) (28-Sep-2023) **</t>
  </si>
  <si>
    <t>12.25% DLF Ltd, Series III (09-Aug-2019) **</t>
  </si>
  <si>
    <t>10.15% Uttar Pradesh Power Corp Ltd (20-Jan-2020) **</t>
  </si>
  <si>
    <t>9.70% Xander Finance Pvt Ltd (15-Mar-2021) **</t>
  </si>
  <si>
    <t>8.5666% Nuvoco Vistas Corp Ltd (14-Sep-2020) **</t>
  </si>
  <si>
    <t>7.50% Tata Motors Ltd (20-Oct-2021) **</t>
  </si>
  <si>
    <t>Motilal Oswal Home Finance Ltd (SBI MCLR + 200 Bps) (24-Aug-2023) **</t>
  </si>
  <si>
    <t>Shriram Transport Finance Co Ltd ( 3M INCDFIX Rate + 222 Bps) (11-Mar-2021) **</t>
  </si>
  <si>
    <t>8.52% Power Finance Corp Ltd (09-Dec-2019) **</t>
  </si>
  <si>
    <t>7.99% The Tata Power Co Ltd (16-Nov-2020) **</t>
  </si>
  <si>
    <t>10.75% Incred Financial Services Private Limited (22-Jun-2020) **</t>
  </si>
  <si>
    <t>12.40% Hinduja Leyland Finance Ltd (03-Apr-2020) **</t>
  </si>
  <si>
    <t>10.25% Future Enterprise Ltd, Series B (06-Apr-2020) **</t>
  </si>
  <si>
    <t>10.25% Future Enterprise Ltd, Series C (06-Apr-2020) **</t>
  </si>
  <si>
    <t>8.4706% Nuvoco Vistas Corp Ltd (14-Sep-2019) **</t>
  </si>
  <si>
    <t>9.60% Northern ARC Capital Ltd (27-Dec-2019) **</t>
  </si>
  <si>
    <t>8.68% Vedanta Ltd (20-Apr-2020) **</t>
  </si>
  <si>
    <t>8.25% Vizag General Cargo Berth Pvt Ltd (30-Sep-2020) **</t>
  </si>
  <si>
    <t>7.85% Talwandi Sabo Power Ltd (04-Aug-2020) **</t>
  </si>
  <si>
    <t>12.25% DLF Ltd, Tranche II Series III (09-Aug-2019) **</t>
  </si>
  <si>
    <t>Northern Arc Capital Ltd (6M SBI MCLR + 205 Bps) Series C (16-Jul-2021) **</t>
  </si>
  <si>
    <t>Northern Arc Capital Ltd (6M SBI MCLR + 205 Bps) Series B (16-Jul-2021) **</t>
  </si>
  <si>
    <t>Northern Arc Capital Ltd (6M SBI MCLR + 205 Bps) Series A (16-Jul-2021) **</t>
  </si>
  <si>
    <t>10.44% Northern Arc Capital Ltd Series C (02-Aug-2019) **</t>
  </si>
  <si>
    <t>10.44% Northern Arc Capital Ltd Series A (02-Aug-2019) **</t>
  </si>
  <si>
    <t>9.10% JM Financial Asset Reconstruction Co Ltd (26-Sep-2019) **</t>
  </si>
  <si>
    <t>9.71% Tata Motors Ltd (01-Oct-2019) **</t>
  </si>
  <si>
    <t>9.23% Talwandi Sabo Power Ltd (30-Jul-2021) **</t>
  </si>
  <si>
    <t>7.28% Tata Motors Ltd (29-Jul-2020) **</t>
  </si>
  <si>
    <t>0.00% Incred Financial Services Private Limited (22-Jun-2020) **</t>
  </si>
  <si>
    <t>12.40% Hinduja Leyland Finance Ltd (26-Apr-2020) **</t>
  </si>
  <si>
    <t>Vastu Housing Finance Corp Ltd (6M SBI MCLR + 185 Bps) (25-Aug-2023) **</t>
  </si>
  <si>
    <t>7.00% Housing Development Finance Corp Ltd (06-Sep-2019) **</t>
  </si>
  <si>
    <t>10.75% Motilal Oswal Home Finance Ltd (30-Aug-2019) **</t>
  </si>
  <si>
    <t>7.50% Tata Motors Ltd (22-Jun-2022) **</t>
  </si>
  <si>
    <t>10.4346% Ess Kay Fincorp Limited (27-Sep-2019) **</t>
  </si>
  <si>
    <t>8.65% Power Finance Corp Ltd (28-Nov-2019) **</t>
  </si>
  <si>
    <t>7.50% Vedanta Ltd (29-Nov-2019) **</t>
  </si>
  <si>
    <t>8.45% Shriram Transport Finance Co Ltd (27-Mar-2020) **</t>
  </si>
  <si>
    <t>8.40% Edelweiss Rural &amp; Corporate Services Ltd (09-Aug-2019) **</t>
  </si>
  <si>
    <t>7.90% Nirma Limited (28-Feb-2020) **</t>
  </si>
  <si>
    <t>9.10% Shriram Transport Finance Co Ltd (12-Jul-2021) **</t>
  </si>
  <si>
    <t>7.6414% Shriram Transport Finance Co Ltd (10-Nov-2020) **</t>
  </si>
  <si>
    <t>11.45% Vistaar Financial Services Private Ltd (06-Jan-2020) **</t>
  </si>
  <si>
    <t>7.09% Export-Import Bank Of India (02-Mar-2020) **</t>
  </si>
  <si>
    <t>8.96% Power Finance Corp Ltd (21-Oct-2019)</t>
  </si>
  <si>
    <t>HDB Financial (91DTB + 205 Bps) (12Jul2021) **</t>
  </si>
  <si>
    <t>8.15% Power Grid Corp Of India Ltd (09-Mar-2020) **</t>
  </si>
  <si>
    <t>9.60% Narmada Wind Energy Pvt Ltd (31-Mar-2023) **</t>
  </si>
  <si>
    <t>0.00% Diligent Media Corp Ltd. Series B (30-Jun-2020) **</t>
  </si>
  <si>
    <t>11.84% Hero Solar Energy Private Limited (10-Dec-2021) **</t>
  </si>
  <si>
    <t>11.5% Rivaaz Trade Ventures Pvt Ltd (30-Mar-2022) **</t>
  </si>
  <si>
    <t>11.5% Rivaaz Trade Ventures Pvt Ltd (30-Mar-2021) **</t>
  </si>
  <si>
    <t>12.80% Nufuture Digital (India) Ltd (30-Sep-2021) **</t>
  </si>
  <si>
    <t>0.00% Diligent Media Corp Ltd. Series A (30-Jun-2020) **</t>
  </si>
  <si>
    <t>11.5% Rivaaz Trade Ventures Pvt Ltd (30-Mar-2020) **</t>
  </si>
  <si>
    <t>12.25% Rivaaz Trade Ventures Pvt Ltd (30-Sep-2021) **</t>
  </si>
  <si>
    <t>13.40% Future Ideas Company Ltd (31-Oct-2022) **</t>
  </si>
  <si>
    <t>12.25% Rivaaz Trade Ventures Pvt Ltd (30-Sep-2020) **</t>
  </si>
  <si>
    <t>12.80% Nufuture Digital (India) Ltd (30-Sep-2020) **</t>
  </si>
  <si>
    <t>13.40% Future Ideas Company Ltd (31-Oct-2021) **</t>
  </si>
  <si>
    <t>12.25% Rivaaz Trade Ventures Pvt Ltd (30-Sep-2019) **</t>
  </si>
  <si>
    <t>13.40% Future Ideas Company Ltd (31-Oct-2020) **</t>
  </si>
  <si>
    <t>0.00% KKR India Financial Services Pvt Ltd (14-Apr-2020) **</t>
  </si>
  <si>
    <t>12.80% Nufuture Digital (India) Ltd (30-Sep-2019) **</t>
  </si>
  <si>
    <t>11.49% Reliance Big Pvt Ltd  Series 1 (14-Jan-2021) **</t>
  </si>
  <si>
    <t>8.01% Tata Sons Pvt Ltd (02-Sep-2021) **</t>
  </si>
  <si>
    <t>7.90% Tata Sons Pvt Ltd (06-Mar-2020) **</t>
  </si>
  <si>
    <t>10.32% Andhra Pradesh Capital Region Development Authority (16-Aug-2025) **</t>
  </si>
  <si>
    <t>10.32% Andhra Pradesh Capital Region Development Authority (16-Aug-2024) **</t>
  </si>
  <si>
    <t>10.00% Aptus Value Housing Finance India Ltd (20-Aug-2025) **</t>
  </si>
  <si>
    <t>10.5% Vistaar Financial Services Private Ltd (24-Aug-2025) **</t>
  </si>
  <si>
    <t>12.64% Five-Star Business Finance Ltd (29-Mar-2022) **</t>
  </si>
  <si>
    <t>10.4% Vastu Housing Finance Corp Ltd (27-Nov-2025) **</t>
  </si>
  <si>
    <t>10.30% Vastu Housing Finance Corp Ltd (27-Nov-2025) **</t>
  </si>
  <si>
    <t>10.90% Punjab &amp; Sindh Bank Ltd (07-May-2022) **</t>
  </si>
  <si>
    <t>8.45% Edelweiss Rural &amp; Corporate Services Ltd (11-Aug-2020) **</t>
  </si>
  <si>
    <t>9.85% DCB Bank Ltd (18-Nov-2026) **</t>
  </si>
  <si>
    <t>12.00% Hinduja Leyland Finance Ltd (28-Mar-2021) **</t>
  </si>
  <si>
    <t>7.75% Talwandi Sabo Power Ltd (20-Sep-2019) **</t>
  </si>
  <si>
    <t>8.15% National Bank For Agriculture And Rural Development (04-Mar-2020) **</t>
  </si>
  <si>
    <t>9.30% Fullerton India Credit Co Ltd (15-Mar-2021) **</t>
  </si>
  <si>
    <t>8.32% Reliance Jio Infocomm Limited (08-Jul-2021) **</t>
  </si>
  <si>
    <t>0.00% Mahindra &amp; Mahindra Financial Services Ltd (07-Apr-2021) **</t>
  </si>
  <si>
    <t>7.78% Housing Development Finance Corp Ltd (24-Mar-2020) **</t>
  </si>
  <si>
    <t>9.15% Dewan Housing Finance Corp Ltd (09-Sep-2021) **</t>
  </si>
  <si>
    <t>Power Finance Corp Ltd (06-Mar-2020) **</t>
  </si>
  <si>
    <t>Reliance Retail Ltd (10-Dec-2019) **</t>
  </si>
  <si>
    <t>Housing Development Finance Corp Ltd (10-Jul-2020) **</t>
  </si>
  <si>
    <t>Fullerton India Credit Co Ltd (15-Jul-2020) **</t>
  </si>
  <si>
    <t>Sundaram Bnp Paribas Home Finance Ltd (28-Feb-2020) **</t>
  </si>
  <si>
    <t>L&amp;T Finance Ltd (05-Dec-2019) **</t>
  </si>
  <si>
    <t>Can Fin Homes Ltd (26-Dec-2019) **</t>
  </si>
  <si>
    <t>L&amp;T Finance Ltd (10-Jan-2020) **</t>
  </si>
  <si>
    <t>L&amp;T Infrastructure Finance Co Ltd (20-Feb-2020) **</t>
  </si>
  <si>
    <t>Cholamandalam Investment And Finance Co Ltd (04-Mar-2020) **</t>
  </si>
  <si>
    <t>Housing &amp; Urban Development Corp Ltd (28-Aug-2019) **</t>
  </si>
  <si>
    <t>Housing Development Finance Corp Ltd (20-May-2020) **</t>
  </si>
  <si>
    <t>Kotak Mahindra Investments Ltd (21-Feb-2020) **</t>
  </si>
  <si>
    <t>L&amp;T Infrastructure Finance Co Ltd (13-Sep-2019) **</t>
  </si>
  <si>
    <t>Bank Of Baroda (17-Mar-2020) **</t>
  </si>
  <si>
    <t>National Bank For Agriculture And Rural Development (18-Mar-2020) **</t>
  </si>
  <si>
    <t>Indusind Bank Ltd (20-Mar-2020) **</t>
  </si>
  <si>
    <t>Small Industries Development Bank Of India (15-May-2020) **</t>
  </si>
  <si>
    <t>Indian Bank (01-Jun-2020) **</t>
  </si>
  <si>
    <t>Bank Of Baroda (01-Jun-2020)</t>
  </si>
  <si>
    <t>Axis Bank Ltd (04-Mar-2020) **</t>
  </si>
  <si>
    <t>National Bank For Agriculture And Rural Developm (15-May-2020) **</t>
  </si>
  <si>
    <t>Axis Bank Ltd (12-Feb-2020) **</t>
  </si>
  <si>
    <t>National Bank For Agriculture And Rural Development (13-Mar-2020) **</t>
  </si>
  <si>
    <t>Indian Oil Corp Ltd (09-Aug-2019) **</t>
  </si>
  <si>
    <t>Reliance Retail Ltd (13-Aug-2019) **</t>
  </si>
  <si>
    <t>L&amp;T Finance Holdings Ltd (21-Aug-2019) **</t>
  </si>
  <si>
    <t>Indian Oil Corp Ltd (28-Aug-2019) **</t>
  </si>
  <si>
    <t>Reliance Jio Infocomm Limited (13-Aug-2019) **</t>
  </si>
  <si>
    <t>Fullerton India Credit Co Ltd (11-Sep-2019) **</t>
  </si>
  <si>
    <t>Vedanta Ltd (02-Aug-2019) **</t>
  </si>
  <si>
    <t>Jio Digital Fibre Pvt Ltd (02-Aug-2019) **</t>
  </si>
  <si>
    <t>Vedanta Ltd (05-Aug-2019)</t>
  </si>
  <si>
    <t>Chambal Fertilizers And Chemicals Ltd (06-Aug-2019) **</t>
  </si>
  <si>
    <t>Reliance Retail Ltd (14-Aug-2019) **</t>
  </si>
  <si>
    <t>Reliance Jio Infocomm Limited (09-Aug-2019) **</t>
  </si>
  <si>
    <t>Tata Realty &amp; Infrastructure Ltd (08-Aug-2019) **</t>
  </si>
  <si>
    <t>Tata Projects Ltd (21-Aug-2019) **</t>
  </si>
  <si>
    <t>Adani Ports And Special Economic Zone Ltd (11-Sep-2019) **</t>
  </si>
  <si>
    <t>Kotak Securities Ltd (05-Aug-2019) **</t>
  </si>
  <si>
    <t>Magma Fincorp Ltd (03-Sep-2019) **</t>
  </si>
  <si>
    <t>Motilal Oswal Financial Services Ltd (23-Sep-2019)</t>
  </si>
  <si>
    <t>Motilal Oswal Financial Services Ltd (27-Sep-2019)</t>
  </si>
  <si>
    <t>Maithon Power Ltd (26-Aug-2019) **</t>
  </si>
  <si>
    <t>Magma Fincorp Ltd (27-Aug-2019) **</t>
  </si>
  <si>
    <t>Magma Fincorp Ltd (28-Aug-2019) **</t>
  </si>
  <si>
    <t>Chambal Fertilisers And Chemicals Limited (13-Aug-2019) **</t>
  </si>
  <si>
    <t>Tata Housing Development Co Ltd (13-Sep-2019) **</t>
  </si>
  <si>
    <t>Tata Realty &amp; Infrastructure Ltd (12-Sep-2019) **</t>
  </si>
  <si>
    <t>Magma Fincorp Ltd (09-Sep-2019) **</t>
  </si>
  <si>
    <t>Adani Ports And Special Economic Zone Ltd (18-Sep-2019) **</t>
  </si>
  <si>
    <t>Adani Ports And Special Economic Zone Ltd (19-Sep-2019) **</t>
  </si>
  <si>
    <t>Aditya Birla Capital Ltd (19-Aug-2019) **</t>
  </si>
  <si>
    <t>Tata Power Trading Co Ltd (23-Aug-2019) **</t>
  </si>
  <si>
    <t>Reliance Jio Infocomm Limited (30-Aug-2019) **</t>
  </si>
  <si>
    <t>Tata Power Delhi Distribution Ltd (29-Aug-2019) **</t>
  </si>
  <si>
    <t>Aditya Birla Capital Ltd (09-Aug-2019) **</t>
  </si>
  <si>
    <t>Fullerton India Credit Co Ltd (27-Aug-2019) **</t>
  </si>
  <si>
    <t>Tata Power Solar Systems Ltd (30-Aug-2019) **</t>
  </si>
  <si>
    <t>Kotak Mahindra Investments Ltd (06-Sep-2019) **</t>
  </si>
  <si>
    <t>Axis Bank Ltd (19-Aug-2019) **</t>
  </si>
  <si>
    <t>Punjab National Bank (01-Aug-2019) **</t>
  </si>
  <si>
    <t>Bank Of Baroda (06-Aug-2019)</t>
  </si>
  <si>
    <t>Axis Bank Ltd (07-Aug-2019) **</t>
  </si>
  <si>
    <t>Axis Bank Ltd (08-Aug-2019) **</t>
  </si>
  <si>
    <t>Bank Of Baroda (09-Aug-2019)</t>
  </si>
  <si>
    <t>Axis Bank Ltd (14-Aug-2019) **</t>
  </si>
  <si>
    <t>9.45% Housing Development Finance Corp Ltd (21-Aug-2019) **</t>
  </si>
  <si>
    <t>Shriram Transport Finance Co Ltd ( Kotak Bank Base Rate + 0 Bps) (05-Aug-2019) **</t>
  </si>
  <si>
    <t>8.00% Tata Motors Ltd (01-Aug-2019) **</t>
  </si>
  <si>
    <t>9.40% Housing Development Finance Corp Ltd (26-Aug-2019) **</t>
  </si>
  <si>
    <t>8.40% L&amp;T Infrastructure Finance Co Ltd (16-Aug-2019)</t>
  </si>
  <si>
    <t>8.47% Volkswagen Finance Pvt Ltd (20-Sep-2019) **</t>
  </si>
  <si>
    <t>8.40% L&amp;T Finance Ltd (09-Aug-2019) **</t>
  </si>
  <si>
    <t>8.45% L&amp;T Finance Ltd (02-Aug-2019) **</t>
  </si>
  <si>
    <t>Housing Development Finance Corp Ltd (13-Feb-2020) **</t>
  </si>
  <si>
    <t>Tata Realty &amp; Infrastructure Ltd (24-Mar-2020) **</t>
  </si>
  <si>
    <t>Housing Development Finance Corp Ltd (28-Feb-2020) **</t>
  </si>
  <si>
    <t>Indusind Bank Ltd (27-Dec-2019) **</t>
  </si>
  <si>
    <t>Axis Bank Ltd (14-Nov-2019) **</t>
  </si>
  <si>
    <t>National Bank For Agriculture And Rural Development (27-Nov-2019) **</t>
  </si>
  <si>
    <t>10.75% Greenko Clean Energy Projects Private Limited (04-Dec-2020) **</t>
  </si>
  <si>
    <t>11.84% Hero Wind Energy Pvt Ltd (10-Dec-2021) **</t>
  </si>
  <si>
    <t>9.50% Piramal Capital &amp; Housing Finance Ltd (06-May-2022) **</t>
  </si>
  <si>
    <t>9.50% Piramal Capital &amp; Housing Finance Ltd (29-Apr-2022) **</t>
  </si>
  <si>
    <t>10.25% Shriram Transport Finance Co Ltd (27-Dec-2024) **</t>
  </si>
  <si>
    <t>10.65% Hinduja Leyland Finance Ltd (16-Feb-2020) **</t>
  </si>
  <si>
    <t>7.07% Reliance Industries Ltd (24-Dec-2020) **</t>
  </si>
  <si>
    <t>0.00% Axis Finance Ltd (19-Apr-2022) **</t>
  </si>
  <si>
    <t>0.00% Bajaj Housing Finance Ltd (05-Apr-2022) **</t>
  </si>
  <si>
    <t>0.00% Mahindra &amp; Mahindra Financial Services Ltd (29-Mar-2022) **</t>
  </si>
  <si>
    <t>8.23% Housing &amp; Urban Development Corp Ltd (15-Apr-2022) **</t>
  </si>
  <si>
    <t>0.00% Fullerton India Credit Co Ltd (13-Apr-2022) **</t>
  </si>
  <si>
    <t>0.00% Aditya Birla Housing Finance Ltd (13-Apr-2022) **</t>
  </si>
  <si>
    <t>0.00% Bajaj Housing Finance Ltd (05-May-2022) **</t>
  </si>
  <si>
    <t>7.60% National Highways Authority Of India (18-Mar-2022)</t>
  </si>
  <si>
    <t>9.4756% Tata Capital Financial Services Ltd (08-Apr-2022) **</t>
  </si>
  <si>
    <t>9.05% Mahindra &amp; Mahindra Financial Services Ltd (18-Apr-2022) **</t>
  </si>
  <si>
    <t>0.00% Fullerton India Credit Co Ltd (19-Apr-2022) **</t>
  </si>
  <si>
    <t>9.3772% L&amp;T Housing Finance Limited (11-Mar-2022) **</t>
  </si>
  <si>
    <t>9.1791% Tata Capital Housing Finance Ltd (13-Apr-2022) **</t>
  </si>
  <si>
    <t>9.35% Gruh Finance Ltd (06-Apr-2022) **</t>
  </si>
  <si>
    <t>8.25% Tata Sons Pvt Ltd (23-Mar-2022) **</t>
  </si>
  <si>
    <t>8.40% Small Industries Development Bank Of India (10-Aug-2021) **</t>
  </si>
  <si>
    <t>8.37% National Bank For Agriculture And Rural Development (03-Aug-2021) **</t>
  </si>
  <si>
    <t>0.00% Sundaram Finance Ltd (31-Aug-2021) **</t>
  </si>
  <si>
    <t>0.00% Aditya Birla Finance Ltd (26-Jul-2021) **</t>
  </si>
  <si>
    <t>8.1352% Bajaj Housing Finance Ltd (04-Jun-2021) **</t>
  </si>
  <si>
    <t>0.00% LIC Housing Finance Ltd (25-Mar-2021) **</t>
  </si>
  <si>
    <t>0.00% Axis Finance Ltd (31-Aug-2021) **</t>
  </si>
  <si>
    <t>0.00% Aditya Birla Housing Finance Ltd (26-Jul-2021) **</t>
  </si>
  <si>
    <t>9.70% Power Finance Corp Ltd (09-Jun-2021) **</t>
  </si>
  <si>
    <t>0.00% Fullerton India Credit Co Ltd (15-Jul-2021) **</t>
  </si>
  <si>
    <t>8.25% L&amp;T Finance Ltd (21-Jun-2021) **</t>
  </si>
  <si>
    <t>8.05% Power Finance Corp Ltd (27-Apr-2021) **</t>
  </si>
  <si>
    <t>0.00% Sundaram Finance Ltd (15-Jun-2021) **</t>
  </si>
  <si>
    <t>9.00% ICICI Home Finance Company Ltd (27-May-2021) **</t>
  </si>
  <si>
    <t>0.00% Bajaj Housing Finance Ltd (06-Apr-2021) **</t>
  </si>
  <si>
    <t>7.88% LIC Housing Finance Ltd (28-Jan-2021) **</t>
  </si>
  <si>
    <t>8.70% Reliance Jio Infocomm Limited (15-Jun-2021) **</t>
  </si>
  <si>
    <t>0.00% Axis Finance Ltd (14-Jun-2021) **</t>
  </si>
  <si>
    <t>8.50% Small Industries Development Bank Of India (21-Jun-2021) **</t>
  </si>
  <si>
    <t>8.80% L&amp;T Housing Finance Limited (23-Jun-2021) **</t>
  </si>
  <si>
    <t>8.19% Mahindra Vehicle Manufactures Ltd (23-Feb-2021) **</t>
  </si>
  <si>
    <t>7.73% Housing &amp; Urban Development Corp Ltd (15-Apr-2021) **</t>
  </si>
  <si>
    <t>8.10% Mahindra &amp; Mahindra Financial Services Ltd (19-Apr-2021) **</t>
  </si>
  <si>
    <t>10.09% MRF Ltd (27-May-2021) **</t>
  </si>
  <si>
    <t>9.18% Power Finance Corp Ltd (15-Apr-2021) **</t>
  </si>
  <si>
    <t>0.00% HDB Financial Services Limited (06-Apr-2021) **</t>
  </si>
  <si>
    <t>8.25% Tata Sons Pvt Ltd (24-Mar-2021) **</t>
  </si>
  <si>
    <t>7.75% Power Finance Corp Ltd (15-Apr-2021) **</t>
  </si>
  <si>
    <t>7.68% Housing &amp; Urban Development Corp Ltd (05-Apr-2021) **</t>
  </si>
  <si>
    <t>0.00% Kotak Mahindra Prime Ltd (27-May-2021) **</t>
  </si>
  <si>
    <t>7.40% National Bank For Agriculture And Rural Development (01-Feb-2021) **</t>
  </si>
  <si>
    <t>0.00% Kotak Mahindra Prime Ltd (26-Apr-2021) **</t>
  </si>
  <si>
    <t>8.25% Tata Sons Pvt Ltd (23-Mar-2021) **</t>
  </si>
  <si>
    <t>7.73% Power Finance Corp Ltd (05-Apr-2021) **</t>
  </si>
  <si>
    <t>7.52% Small Industries Development Bank Of India (10-Feb-2021) **</t>
  </si>
  <si>
    <t>8.84% Power Grid Corp Of India Ltd (29-Mar-2021) **</t>
  </si>
  <si>
    <t>7.50% Bajaj Finance Ltd (10-Aug-2020) **</t>
  </si>
  <si>
    <t>9.60% LIC Housing Finance Ltd (07-Mar-2021) **</t>
  </si>
  <si>
    <t>7.14% Housing &amp; Urban Development Corp Ltd (22-Dec-2020) **</t>
  </si>
  <si>
    <t>7.94% HDB Financial Services Limited (15-Apr-2021) **</t>
  </si>
  <si>
    <t>7.85% Tata Sons Pvt Ltd (31-Jan-2021) **</t>
  </si>
  <si>
    <t>7.64% Can Fin Homes Ltd (28-Feb-2021) **</t>
  </si>
  <si>
    <t>8.33% NTPC Ltd (24-Feb-2021) **</t>
  </si>
  <si>
    <t>9.7% Power Finance Corp Ltd (30-Jan-2021) **</t>
  </si>
  <si>
    <t>8.62% India Infradebt Ltd (08-Mar-2021) **</t>
  </si>
  <si>
    <t>8.70% L&amp;T Infrastructure Debt Fund Ltd (24-Feb-2021) **</t>
  </si>
  <si>
    <t>8.78% NHPC Ltd (11-Feb-2021) **</t>
  </si>
  <si>
    <t>9.47% Power Grid Corp Of India Ltd (31-Mar-2021) **</t>
  </si>
  <si>
    <t>9.15% Export-Import Bank Of India (18-Mar-2021) **</t>
  </si>
  <si>
    <t>9.15% Export-Import Bank Of India (25-Feb-2021) **</t>
  </si>
  <si>
    <t>7.80% LIC Housing Finance Ltd (19-Mar-2020) **</t>
  </si>
  <si>
    <t>8.78% NTPC Ltd (09-Mar-2020) **</t>
  </si>
  <si>
    <t>8.36% Power Finance Corp Ltd (26-Feb-2020) **</t>
  </si>
  <si>
    <t>6.73% Indian Railway Finance Corp Ltd (23-Mar-2020) **</t>
  </si>
  <si>
    <t>Cognizant Technology Solutions Corp., A</t>
  </si>
  <si>
    <t>Twitter Inc.</t>
  </si>
  <si>
    <t>QUALCOMM Inc.</t>
  </si>
  <si>
    <t>Telecom - Equipment &amp; Accessories</t>
  </si>
  <si>
    <t>NVIDIA Corp.</t>
  </si>
  <si>
    <t>General Electric Co.</t>
  </si>
  <si>
    <t>8.85% REC Ltd (16-Apr-2029) **</t>
  </si>
  <si>
    <t>9.35% REC Ltd (15-Jun-2022) **</t>
  </si>
  <si>
    <t>8.97% REC Ltd (28-Mar-2029)</t>
  </si>
  <si>
    <t>8.80% REC Ltd (14-May-2029) **</t>
  </si>
  <si>
    <t>8.30% REC Ltd (25-Jun-2029) **</t>
  </si>
  <si>
    <t>7.70% REC Ltd (15-Mar-2021) **</t>
  </si>
  <si>
    <t>7.18% REC Ltd (21-May-2021) **</t>
  </si>
  <si>
    <t>8.35% REC Ltd (13-Mar-2022) **</t>
  </si>
  <si>
    <t>8.56% REC Ltd (13-Nov-2019) **</t>
  </si>
  <si>
    <t>8.80% REC Ltd (17-Nov-2019) **</t>
  </si>
  <si>
    <t>REC Ltd (07-Feb-2020) **</t>
  </si>
  <si>
    <t>REC Ltd (27-Sep-2019) **</t>
  </si>
  <si>
    <t>8.56% REC Ltd (29-Nov-2028) **</t>
  </si>
  <si>
    <t>8.87% REC Ltd (08-Mar-2020) **</t>
  </si>
  <si>
    <t>REC Ltd (04-Mar-2020)</t>
  </si>
  <si>
    <t>REC Ltd (19-Jun-2020) **</t>
  </si>
  <si>
    <t>8.45% REC Ltd (22-Mar-2022) **</t>
  </si>
  <si>
    <t>9.40% REC Ltd (17-Jul-2021) **</t>
  </si>
  <si>
    <t>7.73% REC Ltd (15-Jun-2021) **</t>
  </si>
  <si>
    <t>7.60% REC Ltd (17-Apr-2021) **</t>
  </si>
  <si>
    <t>LIC Housing Finance Ltd (28-May-2020) **</t>
  </si>
  <si>
    <t>0.00% LIC Housing Finance Ltd (25-Feb-2022)</t>
  </si>
  <si>
    <t>0.00% LIC Housing Finance Ltd (04-May-2022) **</t>
  </si>
  <si>
    <t>0.00% LIC Housing Finance Ltd (10-Sep-2019) **</t>
  </si>
  <si>
    <t>9.45% LIC Housing Finance Ltd (10-Sep-2019) **</t>
  </si>
  <si>
    <t>LIC Housing Finance Ltd (24-Mar-2020) **</t>
  </si>
  <si>
    <t>7.95% LIC Housing Finance Ltd (24-Mar-2022) **</t>
  </si>
  <si>
    <t>8.50% LIC Housing Finance Ltd (05-Jan-2021) **</t>
  </si>
  <si>
    <t>8.75% LIC Housing Finance Ltd (12-Feb-2021) **</t>
  </si>
  <si>
    <t>10.25% JM Financial Asset Reconstruction Co Ltd (31-Aug-2021) **</t>
  </si>
  <si>
    <t>11.50% JM Financial Asset Reconstruction Co Ltd (29-May-2022) **</t>
  </si>
  <si>
    <t>JM Financial Products Ltd (07-Jan-2020) **</t>
  </si>
  <si>
    <t>JM Financial Products Ltd (13-Mar-2020) **</t>
  </si>
  <si>
    <t>8.75% JM Financial Credit Solutions Ltd (12-Sep-2019) **</t>
  </si>
  <si>
    <t>JM Financial Services Ltd (06-Sep-2019) **</t>
  </si>
  <si>
    <t>JM Financial Services Ltd (19-Aug-2019) **</t>
  </si>
  <si>
    <t>JM Financial Capital Ltd (30-Aug-2019) **</t>
  </si>
  <si>
    <t>JM Financial Capital Ltd (28-Aug-2019) **</t>
  </si>
  <si>
    <t>JM Financial Services Ltd (18-Sep-2019) **</t>
  </si>
  <si>
    <t>11.50% JM Financial Asset Reconstruction Co Ltd (29-Mar-2022) **</t>
  </si>
  <si>
    <t>13.50% OPJ Trading Private Ltd (16-Oct-2020) **</t>
  </si>
  <si>
    <t>8.60% ONGC Petro Additions Ltd (11-Mar-2022) **</t>
  </si>
  <si>
    <t>8.85% ONGC Petro Additions Ltd (19-Apr-2022) **</t>
  </si>
  <si>
    <t>9.17% NTPC Ltd (21-Sep-2024) **</t>
  </si>
  <si>
    <t>0.00% HDB Financial Services Ltd (29-Oct-2021) **</t>
  </si>
  <si>
    <t>HDB Financial Services Ltd (16-Aug-2019) **</t>
  </si>
  <si>
    <t>0.00% HDB Financial Services Ltd (05-Apr-2022) **</t>
  </si>
  <si>
    <t>7.44% PNB Housing Finance Ltd (31-Oct-2019) **</t>
  </si>
  <si>
    <t>7.95% PNB Housing Finance Ltd (18-Oct-2019) **</t>
  </si>
  <si>
    <t>8.75% PNB Housing Finance Ltd (30-Aug-2021) **</t>
  </si>
  <si>
    <t>ICICI Bank Ltd (17-Jul-2020) **</t>
  </si>
  <si>
    <t>ICICI Bank Ltd (04-Mar-2020) **</t>
  </si>
  <si>
    <t>ICICI Bank Ltd (13-Aug-2019) **</t>
  </si>
  <si>
    <t>ICICI Securities Primary Dealership Ltd (09-Aug-2019) **</t>
  </si>
  <si>
    <t>HDFC Bank Ltd (06-Mar-2020) **</t>
  </si>
  <si>
    <t>Cooperatieve Rabobank (16-Mar-2020) **</t>
  </si>
  <si>
    <t>12.00% ECL Finance Ltd (24-Apr-2020) **</t>
  </si>
  <si>
    <t>10.15% ECL Finance Ltd (02-Aug-2019) **</t>
  </si>
  <si>
    <t>HT Media Ltd (28-Aug-2019) **</t>
  </si>
  <si>
    <t>HT Media Ltd (23-Sep-2019) **</t>
  </si>
  <si>
    <t>HT Media Ltd (05-Sep-2019) **</t>
  </si>
  <si>
    <t>SBI Cards &amp; Payment Services Pvt Ltd (02-Aug-2019)</t>
  </si>
  <si>
    <t>HSBC Investdirect Financial Services India Ltd (01-Aug-2019)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</si>
</sst>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(* #,##0.0000_);_(* \(#,##0.0000\);_(* &quot;-&quot;??_);_(@_)"/>
    <numFmt numFmtId="167" formatCode="_(* #,##0_);_(* \(#,##0\);_(* &quot;-&quot;??_);_(@_)"/>
    <numFmt numFmtId="168" formatCode="_-* #,##0.00_-;\-* #,##0.00_-;_-* &quot;-&quot;??_-;_-@_-"/>
    <numFmt numFmtId="169" formatCode="_-* #,##0_-;\-* #,##0_-;_-* &quot;-&quot;??_-;_-@_-"/>
    <numFmt numFmtId="170" formatCode="_ * #,##0.0000_ ;_ * \-#,##0.0000_ ;_ * &quot;-&quot;??_ ;_ @_ "/>
  </numFmts>
  <fonts count="8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8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4" fontId="2" fillId="0" borderId="2" xfId="0" applyNumberFormat="1" applyFont="1" applyBorder="1"/>
    <xf numFmtId="4" fontId="3" fillId="0" borderId="2" xfId="0" applyNumberFormat="1" applyFont="1" applyBorder="1"/>
    <xf numFmtId="4" fontId="3" fillId="0" borderId="3" xfId="0" applyNumberFormat="1" applyFont="1" applyBorder="1"/>
    <xf numFmtId="4" fontId="2" fillId="0" borderId="0" xfId="0" applyNumberFormat="1" applyFont="1"/>
    <xf numFmtId="3" fontId="3" fillId="0" borderId="1" xfId="0" applyNumberFormat="1" applyFont="1" applyBorder="1"/>
    <xf numFmtId="3" fontId="2" fillId="0" borderId="3" xfId="0" applyNumberFormat="1" applyFont="1" applyBorder="1"/>
    <xf numFmtId="3" fontId="2" fillId="0" borderId="2" xfId="0" applyNumberFormat="1" applyFont="1" applyBorder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4" xfId="2" applyFont="1" applyBorder="1"/>
    <xf numFmtId="0" fontId="2" fillId="0" borderId="5" xfId="2" applyFont="1" applyBorder="1"/>
    <xf numFmtId="0" fontId="3" fillId="0" borderId="6" xfId="2" applyFont="1" applyBorder="1" applyAlignment="1">
      <alignment horizontal="center"/>
    </xf>
    <xf numFmtId="0" fontId="6" fillId="0" borderId="4" xfId="3" applyFont="1" applyBorder="1" applyAlignment="1">
      <alignment vertical="center"/>
    </xf>
    <xf numFmtId="0" fontId="6" fillId="0" borderId="5" xfId="3" applyFont="1" applyBorder="1" applyAlignment="1">
      <alignment vertical="center"/>
    </xf>
    <xf numFmtId="166" fontId="6" fillId="0" borderId="3" xfId="3" applyNumberFormat="1" applyFont="1" applyBorder="1"/>
    <xf numFmtId="10" fontId="2" fillId="0" borderId="0" xfId="0" applyNumberFormat="1" applyFont="1"/>
    <xf numFmtId="2" fontId="2" fillId="0" borderId="2" xfId="0" applyNumberFormat="1" applyFont="1" applyBorder="1" applyAlignment="1">
      <alignment horizontal="right"/>
    </xf>
    <xf numFmtId="164" fontId="2" fillId="0" borderId="2" xfId="1" applyFont="1" applyBorder="1"/>
    <xf numFmtId="167" fontId="3" fillId="0" borderId="1" xfId="1" applyNumberFormat="1" applyFont="1" applyBorder="1"/>
    <xf numFmtId="167" fontId="2" fillId="0" borderId="3" xfId="1" applyNumberFormat="1" applyFont="1" applyBorder="1"/>
    <xf numFmtId="167" fontId="2" fillId="0" borderId="2" xfId="1" applyNumberFormat="1" applyFont="1" applyBorder="1"/>
    <xf numFmtId="167" fontId="2" fillId="0" borderId="0" xfId="1" applyNumberFormat="1" applyFont="1"/>
    <xf numFmtId="167" fontId="2" fillId="0" borderId="2" xfId="4" applyNumberFormat="1" applyFont="1" applyBorder="1"/>
    <xf numFmtId="4" fontId="3" fillId="0" borderId="2" xfId="4" applyNumberFormat="1" applyFont="1" applyBorder="1"/>
    <xf numFmtId="4" fontId="2" fillId="0" borderId="2" xfId="4" applyNumberFormat="1" applyFont="1" applyBorder="1"/>
    <xf numFmtId="0" fontId="3" fillId="0" borderId="2" xfId="0" applyFont="1" applyBorder="1"/>
    <xf numFmtId="0" fontId="2" fillId="0" borderId="2" xfId="0" applyFont="1" applyBorder="1"/>
    <xf numFmtId="4" fontId="2" fillId="0" borderId="2" xfId="0" applyNumberFormat="1" applyFont="1" applyBorder="1" applyAlignment="1">
      <alignment horizontal="right"/>
    </xf>
    <xf numFmtId="3" fontId="2" fillId="0" borderId="2" xfId="4" applyNumberFormat="1" applyFont="1" applyBorder="1"/>
    <xf numFmtId="168" fontId="2" fillId="0" borderId="2" xfId="0" applyNumberFormat="1" applyFont="1" applyBorder="1" applyAlignment="1">
      <alignment horizontal="right"/>
    </xf>
    <xf numFmtId="164" fontId="3" fillId="0" borderId="2" xfId="1" applyFont="1" applyBorder="1"/>
    <xf numFmtId="164" fontId="3" fillId="0" borderId="3" xfId="1" applyFont="1" applyBorder="1"/>
    <xf numFmtId="2" fontId="2" fillId="0" borderId="2" xfId="0" applyNumberFormat="1" applyFont="1" applyBorder="1" applyAlignment="1">
      <alignment wrapText="1"/>
    </xf>
    <xf numFmtId="164" fontId="3" fillId="0" borderId="3" xfId="1" applyFont="1" applyBorder="1" applyAlignment="1">
      <alignment horizontal="right"/>
    </xf>
    <xf numFmtId="164" fontId="2" fillId="0" borderId="0" xfId="1" applyFont="1"/>
    <xf numFmtId="164" fontId="2" fillId="0" borderId="2" xfId="1" applyNumberFormat="1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4" fontId="2" fillId="0" borderId="0" xfId="4" applyNumberFormat="1" applyFont="1"/>
    <xf numFmtId="2" fontId="2" fillId="0" borderId="2" xfId="5" applyNumberFormat="1" applyFont="1" applyBorder="1"/>
    <xf numFmtId="2" fontId="3" fillId="0" borderId="2" xfId="5" applyNumberFormat="1" applyFont="1" applyBorder="1"/>
    <xf numFmtId="4" fontId="3" fillId="0" borderId="2" xfId="1" applyNumberFormat="1" applyFont="1" applyBorder="1"/>
    <xf numFmtId="4" fontId="2" fillId="0" borderId="0" xfId="1" applyNumberFormat="1" applyFont="1"/>
    <xf numFmtId="4" fontId="2" fillId="0" borderId="2" xfId="1" applyNumberFormat="1" applyFont="1" applyBorder="1"/>
    <xf numFmtId="4" fontId="3" fillId="0" borderId="3" xfId="1" applyNumberFormat="1" applyFont="1" applyBorder="1"/>
    <xf numFmtId="0" fontId="6" fillId="0" borderId="4" xfId="3" applyFont="1" applyBorder="1" applyAlignment="1">
      <alignment horizontal="left"/>
    </xf>
    <xf numFmtId="0" fontId="6" fillId="0" borderId="5" xfId="3" applyFont="1" applyBorder="1" applyAlignment="1">
      <alignment horizontal="left"/>
    </xf>
    <xf numFmtId="166" fontId="6" fillId="0" borderId="6" xfId="3" applyNumberFormat="1" applyFont="1" applyBorder="1"/>
    <xf numFmtId="0" fontId="2" fillId="0" borderId="7" xfId="0" applyFont="1" applyBorder="1"/>
    <xf numFmtId="43" fontId="3" fillId="0" borderId="3" xfId="6" applyFont="1" applyBorder="1"/>
    <xf numFmtId="0" fontId="2" fillId="0" borderId="8" xfId="0" applyFont="1" applyBorder="1"/>
    <xf numFmtId="43" fontId="2" fillId="0" borderId="2" xfId="6" applyFont="1" applyBorder="1"/>
    <xf numFmtId="43" fontId="3" fillId="0" borderId="2" xfId="6" applyFont="1" applyBorder="1"/>
    <xf numFmtId="1" fontId="2" fillId="0" borderId="2" xfId="0" applyNumberFormat="1" applyFont="1" applyBorder="1"/>
    <xf numFmtId="43" fontId="3" fillId="0" borderId="2" xfId="6" applyFont="1" applyBorder="1" applyAlignment="1">
      <alignment horizontal="right"/>
    </xf>
    <xf numFmtId="169" fontId="2" fillId="0" borderId="2" xfId="6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43" fontId="2" fillId="0" borderId="2" xfId="6" applyFont="1" applyBorder="1" applyAlignment="1">
      <alignment horizontal="right"/>
    </xf>
    <xf numFmtId="10" fontId="3" fillId="0" borderId="2" xfId="0" applyNumberFormat="1" applyFont="1" applyBorder="1"/>
    <xf numFmtId="10" fontId="2" fillId="0" borderId="8" xfId="0" applyNumberFormat="1" applyFont="1" applyBorder="1"/>
    <xf numFmtId="43" fontId="2" fillId="0" borderId="0" xfId="6" applyFont="1"/>
    <xf numFmtId="10" fontId="2" fillId="0" borderId="0" xfId="5" applyNumberFormat="1" applyFont="1"/>
    <xf numFmtId="166" fontId="6" fillId="0" borderId="0" xfId="3" applyNumberFormat="1" applyFont="1"/>
    <xf numFmtId="0" fontId="6" fillId="0" borderId="0" xfId="3" applyFont="1" applyAlignment="1">
      <alignment vertical="center"/>
    </xf>
    <xf numFmtId="0" fontId="2" fillId="0" borderId="6" xfId="2" applyFont="1" applyBorder="1"/>
    <xf numFmtId="0" fontId="3" fillId="0" borderId="6" xfId="2" applyFont="1" applyBorder="1"/>
    <xf numFmtId="43" fontId="3" fillId="0" borderId="0" xfId="6" applyFont="1"/>
    <xf numFmtId="0" fontId="2" fillId="0" borderId="3" xfId="0" applyFont="1" applyBorder="1"/>
    <xf numFmtId="0" fontId="3" fillId="0" borderId="3" xfId="0" applyFont="1" applyBorder="1"/>
    <xf numFmtId="4" fontId="2" fillId="0" borderId="2" xfId="6" applyNumberFormat="1" applyFont="1" applyBorder="1" applyAlignment="1">
      <alignment horizontal="right"/>
    </xf>
    <xf numFmtId="0" fontId="2" fillId="0" borderId="2" xfId="6" applyNumberFormat="1" applyFont="1" applyBorder="1" applyAlignment="1">
      <alignment horizontal="right"/>
    </xf>
    <xf numFmtId="43" fontId="2" fillId="0" borderId="3" xfId="6" applyFont="1" applyBorder="1"/>
    <xf numFmtId="43" fontId="3" fillId="0" borderId="1" xfId="6" applyFont="1" applyBorder="1"/>
    <xf numFmtId="0" fontId="3" fillId="0" borderId="1" xfId="0" applyFont="1" applyBorder="1"/>
    <xf numFmtId="0" fontId="6" fillId="0" borderId="5" xfId="3" applyFont="1" applyBorder="1"/>
    <xf numFmtId="0" fontId="6" fillId="0" borderId="4" xfId="3" applyFont="1" applyBorder="1"/>
    <xf numFmtId="0" fontId="7" fillId="0" borderId="0" xfId="0" applyFont="1"/>
    <xf numFmtId="0" fontId="2" fillId="0" borderId="9" xfId="0" applyFont="1" applyBorder="1"/>
    <xf numFmtId="0" fontId="2" fillId="0" borderId="11" xfId="2" applyFont="1" applyBorder="1"/>
    <xf numFmtId="0" fontId="3" fillId="0" borderId="12" xfId="2" applyFont="1" applyBorder="1"/>
    <xf numFmtId="0" fontId="3" fillId="0" borderId="5" xfId="2" applyFont="1" applyBorder="1"/>
    <xf numFmtId="2" fontId="3" fillId="0" borderId="5" xfId="2" applyNumberFormat="1" applyFont="1" applyBorder="1"/>
    <xf numFmtId="2" fontId="3" fillId="0" borderId="4" xfId="2" applyNumberFormat="1" applyFont="1" applyBorder="1"/>
    <xf numFmtId="165" fontId="2" fillId="0" borderId="0" xfId="0" applyNumberFormat="1" applyFont="1" applyAlignment="1">
      <alignment horizontal="right"/>
    </xf>
    <xf numFmtId="166" fontId="2" fillId="0" borderId="3" xfId="6" applyNumberFormat="1" applyFont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0" fontId="6" fillId="0" borderId="0" xfId="3" applyFont="1" applyAlignment="1">
      <alignment horizontal="left"/>
    </xf>
    <xf numFmtId="170" fontId="2" fillId="0" borderId="3" xfId="6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13" xfId="0" applyFont="1" applyBorder="1"/>
    <xf numFmtId="2" fontId="1" fillId="2" borderId="0" xfId="0" applyNumberFormat="1" applyFont="1" applyFill="1" applyAlignment="1">
      <alignment horizontal="center"/>
    </xf>
    <xf numFmtId="2" fontId="3" fillId="0" borderId="4" xfId="2" applyNumberFormat="1" applyFont="1" applyBorder="1" applyAlignment="1">
      <alignment horizontal="center"/>
    </xf>
    <xf numFmtId="2" fontId="3" fillId="0" borderId="5" xfId="2" applyNumberFormat="1" applyFont="1" applyBorder="1" applyAlignment="1">
      <alignment horizontal="center"/>
    </xf>
    <xf numFmtId="0" fontId="6" fillId="0" borderId="4" xfId="3" applyFont="1" applyBorder="1" applyAlignment="1">
      <alignment horizontal="left"/>
    </xf>
    <xf numFmtId="0" fontId="6" fillId="0" borderId="5" xfId="3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5" xfId="2" applyFont="1" applyBorder="1" applyAlignment="1">
      <alignment horizontal="left"/>
    </xf>
    <xf numFmtId="0" fontId="6" fillId="0" borderId="4" xfId="3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2" fontId="3" fillId="0" borderId="1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2" fontId="3" fillId="0" borderId="6" xfId="2" applyNumberFormat="1" applyFont="1" applyBorder="1" applyAlignment="1">
      <alignment horizontal="center"/>
    </xf>
    <xf numFmtId="0" fontId="6" fillId="0" borderId="6" xfId="3" applyFont="1" applyBorder="1" applyAlignment="1">
      <alignment horizontal="left"/>
    </xf>
    <xf numFmtId="0" fontId="6" fillId="0" borderId="10" xfId="3" applyFont="1" applyBorder="1" applyAlignment="1">
      <alignment horizontal="left"/>
    </xf>
    <xf numFmtId="0" fontId="6" fillId="0" borderId="7" xfId="3" applyFont="1" applyBorder="1" applyAlignment="1">
      <alignment horizontal="left"/>
    </xf>
  </cellXfs>
  <cellStyles count="7">
    <cellStyle name="Comma" xfId="1" builtinId="3"/>
    <cellStyle name="Comma 2" xfId="4" xr:uid="{E51B6F45-7398-4C46-8951-4869581793A9}"/>
    <cellStyle name="Comma 3" xfId="6" xr:uid="{EB9BD376-4599-4D11-ADEF-F74D10E8B4AE}"/>
    <cellStyle name="Normal" xfId="0" builtinId="0"/>
    <cellStyle name="Normal 2" xfId="3" xr:uid="{B32941A4-28F2-4967-B43B-667E47DE5056}"/>
    <cellStyle name="Normal 3" xfId="2" xr:uid="{A1B72697-2FE7-47CC-A1B1-DB3088A2A9B8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4C1F-9E92-4AFF-A97B-3C0B8EED68E4}">
  <dimension ref="A1:F71"/>
  <sheetViews>
    <sheetView showGridLines="0" tabSelected="1" workbookViewId="0">
      <selection sqref="A1:F1"/>
    </sheetView>
  </sheetViews>
  <sheetFormatPr defaultRowHeight="11.25" x14ac:dyDescent="0.2"/>
  <cols>
    <col min="1" max="1" width="58.7109375" style="1" bestFit="1" customWidth="1"/>
    <col min="2" max="2" width="27.5703125" style="1" bestFit="1" customWidth="1"/>
    <col min="3" max="3" width="23.5703125" style="1" customWidth="1"/>
    <col min="4" max="4" width="10.5703125" style="19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592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17"/>
      <c r="E4" s="5"/>
      <c r="F4" s="5"/>
    </row>
    <row r="5" spans="1:6" x14ac:dyDescent="0.2">
      <c r="A5" s="6" t="s">
        <v>7</v>
      </c>
      <c r="B5" s="7"/>
      <c r="C5" s="7"/>
      <c r="D5" s="18"/>
      <c r="E5" s="7"/>
      <c r="F5" s="7"/>
    </row>
    <row r="6" spans="1:6" x14ac:dyDescent="0.2">
      <c r="A6" s="6" t="s">
        <v>8</v>
      </c>
      <c r="B6" s="7"/>
      <c r="C6" s="7"/>
      <c r="D6" s="18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18">
        <v>1000000</v>
      </c>
      <c r="E7" s="12">
        <v>4246</v>
      </c>
      <c r="F7" s="12">
        <v>8.583526328828686</v>
      </c>
    </row>
    <row r="8" spans="1:6" x14ac:dyDescent="0.2">
      <c r="A8" s="7" t="s">
        <v>9</v>
      </c>
      <c r="B8" s="7" t="s">
        <v>10</v>
      </c>
      <c r="C8" s="7" t="s">
        <v>11</v>
      </c>
      <c r="D8" s="18">
        <v>160000</v>
      </c>
      <c r="E8" s="12">
        <v>3602.64</v>
      </c>
      <c r="F8" s="12">
        <v>7.2829381284247239</v>
      </c>
    </row>
    <row r="9" spans="1:6" x14ac:dyDescent="0.2">
      <c r="A9" s="7" t="s">
        <v>180</v>
      </c>
      <c r="B9" s="7" t="s">
        <v>181</v>
      </c>
      <c r="C9" s="7" t="s">
        <v>78</v>
      </c>
      <c r="D9" s="18">
        <v>450000</v>
      </c>
      <c r="E9" s="12">
        <v>3571.4250000000002</v>
      </c>
      <c r="F9" s="12">
        <v>7.2198352611721601</v>
      </c>
    </row>
    <row r="10" spans="1:6" x14ac:dyDescent="0.2">
      <c r="A10" s="7" t="s">
        <v>196</v>
      </c>
      <c r="B10" s="7" t="s">
        <v>197</v>
      </c>
      <c r="C10" s="7" t="s">
        <v>57</v>
      </c>
      <c r="D10" s="18">
        <v>250000</v>
      </c>
      <c r="E10" s="12">
        <v>1970.875</v>
      </c>
      <c r="F10" s="12">
        <v>3.9842339739355239</v>
      </c>
    </row>
    <row r="11" spans="1:6" x14ac:dyDescent="0.2">
      <c r="A11" s="7" t="s">
        <v>238</v>
      </c>
      <c r="B11" s="7" t="s">
        <v>239</v>
      </c>
      <c r="C11" s="7" t="s">
        <v>240</v>
      </c>
      <c r="D11" s="18">
        <v>340000</v>
      </c>
      <c r="E11" s="12">
        <v>1960.95</v>
      </c>
      <c r="F11" s="12">
        <v>3.9641700316807844</v>
      </c>
    </row>
    <row r="12" spans="1:6" x14ac:dyDescent="0.2">
      <c r="A12" s="7" t="s">
        <v>184</v>
      </c>
      <c r="B12" s="7" t="s">
        <v>185</v>
      </c>
      <c r="C12" s="7" t="s">
        <v>78</v>
      </c>
      <c r="D12" s="18">
        <v>170000</v>
      </c>
      <c r="E12" s="12">
        <v>1758.7349999999999</v>
      </c>
      <c r="F12" s="12">
        <v>3.5553811064372396</v>
      </c>
    </row>
    <row r="13" spans="1:6" x14ac:dyDescent="0.2">
      <c r="A13" s="7" t="s">
        <v>163</v>
      </c>
      <c r="B13" s="7" t="s">
        <v>599</v>
      </c>
      <c r="C13" s="7" t="s">
        <v>39</v>
      </c>
      <c r="D13" s="18">
        <v>2300000</v>
      </c>
      <c r="E13" s="12">
        <v>1498.45</v>
      </c>
      <c r="F13" s="12">
        <v>3.0292004303893885</v>
      </c>
    </row>
    <row r="14" spans="1:6" x14ac:dyDescent="0.2">
      <c r="A14" s="7" t="s">
        <v>182</v>
      </c>
      <c r="B14" s="7" t="s">
        <v>183</v>
      </c>
      <c r="C14" s="7" t="s">
        <v>39</v>
      </c>
      <c r="D14" s="18">
        <v>270000</v>
      </c>
      <c r="E14" s="12">
        <v>1485</v>
      </c>
      <c r="F14" s="12">
        <v>3.0020105036058875</v>
      </c>
    </row>
    <row r="15" spans="1:6" x14ac:dyDescent="0.2">
      <c r="A15" s="7" t="s">
        <v>320</v>
      </c>
      <c r="B15" s="7" t="s">
        <v>321</v>
      </c>
      <c r="C15" s="7" t="s">
        <v>322</v>
      </c>
      <c r="D15" s="18">
        <v>700000</v>
      </c>
      <c r="E15" s="12">
        <v>1431.15</v>
      </c>
      <c r="F15" s="12">
        <v>2.8931497186771487</v>
      </c>
    </row>
    <row r="16" spans="1:6" x14ac:dyDescent="0.2">
      <c r="A16" s="7" t="s">
        <v>316</v>
      </c>
      <c r="B16" s="7" t="s">
        <v>317</v>
      </c>
      <c r="C16" s="7" t="s">
        <v>33</v>
      </c>
      <c r="D16" s="18">
        <v>170000</v>
      </c>
      <c r="E16" s="12">
        <v>1394.085</v>
      </c>
      <c r="F16" s="12">
        <v>2.8182207494406826</v>
      </c>
    </row>
    <row r="17" spans="1:6" x14ac:dyDescent="0.2">
      <c r="A17" s="7" t="s">
        <v>329</v>
      </c>
      <c r="B17" s="7" t="s">
        <v>330</v>
      </c>
      <c r="C17" s="7" t="s">
        <v>57</v>
      </c>
      <c r="D17" s="18">
        <v>140000</v>
      </c>
      <c r="E17" s="12">
        <v>1352.4</v>
      </c>
      <c r="F17" s="12">
        <v>2.7339521919707761</v>
      </c>
    </row>
    <row r="18" spans="1:6" x14ac:dyDescent="0.2">
      <c r="A18" s="7" t="s">
        <v>115</v>
      </c>
      <c r="B18" s="7" t="s">
        <v>116</v>
      </c>
      <c r="C18" s="7" t="s">
        <v>117</v>
      </c>
      <c r="D18" s="18">
        <v>1000000</v>
      </c>
      <c r="E18" s="12">
        <v>1265.5</v>
      </c>
      <c r="F18" s="12">
        <v>2.5582789847227274</v>
      </c>
    </row>
    <row r="19" spans="1:6" x14ac:dyDescent="0.2">
      <c r="A19" s="7" t="s">
        <v>143</v>
      </c>
      <c r="B19" s="7" t="s">
        <v>144</v>
      </c>
      <c r="C19" s="7" t="s">
        <v>39</v>
      </c>
      <c r="D19" s="18">
        <v>50000</v>
      </c>
      <c r="E19" s="12">
        <v>1178.05</v>
      </c>
      <c r="F19" s="12">
        <v>2.3814939217326034</v>
      </c>
    </row>
    <row r="20" spans="1:6" x14ac:dyDescent="0.2">
      <c r="A20" s="7" t="s">
        <v>419</v>
      </c>
      <c r="B20" s="7" t="s">
        <v>420</v>
      </c>
      <c r="C20" s="7" t="s">
        <v>27</v>
      </c>
      <c r="D20" s="18">
        <v>750000</v>
      </c>
      <c r="E20" s="12">
        <v>1155.75</v>
      </c>
      <c r="F20" s="12">
        <v>2.3364132252811478</v>
      </c>
    </row>
    <row r="21" spans="1:6" x14ac:dyDescent="0.2">
      <c r="A21" s="7" t="s">
        <v>204</v>
      </c>
      <c r="B21" s="7" t="s">
        <v>205</v>
      </c>
      <c r="C21" s="7" t="s">
        <v>188</v>
      </c>
      <c r="D21" s="18">
        <v>500000</v>
      </c>
      <c r="E21" s="12">
        <v>1139</v>
      </c>
      <c r="F21" s="12">
        <v>2.3025521640451889</v>
      </c>
    </row>
    <row r="22" spans="1:6" x14ac:dyDescent="0.2">
      <c r="A22" s="7" t="s">
        <v>255</v>
      </c>
      <c r="B22" s="7" t="s">
        <v>256</v>
      </c>
      <c r="C22" s="7" t="s">
        <v>33</v>
      </c>
      <c r="D22" s="18">
        <v>1000000</v>
      </c>
      <c r="E22" s="12">
        <v>1125</v>
      </c>
      <c r="F22" s="12">
        <v>2.2742503815196118</v>
      </c>
    </row>
    <row r="23" spans="1:6" x14ac:dyDescent="0.2">
      <c r="A23" s="7" t="s">
        <v>221</v>
      </c>
      <c r="B23" s="7" t="s">
        <v>222</v>
      </c>
      <c r="C23" s="7" t="s">
        <v>33</v>
      </c>
      <c r="D23" s="18">
        <v>150000</v>
      </c>
      <c r="E23" s="12">
        <v>1064.175</v>
      </c>
      <c r="F23" s="12">
        <v>2.1512892442254512</v>
      </c>
    </row>
    <row r="24" spans="1:6" x14ac:dyDescent="0.2">
      <c r="A24" s="7" t="s">
        <v>111</v>
      </c>
      <c r="B24" s="7" t="s">
        <v>112</v>
      </c>
      <c r="C24" s="7" t="s">
        <v>11</v>
      </c>
      <c r="D24" s="18">
        <v>300000</v>
      </c>
      <c r="E24" s="12">
        <v>996.6</v>
      </c>
      <c r="F24" s="12">
        <v>2.0146826046421733</v>
      </c>
    </row>
    <row r="25" spans="1:6" x14ac:dyDescent="0.2">
      <c r="A25" s="7" t="s">
        <v>34</v>
      </c>
      <c r="B25" s="7" t="s">
        <v>35</v>
      </c>
      <c r="C25" s="7" t="s">
        <v>36</v>
      </c>
      <c r="D25" s="18">
        <v>350000</v>
      </c>
      <c r="E25" s="12">
        <v>880.6</v>
      </c>
      <c r="F25" s="12">
        <v>1.780182120858818</v>
      </c>
    </row>
    <row r="26" spans="1:6" x14ac:dyDescent="0.2">
      <c r="A26" s="7" t="s">
        <v>472</v>
      </c>
      <c r="B26" s="7" t="s">
        <v>473</v>
      </c>
      <c r="C26" s="7" t="s">
        <v>36</v>
      </c>
      <c r="D26" s="18">
        <v>270000</v>
      </c>
      <c r="E26" s="12">
        <v>864.27</v>
      </c>
      <c r="F26" s="12">
        <v>1.7471701130986266</v>
      </c>
    </row>
    <row r="27" spans="1:6" x14ac:dyDescent="0.2">
      <c r="A27" s="7" t="s">
        <v>25</v>
      </c>
      <c r="B27" s="7" t="s">
        <v>26</v>
      </c>
      <c r="C27" s="7" t="s">
        <v>27</v>
      </c>
      <c r="D27" s="18">
        <v>450000</v>
      </c>
      <c r="E27" s="12">
        <v>857.47500000000002</v>
      </c>
      <c r="F27" s="12">
        <v>1.7334336407942481</v>
      </c>
    </row>
    <row r="28" spans="1:6" x14ac:dyDescent="0.2">
      <c r="A28" s="7" t="s">
        <v>139</v>
      </c>
      <c r="B28" s="7" t="s">
        <v>140</v>
      </c>
      <c r="C28" s="7" t="s">
        <v>54</v>
      </c>
      <c r="D28" s="18">
        <v>600000</v>
      </c>
      <c r="E28" s="12">
        <v>833.1</v>
      </c>
      <c r="F28" s="12">
        <v>1.6841582158613231</v>
      </c>
    </row>
    <row r="29" spans="1:6" x14ac:dyDescent="0.2">
      <c r="A29" s="7" t="s">
        <v>241</v>
      </c>
      <c r="B29" s="7" t="s">
        <v>242</v>
      </c>
      <c r="C29" s="7" t="s">
        <v>243</v>
      </c>
      <c r="D29" s="18">
        <v>500000</v>
      </c>
      <c r="E29" s="12">
        <v>787.5</v>
      </c>
      <c r="F29" s="12">
        <v>1.5919752670637282</v>
      </c>
    </row>
    <row r="30" spans="1:6" x14ac:dyDescent="0.2">
      <c r="A30" s="7" t="s">
        <v>247</v>
      </c>
      <c r="B30" s="7" t="s">
        <v>248</v>
      </c>
      <c r="C30" s="7" t="s">
        <v>11</v>
      </c>
      <c r="D30" s="18">
        <v>850000</v>
      </c>
      <c r="E30" s="12">
        <v>785.4</v>
      </c>
      <c r="F30" s="12">
        <v>1.5877299996848917</v>
      </c>
    </row>
    <row r="31" spans="1:6" x14ac:dyDescent="0.2">
      <c r="A31" s="7" t="s">
        <v>186</v>
      </c>
      <c r="B31" s="7" t="s">
        <v>187</v>
      </c>
      <c r="C31" s="7" t="s">
        <v>188</v>
      </c>
      <c r="D31" s="18">
        <v>30000</v>
      </c>
      <c r="E31" s="12">
        <v>772.38</v>
      </c>
      <c r="F31" s="12">
        <v>1.5614093419361046</v>
      </c>
    </row>
    <row r="32" spans="1:6" x14ac:dyDescent="0.2">
      <c r="A32" s="7" t="s">
        <v>206</v>
      </c>
      <c r="B32" s="7" t="s">
        <v>207</v>
      </c>
      <c r="C32" s="7" t="s">
        <v>11</v>
      </c>
      <c r="D32" s="18">
        <v>809000</v>
      </c>
      <c r="E32" s="12">
        <v>737.80799999999999</v>
      </c>
      <c r="F32" s="12">
        <v>1.4915201115450858</v>
      </c>
    </row>
    <row r="33" spans="1:6" x14ac:dyDescent="0.2">
      <c r="A33" s="7" t="s">
        <v>326</v>
      </c>
      <c r="B33" s="7" t="s">
        <v>327</v>
      </c>
      <c r="C33" s="7" t="s">
        <v>328</v>
      </c>
      <c r="D33" s="18">
        <v>80000</v>
      </c>
      <c r="E33" s="12">
        <v>728.48</v>
      </c>
      <c r="F33" s="12">
        <v>1.4726630381594727</v>
      </c>
    </row>
    <row r="34" spans="1:6" x14ac:dyDescent="0.2">
      <c r="A34" s="7" t="s">
        <v>331</v>
      </c>
      <c r="B34" s="7" t="s">
        <v>332</v>
      </c>
      <c r="C34" s="7" t="s">
        <v>188</v>
      </c>
      <c r="D34" s="18">
        <v>300000</v>
      </c>
      <c r="E34" s="12">
        <v>679.65</v>
      </c>
      <c r="F34" s="12">
        <v>1.3739504638220479</v>
      </c>
    </row>
    <row r="35" spans="1:6" x14ac:dyDescent="0.2">
      <c r="A35" s="7" t="s">
        <v>318</v>
      </c>
      <c r="B35" s="7" t="s">
        <v>319</v>
      </c>
      <c r="C35" s="7" t="s">
        <v>134</v>
      </c>
      <c r="D35" s="18">
        <v>600000</v>
      </c>
      <c r="E35" s="12">
        <v>646.20000000000005</v>
      </c>
      <c r="F35" s="12">
        <v>1.3063294191448649</v>
      </c>
    </row>
    <row r="36" spans="1:6" x14ac:dyDescent="0.2">
      <c r="A36" s="7" t="s">
        <v>266</v>
      </c>
      <c r="B36" s="7" t="s">
        <v>267</v>
      </c>
      <c r="C36" s="7" t="s">
        <v>78</v>
      </c>
      <c r="D36" s="18">
        <v>100000</v>
      </c>
      <c r="E36" s="12">
        <v>636.25</v>
      </c>
      <c r="F36" s="12">
        <v>1.2862149379927583</v>
      </c>
    </row>
    <row r="37" spans="1:6" x14ac:dyDescent="0.2">
      <c r="A37" s="7" t="s">
        <v>236</v>
      </c>
      <c r="B37" s="7" t="s">
        <v>237</v>
      </c>
      <c r="C37" s="7" t="s">
        <v>57</v>
      </c>
      <c r="D37" s="18">
        <v>70000</v>
      </c>
      <c r="E37" s="12">
        <v>623.98</v>
      </c>
      <c r="F37" s="12">
        <v>1.2614104471649843</v>
      </c>
    </row>
    <row r="38" spans="1:6" x14ac:dyDescent="0.2">
      <c r="A38" s="7" t="s">
        <v>145</v>
      </c>
      <c r="B38" s="7" t="s">
        <v>146</v>
      </c>
      <c r="C38" s="7" t="s">
        <v>131</v>
      </c>
      <c r="D38" s="18">
        <v>440000</v>
      </c>
      <c r="E38" s="12">
        <v>566.94000000000005</v>
      </c>
      <c r="F38" s="12">
        <v>1.1461008989322035</v>
      </c>
    </row>
    <row r="39" spans="1:6" x14ac:dyDescent="0.2">
      <c r="A39" s="7" t="s">
        <v>40</v>
      </c>
      <c r="B39" s="7" t="s">
        <v>41</v>
      </c>
      <c r="C39" s="7" t="s">
        <v>42</v>
      </c>
      <c r="D39" s="18">
        <v>8000000</v>
      </c>
      <c r="E39" s="12">
        <v>548</v>
      </c>
      <c r="F39" s="12">
        <v>1.1078126302868865</v>
      </c>
    </row>
    <row r="40" spans="1:6" x14ac:dyDescent="0.2">
      <c r="A40" s="7" t="s">
        <v>153</v>
      </c>
      <c r="B40" s="7" t="s">
        <v>154</v>
      </c>
      <c r="C40" s="7" t="s">
        <v>27</v>
      </c>
      <c r="D40" s="18">
        <v>1200000</v>
      </c>
      <c r="E40" s="12">
        <v>546.6</v>
      </c>
      <c r="F40" s="12">
        <v>1.1049824520343288</v>
      </c>
    </row>
    <row r="41" spans="1:6" x14ac:dyDescent="0.2">
      <c r="A41" s="7" t="s">
        <v>376</v>
      </c>
      <c r="B41" s="7" t="s">
        <v>377</v>
      </c>
      <c r="C41" s="7" t="s">
        <v>36</v>
      </c>
      <c r="D41" s="18">
        <v>200000</v>
      </c>
      <c r="E41" s="12">
        <v>540.4</v>
      </c>
      <c r="F41" s="12">
        <v>1.0924488054872872</v>
      </c>
    </row>
    <row r="42" spans="1:6" x14ac:dyDescent="0.2">
      <c r="A42" s="7" t="s">
        <v>593</v>
      </c>
      <c r="B42" s="7" t="s">
        <v>594</v>
      </c>
      <c r="C42" s="7" t="s">
        <v>19</v>
      </c>
      <c r="D42" s="18">
        <v>370000</v>
      </c>
      <c r="E42" s="12">
        <v>467.68</v>
      </c>
      <c r="F42" s="12">
        <v>0.94544126082585955</v>
      </c>
    </row>
    <row r="43" spans="1:6" x14ac:dyDescent="0.2">
      <c r="A43" s="7" t="s">
        <v>364</v>
      </c>
      <c r="B43" s="7" t="s">
        <v>365</v>
      </c>
      <c r="C43" s="7" t="s">
        <v>122</v>
      </c>
      <c r="D43" s="18">
        <v>40000</v>
      </c>
      <c r="E43" s="12">
        <v>466.5</v>
      </c>
      <c r="F43" s="12">
        <v>0.9430558248701324</v>
      </c>
    </row>
    <row r="44" spans="1:6" x14ac:dyDescent="0.2">
      <c r="A44" s="7" t="s">
        <v>526</v>
      </c>
      <c r="B44" s="7" t="s">
        <v>527</v>
      </c>
      <c r="C44" s="7" t="s">
        <v>78</v>
      </c>
      <c r="D44" s="18">
        <v>60000</v>
      </c>
      <c r="E44" s="12">
        <v>357.96</v>
      </c>
      <c r="F44" s="12">
        <v>0.72363614806112009</v>
      </c>
    </row>
    <row r="45" spans="1:6" x14ac:dyDescent="0.2">
      <c r="A45" s="7" t="s">
        <v>268</v>
      </c>
      <c r="B45" s="7" t="s">
        <v>269</v>
      </c>
      <c r="C45" s="7" t="s">
        <v>270</v>
      </c>
      <c r="D45" s="18">
        <v>200000</v>
      </c>
      <c r="E45" s="12">
        <v>266.2</v>
      </c>
      <c r="F45" s="12">
        <v>0.53813817916490725</v>
      </c>
    </row>
    <row r="46" spans="1:6" x14ac:dyDescent="0.2">
      <c r="A46" s="7" t="s">
        <v>595</v>
      </c>
      <c r="B46" s="7" t="s">
        <v>596</v>
      </c>
      <c r="C46" s="7" t="s">
        <v>270</v>
      </c>
      <c r="D46" s="18">
        <v>500000</v>
      </c>
      <c r="E46" s="12">
        <v>265.25</v>
      </c>
      <c r="F46" s="12">
        <v>0.53621770106495736</v>
      </c>
    </row>
    <row r="47" spans="1:6" x14ac:dyDescent="0.2">
      <c r="A47" s="7" t="s">
        <v>120</v>
      </c>
      <c r="B47" s="7" t="s">
        <v>121</v>
      </c>
      <c r="C47" s="7" t="s">
        <v>122</v>
      </c>
      <c r="D47" s="18">
        <v>75000</v>
      </c>
      <c r="E47" s="12">
        <v>259.125</v>
      </c>
      <c r="F47" s="12">
        <v>0.52383567121001728</v>
      </c>
    </row>
    <row r="48" spans="1:6" x14ac:dyDescent="0.2">
      <c r="A48" s="7" t="s">
        <v>597</v>
      </c>
      <c r="B48" s="7" t="s">
        <v>598</v>
      </c>
      <c r="C48" s="7" t="s">
        <v>36</v>
      </c>
      <c r="D48" s="18">
        <v>68736</v>
      </c>
      <c r="E48" s="12">
        <v>50.795904</v>
      </c>
      <c r="F48" s="12">
        <v>0.10268675915700762</v>
      </c>
    </row>
    <row r="49" spans="1:6" x14ac:dyDescent="0.2">
      <c r="A49" s="6" t="s">
        <v>43</v>
      </c>
      <c r="B49" s="7"/>
      <c r="C49" s="7"/>
      <c r="D49" s="18"/>
      <c r="E49" s="13">
        <f xml:space="preserve"> SUM(E7:E48)</f>
        <v>46364.328903999995</v>
      </c>
      <c r="F49" s="13">
        <f>SUM(F7:F48)</f>
        <v>93.728082398953561</v>
      </c>
    </row>
    <row r="50" spans="1:6" x14ac:dyDescent="0.2">
      <c r="A50" s="7"/>
      <c r="B50" s="7"/>
      <c r="C50" s="7"/>
      <c r="D50" s="18"/>
      <c r="E50" s="12"/>
      <c r="F50" s="12"/>
    </row>
    <row r="51" spans="1:6" x14ac:dyDescent="0.2">
      <c r="A51" s="6" t="s">
        <v>101</v>
      </c>
      <c r="B51" s="7"/>
      <c r="C51" s="7"/>
      <c r="D51" s="18"/>
      <c r="E51" s="13">
        <v>3102.5200033000001</v>
      </c>
      <c r="F51" s="13">
        <v>6.27</v>
      </c>
    </row>
    <row r="52" spans="1:6" x14ac:dyDescent="0.2">
      <c r="A52" s="7"/>
      <c r="B52" s="7"/>
      <c r="C52" s="7"/>
      <c r="D52" s="18"/>
      <c r="E52" s="12"/>
      <c r="F52" s="12"/>
    </row>
    <row r="53" spans="1:6" x14ac:dyDescent="0.2">
      <c r="A53" s="8" t="s">
        <v>102</v>
      </c>
      <c r="B53" s="5"/>
      <c r="C53" s="5"/>
      <c r="D53" s="17"/>
      <c r="E53" s="14">
        <v>49466.848907299995</v>
      </c>
      <c r="F53" s="14">
        <f xml:space="preserve"> ROUND(SUM(F49:F52),2)</f>
        <v>100</v>
      </c>
    </row>
    <row r="55" spans="1:6" x14ac:dyDescent="0.2">
      <c r="A55" s="4" t="s">
        <v>103</v>
      </c>
      <c r="B55" s="2"/>
      <c r="C55" s="2"/>
      <c r="D55" s="2"/>
    </row>
    <row r="56" spans="1:6" x14ac:dyDescent="0.2">
      <c r="A56" s="4" t="s">
        <v>104</v>
      </c>
      <c r="B56" s="2"/>
      <c r="C56" s="2"/>
      <c r="D56" s="2"/>
    </row>
    <row r="57" spans="1:6" x14ac:dyDescent="0.2">
      <c r="A57" s="4" t="s">
        <v>608</v>
      </c>
      <c r="B57" s="2"/>
      <c r="C57" s="2"/>
      <c r="D57" s="2"/>
    </row>
    <row r="58" spans="1:6" x14ac:dyDescent="0.2">
      <c r="A58" s="2" t="s">
        <v>600</v>
      </c>
      <c r="B58" s="2"/>
      <c r="C58" s="2"/>
      <c r="D58" s="10">
        <v>238.22309999999999</v>
      </c>
      <c r="E58" s="2"/>
    </row>
    <row r="59" spans="1:6" x14ac:dyDescent="0.2">
      <c r="A59" s="2" t="s">
        <v>601</v>
      </c>
      <c r="B59" s="2"/>
      <c r="C59" s="2"/>
      <c r="D59" s="10">
        <v>57.090299999999999</v>
      </c>
      <c r="E59" s="2"/>
    </row>
    <row r="60" spans="1:6" x14ac:dyDescent="0.2">
      <c r="A60" s="2" t="s">
        <v>602</v>
      </c>
      <c r="B60" s="2"/>
      <c r="C60" s="2"/>
      <c r="D60" s="10">
        <v>248.4426</v>
      </c>
      <c r="E60" s="2"/>
    </row>
    <row r="61" spans="1:6" x14ac:dyDescent="0.2">
      <c r="A61" s="2" t="s">
        <v>603</v>
      </c>
      <c r="B61" s="2"/>
      <c r="C61" s="2"/>
      <c r="D61" s="10">
        <v>60.311399999999999</v>
      </c>
      <c r="E61" s="2"/>
    </row>
    <row r="62" spans="1:6" x14ac:dyDescent="0.2">
      <c r="A62" s="2"/>
      <c r="B62" s="2"/>
      <c r="C62" s="2"/>
      <c r="D62" s="10"/>
      <c r="E62" s="2"/>
    </row>
    <row r="63" spans="1:6" x14ac:dyDescent="0.2">
      <c r="A63" s="4" t="s">
        <v>105</v>
      </c>
      <c r="B63" s="2"/>
      <c r="C63" s="2"/>
      <c r="D63" s="2"/>
      <c r="E63" s="2"/>
    </row>
    <row r="64" spans="1:6" x14ac:dyDescent="0.2">
      <c r="A64" s="2" t="s">
        <v>600</v>
      </c>
      <c r="B64" s="2"/>
      <c r="C64" s="2"/>
      <c r="D64" s="10">
        <v>230.83519999999999</v>
      </c>
      <c r="E64" s="2"/>
    </row>
    <row r="65" spans="1:5" x14ac:dyDescent="0.2">
      <c r="A65" s="2" t="s">
        <v>601</v>
      </c>
      <c r="B65" s="2"/>
      <c r="C65" s="2"/>
      <c r="D65" s="10">
        <v>55.319800000000001</v>
      </c>
      <c r="E65" s="2"/>
    </row>
    <row r="66" spans="1:5" x14ac:dyDescent="0.2">
      <c r="A66" s="2" t="s">
        <v>602</v>
      </c>
      <c r="B66" s="2"/>
      <c r="C66" s="2"/>
      <c r="D66" s="10">
        <v>241.69370000000001</v>
      </c>
      <c r="E66" s="2"/>
    </row>
    <row r="67" spans="1:5" x14ac:dyDescent="0.2">
      <c r="A67" s="2" t="s">
        <v>603</v>
      </c>
      <c r="B67" s="2"/>
      <c r="C67" s="2"/>
      <c r="D67" s="10">
        <v>58.665399999999998</v>
      </c>
      <c r="E67" s="2"/>
    </row>
    <row r="68" spans="1:5" x14ac:dyDescent="0.2">
      <c r="A68" s="2"/>
      <c r="B68" s="2"/>
      <c r="C68" s="2"/>
      <c r="D68" s="2"/>
    </row>
    <row r="69" spans="1:5" x14ac:dyDescent="0.2">
      <c r="A69" s="4" t="s">
        <v>106</v>
      </c>
      <c r="B69" s="2"/>
      <c r="C69" s="2"/>
      <c r="D69" s="20" t="s">
        <v>107</v>
      </c>
    </row>
    <row r="70" spans="1:5" x14ac:dyDescent="0.2">
      <c r="A70" s="4"/>
      <c r="B70" s="2"/>
      <c r="C70" s="2"/>
      <c r="D70" s="20"/>
    </row>
    <row r="71" spans="1:5" x14ac:dyDescent="0.2">
      <c r="A71" s="9" t="s">
        <v>609</v>
      </c>
      <c r="B71" s="2"/>
      <c r="C71" s="2"/>
      <c r="D71" s="27">
        <v>0.31445182904356911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4721-67D6-48E4-B15B-2F73E9AC5002}">
  <dimension ref="A1:F86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2" style="1" bestFit="1" customWidth="1"/>
    <col min="3" max="3" width="41.42578125" style="1" customWidth="1"/>
    <col min="4" max="4" width="11.140625" style="33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586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0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31"/>
      <c r="E4" s="5"/>
      <c r="F4" s="5"/>
    </row>
    <row r="5" spans="1:6" x14ac:dyDescent="0.2">
      <c r="A5" s="6" t="s">
        <v>7</v>
      </c>
      <c r="B5" s="7"/>
      <c r="C5" s="7"/>
      <c r="D5" s="32"/>
      <c r="E5" s="7"/>
      <c r="F5" s="7"/>
    </row>
    <row r="6" spans="1:6" x14ac:dyDescent="0.2">
      <c r="A6" s="6" t="s">
        <v>8</v>
      </c>
      <c r="B6" s="7"/>
      <c r="C6" s="7"/>
      <c r="D6" s="32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1415052</v>
      </c>
      <c r="E7" s="12">
        <v>31862.018358000001</v>
      </c>
      <c r="F7" s="7">
        <v>8.3445561722069872</v>
      </c>
    </row>
    <row r="8" spans="1:6" x14ac:dyDescent="0.2">
      <c r="A8" s="7" t="s">
        <v>118</v>
      </c>
      <c r="B8" s="7" t="s">
        <v>119</v>
      </c>
      <c r="C8" s="7" t="s">
        <v>11</v>
      </c>
      <c r="D8" s="32">
        <v>4649477</v>
      </c>
      <c r="E8" s="12">
        <v>31342.124457000002</v>
      </c>
      <c r="F8" s="7">
        <v>8.2083976962517742</v>
      </c>
    </row>
    <row r="9" spans="1:6" x14ac:dyDescent="0.2">
      <c r="A9" s="7" t="s">
        <v>20</v>
      </c>
      <c r="B9" s="7" t="s">
        <v>21</v>
      </c>
      <c r="C9" s="7" t="s">
        <v>11</v>
      </c>
      <c r="D9" s="32">
        <v>1374652</v>
      </c>
      <c r="E9" s="12">
        <v>20888.524465999999</v>
      </c>
      <c r="F9" s="7">
        <v>5.4706347790830359</v>
      </c>
    </row>
    <row r="10" spans="1:6" x14ac:dyDescent="0.2">
      <c r="A10" s="7" t="s">
        <v>180</v>
      </c>
      <c r="B10" s="7" t="s">
        <v>181</v>
      </c>
      <c r="C10" s="7" t="s">
        <v>78</v>
      </c>
      <c r="D10" s="32">
        <v>2324211</v>
      </c>
      <c r="E10" s="12">
        <v>18446.100601499998</v>
      </c>
      <c r="F10" s="7">
        <v>4.8309721279395994</v>
      </c>
    </row>
    <row r="11" spans="1:6" x14ac:dyDescent="0.2">
      <c r="A11" s="7" t="s">
        <v>109</v>
      </c>
      <c r="B11" s="7" t="s">
        <v>110</v>
      </c>
      <c r="C11" s="7" t="s">
        <v>11</v>
      </c>
      <c r="D11" s="32">
        <v>4263153</v>
      </c>
      <c r="E11" s="12">
        <v>18101.347637999999</v>
      </c>
      <c r="F11" s="7">
        <v>4.7406824784535919</v>
      </c>
    </row>
    <row r="12" spans="1:6" x14ac:dyDescent="0.2">
      <c r="A12" s="7" t="s">
        <v>157</v>
      </c>
      <c r="B12" s="7" t="s">
        <v>158</v>
      </c>
      <c r="C12" s="7" t="s">
        <v>117</v>
      </c>
      <c r="D12" s="32">
        <v>7419223</v>
      </c>
      <c r="E12" s="12">
        <v>15639.722084000001</v>
      </c>
      <c r="F12" s="7">
        <v>4.0959909689737595</v>
      </c>
    </row>
    <row r="13" spans="1:6" x14ac:dyDescent="0.2">
      <c r="A13" s="7" t="s">
        <v>196</v>
      </c>
      <c r="B13" s="7" t="s">
        <v>197</v>
      </c>
      <c r="C13" s="7" t="s">
        <v>57</v>
      </c>
      <c r="D13" s="32">
        <v>1881440</v>
      </c>
      <c r="E13" s="12">
        <v>14832.33224</v>
      </c>
      <c r="F13" s="7">
        <v>3.8845382659331871</v>
      </c>
    </row>
    <row r="14" spans="1:6" x14ac:dyDescent="0.2">
      <c r="A14" s="7" t="s">
        <v>25</v>
      </c>
      <c r="B14" s="7" t="s">
        <v>26</v>
      </c>
      <c r="C14" s="7" t="s">
        <v>27</v>
      </c>
      <c r="D14" s="32">
        <v>6549242</v>
      </c>
      <c r="E14" s="12">
        <v>12479.580631000001</v>
      </c>
      <c r="F14" s="7">
        <v>3.2683604789531153</v>
      </c>
    </row>
    <row r="15" spans="1:6" x14ac:dyDescent="0.2">
      <c r="A15" s="7" t="s">
        <v>115</v>
      </c>
      <c r="B15" s="7" t="s">
        <v>116</v>
      </c>
      <c r="C15" s="7" t="s">
        <v>117</v>
      </c>
      <c r="D15" s="32">
        <v>8965496</v>
      </c>
      <c r="E15" s="12">
        <v>11345.835187999999</v>
      </c>
      <c r="F15" s="7">
        <v>2.971436334732295</v>
      </c>
    </row>
    <row r="16" spans="1:6" x14ac:dyDescent="0.2">
      <c r="A16" s="7" t="s">
        <v>182</v>
      </c>
      <c r="B16" s="7" t="s">
        <v>183</v>
      </c>
      <c r="C16" s="7" t="s">
        <v>39</v>
      </c>
      <c r="D16" s="32">
        <v>2059699</v>
      </c>
      <c r="E16" s="12">
        <v>11328.344499999999</v>
      </c>
      <c r="F16" s="7">
        <v>2.9668555819731117</v>
      </c>
    </row>
    <row r="17" spans="1:6" x14ac:dyDescent="0.2">
      <c r="A17" s="7" t="s">
        <v>113</v>
      </c>
      <c r="B17" s="7" t="s">
        <v>114</v>
      </c>
      <c r="C17" s="7" t="s">
        <v>42</v>
      </c>
      <c r="D17" s="32">
        <v>3044619</v>
      </c>
      <c r="E17" s="12">
        <v>10278.633744000001</v>
      </c>
      <c r="F17" s="7">
        <v>2.6919398415579252</v>
      </c>
    </row>
    <row r="18" spans="1:6" x14ac:dyDescent="0.2">
      <c r="A18" s="7" t="s">
        <v>186</v>
      </c>
      <c r="B18" s="7" t="s">
        <v>187</v>
      </c>
      <c r="C18" s="7" t="s">
        <v>188</v>
      </c>
      <c r="D18" s="32">
        <v>342107</v>
      </c>
      <c r="E18" s="12">
        <v>8807.8868220000004</v>
      </c>
      <c r="F18" s="7">
        <v>2.3067561357476474</v>
      </c>
    </row>
    <row r="19" spans="1:6" x14ac:dyDescent="0.2">
      <c r="A19" s="7" t="s">
        <v>129</v>
      </c>
      <c r="B19" s="7" t="s">
        <v>130</v>
      </c>
      <c r="C19" s="7" t="s">
        <v>131</v>
      </c>
      <c r="D19" s="32">
        <v>3578627</v>
      </c>
      <c r="E19" s="12">
        <v>8461.6635415000001</v>
      </c>
      <c r="F19" s="7">
        <v>2.2160814151509651</v>
      </c>
    </row>
    <row r="20" spans="1:6" x14ac:dyDescent="0.2">
      <c r="A20" s="7" t="s">
        <v>123</v>
      </c>
      <c r="B20" s="7" t="s">
        <v>124</v>
      </c>
      <c r="C20" s="7" t="s">
        <v>122</v>
      </c>
      <c r="D20" s="32">
        <v>5948967</v>
      </c>
      <c r="E20" s="12">
        <v>8286.9110309999996</v>
      </c>
      <c r="F20" s="7">
        <v>2.1703143164155105</v>
      </c>
    </row>
    <row r="21" spans="1:6" x14ac:dyDescent="0.2">
      <c r="A21" s="7" t="s">
        <v>234</v>
      </c>
      <c r="B21" s="7" t="s">
        <v>235</v>
      </c>
      <c r="C21" s="7" t="s">
        <v>122</v>
      </c>
      <c r="D21" s="32">
        <v>2993270</v>
      </c>
      <c r="E21" s="12">
        <v>7963.5948349999999</v>
      </c>
      <c r="F21" s="7">
        <v>2.0856388847277723</v>
      </c>
    </row>
    <row r="22" spans="1:6" x14ac:dyDescent="0.2">
      <c r="A22" s="7" t="s">
        <v>200</v>
      </c>
      <c r="B22" s="7" t="s">
        <v>201</v>
      </c>
      <c r="C22" s="7" t="s">
        <v>36</v>
      </c>
      <c r="D22" s="32">
        <v>511834</v>
      </c>
      <c r="E22" s="12">
        <v>7244.7543530000003</v>
      </c>
      <c r="F22" s="7">
        <v>1.8973769637939644</v>
      </c>
    </row>
    <row r="23" spans="1:6" x14ac:dyDescent="0.2">
      <c r="A23" s="7" t="s">
        <v>111</v>
      </c>
      <c r="B23" s="7" t="s">
        <v>112</v>
      </c>
      <c r="C23" s="7" t="s">
        <v>11</v>
      </c>
      <c r="D23" s="32">
        <v>1935519</v>
      </c>
      <c r="E23" s="12">
        <v>6429.7941179999998</v>
      </c>
      <c r="F23" s="7">
        <v>1.6839416006395447</v>
      </c>
    </row>
    <row r="24" spans="1:6" x14ac:dyDescent="0.2">
      <c r="A24" s="7" t="s">
        <v>213</v>
      </c>
      <c r="B24" s="7" t="s">
        <v>214</v>
      </c>
      <c r="C24" s="7" t="s">
        <v>131</v>
      </c>
      <c r="D24" s="32">
        <v>2995176</v>
      </c>
      <c r="E24" s="12">
        <v>6348.2755319999997</v>
      </c>
      <c r="F24" s="7">
        <v>1.6625921552807232</v>
      </c>
    </row>
    <row r="25" spans="1:6" x14ac:dyDescent="0.2">
      <c r="A25" s="7" t="s">
        <v>211</v>
      </c>
      <c r="B25" s="7" t="s">
        <v>212</v>
      </c>
      <c r="C25" s="7" t="s">
        <v>33</v>
      </c>
      <c r="D25" s="32">
        <v>1338759</v>
      </c>
      <c r="E25" s="12">
        <v>6096.7084860000004</v>
      </c>
      <c r="F25" s="7">
        <v>1.5967075862984168</v>
      </c>
    </row>
    <row r="26" spans="1:6" x14ac:dyDescent="0.2">
      <c r="A26" s="7" t="s">
        <v>266</v>
      </c>
      <c r="B26" s="7" t="s">
        <v>267</v>
      </c>
      <c r="C26" s="7" t="s">
        <v>78</v>
      </c>
      <c r="D26" s="32">
        <v>905548</v>
      </c>
      <c r="E26" s="12">
        <v>5761.5491499999998</v>
      </c>
      <c r="F26" s="7">
        <v>1.5089304758069406</v>
      </c>
    </row>
    <row r="27" spans="1:6" x14ac:dyDescent="0.2">
      <c r="A27" s="7" t="s">
        <v>221</v>
      </c>
      <c r="B27" s="7" t="s">
        <v>222</v>
      </c>
      <c r="C27" s="7" t="s">
        <v>33</v>
      </c>
      <c r="D27" s="32">
        <v>804303</v>
      </c>
      <c r="E27" s="12">
        <v>5706.1276335000002</v>
      </c>
      <c r="F27" s="7">
        <v>1.4944157657723511</v>
      </c>
    </row>
    <row r="28" spans="1:6" x14ac:dyDescent="0.2">
      <c r="A28" s="7" t="s">
        <v>366</v>
      </c>
      <c r="B28" s="7" t="s">
        <v>367</v>
      </c>
      <c r="C28" s="7" t="s">
        <v>36</v>
      </c>
      <c r="D28" s="32">
        <v>330103</v>
      </c>
      <c r="E28" s="12">
        <v>5699.7234495000002</v>
      </c>
      <c r="F28" s="7">
        <v>1.4927385313760646</v>
      </c>
    </row>
    <row r="29" spans="1:6" x14ac:dyDescent="0.2">
      <c r="A29" s="7" t="s">
        <v>217</v>
      </c>
      <c r="B29" s="7" t="s">
        <v>218</v>
      </c>
      <c r="C29" s="7" t="s">
        <v>36</v>
      </c>
      <c r="D29" s="32">
        <v>440701</v>
      </c>
      <c r="E29" s="12">
        <v>5243.2401474999997</v>
      </c>
      <c r="F29" s="7">
        <v>1.3731870794744896</v>
      </c>
    </row>
    <row r="30" spans="1:6" x14ac:dyDescent="0.2">
      <c r="A30" s="7" t="s">
        <v>249</v>
      </c>
      <c r="B30" s="7" t="s">
        <v>250</v>
      </c>
      <c r="C30" s="7" t="s">
        <v>36</v>
      </c>
      <c r="D30" s="32">
        <v>44826</v>
      </c>
      <c r="E30" s="12">
        <v>5233.8389340000003</v>
      </c>
      <c r="F30" s="7">
        <v>1.3707249330637945</v>
      </c>
    </row>
    <row r="31" spans="1:6" x14ac:dyDescent="0.2">
      <c r="A31" s="7" t="s">
        <v>368</v>
      </c>
      <c r="B31" s="7" t="s">
        <v>369</v>
      </c>
      <c r="C31" s="7" t="s">
        <v>93</v>
      </c>
      <c r="D31" s="32">
        <v>399808</v>
      </c>
      <c r="E31" s="12">
        <v>4223.3718079999999</v>
      </c>
      <c r="F31" s="7">
        <v>1.1060869682514223</v>
      </c>
    </row>
    <row r="32" spans="1:6" x14ac:dyDescent="0.2">
      <c r="A32" s="7" t="s">
        <v>15</v>
      </c>
      <c r="B32" s="7" t="s">
        <v>16</v>
      </c>
      <c r="C32" s="7" t="s">
        <v>87</v>
      </c>
      <c r="D32" s="32">
        <v>2923868</v>
      </c>
      <c r="E32" s="12">
        <v>4189.9028440000002</v>
      </c>
      <c r="F32" s="7">
        <v>1.097321558383612</v>
      </c>
    </row>
    <row r="33" spans="1:6" x14ac:dyDescent="0.2">
      <c r="A33" s="7" t="s">
        <v>259</v>
      </c>
      <c r="B33" s="7" t="s">
        <v>260</v>
      </c>
      <c r="C33" s="7" t="s">
        <v>261</v>
      </c>
      <c r="D33" s="32">
        <v>960704</v>
      </c>
      <c r="E33" s="12">
        <v>4150.7216319999998</v>
      </c>
      <c r="F33" s="7">
        <v>1.0870601298464879</v>
      </c>
    </row>
    <row r="34" spans="1:6" x14ac:dyDescent="0.2">
      <c r="A34" s="7" t="s">
        <v>228</v>
      </c>
      <c r="B34" s="7" t="s">
        <v>229</v>
      </c>
      <c r="C34" s="7" t="s">
        <v>24</v>
      </c>
      <c r="D34" s="32">
        <v>2216044</v>
      </c>
      <c r="E34" s="12">
        <v>3965.6107379999999</v>
      </c>
      <c r="F34" s="7">
        <v>1.038580205074785</v>
      </c>
    </row>
    <row r="35" spans="1:6" x14ac:dyDescent="0.2">
      <c r="A35" s="7" t="s">
        <v>215</v>
      </c>
      <c r="B35" s="7" t="s">
        <v>216</v>
      </c>
      <c r="C35" s="7" t="s">
        <v>36</v>
      </c>
      <c r="D35" s="32">
        <v>907174</v>
      </c>
      <c r="E35" s="12">
        <v>3874.9937410000002</v>
      </c>
      <c r="F35" s="7">
        <v>1.0148479162685</v>
      </c>
    </row>
    <row r="36" spans="1:6" x14ac:dyDescent="0.2">
      <c r="A36" s="7" t="s">
        <v>37</v>
      </c>
      <c r="B36" s="7" t="s">
        <v>38</v>
      </c>
      <c r="C36" s="7" t="s">
        <v>39</v>
      </c>
      <c r="D36" s="32">
        <v>2746634</v>
      </c>
      <c r="E36" s="12">
        <v>3724.435704</v>
      </c>
      <c r="F36" s="7">
        <v>0.97541726932053996</v>
      </c>
    </row>
    <row r="37" spans="1:6" x14ac:dyDescent="0.2">
      <c r="A37" s="7" t="s">
        <v>275</v>
      </c>
      <c r="B37" s="7" t="s">
        <v>276</v>
      </c>
      <c r="C37" s="7" t="s">
        <v>93</v>
      </c>
      <c r="D37" s="32">
        <v>600000</v>
      </c>
      <c r="E37" s="12">
        <v>3498</v>
      </c>
      <c r="F37" s="7">
        <v>0.91611451485624806</v>
      </c>
    </row>
    <row r="38" spans="1:6" x14ac:dyDescent="0.2">
      <c r="A38" s="7" t="s">
        <v>333</v>
      </c>
      <c r="B38" s="7" t="s">
        <v>334</v>
      </c>
      <c r="C38" s="7" t="s">
        <v>39</v>
      </c>
      <c r="D38" s="32">
        <v>137369</v>
      </c>
      <c r="E38" s="12">
        <v>3456.8908849999998</v>
      </c>
      <c r="F38" s="7">
        <v>0.9053481749636253</v>
      </c>
    </row>
    <row r="39" spans="1:6" x14ac:dyDescent="0.2">
      <c r="A39" s="7" t="s">
        <v>587</v>
      </c>
      <c r="B39" s="7" t="s">
        <v>588</v>
      </c>
      <c r="C39" s="7" t="s">
        <v>36</v>
      </c>
      <c r="D39" s="32">
        <v>546279</v>
      </c>
      <c r="E39" s="12">
        <v>3245.1703994999998</v>
      </c>
      <c r="F39" s="7">
        <v>0.84989928706798146</v>
      </c>
    </row>
    <row r="40" spans="1:6" x14ac:dyDescent="0.2">
      <c r="A40" s="7" t="s">
        <v>120</v>
      </c>
      <c r="B40" s="7" t="s">
        <v>121</v>
      </c>
      <c r="C40" s="7" t="s">
        <v>122</v>
      </c>
      <c r="D40" s="32">
        <v>919031</v>
      </c>
      <c r="E40" s="12">
        <v>3175.252105</v>
      </c>
      <c r="F40" s="7">
        <v>0.8315879193019885</v>
      </c>
    </row>
    <row r="41" spans="1:6" x14ac:dyDescent="0.2">
      <c r="A41" s="7" t="s">
        <v>219</v>
      </c>
      <c r="B41" s="7" t="s">
        <v>220</v>
      </c>
      <c r="C41" s="7" t="s">
        <v>117</v>
      </c>
      <c r="D41" s="32">
        <v>5124428</v>
      </c>
      <c r="E41" s="12">
        <v>3102.8411540000002</v>
      </c>
      <c r="F41" s="7">
        <v>0.81262373312541769</v>
      </c>
    </row>
    <row r="42" spans="1:6" x14ac:dyDescent="0.2">
      <c r="A42" s="7" t="s">
        <v>145</v>
      </c>
      <c r="B42" s="7" t="s">
        <v>146</v>
      </c>
      <c r="C42" s="7" t="s">
        <v>131</v>
      </c>
      <c r="D42" s="32">
        <v>2292178</v>
      </c>
      <c r="E42" s="12">
        <v>2953.4713529999999</v>
      </c>
      <c r="F42" s="7">
        <v>0.77350428121652992</v>
      </c>
    </row>
    <row r="43" spans="1:6" x14ac:dyDescent="0.2">
      <c r="A43" s="7" t="s">
        <v>253</v>
      </c>
      <c r="B43" s="7" t="s">
        <v>254</v>
      </c>
      <c r="C43" s="7" t="s">
        <v>243</v>
      </c>
      <c r="D43" s="32">
        <v>402972</v>
      </c>
      <c r="E43" s="12">
        <v>2830.2738420000001</v>
      </c>
      <c r="F43" s="7">
        <v>0.74123926462954814</v>
      </c>
    </row>
    <row r="44" spans="1:6" x14ac:dyDescent="0.2">
      <c r="A44" s="7" t="s">
        <v>262</v>
      </c>
      <c r="B44" s="7" t="s">
        <v>263</v>
      </c>
      <c r="C44" s="7" t="s">
        <v>70</v>
      </c>
      <c r="D44" s="32">
        <v>3057159</v>
      </c>
      <c r="E44" s="12">
        <v>2566.4849804999999</v>
      </c>
      <c r="F44" s="7">
        <v>0.67215384299502712</v>
      </c>
    </row>
    <row r="45" spans="1:6" x14ac:dyDescent="0.2">
      <c r="A45" s="7" t="s">
        <v>204</v>
      </c>
      <c r="B45" s="7" t="s">
        <v>205</v>
      </c>
      <c r="C45" s="7" t="s">
        <v>188</v>
      </c>
      <c r="D45" s="32">
        <v>920735</v>
      </c>
      <c r="E45" s="12">
        <v>2097.43433</v>
      </c>
      <c r="F45" s="7">
        <v>0.54931104450279877</v>
      </c>
    </row>
    <row r="46" spans="1:6" x14ac:dyDescent="0.2">
      <c r="A46" s="7" t="s">
        <v>257</v>
      </c>
      <c r="B46" s="7" t="s">
        <v>258</v>
      </c>
      <c r="C46" s="7" t="s">
        <v>14</v>
      </c>
      <c r="D46" s="32">
        <v>1075124</v>
      </c>
      <c r="E46" s="12">
        <v>2023.92093</v>
      </c>
      <c r="F46" s="7">
        <v>0.53005813061588236</v>
      </c>
    </row>
    <row r="47" spans="1:6" x14ac:dyDescent="0.2">
      <c r="A47" s="7" t="s">
        <v>462</v>
      </c>
      <c r="B47" s="7" t="s">
        <v>463</v>
      </c>
      <c r="C47" s="7" t="s">
        <v>24</v>
      </c>
      <c r="D47" s="32">
        <v>108078</v>
      </c>
      <c r="E47" s="12">
        <v>1993.444671</v>
      </c>
      <c r="F47" s="7">
        <v>0.52207650019037688</v>
      </c>
    </row>
    <row r="48" spans="1:6" x14ac:dyDescent="0.2">
      <c r="A48" s="7" t="s">
        <v>255</v>
      </c>
      <c r="B48" s="7" t="s">
        <v>256</v>
      </c>
      <c r="C48" s="7" t="s">
        <v>33</v>
      </c>
      <c r="D48" s="32">
        <v>1695647</v>
      </c>
      <c r="E48" s="12">
        <v>1907.602875</v>
      </c>
      <c r="F48" s="7">
        <v>0.4995948205743308</v>
      </c>
    </row>
    <row r="49" spans="1:6" x14ac:dyDescent="0.2">
      <c r="A49" s="7" t="s">
        <v>500</v>
      </c>
      <c r="B49" s="7" t="s">
        <v>501</v>
      </c>
      <c r="C49" s="7" t="s">
        <v>78</v>
      </c>
      <c r="D49" s="32">
        <v>381063</v>
      </c>
      <c r="E49" s="12">
        <v>1762.035312</v>
      </c>
      <c r="F49" s="7">
        <v>0.46147116209618577</v>
      </c>
    </row>
    <row r="50" spans="1:6" x14ac:dyDescent="0.2">
      <c r="A50" s="7" t="s">
        <v>268</v>
      </c>
      <c r="B50" s="7" t="s">
        <v>269</v>
      </c>
      <c r="C50" s="7" t="s">
        <v>270</v>
      </c>
      <c r="D50" s="32">
        <v>1278633</v>
      </c>
      <c r="E50" s="12">
        <v>1701.8605230000001</v>
      </c>
      <c r="F50" s="7">
        <v>0.4457115858722544</v>
      </c>
    </row>
    <row r="51" spans="1:6" x14ac:dyDescent="0.2">
      <c r="A51" s="7" t="s">
        <v>155</v>
      </c>
      <c r="B51" s="7" t="s">
        <v>156</v>
      </c>
      <c r="C51" s="7" t="s">
        <v>134</v>
      </c>
      <c r="D51" s="32">
        <v>1774842</v>
      </c>
      <c r="E51" s="12">
        <v>1384.3767600000001</v>
      </c>
      <c r="F51" s="7">
        <v>0.36256364890384929</v>
      </c>
    </row>
    <row r="52" spans="1:6" x14ac:dyDescent="0.2">
      <c r="A52" s="7" t="s">
        <v>528</v>
      </c>
      <c r="B52" s="7" t="s">
        <v>529</v>
      </c>
      <c r="C52" s="7" t="s">
        <v>33</v>
      </c>
      <c r="D52" s="32">
        <v>160000</v>
      </c>
      <c r="E52" s="12">
        <v>1207.92</v>
      </c>
      <c r="F52" s="7">
        <v>0.31635021291742688</v>
      </c>
    </row>
    <row r="53" spans="1:6" x14ac:dyDescent="0.2">
      <c r="A53" s="7" t="s">
        <v>163</v>
      </c>
      <c r="B53" s="7" t="s">
        <v>599</v>
      </c>
      <c r="C53" s="7" t="s">
        <v>39</v>
      </c>
      <c r="D53" s="32">
        <v>1791828</v>
      </c>
      <c r="E53" s="12">
        <v>1167.3759419999999</v>
      </c>
      <c r="F53" s="7">
        <v>0.30573185956551902</v>
      </c>
    </row>
    <row r="54" spans="1:6" x14ac:dyDescent="0.2">
      <c r="A54" s="7" t="s">
        <v>283</v>
      </c>
      <c r="B54" s="7" t="s">
        <v>284</v>
      </c>
      <c r="C54" s="7" t="s">
        <v>39</v>
      </c>
      <c r="D54" s="32">
        <v>265282</v>
      </c>
      <c r="E54" s="12">
        <v>976.37040100000002</v>
      </c>
      <c r="F54" s="7">
        <v>0.25570814643571055</v>
      </c>
    </row>
    <row r="55" spans="1:6" x14ac:dyDescent="0.2">
      <c r="A55" s="7" t="s">
        <v>264</v>
      </c>
      <c r="B55" s="7" t="s">
        <v>265</v>
      </c>
      <c r="C55" s="7" t="s">
        <v>70</v>
      </c>
      <c r="D55" s="32">
        <v>2436728</v>
      </c>
      <c r="E55" s="12">
        <v>667.66347199999996</v>
      </c>
      <c r="F55" s="7">
        <v>0.17485883297270388</v>
      </c>
    </row>
    <row r="56" spans="1:6" x14ac:dyDescent="0.2">
      <c r="A56" s="6" t="s">
        <v>43</v>
      </c>
      <c r="B56" s="7"/>
      <c r="C56" s="7"/>
      <c r="D56" s="32"/>
      <c r="E56" s="13">
        <f xml:space="preserve"> SUM(E7:E55)</f>
        <v>349676.05834250012</v>
      </c>
      <c r="F56" s="6">
        <f>SUM(F7:F55)</f>
        <v>91.578991579555336</v>
      </c>
    </row>
    <row r="57" spans="1:6" x14ac:dyDescent="0.2">
      <c r="A57" s="7"/>
      <c r="B57" s="7"/>
      <c r="C57" s="7"/>
      <c r="D57" s="32"/>
      <c r="E57" s="12"/>
      <c r="F57" s="7"/>
    </row>
    <row r="58" spans="1:6" x14ac:dyDescent="0.2">
      <c r="A58" s="6" t="s">
        <v>310</v>
      </c>
      <c r="B58" s="7"/>
      <c r="C58" s="7"/>
      <c r="D58" s="32"/>
      <c r="E58" s="12"/>
      <c r="F58" s="7"/>
    </row>
    <row r="59" spans="1:6" x14ac:dyDescent="0.2">
      <c r="A59" s="7" t="s">
        <v>589</v>
      </c>
      <c r="B59" s="7" t="s">
        <v>590</v>
      </c>
      <c r="C59" s="7" t="s">
        <v>78</v>
      </c>
      <c r="D59" s="32">
        <v>30000</v>
      </c>
      <c r="E59" s="12">
        <v>3.0000000000000001E-3</v>
      </c>
      <c r="F59" s="28" t="s">
        <v>610</v>
      </c>
    </row>
    <row r="60" spans="1:6" x14ac:dyDescent="0.2">
      <c r="A60" s="7" t="s">
        <v>314</v>
      </c>
      <c r="B60" s="7" t="s">
        <v>315</v>
      </c>
      <c r="C60" s="7" t="s">
        <v>325</v>
      </c>
      <c r="D60" s="32">
        <v>3500</v>
      </c>
      <c r="E60" s="12">
        <v>3.5E-4</v>
      </c>
      <c r="F60" s="28" t="s">
        <v>610</v>
      </c>
    </row>
    <row r="61" spans="1:6" x14ac:dyDescent="0.2">
      <c r="A61" s="7" t="s">
        <v>311</v>
      </c>
      <c r="B61" s="7" t="s">
        <v>312</v>
      </c>
      <c r="C61" s="7" t="s">
        <v>33</v>
      </c>
      <c r="D61" s="32">
        <v>2900</v>
      </c>
      <c r="E61" s="12">
        <v>2.9E-4</v>
      </c>
      <c r="F61" s="28" t="s">
        <v>610</v>
      </c>
    </row>
    <row r="62" spans="1:6" x14ac:dyDescent="0.2">
      <c r="A62" s="6" t="s">
        <v>43</v>
      </c>
      <c r="B62" s="7"/>
      <c r="C62" s="7"/>
      <c r="D62" s="32"/>
      <c r="E62" s="13">
        <f>SUM(E59:E61)</f>
        <v>3.64E-3</v>
      </c>
      <c r="F62" s="6">
        <f>SUM(F59:F61)</f>
        <v>0</v>
      </c>
    </row>
    <row r="63" spans="1:6" x14ac:dyDescent="0.2">
      <c r="A63" s="7"/>
      <c r="B63" s="7"/>
      <c r="C63" s="7"/>
      <c r="D63" s="32"/>
      <c r="E63" s="12"/>
      <c r="F63" s="7"/>
    </row>
    <row r="64" spans="1:6" x14ac:dyDescent="0.2">
      <c r="A64" s="6" t="s">
        <v>43</v>
      </c>
      <c r="B64" s="7"/>
      <c r="C64" s="7"/>
      <c r="D64" s="32"/>
      <c r="E64" s="13">
        <v>349676.06198250013</v>
      </c>
      <c r="F64" s="6">
        <v>91.578992532859175</v>
      </c>
    </row>
    <row r="65" spans="1:6" x14ac:dyDescent="0.2">
      <c r="A65" s="7"/>
      <c r="B65" s="7"/>
      <c r="C65" s="7"/>
      <c r="D65" s="32"/>
      <c r="E65" s="12"/>
      <c r="F65" s="7"/>
    </row>
    <row r="66" spans="1:6" x14ac:dyDescent="0.2">
      <c r="A66" s="6" t="s">
        <v>101</v>
      </c>
      <c r="B66" s="7"/>
      <c r="C66" s="7"/>
      <c r="D66" s="32"/>
      <c r="E66" s="13">
        <v>32153.932333100001</v>
      </c>
      <c r="F66" s="6">
        <v>8.42</v>
      </c>
    </row>
    <row r="67" spans="1:6" x14ac:dyDescent="0.2">
      <c r="A67" s="7"/>
      <c r="B67" s="7"/>
      <c r="C67" s="7"/>
      <c r="D67" s="32"/>
      <c r="E67" s="12"/>
      <c r="F67" s="7"/>
    </row>
    <row r="68" spans="1:6" x14ac:dyDescent="0.2">
      <c r="A68" s="8" t="s">
        <v>102</v>
      </c>
      <c r="B68" s="5"/>
      <c r="C68" s="5"/>
      <c r="D68" s="31"/>
      <c r="E68" s="14">
        <v>381829.99431560014</v>
      </c>
      <c r="F68" s="8">
        <f xml:space="preserve"> ROUND(SUM(F64:F67),2)</f>
        <v>100</v>
      </c>
    </row>
    <row r="69" spans="1:6" x14ac:dyDescent="0.2">
      <c r="F69" s="11" t="s">
        <v>611</v>
      </c>
    </row>
    <row r="70" spans="1:6" x14ac:dyDescent="0.2">
      <c r="A70" s="4" t="s">
        <v>103</v>
      </c>
      <c r="B70" s="2"/>
      <c r="C70" s="2"/>
      <c r="D70" s="2"/>
    </row>
    <row r="71" spans="1:6" x14ac:dyDescent="0.2">
      <c r="A71" s="4" t="s">
        <v>104</v>
      </c>
      <c r="B71" s="2"/>
      <c r="C71" s="2"/>
      <c r="D71" s="2"/>
    </row>
    <row r="72" spans="1:6" x14ac:dyDescent="0.2">
      <c r="A72" s="4" t="s">
        <v>608</v>
      </c>
      <c r="B72" s="2"/>
      <c r="C72" s="2"/>
      <c r="D72" s="2"/>
    </row>
    <row r="73" spans="1:6" x14ac:dyDescent="0.2">
      <c r="A73" s="2" t="s">
        <v>600</v>
      </c>
      <c r="B73" s="2"/>
      <c r="C73" s="2"/>
      <c r="D73" s="10">
        <v>538.56010000000003</v>
      </c>
    </row>
    <row r="74" spans="1:6" x14ac:dyDescent="0.2">
      <c r="A74" s="2" t="s">
        <v>601</v>
      </c>
      <c r="B74" s="2"/>
      <c r="C74" s="2"/>
      <c r="D74" s="10">
        <v>38.803400000000003</v>
      </c>
    </row>
    <row r="75" spans="1:6" x14ac:dyDescent="0.2">
      <c r="A75" s="2" t="s">
        <v>602</v>
      </c>
      <c r="B75" s="2"/>
      <c r="C75" s="2"/>
      <c r="D75" s="10">
        <v>567.89430000000004</v>
      </c>
    </row>
    <row r="76" spans="1:6" x14ac:dyDescent="0.2">
      <c r="A76" s="2" t="s">
        <v>603</v>
      </c>
      <c r="B76" s="2"/>
      <c r="C76" s="2"/>
      <c r="D76" s="10">
        <v>41.664999999999999</v>
      </c>
    </row>
    <row r="77" spans="1:6" x14ac:dyDescent="0.2">
      <c r="A77" s="2"/>
      <c r="B77" s="2"/>
      <c r="C77" s="2"/>
      <c r="D77" s="10"/>
    </row>
    <row r="78" spans="1:6" x14ac:dyDescent="0.2">
      <c r="A78" s="4" t="s">
        <v>105</v>
      </c>
      <c r="B78" s="2"/>
      <c r="C78" s="2"/>
      <c r="D78" s="2"/>
    </row>
    <row r="79" spans="1:6" x14ac:dyDescent="0.2">
      <c r="A79" s="2" t="s">
        <v>600</v>
      </c>
      <c r="B79" s="2"/>
      <c r="C79" s="2"/>
      <c r="D79" s="10">
        <v>539.49890000000005</v>
      </c>
    </row>
    <row r="80" spans="1:6" x14ac:dyDescent="0.2">
      <c r="A80" s="2" t="s">
        <v>601</v>
      </c>
      <c r="B80" s="2"/>
      <c r="C80" s="2"/>
      <c r="D80" s="10">
        <v>38.871099999999998</v>
      </c>
    </row>
    <row r="81" spans="1:4" x14ac:dyDescent="0.2">
      <c r="A81" s="2" t="s">
        <v>602</v>
      </c>
      <c r="B81" s="2"/>
      <c r="C81" s="2"/>
      <c r="D81" s="10">
        <v>571.60569999999996</v>
      </c>
    </row>
    <row r="82" spans="1:4" x14ac:dyDescent="0.2">
      <c r="A82" s="2" t="s">
        <v>603</v>
      </c>
      <c r="B82" s="2"/>
      <c r="C82" s="2"/>
      <c r="D82" s="10">
        <v>41.936900000000001</v>
      </c>
    </row>
    <row r="83" spans="1:4" x14ac:dyDescent="0.2">
      <c r="A83" s="2"/>
      <c r="B83" s="2"/>
      <c r="C83" s="2"/>
      <c r="D83" s="2"/>
    </row>
    <row r="84" spans="1:4" x14ac:dyDescent="0.2">
      <c r="A84" s="4" t="s">
        <v>106</v>
      </c>
      <c r="B84" s="2"/>
      <c r="C84" s="2"/>
      <c r="D84" s="20" t="s">
        <v>107</v>
      </c>
    </row>
    <row r="85" spans="1:4" x14ac:dyDescent="0.2">
      <c r="A85" s="4"/>
      <c r="B85" s="2"/>
      <c r="C85" s="2"/>
      <c r="D85" s="20"/>
    </row>
    <row r="86" spans="1:4" x14ac:dyDescent="0.2">
      <c r="A86" s="9" t="s">
        <v>609</v>
      </c>
      <c r="B86" s="2"/>
      <c r="C86" s="2"/>
      <c r="D86" s="27">
        <v>4.9427634834278387E-2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2487-4762-4D0F-B0C1-9B2938647110}">
  <dimension ref="A1:F62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7.7109375" style="1" bestFit="1" customWidth="1"/>
    <col min="3" max="3" width="26.42578125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585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180</v>
      </c>
      <c r="B7" s="7" t="s">
        <v>181</v>
      </c>
      <c r="C7" s="7" t="s">
        <v>78</v>
      </c>
      <c r="D7" s="32">
        <v>755196</v>
      </c>
      <c r="E7" s="12">
        <v>5993.6130540000004</v>
      </c>
      <c r="F7" s="7">
        <v>24.874779229548643</v>
      </c>
    </row>
    <row r="8" spans="1:6" x14ac:dyDescent="0.2">
      <c r="A8" s="7" t="s">
        <v>184</v>
      </c>
      <c r="B8" s="7" t="s">
        <v>185</v>
      </c>
      <c r="C8" s="7" t="s">
        <v>78</v>
      </c>
      <c r="D8" s="32">
        <v>213636</v>
      </c>
      <c r="E8" s="12">
        <v>2210.1712379999999</v>
      </c>
      <c r="F8" s="7">
        <v>9.1726845075621739</v>
      </c>
    </row>
    <row r="9" spans="1:6" x14ac:dyDescent="0.2">
      <c r="A9" s="7" t="s">
        <v>266</v>
      </c>
      <c r="B9" s="7" t="s">
        <v>267</v>
      </c>
      <c r="C9" s="7" t="s">
        <v>78</v>
      </c>
      <c r="D9" s="32">
        <v>293797</v>
      </c>
      <c r="E9" s="12">
        <v>1869.2834130000001</v>
      </c>
      <c r="F9" s="7">
        <v>7.7579269460514286</v>
      </c>
    </row>
    <row r="10" spans="1:6" x14ac:dyDescent="0.2">
      <c r="A10" s="7" t="s">
        <v>407</v>
      </c>
      <c r="B10" s="7" t="s">
        <v>408</v>
      </c>
      <c r="C10" s="7" t="s">
        <v>78</v>
      </c>
      <c r="D10" s="32">
        <v>73819</v>
      </c>
      <c r="E10" s="12">
        <v>1628.2256829999999</v>
      </c>
      <c r="F10" s="7">
        <v>6.7574856827762861</v>
      </c>
    </row>
    <row r="11" spans="1:6" x14ac:dyDescent="0.2">
      <c r="A11" s="7" t="s">
        <v>113</v>
      </c>
      <c r="B11" s="7" t="s">
        <v>114</v>
      </c>
      <c r="C11" s="7" t="s">
        <v>42</v>
      </c>
      <c r="D11" s="32">
        <v>416350</v>
      </c>
      <c r="E11" s="12">
        <v>1405.5976000000001</v>
      </c>
      <c r="F11" s="7">
        <v>5.8335314059437486</v>
      </c>
    </row>
    <row r="12" spans="1:6" x14ac:dyDescent="0.2">
      <c r="A12" s="7" t="s">
        <v>281</v>
      </c>
      <c r="B12" s="7" t="s">
        <v>282</v>
      </c>
      <c r="C12" s="7" t="s">
        <v>78</v>
      </c>
      <c r="D12" s="32">
        <v>55000</v>
      </c>
      <c r="E12" s="12">
        <v>1234.6949999999999</v>
      </c>
      <c r="F12" s="7">
        <v>5.1242489737188768</v>
      </c>
    </row>
    <row r="13" spans="1:6" x14ac:dyDescent="0.2">
      <c r="A13" s="7" t="s">
        <v>500</v>
      </c>
      <c r="B13" s="7" t="s">
        <v>501</v>
      </c>
      <c r="C13" s="7" t="s">
        <v>78</v>
      </c>
      <c r="D13" s="32">
        <v>106143</v>
      </c>
      <c r="E13" s="12">
        <v>490.80523199999999</v>
      </c>
      <c r="F13" s="7">
        <v>2.0369469434733718</v>
      </c>
    </row>
    <row r="14" spans="1:6" x14ac:dyDescent="0.2">
      <c r="A14" s="7" t="s">
        <v>581</v>
      </c>
      <c r="B14" s="7" t="s">
        <v>582</v>
      </c>
      <c r="C14" s="7" t="s">
        <v>78</v>
      </c>
      <c r="D14" s="32">
        <v>30056</v>
      </c>
      <c r="E14" s="12">
        <v>454.927616</v>
      </c>
      <c r="F14" s="7">
        <v>1.8880471447639904</v>
      </c>
    </row>
    <row r="15" spans="1:6" x14ac:dyDescent="0.2">
      <c r="A15" s="7" t="s">
        <v>526</v>
      </c>
      <c r="B15" s="7" t="s">
        <v>527</v>
      </c>
      <c r="C15" s="7" t="s">
        <v>78</v>
      </c>
      <c r="D15" s="32">
        <v>72108</v>
      </c>
      <c r="E15" s="12">
        <v>430.19632799999999</v>
      </c>
      <c r="F15" s="7">
        <v>1.7854069970734707</v>
      </c>
    </row>
    <row r="16" spans="1:6" x14ac:dyDescent="0.2">
      <c r="A16" s="7" t="s">
        <v>262</v>
      </c>
      <c r="B16" s="7" t="s">
        <v>263</v>
      </c>
      <c r="C16" s="7" t="s">
        <v>70</v>
      </c>
      <c r="D16" s="32">
        <v>464787</v>
      </c>
      <c r="E16" s="12">
        <v>390.18868650000002</v>
      </c>
      <c r="F16" s="7">
        <v>1.6193667070445263</v>
      </c>
    </row>
    <row r="17" spans="1:6" x14ac:dyDescent="0.2">
      <c r="A17" s="7" t="s">
        <v>40</v>
      </c>
      <c r="B17" s="7" t="s">
        <v>41</v>
      </c>
      <c r="C17" s="7" t="s">
        <v>42</v>
      </c>
      <c r="D17" s="32">
        <v>4779197</v>
      </c>
      <c r="E17" s="12">
        <v>327.37499450000001</v>
      </c>
      <c r="F17" s="7">
        <v>1.3586764177289516</v>
      </c>
    </row>
    <row r="18" spans="1:6" x14ac:dyDescent="0.2">
      <c r="A18" s="7" t="s">
        <v>520</v>
      </c>
      <c r="B18" s="7" t="s">
        <v>521</v>
      </c>
      <c r="C18" s="7" t="s">
        <v>70</v>
      </c>
      <c r="D18" s="32">
        <v>343415</v>
      </c>
      <c r="E18" s="12">
        <v>159.34456</v>
      </c>
      <c r="F18" s="7">
        <v>0.66131408813325221</v>
      </c>
    </row>
    <row r="19" spans="1:6" x14ac:dyDescent="0.2">
      <c r="A19" s="6" t="s">
        <v>43</v>
      </c>
      <c r="B19" s="7"/>
      <c r="C19" s="7"/>
      <c r="D19" s="32"/>
      <c r="E19" s="13">
        <v>16594.423405000005</v>
      </c>
      <c r="F19" s="6">
        <v>68.870415043818724</v>
      </c>
    </row>
    <row r="20" spans="1:6" x14ac:dyDescent="0.2">
      <c r="A20" s="7"/>
      <c r="B20" s="7"/>
      <c r="C20" s="7"/>
      <c r="D20" s="32"/>
      <c r="E20" s="12"/>
      <c r="F20" s="7"/>
    </row>
    <row r="21" spans="1:6" x14ac:dyDescent="0.2">
      <c r="A21" s="6" t="s">
        <v>310</v>
      </c>
      <c r="B21" s="7"/>
      <c r="C21" s="7"/>
      <c r="D21" s="32"/>
      <c r="E21" s="12"/>
      <c r="F21" s="7"/>
    </row>
    <row r="22" spans="1:6" x14ac:dyDescent="0.2">
      <c r="A22" s="7" t="s">
        <v>311</v>
      </c>
      <c r="B22" s="7" t="s">
        <v>454</v>
      </c>
      <c r="C22" s="7" t="s">
        <v>78</v>
      </c>
      <c r="D22" s="32">
        <v>970000</v>
      </c>
      <c r="E22" s="12">
        <v>9.7000000000000003E-2</v>
      </c>
      <c r="F22" s="39" t="s">
        <v>610</v>
      </c>
    </row>
    <row r="23" spans="1:6" x14ac:dyDescent="0.2">
      <c r="A23" s="6" t="s">
        <v>43</v>
      </c>
      <c r="B23" s="7"/>
      <c r="C23" s="7"/>
      <c r="D23" s="32"/>
      <c r="E23" s="35">
        <v>9.7000000000000003E-2</v>
      </c>
      <c r="F23" s="13">
        <v>3.9472253964191429E-4</v>
      </c>
    </row>
    <row r="24" spans="1:6" x14ac:dyDescent="0.2">
      <c r="A24" s="7"/>
      <c r="B24" s="7"/>
      <c r="C24" s="7"/>
      <c r="D24" s="32"/>
      <c r="E24" s="12"/>
      <c r="F24" s="7"/>
    </row>
    <row r="25" spans="1:6" x14ac:dyDescent="0.2">
      <c r="A25" s="6" t="s">
        <v>44</v>
      </c>
      <c r="B25" s="7"/>
      <c r="C25" s="7"/>
      <c r="D25" s="32"/>
      <c r="E25" s="12"/>
      <c r="F25" s="7"/>
    </row>
    <row r="26" spans="1:6" x14ac:dyDescent="0.2">
      <c r="A26" s="38" t="s">
        <v>616</v>
      </c>
      <c r="B26" s="7" t="s">
        <v>1911</v>
      </c>
      <c r="C26" s="7" t="s">
        <v>78</v>
      </c>
      <c r="D26" s="32">
        <v>35000</v>
      </c>
      <c r="E26" s="15">
        <v>1569.0444239999999</v>
      </c>
      <c r="F26" s="7">
        <v>6.5118707692193825</v>
      </c>
    </row>
    <row r="27" spans="1:6" x14ac:dyDescent="0.2">
      <c r="A27" s="38" t="s">
        <v>584</v>
      </c>
      <c r="B27" s="7" t="s">
        <v>1912</v>
      </c>
      <c r="C27" s="7" t="s">
        <v>78</v>
      </c>
      <c r="D27" s="32">
        <v>19000</v>
      </c>
      <c r="E27" s="15">
        <v>553.24317810000002</v>
      </c>
      <c r="F27" s="7">
        <v>2.2960778067424705</v>
      </c>
    </row>
    <row r="28" spans="1:6" x14ac:dyDescent="0.2">
      <c r="A28" s="38" t="s">
        <v>89</v>
      </c>
      <c r="B28" s="7" t="s">
        <v>90</v>
      </c>
      <c r="C28" s="7" t="s">
        <v>75</v>
      </c>
      <c r="D28" s="32">
        <v>88000</v>
      </c>
      <c r="E28" s="15">
        <v>505.64421260000006</v>
      </c>
      <c r="F28" s="7">
        <v>2.0985318945022371</v>
      </c>
    </row>
    <row r="29" spans="1:6" x14ac:dyDescent="0.2">
      <c r="A29" s="38" t="s">
        <v>619</v>
      </c>
      <c r="B29" s="7" t="s">
        <v>641</v>
      </c>
      <c r="C29" s="7" t="s">
        <v>75</v>
      </c>
      <c r="D29" s="32">
        <v>17000</v>
      </c>
      <c r="E29" s="15">
        <v>449.12354210000001</v>
      </c>
      <c r="F29" s="7">
        <v>1.8639589936615211</v>
      </c>
    </row>
    <row r="30" spans="1:6" x14ac:dyDescent="0.2">
      <c r="A30" s="38" t="s">
        <v>618</v>
      </c>
      <c r="B30" s="7" t="s">
        <v>1913</v>
      </c>
      <c r="C30" s="7" t="s">
        <v>1914</v>
      </c>
      <c r="D30" s="32">
        <v>6000</v>
      </c>
      <c r="E30" s="15">
        <v>302.09559200000001</v>
      </c>
      <c r="F30" s="7">
        <v>1.2537614773454144</v>
      </c>
    </row>
    <row r="31" spans="1:6" x14ac:dyDescent="0.2">
      <c r="A31" s="38" t="s">
        <v>73</v>
      </c>
      <c r="B31" s="38" t="s">
        <v>74</v>
      </c>
      <c r="C31" s="7" t="s">
        <v>75</v>
      </c>
      <c r="D31" s="32">
        <v>33000</v>
      </c>
      <c r="E31" s="15">
        <v>268.09642050000002</v>
      </c>
      <c r="F31" s="7">
        <v>1.1126576260573091</v>
      </c>
    </row>
    <row r="32" spans="1:6" x14ac:dyDescent="0.2">
      <c r="A32" s="38" t="s">
        <v>617</v>
      </c>
      <c r="B32" s="7" t="s">
        <v>1915</v>
      </c>
      <c r="C32" s="7" t="s">
        <v>75</v>
      </c>
      <c r="D32" s="32">
        <v>2000</v>
      </c>
      <c r="E32" s="15">
        <v>232.22876019999998</v>
      </c>
      <c r="F32" s="7">
        <v>0.96379914563747071</v>
      </c>
    </row>
    <row r="33" spans="1:6" x14ac:dyDescent="0.2">
      <c r="A33" s="38" t="s">
        <v>583</v>
      </c>
      <c r="B33" s="7" t="s">
        <v>1916</v>
      </c>
      <c r="C33" s="7" t="s">
        <v>24</v>
      </c>
      <c r="D33" s="32">
        <v>30000</v>
      </c>
      <c r="E33" s="15">
        <v>215.75307110000003</v>
      </c>
      <c r="F33" s="7">
        <v>0.89542150341652871</v>
      </c>
    </row>
    <row r="34" spans="1:6" x14ac:dyDescent="0.2">
      <c r="A34" s="6" t="s">
        <v>43</v>
      </c>
      <c r="B34" s="7"/>
      <c r="C34" s="7"/>
      <c r="D34" s="32"/>
      <c r="E34" s="13">
        <v>4095.2292006000007</v>
      </c>
      <c r="F34" s="6">
        <v>16.996079216582334</v>
      </c>
    </row>
    <row r="35" spans="1:6" x14ac:dyDescent="0.2">
      <c r="A35" s="7"/>
      <c r="B35" s="7"/>
      <c r="C35" s="7"/>
      <c r="D35" s="32"/>
      <c r="E35" s="12"/>
      <c r="F35" s="7"/>
    </row>
    <row r="36" spans="1:6" x14ac:dyDescent="0.2">
      <c r="A36" s="6" t="s">
        <v>612</v>
      </c>
      <c r="B36" s="7"/>
      <c r="C36" s="7"/>
      <c r="D36" s="32"/>
      <c r="E36" s="36"/>
      <c r="F36" s="12"/>
    </row>
    <row r="37" spans="1:6" x14ac:dyDescent="0.2">
      <c r="A37" s="7" t="s">
        <v>613</v>
      </c>
      <c r="B37" s="7" t="s">
        <v>614</v>
      </c>
      <c r="C37" s="7" t="s">
        <v>615</v>
      </c>
      <c r="D37" s="32">
        <v>102868.481</v>
      </c>
      <c r="E37" s="36">
        <v>2240.65753</v>
      </c>
      <c r="F37" s="7">
        <v>9.2992091557493737</v>
      </c>
    </row>
    <row r="38" spans="1:6" x14ac:dyDescent="0.2">
      <c r="A38" s="6" t="s">
        <v>43</v>
      </c>
      <c r="B38" s="7"/>
      <c r="C38" s="7"/>
      <c r="D38" s="34"/>
      <c r="E38" s="35">
        <v>2240.65753</v>
      </c>
      <c r="F38" s="35">
        <v>9.2992091557493737</v>
      </c>
    </row>
    <row r="39" spans="1:6" x14ac:dyDescent="0.2">
      <c r="A39" s="7"/>
      <c r="B39" s="7"/>
      <c r="C39" s="7"/>
      <c r="D39" s="7"/>
      <c r="E39" s="12"/>
      <c r="F39" s="7"/>
    </row>
    <row r="40" spans="1:6" x14ac:dyDescent="0.2">
      <c r="A40" s="6" t="s">
        <v>43</v>
      </c>
      <c r="B40" s="7"/>
      <c r="C40" s="7"/>
      <c r="D40" s="7"/>
      <c r="E40" s="13">
        <v>22930.407135600009</v>
      </c>
      <c r="F40" s="6">
        <v>95.166098138690074</v>
      </c>
    </row>
    <row r="41" spans="1:6" x14ac:dyDescent="0.2">
      <c r="A41" s="7"/>
      <c r="B41" s="7"/>
      <c r="C41" s="7"/>
      <c r="D41" s="7"/>
      <c r="E41" s="12"/>
      <c r="F41" s="7"/>
    </row>
    <row r="42" spans="1:6" x14ac:dyDescent="0.2">
      <c r="A42" s="6" t="s">
        <v>101</v>
      </c>
      <c r="B42" s="7"/>
      <c r="C42" s="7"/>
      <c r="D42" s="7"/>
      <c r="E42" s="13">
        <v>1164.7335637000001</v>
      </c>
      <c r="F42" s="6">
        <v>4.8338940130523369</v>
      </c>
    </row>
    <row r="43" spans="1:6" x14ac:dyDescent="0.2">
      <c r="A43" s="7"/>
      <c r="B43" s="7"/>
      <c r="C43" s="7"/>
      <c r="D43" s="7"/>
      <c r="E43" s="12"/>
      <c r="F43" s="7"/>
    </row>
    <row r="44" spans="1:6" x14ac:dyDescent="0.2">
      <c r="A44" s="8" t="s">
        <v>102</v>
      </c>
      <c r="B44" s="5"/>
      <c r="C44" s="5"/>
      <c r="D44" s="5"/>
      <c r="E44" s="14">
        <v>24095.140699300009</v>
      </c>
      <c r="F44" s="8">
        <v>99.999992151742418</v>
      </c>
    </row>
    <row r="45" spans="1:6" x14ac:dyDescent="0.2">
      <c r="F45" s="11" t="s">
        <v>611</v>
      </c>
    </row>
    <row r="46" spans="1:6" x14ac:dyDescent="0.2">
      <c r="A46" s="4" t="s">
        <v>103</v>
      </c>
      <c r="B46" s="2"/>
      <c r="C46" s="2"/>
      <c r="D46" s="2"/>
    </row>
    <row r="47" spans="1:6" x14ac:dyDescent="0.2">
      <c r="A47" s="4" t="s">
        <v>104</v>
      </c>
      <c r="B47" s="2"/>
      <c r="C47" s="2"/>
      <c r="D47" s="2"/>
    </row>
    <row r="48" spans="1:6" x14ac:dyDescent="0.2">
      <c r="A48" s="4" t="s">
        <v>608</v>
      </c>
      <c r="B48" s="2"/>
      <c r="C48" s="2"/>
      <c r="D48" s="2"/>
    </row>
    <row r="49" spans="1:4" x14ac:dyDescent="0.2">
      <c r="A49" s="2" t="s">
        <v>600</v>
      </c>
      <c r="B49" s="2"/>
      <c r="C49" s="2"/>
      <c r="D49" s="10">
        <v>158.41630000000001</v>
      </c>
    </row>
    <row r="50" spans="1:4" x14ac:dyDescent="0.2">
      <c r="A50" s="2" t="s">
        <v>601</v>
      </c>
      <c r="B50" s="2"/>
      <c r="C50" s="2"/>
      <c r="D50" s="10">
        <v>25.093299999999999</v>
      </c>
    </row>
    <row r="51" spans="1:4" x14ac:dyDescent="0.2">
      <c r="A51" s="2" t="s">
        <v>602</v>
      </c>
      <c r="B51" s="2"/>
      <c r="C51" s="2"/>
      <c r="D51" s="10">
        <v>163.99889999999999</v>
      </c>
    </row>
    <row r="52" spans="1:4" x14ac:dyDescent="0.2">
      <c r="A52" s="2" t="s">
        <v>603</v>
      </c>
      <c r="B52" s="2"/>
      <c r="C52" s="2"/>
      <c r="D52" s="10">
        <v>26.11</v>
      </c>
    </row>
    <row r="53" spans="1:4" x14ac:dyDescent="0.2">
      <c r="A53" s="2"/>
      <c r="B53" s="2"/>
      <c r="C53" s="2"/>
      <c r="D53" s="10"/>
    </row>
    <row r="54" spans="1:4" x14ac:dyDescent="0.2">
      <c r="A54" s="4" t="s">
        <v>105</v>
      </c>
      <c r="B54" s="2"/>
      <c r="C54" s="2"/>
      <c r="D54" s="2"/>
    </row>
    <row r="55" spans="1:4" x14ac:dyDescent="0.2">
      <c r="A55" s="2" t="s">
        <v>600</v>
      </c>
      <c r="B55" s="2"/>
      <c r="C55" s="2"/>
      <c r="D55" s="10">
        <v>157.98330000000001</v>
      </c>
    </row>
    <row r="56" spans="1:4" x14ac:dyDescent="0.2">
      <c r="A56" s="2" t="s">
        <v>601</v>
      </c>
      <c r="B56" s="2"/>
      <c r="C56" s="2"/>
      <c r="D56" s="10">
        <v>25.024699999999999</v>
      </c>
    </row>
    <row r="57" spans="1:4" x14ac:dyDescent="0.2">
      <c r="A57" s="2" t="s">
        <v>602</v>
      </c>
      <c r="B57" s="2"/>
      <c r="C57" s="2"/>
      <c r="D57" s="10">
        <v>164.04689999999999</v>
      </c>
    </row>
    <row r="58" spans="1:4" x14ac:dyDescent="0.2">
      <c r="A58" s="2" t="s">
        <v>603</v>
      </c>
      <c r="B58" s="2"/>
      <c r="C58" s="2"/>
      <c r="D58" s="10">
        <v>26.1114</v>
      </c>
    </row>
    <row r="59" spans="1:4" x14ac:dyDescent="0.2">
      <c r="A59" s="2"/>
      <c r="B59" s="2"/>
      <c r="C59" s="2"/>
      <c r="D59" s="2"/>
    </row>
    <row r="60" spans="1:4" x14ac:dyDescent="0.2">
      <c r="A60" s="4" t="s">
        <v>106</v>
      </c>
      <c r="B60" s="2"/>
      <c r="C60" s="2"/>
      <c r="D60" s="20" t="s">
        <v>107</v>
      </c>
    </row>
    <row r="61" spans="1:4" x14ac:dyDescent="0.2">
      <c r="A61" s="4"/>
      <c r="B61" s="2"/>
      <c r="C61" s="2"/>
      <c r="D61" s="20"/>
    </row>
    <row r="62" spans="1:4" x14ac:dyDescent="0.2">
      <c r="A62" s="9" t="s">
        <v>609</v>
      </c>
      <c r="B62" s="2"/>
      <c r="C62" s="2"/>
      <c r="D62" s="27">
        <v>9.3621493992401578E-2</v>
      </c>
    </row>
  </sheetData>
  <sortState xmlns:xlrd2="http://schemas.microsoft.com/office/spreadsheetml/2017/richdata2" ref="A26:I33">
    <sortCondition descending="1" ref="E26:E33"/>
  </sortState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7D6B-6FF2-4EEA-AE46-6202F318CDD1}">
  <dimension ref="A1:F108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5.28515625" style="1" bestFit="1" customWidth="1"/>
    <col min="3" max="3" width="20" style="1" bestFit="1" customWidth="1"/>
    <col min="4" max="4" width="11.57031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580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18">
        <v>1383653</v>
      </c>
      <c r="E7" s="12">
        <v>31155.022774500001</v>
      </c>
      <c r="F7" s="7">
        <v>4.630071952651301</v>
      </c>
    </row>
    <row r="8" spans="1:6" x14ac:dyDescent="0.2">
      <c r="A8" s="7" t="s">
        <v>493</v>
      </c>
      <c r="B8" s="7" t="s">
        <v>494</v>
      </c>
      <c r="C8" s="7" t="s">
        <v>19</v>
      </c>
      <c r="D8" s="18">
        <v>6401325</v>
      </c>
      <c r="E8" s="12">
        <v>16745.8662</v>
      </c>
      <c r="F8" s="7">
        <v>2.488669835893444</v>
      </c>
    </row>
    <row r="9" spans="1:6" x14ac:dyDescent="0.2">
      <c r="A9" s="7" t="s">
        <v>495</v>
      </c>
      <c r="B9" s="7" t="s">
        <v>496</v>
      </c>
      <c r="C9" s="7" t="s">
        <v>240</v>
      </c>
      <c r="D9" s="18">
        <v>5678251</v>
      </c>
      <c r="E9" s="12">
        <v>15774.181278</v>
      </c>
      <c r="F9" s="7">
        <v>2.3442638716696362</v>
      </c>
    </row>
    <row r="10" spans="1:6" x14ac:dyDescent="0.2">
      <c r="A10" s="7" t="s">
        <v>497</v>
      </c>
      <c r="B10" s="7" t="s">
        <v>498</v>
      </c>
      <c r="C10" s="7" t="s">
        <v>499</v>
      </c>
      <c r="D10" s="18">
        <v>2824663</v>
      </c>
      <c r="E10" s="12">
        <v>15606.263075000001</v>
      </c>
      <c r="F10" s="7">
        <v>2.3193088790934064</v>
      </c>
    </row>
    <row r="11" spans="1:6" x14ac:dyDescent="0.2">
      <c r="A11" s="7" t="s">
        <v>135</v>
      </c>
      <c r="B11" s="7" t="s">
        <v>136</v>
      </c>
      <c r="C11" s="7" t="s">
        <v>19</v>
      </c>
      <c r="D11" s="18">
        <v>2829248</v>
      </c>
      <c r="E11" s="12">
        <v>15481.645055999999</v>
      </c>
      <c r="F11" s="7">
        <v>2.3007888992255334</v>
      </c>
    </row>
    <row r="12" spans="1:6" x14ac:dyDescent="0.2">
      <c r="A12" s="7" t="s">
        <v>326</v>
      </c>
      <c r="B12" s="7" t="s">
        <v>327</v>
      </c>
      <c r="C12" s="7" t="s">
        <v>328</v>
      </c>
      <c r="D12" s="18">
        <v>1655675</v>
      </c>
      <c r="E12" s="12">
        <v>15076.57655</v>
      </c>
      <c r="F12" s="7">
        <v>2.2405900561013348</v>
      </c>
    </row>
    <row r="13" spans="1:6" x14ac:dyDescent="0.2">
      <c r="A13" s="7" t="s">
        <v>151</v>
      </c>
      <c r="B13" s="7" t="s">
        <v>152</v>
      </c>
      <c r="C13" s="7" t="s">
        <v>24</v>
      </c>
      <c r="D13" s="18">
        <v>3958085</v>
      </c>
      <c r="E13" s="12">
        <v>14834.90258</v>
      </c>
      <c r="F13" s="7">
        <v>2.204673925393231</v>
      </c>
    </row>
    <row r="14" spans="1:6" x14ac:dyDescent="0.2">
      <c r="A14" s="7" t="s">
        <v>500</v>
      </c>
      <c r="B14" s="7" t="s">
        <v>501</v>
      </c>
      <c r="C14" s="7" t="s">
        <v>78</v>
      </c>
      <c r="D14" s="18">
        <v>3195037</v>
      </c>
      <c r="E14" s="12">
        <v>14773.851087999999</v>
      </c>
      <c r="F14" s="7">
        <v>2.1956008201407422</v>
      </c>
    </row>
    <row r="15" spans="1:6" x14ac:dyDescent="0.2">
      <c r="A15" s="7" t="s">
        <v>275</v>
      </c>
      <c r="B15" s="7" t="s">
        <v>276</v>
      </c>
      <c r="C15" s="7" t="s">
        <v>93</v>
      </c>
      <c r="D15" s="18">
        <v>2521141</v>
      </c>
      <c r="E15" s="12">
        <v>14698.25203</v>
      </c>
      <c r="F15" s="7">
        <v>2.184365743195809</v>
      </c>
    </row>
    <row r="16" spans="1:6" x14ac:dyDescent="0.2">
      <c r="A16" s="7" t="s">
        <v>234</v>
      </c>
      <c r="B16" s="7" t="s">
        <v>235</v>
      </c>
      <c r="C16" s="7" t="s">
        <v>122</v>
      </c>
      <c r="D16" s="18">
        <v>5516937</v>
      </c>
      <c r="E16" s="12">
        <v>14677.8108885</v>
      </c>
      <c r="F16" s="7">
        <v>2.1813279037878792</v>
      </c>
    </row>
    <row r="17" spans="1:6" x14ac:dyDescent="0.2">
      <c r="A17" s="7" t="s">
        <v>502</v>
      </c>
      <c r="B17" s="7" t="s">
        <v>503</v>
      </c>
      <c r="C17" s="7" t="s">
        <v>240</v>
      </c>
      <c r="D17" s="18">
        <v>385642</v>
      </c>
      <c r="E17" s="12">
        <v>14041.610862</v>
      </c>
      <c r="F17" s="7">
        <v>2.0867796853418752</v>
      </c>
    </row>
    <row r="18" spans="1:6" x14ac:dyDescent="0.2">
      <c r="A18" s="7" t="s">
        <v>180</v>
      </c>
      <c r="B18" s="7" t="s">
        <v>181</v>
      </c>
      <c r="C18" s="7" t="s">
        <v>78</v>
      </c>
      <c r="D18" s="18">
        <v>1733149</v>
      </c>
      <c r="E18" s="12">
        <v>13755.137038499999</v>
      </c>
      <c r="F18" s="7">
        <v>2.0442056700713174</v>
      </c>
    </row>
    <row r="19" spans="1:6" x14ac:dyDescent="0.2">
      <c r="A19" s="7" t="s">
        <v>285</v>
      </c>
      <c r="B19" s="7" t="s">
        <v>286</v>
      </c>
      <c r="C19" s="7" t="s">
        <v>36</v>
      </c>
      <c r="D19" s="18">
        <v>8663765</v>
      </c>
      <c r="E19" s="12">
        <v>13298.879274999999</v>
      </c>
      <c r="F19" s="7">
        <v>1.9763993876220611</v>
      </c>
    </row>
    <row r="20" spans="1:6" x14ac:dyDescent="0.2">
      <c r="A20" s="7" t="s">
        <v>504</v>
      </c>
      <c r="B20" s="7" t="s">
        <v>505</v>
      </c>
      <c r="C20" s="7" t="s">
        <v>188</v>
      </c>
      <c r="D20" s="18">
        <v>3542713</v>
      </c>
      <c r="E20" s="12">
        <v>13134.608447500001</v>
      </c>
      <c r="F20" s="7">
        <v>1.9519864460379164</v>
      </c>
    </row>
    <row r="21" spans="1:6" x14ac:dyDescent="0.2">
      <c r="A21" s="7" t="s">
        <v>506</v>
      </c>
      <c r="B21" s="7" t="s">
        <v>507</v>
      </c>
      <c r="C21" s="7" t="s">
        <v>11</v>
      </c>
      <c r="D21" s="18">
        <v>6349096</v>
      </c>
      <c r="E21" s="12">
        <v>12412.482679999999</v>
      </c>
      <c r="F21" s="7">
        <v>1.8446684611791424</v>
      </c>
    </row>
    <row r="22" spans="1:6" x14ac:dyDescent="0.2">
      <c r="A22" s="7" t="s">
        <v>508</v>
      </c>
      <c r="B22" s="7" t="s">
        <v>509</v>
      </c>
      <c r="C22" s="7" t="s">
        <v>30</v>
      </c>
      <c r="D22" s="18">
        <v>1130571</v>
      </c>
      <c r="E22" s="12">
        <v>12298.351338</v>
      </c>
      <c r="F22" s="7">
        <v>1.8277069481243302</v>
      </c>
    </row>
    <row r="23" spans="1:6" x14ac:dyDescent="0.2">
      <c r="A23" s="7" t="s">
        <v>439</v>
      </c>
      <c r="B23" s="7" t="s">
        <v>440</v>
      </c>
      <c r="C23" s="7" t="s">
        <v>33</v>
      </c>
      <c r="D23" s="18">
        <v>3615705</v>
      </c>
      <c r="E23" s="12">
        <v>11781.7747425</v>
      </c>
      <c r="F23" s="7">
        <v>1.7509364439416693</v>
      </c>
    </row>
    <row r="24" spans="1:6" x14ac:dyDescent="0.2">
      <c r="A24" s="7" t="s">
        <v>510</v>
      </c>
      <c r="B24" s="7" t="s">
        <v>511</v>
      </c>
      <c r="C24" s="7" t="s">
        <v>122</v>
      </c>
      <c r="D24" s="18">
        <v>1497004</v>
      </c>
      <c r="E24" s="12">
        <v>11461.811126000001</v>
      </c>
      <c r="F24" s="7">
        <v>1.7033853772212793</v>
      </c>
    </row>
    <row r="25" spans="1:6" x14ac:dyDescent="0.2">
      <c r="A25" s="7" t="s">
        <v>380</v>
      </c>
      <c r="B25" s="7" t="s">
        <v>381</v>
      </c>
      <c r="C25" s="7" t="s">
        <v>36</v>
      </c>
      <c r="D25" s="18">
        <v>3336449</v>
      </c>
      <c r="E25" s="12">
        <v>11036.973292000001</v>
      </c>
      <c r="F25" s="7">
        <v>1.6402485355676593</v>
      </c>
    </row>
    <row r="26" spans="1:6" x14ac:dyDescent="0.2">
      <c r="A26" s="7" t="s">
        <v>512</v>
      </c>
      <c r="B26" s="7" t="s">
        <v>513</v>
      </c>
      <c r="C26" s="7" t="s">
        <v>70</v>
      </c>
      <c r="D26" s="18">
        <v>10868096</v>
      </c>
      <c r="E26" s="12">
        <v>11003.947200000001</v>
      </c>
      <c r="F26" s="7">
        <v>1.6353403965692812</v>
      </c>
    </row>
    <row r="27" spans="1:6" x14ac:dyDescent="0.2">
      <c r="A27" s="7" t="s">
        <v>255</v>
      </c>
      <c r="B27" s="7" t="s">
        <v>256</v>
      </c>
      <c r="C27" s="7" t="s">
        <v>33</v>
      </c>
      <c r="D27" s="18">
        <v>9772603</v>
      </c>
      <c r="E27" s="12">
        <v>10994.178375</v>
      </c>
      <c r="F27" s="7">
        <v>1.6338886125994785</v>
      </c>
    </row>
    <row r="28" spans="1:6" x14ac:dyDescent="0.2">
      <c r="A28" s="7" t="s">
        <v>20</v>
      </c>
      <c r="B28" s="7" t="s">
        <v>21</v>
      </c>
      <c r="C28" s="7" t="s">
        <v>11</v>
      </c>
      <c r="D28" s="18">
        <v>673158</v>
      </c>
      <c r="E28" s="12">
        <v>10228.972389</v>
      </c>
      <c r="F28" s="7">
        <v>1.5201683049809152</v>
      </c>
    </row>
    <row r="29" spans="1:6" x14ac:dyDescent="0.2">
      <c r="A29" s="7" t="s">
        <v>299</v>
      </c>
      <c r="B29" s="7" t="s">
        <v>300</v>
      </c>
      <c r="C29" s="7" t="s">
        <v>11</v>
      </c>
      <c r="D29" s="18">
        <v>15898917</v>
      </c>
      <c r="E29" s="12">
        <v>10000.418793000001</v>
      </c>
      <c r="F29" s="7">
        <v>1.4862020452809437</v>
      </c>
    </row>
    <row r="30" spans="1:6" x14ac:dyDescent="0.2">
      <c r="A30" s="7" t="s">
        <v>514</v>
      </c>
      <c r="B30" s="7" t="s">
        <v>515</v>
      </c>
      <c r="C30" s="7" t="s">
        <v>270</v>
      </c>
      <c r="D30" s="18">
        <v>1733776</v>
      </c>
      <c r="E30" s="12">
        <v>9928.4682639999992</v>
      </c>
      <c r="F30" s="7">
        <v>1.4755091907543214</v>
      </c>
    </row>
    <row r="31" spans="1:6" x14ac:dyDescent="0.2">
      <c r="A31" s="7" t="s">
        <v>118</v>
      </c>
      <c r="B31" s="7" t="s">
        <v>119</v>
      </c>
      <c r="C31" s="7" t="s">
        <v>11</v>
      </c>
      <c r="D31" s="18">
        <v>1451248</v>
      </c>
      <c r="E31" s="12">
        <v>9782.8627680000009</v>
      </c>
      <c r="F31" s="7">
        <v>1.4538701783850776</v>
      </c>
    </row>
    <row r="32" spans="1:6" x14ac:dyDescent="0.2">
      <c r="A32" s="7" t="s">
        <v>516</v>
      </c>
      <c r="B32" s="7" t="s">
        <v>517</v>
      </c>
      <c r="C32" s="7" t="s">
        <v>19</v>
      </c>
      <c r="D32" s="18">
        <v>379355</v>
      </c>
      <c r="E32" s="12">
        <v>9739.7499475000004</v>
      </c>
      <c r="F32" s="7">
        <v>1.4474630105122903</v>
      </c>
    </row>
    <row r="33" spans="1:6" x14ac:dyDescent="0.2">
      <c r="A33" s="7" t="s">
        <v>518</v>
      </c>
      <c r="B33" s="7" t="s">
        <v>519</v>
      </c>
      <c r="C33" s="7" t="s">
        <v>19</v>
      </c>
      <c r="D33" s="18">
        <v>3223420</v>
      </c>
      <c r="E33" s="12">
        <v>9478.4665100000002</v>
      </c>
      <c r="F33" s="7">
        <v>1.4086326387800234</v>
      </c>
    </row>
    <row r="34" spans="1:6" x14ac:dyDescent="0.2">
      <c r="A34" s="7" t="s">
        <v>484</v>
      </c>
      <c r="B34" s="7" t="s">
        <v>485</v>
      </c>
      <c r="C34" s="7" t="s">
        <v>19</v>
      </c>
      <c r="D34" s="18">
        <v>1980000</v>
      </c>
      <c r="E34" s="12">
        <v>9385.2000000000007</v>
      </c>
      <c r="F34" s="7">
        <v>1.3947719314649218</v>
      </c>
    </row>
    <row r="35" spans="1:6" x14ac:dyDescent="0.2">
      <c r="A35" s="7" t="s">
        <v>460</v>
      </c>
      <c r="B35" s="7" t="s">
        <v>461</v>
      </c>
      <c r="C35" s="7" t="s">
        <v>11</v>
      </c>
      <c r="D35" s="18">
        <v>4731960</v>
      </c>
      <c r="E35" s="12">
        <v>9165.8065200000001</v>
      </c>
      <c r="F35" s="7">
        <v>1.362166993067188</v>
      </c>
    </row>
    <row r="36" spans="1:6" x14ac:dyDescent="0.2">
      <c r="A36" s="7" t="s">
        <v>520</v>
      </c>
      <c r="B36" s="7" t="s">
        <v>521</v>
      </c>
      <c r="C36" s="7" t="s">
        <v>70</v>
      </c>
      <c r="D36" s="18">
        <v>19537175</v>
      </c>
      <c r="E36" s="12">
        <v>9065.2492000000002</v>
      </c>
      <c r="F36" s="7">
        <v>1.3472227694556149</v>
      </c>
    </row>
    <row r="37" spans="1:6" x14ac:dyDescent="0.2">
      <c r="A37" s="7" t="s">
        <v>287</v>
      </c>
      <c r="B37" s="7" t="s">
        <v>288</v>
      </c>
      <c r="C37" s="7" t="s">
        <v>24</v>
      </c>
      <c r="D37" s="18">
        <v>1641126</v>
      </c>
      <c r="E37" s="12">
        <v>8643.8106420000004</v>
      </c>
      <c r="F37" s="7">
        <v>1.2845911077397802</v>
      </c>
    </row>
    <row r="38" spans="1:6" x14ac:dyDescent="0.2">
      <c r="A38" s="7" t="s">
        <v>522</v>
      </c>
      <c r="B38" s="7" t="s">
        <v>523</v>
      </c>
      <c r="C38" s="7" t="s">
        <v>499</v>
      </c>
      <c r="D38" s="18">
        <v>323284</v>
      </c>
      <c r="E38" s="12">
        <v>8627.4801079999997</v>
      </c>
      <c r="F38" s="7">
        <v>1.2821641620754327</v>
      </c>
    </row>
    <row r="39" spans="1:6" x14ac:dyDescent="0.2">
      <c r="A39" s="7" t="s">
        <v>524</v>
      </c>
      <c r="B39" s="7" t="s">
        <v>525</v>
      </c>
      <c r="C39" s="7" t="s">
        <v>24</v>
      </c>
      <c r="D39" s="18">
        <v>2534305</v>
      </c>
      <c r="E39" s="12">
        <v>8356.8707374999994</v>
      </c>
      <c r="F39" s="7">
        <v>1.2419478263164938</v>
      </c>
    </row>
    <row r="40" spans="1:6" x14ac:dyDescent="0.2">
      <c r="A40" s="7" t="s">
        <v>526</v>
      </c>
      <c r="B40" s="7" t="s">
        <v>527</v>
      </c>
      <c r="C40" s="7" t="s">
        <v>78</v>
      </c>
      <c r="D40" s="18">
        <v>1390319</v>
      </c>
      <c r="E40" s="12">
        <v>8294.6431539999994</v>
      </c>
      <c r="F40" s="7">
        <v>1.2326999374245482</v>
      </c>
    </row>
    <row r="41" spans="1:6" x14ac:dyDescent="0.2">
      <c r="A41" s="7" t="s">
        <v>259</v>
      </c>
      <c r="B41" s="7" t="s">
        <v>260</v>
      </c>
      <c r="C41" s="7" t="s">
        <v>261</v>
      </c>
      <c r="D41" s="18">
        <v>1852195</v>
      </c>
      <c r="E41" s="12">
        <v>8002.4084974999996</v>
      </c>
      <c r="F41" s="7">
        <v>1.1892697818298361</v>
      </c>
    </row>
    <row r="42" spans="1:6" x14ac:dyDescent="0.2">
      <c r="A42" s="7" t="s">
        <v>528</v>
      </c>
      <c r="B42" s="7" t="s">
        <v>529</v>
      </c>
      <c r="C42" s="7" t="s">
        <v>33</v>
      </c>
      <c r="D42" s="18">
        <v>1054044</v>
      </c>
      <c r="E42" s="12">
        <v>7957.5051780000003</v>
      </c>
      <c r="F42" s="7">
        <v>1.1825965207732576</v>
      </c>
    </row>
    <row r="43" spans="1:6" x14ac:dyDescent="0.2">
      <c r="A43" s="7" t="s">
        <v>161</v>
      </c>
      <c r="B43" s="7" t="s">
        <v>162</v>
      </c>
      <c r="C43" s="7" t="s">
        <v>24</v>
      </c>
      <c r="D43" s="18">
        <v>190105</v>
      </c>
      <c r="E43" s="12">
        <v>7946.6741574999996</v>
      </c>
      <c r="F43" s="7">
        <v>1.1809868797019407</v>
      </c>
    </row>
    <row r="44" spans="1:6" x14ac:dyDescent="0.2">
      <c r="A44" s="7" t="s">
        <v>530</v>
      </c>
      <c r="B44" s="7" t="s">
        <v>531</v>
      </c>
      <c r="C44" s="7" t="s">
        <v>93</v>
      </c>
      <c r="D44" s="18">
        <v>1167241</v>
      </c>
      <c r="E44" s="12">
        <v>7899.8870880000004</v>
      </c>
      <c r="F44" s="7">
        <v>1.1740336670592588</v>
      </c>
    </row>
    <row r="45" spans="1:6" x14ac:dyDescent="0.2">
      <c r="A45" s="7" t="s">
        <v>141</v>
      </c>
      <c r="B45" s="7" t="s">
        <v>142</v>
      </c>
      <c r="C45" s="7" t="s">
        <v>57</v>
      </c>
      <c r="D45" s="18">
        <v>2345030</v>
      </c>
      <c r="E45" s="12">
        <v>7837.0902599999999</v>
      </c>
      <c r="F45" s="7">
        <v>1.1647011804761886</v>
      </c>
    </row>
    <row r="46" spans="1:6" x14ac:dyDescent="0.2">
      <c r="A46" s="7" t="s">
        <v>437</v>
      </c>
      <c r="B46" s="7" t="s">
        <v>438</v>
      </c>
      <c r="C46" s="7" t="s">
        <v>191</v>
      </c>
      <c r="D46" s="18">
        <v>6313159</v>
      </c>
      <c r="E46" s="12">
        <v>7632.6092310000004</v>
      </c>
      <c r="F46" s="7">
        <v>1.1343124407832397</v>
      </c>
    </row>
    <row r="47" spans="1:6" x14ac:dyDescent="0.2">
      <c r="A47" s="7" t="s">
        <v>532</v>
      </c>
      <c r="B47" s="7" t="s">
        <v>533</v>
      </c>
      <c r="C47" s="7" t="s">
        <v>36</v>
      </c>
      <c r="D47" s="18">
        <v>3059582</v>
      </c>
      <c r="E47" s="12">
        <v>7526.5717199999999</v>
      </c>
      <c r="F47" s="7">
        <v>1.1185537841722775</v>
      </c>
    </row>
    <row r="48" spans="1:6" x14ac:dyDescent="0.2">
      <c r="A48" s="7" t="s">
        <v>534</v>
      </c>
      <c r="B48" s="7" t="s">
        <v>535</v>
      </c>
      <c r="C48" s="7" t="s">
        <v>246</v>
      </c>
      <c r="D48" s="18">
        <v>7172576</v>
      </c>
      <c r="E48" s="12">
        <v>7316.0275199999996</v>
      </c>
      <c r="F48" s="7">
        <v>1.0872639725014832</v>
      </c>
    </row>
    <row r="49" spans="1:6" x14ac:dyDescent="0.2">
      <c r="A49" s="7" t="s">
        <v>536</v>
      </c>
      <c r="B49" s="7" t="s">
        <v>537</v>
      </c>
      <c r="C49" s="7" t="s">
        <v>93</v>
      </c>
      <c r="D49" s="18">
        <v>1876363</v>
      </c>
      <c r="E49" s="12">
        <v>7181.7793824999999</v>
      </c>
      <c r="F49" s="7">
        <v>1.0673128223889186</v>
      </c>
    </row>
    <row r="50" spans="1:6" x14ac:dyDescent="0.2">
      <c r="A50" s="7" t="s">
        <v>538</v>
      </c>
      <c r="B50" s="7" t="s">
        <v>539</v>
      </c>
      <c r="C50" s="7" t="s">
        <v>240</v>
      </c>
      <c r="D50" s="18">
        <v>3436227</v>
      </c>
      <c r="E50" s="12">
        <v>7143.9159330000002</v>
      </c>
      <c r="F50" s="7">
        <v>1.0616857844364997</v>
      </c>
    </row>
    <row r="51" spans="1:6" x14ac:dyDescent="0.2">
      <c r="A51" s="7" t="s">
        <v>31</v>
      </c>
      <c r="B51" s="7" t="s">
        <v>32</v>
      </c>
      <c r="C51" s="7" t="s">
        <v>33</v>
      </c>
      <c r="D51" s="18">
        <v>1324301</v>
      </c>
      <c r="E51" s="12">
        <v>6947.9451964999998</v>
      </c>
      <c r="F51" s="7">
        <v>1.0325617931887152</v>
      </c>
    </row>
    <row r="52" spans="1:6" x14ac:dyDescent="0.2">
      <c r="A52" s="7" t="s">
        <v>474</v>
      </c>
      <c r="B52" s="7" t="s">
        <v>475</v>
      </c>
      <c r="C52" s="7" t="s">
        <v>33</v>
      </c>
      <c r="D52" s="18">
        <v>1324002</v>
      </c>
      <c r="E52" s="12">
        <v>6863.6263680000002</v>
      </c>
      <c r="F52" s="7">
        <v>1.0200308364391728</v>
      </c>
    </row>
    <row r="53" spans="1:6" x14ac:dyDescent="0.2">
      <c r="A53" s="7" t="s">
        <v>540</v>
      </c>
      <c r="B53" s="7" t="s">
        <v>541</v>
      </c>
      <c r="C53" s="7" t="s">
        <v>307</v>
      </c>
      <c r="D53" s="18">
        <v>4183258</v>
      </c>
      <c r="E53" s="12">
        <v>6672.2965100000001</v>
      </c>
      <c r="F53" s="7">
        <v>0.99159654461911906</v>
      </c>
    </row>
    <row r="54" spans="1:6" x14ac:dyDescent="0.2">
      <c r="A54" s="7" t="s">
        <v>542</v>
      </c>
      <c r="B54" s="7" t="s">
        <v>543</v>
      </c>
      <c r="C54" s="7" t="s">
        <v>19</v>
      </c>
      <c r="D54" s="18">
        <v>2429126</v>
      </c>
      <c r="E54" s="12">
        <v>6516.1304950000003</v>
      </c>
      <c r="F54" s="7">
        <v>0.96838809148325311</v>
      </c>
    </row>
    <row r="55" spans="1:6" x14ac:dyDescent="0.2">
      <c r="A55" s="7" t="s">
        <v>544</v>
      </c>
      <c r="B55" s="7" t="s">
        <v>545</v>
      </c>
      <c r="C55" s="7" t="s">
        <v>322</v>
      </c>
      <c r="D55" s="18">
        <v>9028098</v>
      </c>
      <c r="E55" s="12">
        <v>6455.0900700000002</v>
      </c>
      <c r="F55" s="7">
        <v>0.95931663094168862</v>
      </c>
    </row>
    <row r="56" spans="1:6" x14ac:dyDescent="0.2">
      <c r="A56" s="7" t="s">
        <v>546</v>
      </c>
      <c r="B56" s="7" t="s">
        <v>547</v>
      </c>
      <c r="C56" s="7" t="s">
        <v>240</v>
      </c>
      <c r="D56" s="18">
        <v>7839564</v>
      </c>
      <c r="E56" s="12">
        <v>6338.2874940000002</v>
      </c>
      <c r="F56" s="7">
        <v>0.94195813516881244</v>
      </c>
    </row>
    <row r="57" spans="1:6" x14ac:dyDescent="0.2">
      <c r="A57" s="7" t="s">
        <v>548</v>
      </c>
      <c r="B57" s="7" t="s">
        <v>549</v>
      </c>
      <c r="C57" s="7" t="s">
        <v>70</v>
      </c>
      <c r="D57" s="18">
        <v>2310543</v>
      </c>
      <c r="E57" s="12">
        <v>6233.8450140000004</v>
      </c>
      <c r="F57" s="7">
        <v>0.92643652246406605</v>
      </c>
    </row>
    <row r="58" spans="1:6" x14ac:dyDescent="0.2">
      <c r="A58" s="7" t="s">
        <v>550</v>
      </c>
      <c r="B58" s="7" t="s">
        <v>551</v>
      </c>
      <c r="C58" s="7" t="s">
        <v>24</v>
      </c>
      <c r="D58" s="18">
        <v>1349476</v>
      </c>
      <c r="E58" s="12">
        <v>6144.1642279999996</v>
      </c>
      <c r="F58" s="7">
        <v>0.91310870386621912</v>
      </c>
    </row>
    <row r="59" spans="1:6" x14ac:dyDescent="0.2">
      <c r="A59" s="7" t="s">
        <v>268</v>
      </c>
      <c r="B59" s="7" t="s">
        <v>269</v>
      </c>
      <c r="C59" s="7" t="s">
        <v>270</v>
      </c>
      <c r="D59" s="18">
        <v>4031266</v>
      </c>
      <c r="E59" s="12">
        <v>5365.6150459999999</v>
      </c>
      <c r="F59" s="7">
        <v>0.79740541077512084</v>
      </c>
    </row>
    <row r="60" spans="1:6" x14ac:dyDescent="0.2">
      <c r="A60" s="7" t="s">
        <v>552</v>
      </c>
      <c r="B60" s="7" t="s">
        <v>553</v>
      </c>
      <c r="C60" s="7" t="s">
        <v>191</v>
      </c>
      <c r="D60" s="18">
        <v>1993014</v>
      </c>
      <c r="E60" s="12">
        <v>5065.245081</v>
      </c>
      <c r="F60" s="7">
        <v>0.75276623460017511</v>
      </c>
    </row>
    <row r="61" spans="1:6" x14ac:dyDescent="0.2">
      <c r="A61" s="7" t="s">
        <v>554</v>
      </c>
      <c r="B61" s="7" t="s">
        <v>555</v>
      </c>
      <c r="C61" s="7" t="s">
        <v>246</v>
      </c>
      <c r="D61" s="18">
        <v>121518</v>
      </c>
      <c r="E61" s="12">
        <v>4914.7955099999999</v>
      </c>
      <c r="F61" s="7">
        <v>0.7304073249624754</v>
      </c>
    </row>
    <row r="62" spans="1:6" x14ac:dyDescent="0.2">
      <c r="A62" s="7" t="s">
        <v>556</v>
      </c>
      <c r="B62" s="7" t="s">
        <v>557</v>
      </c>
      <c r="C62" s="7" t="s">
        <v>57</v>
      </c>
      <c r="D62" s="18">
        <v>8518504</v>
      </c>
      <c r="E62" s="12">
        <v>4829.9917679999999</v>
      </c>
      <c r="F62" s="7">
        <v>0.71780430328741329</v>
      </c>
    </row>
    <row r="63" spans="1:6" x14ac:dyDescent="0.2">
      <c r="A63" s="7" t="s">
        <v>168</v>
      </c>
      <c r="B63" s="7" t="s">
        <v>169</v>
      </c>
      <c r="C63" s="7" t="s">
        <v>24</v>
      </c>
      <c r="D63" s="18">
        <v>1190000</v>
      </c>
      <c r="E63" s="12">
        <v>4144.7700000000004</v>
      </c>
      <c r="F63" s="7">
        <v>0.61597076869729617</v>
      </c>
    </row>
    <row r="64" spans="1:6" x14ac:dyDescent="0.2">
      <c r="A64" s="7" t="s">
        <v>40</v>
      </c>
      <c r="B64" s="7" t="s">
        <v>41</v>
      </c>
      <c r="C64" s="7" t="s">
        <v>42</v>
      </c>
      <c r="D64" s="18">
        <v>57427461</v>
      </c>
      <c r="E64" s="12">
        <v>3933.7810785000001</v>
      </c>
      <c r="F64" s="7">
        <v>0.58461486519409367</v>
      </c>
    </row>
    <row r="65" spans="1:6" x14ac:dyDescent="0.2">
      <c r="A65" s="7" t="s">
        <v>558</v>
      </c>
      <c r="B65" s="7" t="s">
        <v>559</v>
      </c>
      <c r="C65" s="7" t="s">
        <v>24</v>
      </c>
      <c r="D65" s="18">
        <v>631989</v>
      </c>
      <c r="E65" s="12">
        <v>3541.6663560000002</v>
      </c>
      <c r="F65" s="7">
        <v>0.52634113540067884</v>
      </c>
    </row>
    <row r="66" spans="1:6" x14ac:dyDescent="0.2">
      <c r="A66" s="7" t="s">
        <v>560</v>
      </c>
      <c r="B66" s="7" t="s">
        <v>561</v>
      </c>
      <c r="C66" s="7" t="s">
        <v>30</v>
      </c>
      <c r="D66" s="18">
        <v>2979897</v>
      </c>
      <c r="E66" s="12">
        <v>3434.3312925</v>
      </c>
      <c r="F66" s="7">
        <v>0.51038964434755207</v>
      </c>
    </row>
    <row r="67" spans="1:6" x14ac:dyDescent="0.2">
      <c r="A67" s="7" t="s">
        <v>562</v>
      </c>
      <c r="B67" s="7" t="s">
        <v>563</v>
      </c>
      <c r="C67" s="7" t="s">
        <v>131</v>
      </c>
      <c r="D67" s="18">
        <v>421839</v>
      </c>
      <c r="E67" s="12">
        <v>3409.3027980000002</v>
      </c>
      <c r="F67" s="7">
        <v>0.50667006014951432</v>
      </c>
    </row>
    <row r="68" spans="1:6" x14ac:dyDescent="0.2">
      <c r="A68" s="7" t="s">
        <v>163</v>
      </c>
      <c r="B68" s="7" t="s">
        <v>599</v>
      </c>
      <c r="C68" s="7" t="s">
        <v>39</v>
      </c>
      <c r="D68" s="18">
        <v>4933939</v>
      </c>
      <c r="E68" s="12">
        <v>3214.4612585</v>
      </c>
      <c r="F68" s="7">
        <v>0.47771388336287002</v>
      </c>
    </row>
    <row r="69" spans="1:6" x14ac:dyDescent="0.2">
      <c r="A69" s="7" t="s">
        <v>206</v>
      </c>
      <c r="B69" s="7" t="s">
        <v>207</v>
      </c>
      <c r="C69" s="7" t="s">
        <v>11</v>
      </c>
      <c r="D69" s="18">
        <v>3412332</v>
      </c>
      <c r="E69" s="12">
        <v>3112.0467840000001</v>
      </c>
      <c r="F69" s="7">
        <v>0.46249366062831676</v>
      </c>
    </row>
    <row r="70" spans="1:6" x14ac:dyDescent="0.2">
      <c r="A70" s="7" t="s">
        <v>262</v>
      </c>
      <c r="B70" s="7" t="s">
        <v>263</v>
      </c>
      <c r="C70" s="7" t="s">
        <v>70</v>
      </c>
      <c r="D70" s="18">
        <v>3330705</v>
      </c>
      <c r="E70" s="12">
        <v>2796.1268475000002</v>
      </c>
      <c r="F70" s="7">
        <v>0.41554354128931703</v>
      </c>
    </row>
    <row r="71" spans="1:6" x14ac:dyDescent="0.2">
      <c r="A71" s="7" t="s">
        <v>564</v>
      </c>
      <c r="B71" s="7" t="s">
        <v>565</v>
      </c>
      <c r="C71" s="7" t="s">
        <v>261</v>
      </c>
      <c r="D71" s="18">
        <v>970012</v>
      </c>
      <c r="E71" s="12">
        <v>2732.5238039999999</v>
      </c>
      <c r="F71" s="7">
        <v>0.40609123981150697</v>
      </c>
    </row>
    <row r="72" spans="1:6" x14ac:dyDescent="0.2">
      <c r="A72" s="7" t="s">
        <v>566</v>
      </c>
      <c r="B72" s="7" t="s">
        <v>567</v>
      </c>
      <c r="C72" s="7" t="s">
        <v>70</v>
      </c>
      <c r="D72" s="18">
        <v>11046869</v>
      </c>
      <c r="E72" s="12">
        <v>2656.7719944999999</v>
      </c>
      <c r="F72" s="7">
        <v>0.39483346185810392</v>
      </c>
    </row>
    <row r="73" spans="1:6" x14ac:dyDescent="0.2">
      <c r="A73" s="7" t="s">
        <v>568</v>
      </c>
      <c r="B73" s="7" t="s">
        <v>569</v>
      </c>
      <c r="C73" s="7" t="s">
        <v>261</v>
      </c>
      <c r="D73" s="18">
        <v>8689354</v>
      </c>
      <c r="E73" s="12">
        <v>2272.266071</v>
      </c>
      <c r="F73" s="7">
        <v>0.33769050597226263</v>
      </c>
    </row>
    <row r="74" spans="1:6" x14ac:dyDescent="0.2">
      <c r="A74" s="7" t="s">
        <v>462</v>
      </c>
      <c r="B74" s="7" t="s">
        <v>463</v>
      </c>
      <c r="C74" s="7" t="s">
        <v>24</v>
      </c>
      <c r="D74" s="18">
        <v>113187</v>
      </c>
      <c r="E74" s="12">
        <v>2087.6776215</v>
      </c>
      <c r="F74" s="7">
        <v>0.31025808170477437</v>
      </c>
    </row>
    <row r="75" spans="1:6" x14ac:dyDescent="0.2">
      <c r="A75" s="7" t="s">
        <v>570</v>
      </c>
      <c r="B75" s="7" t="s">
        <v>571</v>
      </c>
      <c r="C75" s="7" t="s">
        <v>243</v>
      </c>
      <c r="D75" s="18">
        <v>1918887</v>
      </c>
      <c r="E75" s="12">
        <v>1878.590373</v>
      </c>
      <c r="F75" s="7">
        <v>0.27918479339605096</v>
      </c>
    </row>
    <row r="76" spans="1:6" x14ac:dyDescent="0.2">
      <c r="A76" s="7" t="s">
        <v>293</v>
      </c>
      <c r="B76" s="7" t="s">
        <v>294</v>
      </c>
      <c r="C76" s="7" t="s">
        <v>14</v>
      </c>
      <c r="D76" s="18">
        <v>224349</v>
      </c>
      <c r="E76" s="12">
        <v>1349.7957584999999</v>
      </c>
      <c r="F76" s="7">
        <v>0.2005985207737932</v>
      </c>
    </row>
    <row r="77" spans="1:6" x14ac:dyDescent="0.2">
      <c r="A77" s="7" t="s">
        <v>572</v>
      </c>
      <c r="B77" s="7" t="s">
        <v>573</v>
      </c>
      <c r="C77" s="7" t="s">
        <v>93</v>
      </c>
      <c r="D77" s="18">
        <v>571419</v>
      </c>
      <c r="E77" s="12">
        <v>1293.4069065000001</v>
      </c>
      <c r="F77" s="7">
        <v>0.19221834901217602</v>
      </c>
    </row>
    <row r="78" spans="1:6" x14ac:dyDescent="0.2">
      <c r="A78" s="7" t="s">
        <v>574</v>
      </c>
      <c r="B78" s="7" t="s">
        <v>575</v>
      </c>
      <c r="C78" s="7" t="s">
        <v>70</v>
      </c>
      <c r="D78" s="18">
        <v>283369</v>
      </c>
      <c r="E78" s="12">
        <v>1129.9338875000001</v>
      </c>
      <c r="F78" s="7">
        <v>0.16792397292503544</v>
      </c>
    </row>
    <row r="79" spans="1:6" x14ac:dyDescent="0.2">
      <c r="A79" s="7" t="s">
        <v>392</v>
      </c>
      <c r="B79" s="7" t="s">
        <v>393</v>
      </c>
      <c r="C79" s="7" t="s">
        <v>307</v>
      </c>
      <c r="D79" s="18">
        <v>79196</v>
      </c>
      <c r="E79" s="12">
        <v>870.87881400000003</v>
      </c>
      <c r="F79" s="7">
        <v>0.12942476723720969</v>
      </c>
    </row>
    <row r="80" spans="1:6" x14ac:dyDescent="0.2">
      <c r="A80" s="7" t="s">
        <v>576</v>
      </c>
      <c r="B80" s="7" t="s">
        <v>577</v>
      </c>
      <c r="C80" s="7" t="s">
        <v>70</v>
      </c>
      <c r="D80" s="18">
        <v>2761717</v>
      </c>
      <c r="E80" s="12">
        <v>229.222511</v>
      </c>
      <c r="F80" s="7">
        <v>3.4065669820857229E-2</v>
      </c>
    </row>
    <row r="81" spans="1:6" x14ac:dyDescent="0.2">
      <c r="A81" s="7" t="s">
        <v>578</v>
      </c>
      <c r="B81" s="7" t="s">
        <v>579</v>
      </c>
      <c r="C81" s="7" t="s">
        <v>19</v>
      </c>
      <c r="D81" s="18">
        <v>2334565</v>
      </c>
      <c r="E81" s="12">
        <v>25.680215</v>
      </c>
      <c r="F81" s="39" t="s">
        <v>610</v>
      </c>
    </row>
    <row r="82" spans="1:6" x14ac:dyDescent="0.2">
      <c r="A82" s="6" t="s">
        <v>43</v>
      </c>
      <c r="B82" s="7"/>
      <c r="C82" s="7"/>
      <c r="D82" s="18"/>
      <c r="E82" s="13">
        <f xml:space="preserve"> SUM(E7:E81)</f>
        <v>617646.86104900006</v>
      </c>
      <c r="F82" s="6">
        <f>SUM(F7:F81)</f>
        <v>91.787142235166442</v>
      </c>
    </row>
    <row r="83" spans="1:6" x14ac:dyDescent="0.2">
      <c r="A83" s="7"/>
      <c r="B83" s="7"/>
      <c r="C83" s="7"/>
      <c r="D83" s="7"/>
      <c r="E83" s="12"/>
      <c r="F83" s="7"/>
    </row>
    <row r="84" spans="1:6" x14ac:dyDescent="0.2">
      <c r="A84" s="6" t="s">
        <v>101</v>
      </c>
      <c r="B84" s="7"/>
      <c r="C84" s="7"/>
      <c r="D84" s="7"/>
      <c r="E84" s="13">
        <v>55237.342330599997</v>
      </c>
      <c r="F84" s="6">
        <v>8.2100000000000009</v>
      </c>
    </row>
    <row r="85" spans="1:6" x14ac:dyDescent="0.2">
      <c r="A85" s="7"/>
      <c r="B85" s="7"/>
      <c r="C85" s="7"/>
      <c r="D85" s="7"/>
      <c r="E85" s="12"/>
      <c r="F85" s="7"/>
    </row>
    <row r="86" spans="1:6" x14ac:dyDescent="0.2">
      <c r="A86" s="8" t="s">
        <v>102</v>
      </c>
      <c r="B86" s="5"/>
      <c r="C86" s="5"/>
      <c r="D86" s="5"/>
      <c r="E86" s="14">
        <v>672884.20337960008</v>
      </c>
      <c r="F86" s="8">
        <f xml:space="preserve"> ROUND(SUM(F82:F85),2)</f>
        <v>100</v>
      </c>
    </row>
    <row r="87" spans="1:6" x14ac:dyDescent="0.2">
      <c r="F87" s="11" t="s">
        <v>611</v>
      </c>
    </row>
    <row r="88" spans="1:6" x14ac:dyDescent="0.2">
      <c r="A88" s="4" t="s">
        <v>103</v>
      </c>
      <c r="B88" s="2"/>
      <c r="C88" s="2"/>
      <c r="D88" s="2"/>
    </row>
    <row r="89" spans="1:6" x14ac:dyDescent="0.2">
      <c r="A89" s="4" t="s">
        <v>104</v>
      </c>
      <c r="B89" s="2"/>
      <c r="C89" s="2"/>
      <c r="D89" s="2"/>
    </row>
    <row r="90" spans="1:6" x14ac:dyDescent="0.2">
      <c r="A90" s="4" t="s">
        <v>608</v>
      </c>
      <c r="B90" s="2"/>
      <c r="C90" s="2"/>
      <c r="D90" s="2"/>
    </row>
    <row r="91" spans="1:6" x14ac:dyDescent="0.2">
      <c r="A91" s="2" t="s">
        <v>600</v>
      </c>
      <c r="B91" s="2"/>
      <c r="C91" s="2"/>
      <c r="D91" s="10">
        <v>51.201599999999999</v>
      </c>
    </row>
    <row r="92" spans="1:6" x14ac:dyDescent="0.2">
      <c r="A92" s="2" t="s">
        <v>601</v>
      </c>
      <c r="B92" s="2"/>
      <c r="C92" s="2"/>
      <c r="D92" s="10">
        <v>25.066400000000002</v>
      </c>
    </row>
    <row r="93" spans="1:6" x14ac:dyDescent="0.2">
      <c r="A93" s="2" t="s">
        <v>602</v>
      </c>
      <c r="B93" s="2"/>
      <c r="C93" s="2"/>
      <c r="D93" s="10">
        <v>54.793100000000003</v>
      </c>
    </row>
    <row r="94" spans="1:6" x14ac:dyDescent="0.2">
      <c r="A94" s="2" t="s">
        <v>603</v>
      </c>
      <c r="B94" s="2"/>
      <c r="C94" s="2"/>
      <c r="D94" s="10">
        <v>27.26</v>
      </c>
    </row>
    <row r="95" spans="1:6" x14ac:dyDescent="0.2">
      <c r="A95" s="2"/>
      <c r="B95" s="2"/>
      <c r="C95" s="2"/>
      <c r="D95" s="10"/>
    </row>
    <row r="96" spans="1:6" x14ac:dyDescent="0.2">
      <c r="A96" s="4" t="s">
        <v>105</v>
      </c>
      <c r="B96" s="2"/>
      <c r="C96" s="2"/>
      <c r="D96" s="2"/>
    </row>
    <row r="97" spans="1:4" x14ac:dyDescent="0.2">
      <c r="A97" s="2" t="s">
        <v>600</v>
      </c>
      <c r="B97" s="2"/>
      <c r="C97" s="2"/>
      <c r="D97" s="10">
        <v>48.162500000000001</v>
      </c>
    </row>
    <row r="98" spans="1:4" x14ac:dyDescent="0.2">
      <c r="A98" s="2" t="s">
        <v>601</v>
      </c>
      <c r="B98" s="2"/>
      <c r="C98" s="2"/>
      <c r="D98" s="10">
        <v>21.796800000000001</v>
      </c>
    </row>
    <row r="99" spans="1:4" x14ac:dyDescent="0.2">
      <c r="A99" s="2" t="s">
        <v>602</v>
      </c>
      <c r="B99" s="2"/>
      <c r="C99" s="2"/>
      <c r="D99" s="10">
        <v>51.823300000000003</v>
      </c>
    </row>
    <row r="100" spans="1:4" x14ac:dyDescent="0.2">
      <c r="A100" s="2" t="s">
        <v>603</v>
      </c>
      <c r="B100" s="2"/>
      <c r="C100" s="2"/>
      <c r="D100" s="10">
        <v>23.9937</v>
      </c>
    </row>
    <row r="101" spans="1:4" x14ac:dyDescent="0.2">
      <c r="A101" s="2"/>
      <c r="B101" s="2"/>
      <c r="C101" s="2"/>
      <c r="D101" s="2"/>
    </row>
    <row r="102" spans="1:4" x14ac:dyDescent="0.2">
      <c r="A102" s="4" t="s">
        <v>106</v>
      </c>
      <c r="B102" s="2"/>
      <c r="C102" s="2"/>
      <c r="D102" s="20" t="s">
        <v>311</v>
      </c>
    </row>
    <row r="103" spans="1:4" x14ac:dyDescent="0.2">
      <c r="A103" s="21" t="s">
        <v>604</v>
      </c>
      <c r="B103" s="22"/>
      <c r="C103" s="103" t="s">
        <v>605</v>
      </c>
      <c r="D103" s="104"/>
    </row>
    <row r="104" spans="1:4" x14ac:dyDescent="0.2">
      <c r="A104" s="105"/>
      <c r="B104" s="106"/>
      <c r="C104" s="23" t="s">
        <v>606</v>
      </c>
      <c r="D104" s="23" t="s">
        <v>607</v>
      </c>
    </row>
    <row r="105" spans="1:4" x14ac:dyDescent="0.2">
      <c r="A105" s="24" t="s">
        <v>601</v>
      </c>
      <c r="B105" s="25"/>
      <c r="C105" s="26">
        <v>1.77081694</v>
      </c>
      <c r="D105" s="26">
        <v>1.77081694</v>
      </c>
    </row>
    <row r="106" spans="1:4" x14ac:dyDescent="0.2">
      <c r="A106" s="24" t="s">
        <v>603</v>
      </c>
      <c r="B106" s="25"/>
      <c r="C106" s="26">
        <v>1.77081694</v>
      </c>
      <c r="D106" s="26">
        <v>1.77081694</v>
      </c>
    </row>
    <row r="107" spans="1:4" x14ac:dyDescent="0.2">
      <c r="A107" s="4"/>
      <c r="B107" s="2"/>
      <c r="C107" s="2"/>
      <c r="D107" s="20"/>
    </row>
    <row r="108" spans="1:4" x14ac:dyDescent="0.2">
      <c r="A108" s="9" t="s">
        <v>609</v>
      </c>
      <c r="B108" s="2"/>
      <c r="C108" s="2"/>
      <c r="D108" s="27">
        <v>6.6008166788618927E-2</v>
      </c>
    </row>
  </sheetData>
  <mergeCells count="3">
    <mergeCell ref="A1:F1"/>
    <mergeCell ref="C103:D103"/>
    <mergeCell ref="A104:B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8D3B-3694-4D19-99EF-17BDA3F4BB27}">
  <dimension ref="A1:F105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5.85546875" style="1" bestFit="1" customWidth="1"/>
    <col min="3" max="3" width="36" style="1" customWidth="1"/>
    <col min="4" max="4" width="12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457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32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1049265</v>
      </c>
      <c r="E7" s="12">
        <v>23625.7753725</v>
      </c>
      <c r="F7" s="7">
        <v>3.5334939086010166</v>
      </c>
    </row>
    <row r="8" spans="1:6" x14ac:dyDescent="0.2">
      <c r="A8" s="7" t="s">
        <v>20</v>
      </c>
      <c r="B8" s="7" t="s">
        <v>21</v>
      </c>
      <c r="C8" s="7" t="s">
        <v>11</v>
      </c>
      <c r="D8" s="32">
        <v>1350892</v>
      </c>
      <c r="E8" s="12">
        <v>20527.479385999999</v>
      </c>
      <c r="F8" s="7">
        <v>3.0701097519868896</v>
      </c>
    </row>
    <row r="9" spans="1:6" x14ac:dyDescent="0.2">
      <c r="A9" s="7" t="s">
        <v>458</v>
      </c>
      <c r="B9" s="7" t="s">
        <v>459</v>
      </c>
      <c r="C9" s="7" t="s">
        <v>57</v>
      </c>
      <c r="D9" s="32">
        <v>2744401</v>
      </c>
      <c r="E9" s="12">
        <v>20209.768963999999</v>
      </c>
      <c r="F9" s="7">
        <v>3.022592672731883</v>
      </c>
    </row>
    <row r="10" spans="1:6" x14ac:dyDescent="0.2">
      <c r="A10" s="7" t="s">
        <v>215</v>
      </c>
      <c r="B10" s="7" t="s">
        <v>216</v>
      </c>
      <c r="C10" s="7" t="s">
        <v>36</v>
      </c>
      <c r="D10" s="32">
        <v>4545770</v>
      </c>
      <c r="E10" s="12">
        <v>19417.256555</v>
      </c>
      <c r="F10" s="7">
        <v>2.9040637472028714</v>
      </c>
    </row>
    <row r="11" spans="1:6" x14ac:dyDescent="0.2">
      <c r="A11" s="7" t="s">
        <v>281</v>
      </c>
      <c r="B11" s="7" t="s">
        <v>282</v>
      </c>
      <c r="C11" s="7" t="s">
        <v>78</v>
      </c>
      <c r="D11" s="32">
        <v>838016</v>
      </c>
      <c r="E11" s="12">
        <v>18812.621184</v>
      </c>
      <c r="F11" s="7">
        <v>2.8136338939316832</v>
      </c>
    </row>
    <row r="12" spans="1:6" x14ac:dyDescent="0.2">
      <c r="A12" s="7" t="s">
        <v>460</v>
      </c>
      <c r="B12" s="7" t="s">
        <v>461</v>
      </c>
      <c r="C12" s="7" t="s">
        <v>11</v>
      </c>
      <c r="D12" s="32">
        <v>9688196</v>
      </c>
      <c r="E12" s="12">
        <v>18766.035651999999</v>
      </c>
      <c r="F12" s="7">
        <v>2.8066665165247797</v>
      </c>
    </row>
    <row r="13" spans="1:6" x14ac:dyDescent="0.2">
      <c r="A13" s="7" t="s">
        <v>275</v>
      </c>
      <c r="B13" s="7" t="s">
        <v>276</v>
      </c>
      <c r="C13" s="7" t="s">
        <v>93</v>
      </c>
      <c r="D13" s="32">
        <v>2814830</v>
      </c>
      <c r="E13" s="12">
        <v>16410.458900000001</v>
      </c>
      <c r="F13" s="7">
        <v>2.4543641699053977</v>
      </c>
    </row>
    <row r="14" spans="1:6" x14ac:dyDescent="0.2">
      <c r="A14" s="7" t="s">
        <v>15</v>
      </c>
      <c r="B14" s="7" t="s">
        <v>16</v>
      </c>
      <c r="C14" s="7" t="s">
        <v>87</v>
      </c>
      <c r="D14" s="32">
        <v>11268933</v>
      </c>
      <c r="E14" s="12">
        <v>16148.380988999999</v>
      </c>
      <c r="F14" s="7">
        <v>2.4151675430224002</v>
      </c>
    </row>
    <row r="15" spans="1:6" x14ac:dyDescent="0.2">
      <c r="A15" s="7" t="s">
        <v>151</v>
      </c>
      <c r="B15" s="7" t="s">
        <v>152</v>
      </c>
      <c r="C15" s="7" t="s">
        <v>24</v>
      </c>
      <c r="D15" s="32">
        <v>4145052</v>
      </c>
      <c r="E15" s="12">
        <v>15535.654896</v>
      </c>
      <c r="F15" s="7">
        <v>2.3235276335116843</v>
      </c>
    </row>
    <row r="16" spans="1:6" x14ac:dyDescent="0.2">
      <c r="A16" s="7" t="s">
        <v>238</v>
      </c>
      <c r="B16" s="7" t="s">
        <v>239</v>
      </c>
      <c r="C16" s="7" t="s">
        <v>240</v>
      </c>
      <c r="D16" s="32">
        <v>2656964</v>
      </c>
      <c r="E16" s="12">
        <v>15324.039870000001</v>
      </c>
      <c r="F16" s="7">
        <v>2.2918782847157164</v>
      </c>
    </row>
    <row r="17" spans="1:6" x14ac:dyDescent="0.2">
      <c r="A17" s="7" t="s">
        <v>17</v>
      </c>
      <c r="B17" s="7" t="s">
        <v>18</v>
      </c>
      <c r="C17" s="7" t="s">
        <v>19</v>
      </c>
      <c r="D17" s="32">
        <v>2706125</v>
      </c>
      <c r="E17" s="12">
        <v>14872.862999999999</v>
      </c>
      <c r="F17" s="7">
        <v>2.2243998338834814</v>
      </c>
    </row>
    <row r="18" spans="1:6" x14ac:dyDescent="0.2">
      <c r="A18" s="7" t="s">
        <v>462</v>
      </c>
      <c r="B18" s="7" t="s">
        <v>463</v>
      </c>
      <c r="C18" s="7" t="s">
        <v>24</v>
      </c>
      <c r="D18" s="32">
        <v>783689</v>
      </c>
      <c r="E18" s="12">
        <v>14454.751760499999</v>
      </c>
      <c r="F18" s="7">
        <v>2.1618667108601186</v>
      </c>
    </row>
    <row r="19" spans="1:6" x14ac:dyDescent="0.2">
      <c r="A19" s="7" t="s">
        <v>213</v>
      </c>
      <c r="B19" s="7" t="s">
        <v>214</v>
      </c>
      <c r="C19" s="7" t="s">
        <v>131</v>
      </c>
      <c r="D19" s="32">
        <v>6772160</v>
      </c>
      <c r="E19" s="12">
        <v>14353.59312</v>
      </c>
      <c r="F19" s="7">
        <v>2.1467373263479317</v>
      </c>
    </row>
    <row r="20" spans="1:6" x14ac:dyDescent="0.2">
      <c r="A20" s="7" t="s">
        <v>464</v>
      </c>
      <c r="B20" s="7" t="s">
        <v>465</v>
      </c>
      <c r="C20" s="7" t="s">
        <v>243</v>
      </c>
      <c r="D20" s="32">
        <v>229212</v>
      </c>
      <c r="E20" s="12">
        <v>13925.316636</v>
      </c>
      <c r="F20" s="7">
        <v>2.0826838794852933</v>
      </c>
    </row>
    <row r="21" spans="1:6" x14ac:dyDescent="0.2">
      <c r="A21" s="7" t="s">
        <v>466</v>
      </c>
      <c r="B21" s="7" t="s">
        <v>467</v>
      </c>
      <c r="C21" s="7" t="s">
        <v>93</v>
      </c>
      <c r="D21" s="32">
        <v>6026546</v>
      </c>
      <c r="E21" s="12">
        <v>13858.042527</v>
      </c>
      <c r="F21" s="7">
        <v>2.0726222984108049</v>
      </c>
    </row>
    <row r="22" spans="1:6" x14ac:dyDescent="0.2">
      <c r="A22" s="7" t="s">
        <v>392</v>
      </c>
      <c r="B22" s="7" t="s">
        <v>393</v>
      </c>
      <c r="C22" s="7" t="s">
        <v>307</v>
      </c>
      <c r="D22" s="32">
        <v>1221114</v>
      </c>
      <c r="E22" s="12">
        <v>13427.980100999999</v>
      </c>
      <c r="F22" s="7">
        <v>2.00830174432825</v>
      </c>
    </row>
    <row r="23" spans="1:6" x14ac:dyDescent="0.2">
      <c r="A23" s="7" t="s">
        <v>221</v>
      </c>
      <c r="B23" s="7" t="s">
        <v>222</v>
      </c>
      <c r="C23" s="7" t="s">
        <v>33</v>
      </c>
      <c r="D23" s="32">
        <v>1833648</v>
      </c>
      <c r="E23" s="12">
        <v>13008.815736</v>
      </c>
      <c r="F23" s="7">
        <v>1.9456111148323776</v>
      </c>
    </row>
    <row r="24" spans="1:6" x14ac:dyDescent="0.2">
      <c r="A24" s="7" t="s">
        <v>255</v>
      </c>
      <c r="B24" s="7" t="s">
        <v>256</v>
      </c>
      <c r="C24" s="7" t="s">
        <v>33</v>
      </c>
      <c r="D24" s="32">
        <v>11253507</v>
      </c>
      <c r="E24" s="12">
        <v>12660.195374999999</v>
      </c>
      <c r="F24" s="7">
        <v>1.8934711150827126</v>
      </c>
    </row>
    <row r="25" spans="1:6" x14ac:dyDescent="0.2">
      <c r="A25" s="7" t="s">
        <v>230</v>
      </c>
      <c r="B25" s="7" t="s">
        <v>231</v>
      </c>
      <c r="C25" s="7" t="s">
        <v>117</v>
      </c>
      <c r="D25" s="32">
        <v>1629004</v>
      </c>
      <c r="E25" s="12">
        <v>12121.418764</v>
      </c>
      <c r="F25" s="7">
        <v>1.8128911619150738</v>
      </c>
    </row>
    <row r="26" spans="1:6" x14ac:dyDescent="0.2">
      <c r="A26" s="7" t="s">
        <v>120</v>
      </c>
      <c r="B26" s="7" t="s">
        <v>121</v>
      </c>
      <c r="C26" s="7" t="s">
        <v>122</v>
      </c>
      <c r="D26" s="32">
        <v>3493744</v>
      </c>
      <c r="E26" s="12">
        <v>12070.88552</v>
      </c>
      <c r="F26" s="7">
        <v>1.8053333608676769</v>
      </c>
    </row>
    <row r="27" spans="1:6" x14ac:dyDescent="0.2">
      <c r="A27" s="7" t="s">
        <v>468</v>
      </c>
      <c r="B27" s="7" t="s">
        <v>469</v>
      </c>
      <c r="C27" s="7" t="s">
        <v>33</v>
      </c>
      <c r="D27" s="32">
        <v>794058</v>
      </c>
      <c r="E27" s="12">
        <v>12049.433121</v>
      </c>
      <c r="F27" s="7">
        <v>1.8021249192399953</v>
      </c>
    </row>
    <row r="28" spans="1:6" x14ac:dyDescent="0.2">
      <c r="A28" s="7" t="s">
        <v>441</v>
      </c>
      <c r="B28" s="7" t="s">
        <v>442</v>
      </c>
      <c r="C28" s="7" t="s">
        <v>117</v>
      </c>
      <c r="D28" s="32">
        <v>3943909</v>
      </c>
      <c r="E28" s="12">
        <v>12040.754177000001</v>
      </c>
      <c r="F28" s="7">
        <v>1.8008268879469027</v>
      </c>
    </row>
    <row r="29" spans="1:6" x14ac:dyDescent="0.2">
      <c r="A29" s="7" t="s">
        <v>232</v>
      </c>
      <c r="B29" s="7" t="s">
        <v>233</v>
      </c>
      <c r="C29" s="7" t="s">
        <v>30</v>
      </c>
      <c r="D29" s="32">
        <v>887865</v>
      </c>
      <c r="E29" s="12">
        <v>12000.38334</v>
      </c>
      <c r="F29" s="7">
        <v>1.7947889863595259</v>
      </c>
    </row>
    <row r="30" spans="1:6" x14ac:dyDescent="0.2">
      <c r="A30" s="7" t="s">
        <v>470</v>
      </c>
      <c r="B30" s="7" t="s">
        <v>471</v>
      </c>
      <c r="C30" s="7" t="s">
        <v>246</v>
      </c>
      <c r="D30" s="32">
        <v>11587252</v>
      </c>
      <c r="E30" s="12">
        <v>11900.107803999999</v>
      </c>
      <c r="F30" s="7">
        <v>1.7797916798139752</v>
      </c>
    </row>
    <row r="31" spans="1:6" x14ac:dyDescent="0.2">
      <c r="A31" s="7" t="s">
        <v>472</v>
      </c>
      <c r="B31" s="7" t="s">
        <v>473</v>
      </c>
      <c r="C31" s="7" t="s">
        <v>36</v>
      </c>
      <c r="D31" s="32">
        <v>3695000</v>
      </c>
      <c r="E31" s="12">
        <v>11827.695</v>
      </c>
      <c r="F31" s="7">
        <v>1.7689615505249043</v>
      </c>
    </row>
    <row r="32" spans="1:6" x14ac:dyDescent="0.2">
      <c r="A32" s="7" t="s">
        <v>329</v>
      </c>
      <c r="B32" s="7" t="s">
        <v>330</v>
      </c>
      <c r="C32" s="7" t="s">
        <v>57</v>
      </c>
      <c r="D32" s="32">
        <v>1217476</v>
      </c>
      <c r="E32" s="12">
        <v>11760.818160000001</v>
      </c>
      <c r="F32" s="7">
        <v>1.7589593853878589</v>
      </c>
    </row>
    <row r="33" spans="1:6" x14ac:dyDescent="0.2">
      <c r="A33" s="7" t="s">
        <v>474</v>
      </c>
      <c r="B33" s="7" t="s">
        <v>475</v>
      </c>
      <c r="C33" s="7" t="s">
        <v>33</v>
      </c>
      <c r="D33" s="32">
        <v>2191866</v>
      </c>
      <c r="E33" s="12">
        <v>11362.633344</v>
      </c>
      <c r="F33" s="7">
        <v>1.6994064776144648</v>
      </c>
    </row>
    <row r="34" spans="1:6" x14ac:dyDescent="0.2">
      <c r="A34" s="7" t="s">
        <v>161</v>
      </c>
      <c r="B34" s="7" t="s">
        <v>162</v>
      </c>
      <c r="C34" s="7" t="s">
        <v>24</v>
      </c>
      <c r="D34" s="32">
        <v>264692</v>
      </c>
      <c r="E34" s="12">
        <v>11064.522638</v>
      </c>
      <c r="F34" s="7">
        <v>1.6548207509184492</v>
      </c>
    </row>
    <row r="35" spans="1:6" x14ac:dyDescent="0.2">
      <c r="A35" s="7" t="s">
        <v>446</v>
      </c>
      <c r="B35" s="7" t="s">
        <v>447</v>
      </c>
      <c r="C35" s="7" t="s">
        <v>36</v>
      </c>
      <c r="D35" s="32">
        <v>145389</v>
      </c>
      <c r="E35" s="12">
        <v>10776.5961525</v>
      </c>
      <c r="F35" s="7">
        <v>1.6117581861306975</v>
      </c>
    </row>
    <row r="36" spans="1:6" x14ac:dyDescent="0.2">
      <c r="A36" s="7" t="s">
        <v>241</v>
      </c>
      <c r="B36" s="7" t="s">
        <v>242</v>
      </c>
      <c r="C36" s="7" t="s">
        <v>243</v>
      </c>
      <c r="D36" s="32">
        <v>6794904</v>
      </c>
      <c r="E36" s="12">
        <v>10701.9738</v>
      </c>
      <c r="F36" s="7">
        <v>1.6005975946221898</v>
      </c>
    </row>
    <row r="37" spans="1:6" x14ac:dyDescent="0.2">
      <c r="A37" s="7" t="s">
        <v>476</v>
      </c>
      <c r="B37" s="7" t="s">
        <v>477</v>
      </c>
      <c r="C37" s="7" t="s">
        <v>24</v>
      </c>
      <c r="D37" s="32">
        <v>615261</v>
      </c>
      <c r="E37" s="12">
        <v>10490.507680500001</v>
      </c>
      <c r="F37" s="7">
        <v>1.5689705164269707</v>
      </c>
    </row>
    <row r="38" spans="1:6" x14ac:dyDescent="0.2">
      <c r="A38" s="7" t="s">
        <v>12</v>
      </c>
      <c r="B38" s="7" t="s">
        <v>13</v>
      </c>
      <c r="C38" s="7" t="s">
        <v>14</v>
      </c>
      <c r="D38" s="32">
        <v>2569496</v>
      </c>
      <c r="E38" s="12">
        <v>10217.600844000001</v>
      </c>
      <c r="F38" s="7">
        <v>1.5281543049298121</v>
      </c>
    </row>
    <row r="39" spans="1:6" x14ac:dyDescent="0.2">
      <c r="A39" s="7" t="s">
        <v>478</v>
      </c>
      <c r="B39" s="7" t="s">
        <v>479</v>
      </c>
      <c r="C39" s="7" t="s">
        <v>11</v>
      </c>
      <c r="D39" s="32">
        <v>2484341</v>
      </c>
      <c r="E39" s="12">
        <v>10034.253299</v>
      </c>
      <c r="F39" s="7">
        <v>1.5007326680438309</v>
      </c>
    </row>
    <row r="40" spans="1:6" x14ac:dyDescent="0.2">
      <c r="A40" s="7" t="s">
        <v>289</v>
      </c>
      <c r="B40" s="7" t="s">
        <v>290</v>
      </c>
      <c r="C40" s="7" t="s">
        <v>24</v>
      </c>
      <c r="D40" s="32">
        <v>2371940</v>
      </c>
      <c r="E40" s="12">
        <v>10032.12023</v>
      </c>
      <c r="F40" s="7">
        <v>1.5004136441726863</v>
      </c>
    </row>
    <row r="41" spans="1:6" x14ac:dyDescent="0.2">
      <c r="A41" s="7" t="s">
        <v>223</v>
      </c>
      <c r="B41" s="7" t="s">
        <v>224</v>
      </c>
      <c r="C41" s="7" t="s">
        <v>225</v>
      </c>
      <c r="D41" s="32">
        <v>2684460</v>
      </c>
      <c r="E41" s="12">
        <v>10015.72026</v>
      </c>
      <c r="F41" s="7">
        <v>1.4979608487328511</v>
      </c>
    </row>
    <row r="42" spans="1:6" x14ac:dyDescent="0.2">
      <c r="A42" s="7" t="s">
        <v>22</v>
      </c>
      <c r="B42" s="7" t="s">
        <v>23</v>
      </c>
      <c r="C42" s="7" t="s">
        <v>24</v>
      </c>
      <c r="D42" s="32">
        <v>1351671</v>
      </c>
      <c r="E42" s="12">
        <v>9583.3473900000008</v>
      </c>
      <c r="F42" s="7">
        <v>1.4332947424018962</v>
      </c>
    </row>
    <row r="43" spans="1:6" x14ac:dyDescent="0.2">
      <c r="A43" s="7" t="s">
        <v>129</v>
      </c>
      <c r="B43" s="7" t="s">
        <v>130</v>
      </c>
      <c r="C43" s="7" t="s">
        <v>131</v>
      </c>
      <c r="D43" s="32">
        <v>3927799</v>
      </c>
      <c r="E43" s="12">
        <v>9287.2807355000004</v>
      </c>
      <c r="F43" s="7">
        <v>1.3890147260332766</v>
      </c>
    </row>
    <row r="44" spans="1:6" x14ac:dyDescent="0.2">
      <c r="A44" s="7" t="s">
        <v>335</v>
      </c>
      <c r="B44" s="7" t="s">
        <v>336</v>
      </c>
      <c r="C44" s="7" t="s">
        <v>39</v>
      </c>
      <c r="D44" s="32">
        <v>13234302</v>
      </c>
      <c r="E44" s="12">
        <v>9244.1599470000001</v>
      </c>
      <c r="F44" s="7">
        <v>1.3825655390289773</v>
      </c>
    </row>
    <row r="45" spans="1:6" x14ac:dyDescent="0.2">
      <c r="A45" s="7" t="s">
        <v>480</v>
      </c>
      <c r="B45" s="7" t="s">
        <v>481</v>
      </c>
      <c r="C45" s="7" t="s">
        <v>188</v>
      </c>
      <c r="D45" s="32">
        <v>145666</v>
      </c>
      <c r="E45" s="12">
        <v>8930.4182949999995</v>
      </c>
      <c r="F45" s="7">
        <v>1.3356420328693945</v>
      </c>
    </row>
    <row r="46" spans="1:6" x14ac:dyDescent="0.2">
      <c r="A46" s="7" t="s">
        <v>211</v>
      </c>
      <c r="B46" s="7" t="s">
        <v>212</v>
      </c>
      <c r="C46" s="7" t="s">
        <v>33</v>
      </c>
      <c r="D46" s="32">
        <v>1882186</v>
      </c>
      <c r="E46" s="12">
        <v>8571.4750440000007</v>
      </c>
      <c r="F46" s="7">
        <v>1.2819581316663784</v>
      </c>
    </row>
    <row r="47" spans="1:6" x14ac:dyDescent="0.2">
      <c r="A47" s="7" t="s">
        <v>482</v>
      </c>
      <c r="B47" s="7" t="s">
        <v>483</v>
      </c>
      <c r="C47" s="7" t="s">
        <v>240</v>
      </c>
      <c r="D47" s="32">
        <v>501074</v>
      </c>
      <c r="E47" s="12">
        <v>8347.8928400000004</v>
      </c>
      <c r="F47" s="7">
        <v>1.248518960106948</v>
      </c>
    </row>
    <row r="48" spans="1:6" x14ac:dyDescent="0.2">
      <c r="A48" s="7" t="s">
        <v>484</v>
      </c>
      <c r="B48" s="7" t="s">
        <v>485</v>
      </c>
      <c r="C48" s="7" t="s">
        <v>19</v>
      </c>
      <c r="D48" s="32">
        <v>1743720</v>
      </c>
      <c r="E48" s="12">
        <v>8265.2327999999998</v>
      </c>
      <c r="F48" s="7">
        <v>1.2361562442502361</v>
      </c>
    </row>
    <row r="49" spans="1:6" x14ac:dyDescent="0.2">
      <c r="A49" s="7" t="s">
        <v>299</v>
      </c>
      <c r="B49" s="7" t="s">
        <v>300</v>
      </c>
      <c r="C49" s="7" t="s">
        <v>11</v>
      </c>
      <c r="D49" s="32">
        <v>12530441</v>
      </c>
      <c r="E49" s="12">
        <v>7881.6473889999997</v>
      </c>
      <c r="F49" s="7">
        <v>1.1787868376666801</v>
      </c>
    </row>
    <row r="50" spans="1:6" x14ac:dyDescent="0.2">
      <c r="A50" s="7" t="s">
        <v>25</v>
      </c>
      <c r="B50" s="7" t="s">
        <v>26</v>
      </c>
      <c r="C50" s="7" t="s">
        <v>27</v>
      </c>
      <c r="D50" s="32">
        <v>3375865</v>
      </c>
      <c r="E50" s="12">
        <v>6432.7107575</v>
      </c>
      <c r="F50" s="7">
        <v>0.96208246794201502</v>
      </c>
    </row>
    <row r="51" spans="1:6" x14ac:dyDescent="0.2">
      <c r="A51" s="7" t="s">
        <v>486</v>
      </c>
      <c r="B51" s="7" t="s">
        <v>487</v>
      </c>
      <c r="C51" s="7" t="s">
        <v>188</v>
      </c>
      <c r="D51" s="32">
        <v>377781</v>
      </c>
      <c r="E51" s="12">
        <v>6312.1538385000003</v>
      </c>
      <c r="F51" s="7">
        <v>0.94405185805896152</v>
      </c>
    </row>
    <row r="52" spans="1:6" x14ac:dyDescent="0.2">
      <c r="A52" s="7" t="s">
        <v>253</v>
      </c>
      <c r="B52" s="7" t="s">
        <v>254</v>
      </c>
      <c r="C52" s="7" t="s">
        <v>243</v>
      </c>
      <c r="D52" s="32">
        <v>876836</v>
      </c>
      <c r="E52" s="12">
        <v>6158.4576459999998</v>
      </c>
      <c r="F52" s="7">
        <v>0.92106490624843751</v>
      </c>
    </row>
    <row r="53" spans="1:6" x14ac:dyDescent="0.2">
      <c r="A53" s="7" t="s">
        <v>305</v>
      </c>
      <c r="B53" s="7" t="s">
        <v>306</v>
      </c>
      <c r="C53" s="7" t="s">
        <v>307</v>
      </c>
      <c r="D53" s="32">
        <v>191626</v>
      </c>
      <c r="E53" s="12">
        <v>5879.277306</v>
      </c>
      <c r="F53" s="7">
        <v>0.87931042347538058</v>
      </c>
    </row>
    <row r="54" spans="1:6" x14ac:dyDescent="0.2">
      <c r="A54" s="7" t="s">
        <v>244</v>
      </c>
      <c r="B54" s="7" t="s">
        <v>245</v>
      </c>
      <c r="C54" s="7" t="s">
        <v>246</v>
      </c>
      <c r="D54" s="32">
        <v>532057</v>
      </c>
      <c r="E54" s="12">
        <v>5850.2327434999997</v>
      </c>
      <c r="F54" s="7">
        <v>0.87496649050160025</v>
      </c>
    </row>
    <row r="55" spans="1:6" x14ac:dyDescent="0.2">
      <c r="A55" s="7" t="s">
        <v>204</v>
      </c>
      <c r="B55" s="7" t="s">
        <v>205</v>
      </c>
      <c r="C55" s="7" t="s">
        <v>188</v>
      </c>
      <c r="D55" s="32">
        <v>2456836</v>
      </c>
      <c r="E55" s="12">
        <v>5596.6724080000004</v>
      </c>
      <c r="F55" s="7">
        <v>0.83704376048212537</v>
      </c>
    </row>
    <row r="56" spans="1:6" x14ac:dyDescent="0.2">
      <c r="A56" s="7" t="s">
        <v>163</v>
      </c>
      <c r="B56" s="7" t="s">
        <v>599</v>
      </c>
      <c r="C56" s="7" t="s">
        <v>39</v>
      </c>
      <c r="D56" s="32">
        <v>6934152</v>
      </c>
      <c r="E56" s="12">
        <v>4517.6000279999998</v>
      </c>
      <c r="F56" s="7">
        <v>0.67565664740105591</v>
      </c>
    </row>
    <row r="57" spans="1:6" x14ac:dyDescent="0.2">
      <c r="A57" s="7" t="s">
        <v>206</v>
      </c>
      <c r="B57" s="7" t="s">
        <v>207</v>
      </c>
      <c r="C57" s="7" t="s">
        <v>11</v>
      </c>
      <c r="D57" s="32">
        <v>4899451</v>
      </c>
      <c r="E57" s="12">
        <v>4468.2993120000001</v>
      </c>
      <c r="F57" s="7">
        <v>0.66828318443829371</v>
      </c>
    </row>
    <row r="58" spans="1:6" x14ac:dyDescent="0.2">
      <c r="A58" s="7" t="s">
        <v>257</v>
      </c>
      <c r="B58" s="7" t="s">
        <v>258</v>
      </c>
      <c r="C58" s="7" t="s">
        <v>14</v>
      </c>
      <c r="D58" s="32">
        <v>2142510</v>
      </c>
      <c r="E58" s="12">
        <v>4033.275075</v>
      </c>
      <c r="F58" s="7">
        <v>0.60322053708397538</v>
      </c>
    </row>
    <row r="59" spans="1:6" x14ac:dyDescent="0.2">
      <c r="A59" s="7" t="s">
        <v>40</v>
      </c>
      <c r="B59" s="7" t="s">
        <v>41</v>
      </c>
      <c r="C59" s="7" t="s">
        <v>42</v>
      </c>
      <c r="D59" s="32">
        <v>53357503</v>
      </c>
      <c r="E59" s="12">
        <v>3654.9889555</v>
      </c>
      <c r="F59" s="7">
        <v>0.54664369768350307</v>
      </c>
    </row>
    <row r="60" spans="1:6" x14ac:dyDescent="0.2">
      <c r="A60" s="7" t="s">
        <v>293</v>
      </c>
      <c r="B60" s="7" t="s">
        <v>294</v>
      </c>
      <c r="C60" s="7" t="s">
        <v>14</v>
      </c>
      <c r="D60" s="32">
        <v>354712</v>
      </c>
      <c r="E60" s="12">
        <v>2134.1247480000002</v>
      </c>
      <c r="F60" s="7">
        <v>0.31918176984067065</v>
      </c>
    </row>
    <row r="61" spans="1:6" x14ac:dyDescent="0.2">
      <c r="A61" s="7" t="s">
        <v>488</v>
      </c>
      <c r="B61" s="7" t="s">
        <v>489</v>
      </c>
      <c r="C61" s="7" t="s">
        <v>78</v>
      </c>
      <c r="D61" s="32">
        <v>271163</v>
      </c>
      <c r="E61" s="12">
        <v>1942.340569</v>
      </c>
      <c r="F61" s="7">
        <v>0.29049834178051304</v>
      </c>
    </row>
    <row r="62" spans="1:6" x14ac:dyDescent="0.2">
      <c r="A62" s="7" t="s">
        <v>452</v>
      </c>
      <c r="B62" s="7" t="s">
        <v>453</v>
      </c>
      <c r="C62" s="7" t="s">
        <v>78</v>
      </c>
      <c r="D62" s="32">
        <v>325800</v>
      </c>
      <c r="E62" s="12">
        <v>1315.5804000000001</v>
      </c>
      <c r="F62" s="7">
        <v>0.19675948223421166</v>
      </c>
    </row>
    <row r="63" spans="1:6" x14ac:dyDescent="0.2">
      <c r="A63" s="7" t="s">
        <v>490</v>
      </c>
      <c r="B63" s="7" t="s">
        <v>491</v>
      </c>
      <c r="C63" s="7" t="s">
        <v>246</v>
      </c>
      <c r="D63" s="32">
        <v>65687</v>
      </c>
      <c r="E63" s="12">
        <v>302.09451300000001</v>
      </c>
      <c r="F63" s="7">
        <v>4.5181548739762559E-2</v>
      </c>
    </row>
    <row r="64" spans="1:6" x14ac:dyDescent="0.2">
      <c r="A64" s="7" t="s">
        <v>448</v>
      </c>
      <c r="B64" s="7" t="s">
        <v>449</v>
      </c>
      <c r="C64" s="7" t="s">
        <v>33</v>
      </c>
      <c r="D64" s="32">
        <v>376519</v>
      </c>
      <c r="E64" s="12">
        <v>278.24754100000001</v>
      </c>
      <c r="F64" s="7">
        <v>4.1614972448740177E-2</v>
      </c>
    </row>
    <row r="65" spans="1:6" x14ac:dyDescent="0.2">
      <c r="A65" s="7" t="s">
        <v>492</v>
      </c>
      <c r="B65" s="7" t="s">
        <v>622</v>
      </c>
      <c r="C65" s="7" t="s">
        <v>240</v>
      </c>
      <c r="D65" s="32">
        <v>50107</v>
      </c>
      <c r="E65" s="12">
        <v>238.25878499999999</v>
      </c>
      <c r="F65" s="7">
        <v>3.563421526677682E-2</v>
      </c>
    </row>
    <row r="66" spans="1:6" x14ac:dyDescent="0.2">
      <c r="A66" s="7" t="s">
        <v>271</v>
      </c>
      <c r="B66" s="7" t="s">
        <v>272</v>
      </c>
      <c r="C66" s="7" t="s">
        <v>14</v>
      </c>
      <c r="D66" s="32">
        <v>239360</v>
      </c>
      <c r="E66" s="12">
        <v>163.9616</v>
      </c>
      <c r="F66" s="7">
        <v>2.4522256125351909E-2</v>
      </c>
    </row>
    <row r="67" spans="1:6" x14ac:dyDescent="0.2">
      <c r="A67" s="7" t="s">
        <v>283</v>
      </c>
      <c r="B67" s="7" t="s">
        <v>284</v>
      </c>
      <c r="C67" s="7" t="s">
        <v>39</v>
      </c>
      <c r="D67" s="32">
        <v>479</v>
      </c>
      <c r="E67" s="12">
        <v>1.7629595</v>
      </c>
      <c r="F67" s="39" t="s">
        <v>610</v>
      </c>
    </row>
    <row r="68" spans="1:6" x14ac:dyDescent="0.2">
      <c r="A68" s="6" t="s">
        <v>43</v>
      </c>
      <c r="B68" s="7"/>
      <c r="C68" s="7"/>
      <c r="D68" s="7"/>
      <c r="E68" s="13">
        <v>615197.94778399996</v>
      </c>
      <c r="F68" s="6">
        <v>92.009338842788324</v>
      </c>
    </row>
    <row r="69" spans="1:6" x14ac:dyDescent="0.2">
      <c r="A69" s="7"/>
      <c r="B69" s="7"/>
      <c r="C69" s="7"/>
      <c r="D69" s="7"/>
      <c r="E69" s="12"/>
      <c r="F69" s="7"/>
    </row>
    <row r="70" spans="1:6" x14ac:dyDescent="0.2">
      <c r="A70" s="6" t="s">
        <v>310</v>
      </c>
      <c r="B70" s="7"/>
      <c r="C70" s="7"/>
      <c r="D70" s="7"/>
      <c r="E70" s="12"/>
      <c r="F70" s="7"/>
    </row>
    <row r="71" spans="1:6" x14ac:dyDescent="0.2">
      <c r="A71" s="7" t="s">
        <v>311</v>
      </c>
      <c r="B71" s="7" t="s">
        <v>312</v>
      </c>
      <c r="C71" s="7" t="s">
        <v>33</v>
      </c>
      <c r="D71" s="18">
        <v>8100</v>
      </c>
      <c r="E71" s="12">
        <v>8.0999999999999996E-4</v>
      </c>
      <c r="F71" s="39" t="s">
        <v>610</v>
      </c>
    </row>
    <row r="72" spans="1:6" x14ac:dyDescent="0.2">
      <c r="A72" s="6" t="s">
        <v>43</v>
      </c>
      <c r="B72" s="7"/>
      <c r="C72" s="7"/>
      <c r="D72" s="18"/>
      <c r="E72" s="13">
        <v>8.0999999999999996E-4</v>
      </c>
      <c r="F72" s="6">
        <v>0</v>
      </c>
    </row>
    <row r="73" spans="1:6" x14ac:dyDescent="0.2">
      <c r="A73" s="7"/>
      <c r="B73" s="7"/>
      <c r="C73" s="7"/>
      <c r="D73" s="18"/>
      <c r="E73" s="12"/>
      <c r="F73" s="7"/>
    </row>
    <row r="74" spans="1:6" x14ac:dyDescent="0.2">
      <c r="A74" s="37" t="s">
        <v>44</v>
      </c>
      <c r="B74" s="7"/>
      <c r="C74" s="7"/>
      <c r="D74" s="40"/>
      <c r="E74" s="35"/>
      <c r="F74" s="6"/>
    </row>
    <row r="75" spans="1:6" x14ac:dyDescent="0.2">
      <c r="A75" s="7" t="s">
        <v>620</v>
      </c>
      <c r="B75" s="7" t="s">
        <v>621</v>
      </c>
      <c r="C75" s="7" t="s">
        <v>78</v>
      </c>
      <c r="D75" s="40">
        <v>140468</v>
      </c>
      <c r="E75" s="36">
        <v>2501.8491036</v>
      </c>
      <c r="F75" s="7">
        <v>0.37417898157532792</v>
      </c>
    </row>
    <row r="76" spans="1:6" x14ac:dyDescent="0.2">
      <c r="A76" s="6" t="s">
        <v>43</v>
      </c>
      <c r="B76" s="7"/>
      <c r="C76" s="7"/>
      <c r="D76" s="34"/>
      <c r="E76" s="35">
        <v>2501.8491036</v>
      </c>
      <c r="F76" s="35">
        <v>0.37417898157532792</v>
      </c>
    </row>
    <row r="77" spans="1:6" x14ac:dyDescent="0.2">
      <c r="A77" s="7"/>
      <c r="B77" s="7"/>
      <c r="C77" s="7"/>
      <c r="D77" s="7"/>
      <c r="E77" s="12"/>
      <c r="F77" s="7"/>
    </row>
    <row r="78" spans="1:6" x14ac:dyDescent="0.2">
      <c r="A78" s="6" t="s">
        <v>43</v>
      </c>
      <c r="B78" s="7"/>
      <c r="C78" s="7"/>
      <c r="D78" s="7"/>
      <c r="E78" s="13">
        <v>617699.79769759998</v>
      </c>
      <c r="F78" s="6">
        <v>92.383517824363651</v>
      </c>
    </row>
    <row r="79" spans="1:6" x14ac:dyDescent="0.2">
      <c r="A79" s="7"/>
      <c r="B79" s="7"/>
      <c r="C79" s="7"/>
      <c r="D79" s="7"/>
      <c r="E79" s="12"/>
      <c r="F79" s="7"/>
    </row>
    <row r="80" spans="1:6" x14ac:dyDescent="0.2">
      <c r="A80" s="6" t="s">
        <v>101</v>
      </c>
      <c r="B80" s="7"/>
      <c r="C80" s="7"/>
      <c r="D80" s="7"/>
      <c r="E80" s="13">
        <v>50923.836122499997</v>
      </c>
      <c r="F80" s="6">
        <v>7.6162183845570688</v>
      </c>
    </row>
    <row r="81" spans="1:6" x14ac:dyDescent="0.2">
      <c r="A81" s="7"/>
      <c r="B81" s="7"/>
      <c r="C81" s="7"/>
      <c r="D81" s="7"/>
      <c r="E81" s="12"/>
      <c r="F81" s="7"/>
    </row>
    <row r="82" spans="1:6" x14ac:dyDescent="0.2">
      <c r="A82" s="8" t="s">
        <v>102</v>
      </c>
      <c r="B82" s="5"/>
      <c r="C82" s="5"/>
      <c r="D82" s="5"/>
      <c r="E82" s="14">
        <v>668623.63382009999</v>
      </c>
      <c r="F82" s="8">
        <v>100</v>
      </c>
    </row>
    <row r="83" spans="1:6" x14ac:dyDescent="0.2">
      <c r="A83" s="9" t="s">
        <v>623</v>
      </c>
      <c r="F83" s="11" t="s">
        <v>611</v>
      </c>
    </row>
    <row r="85" spans="1:6" x14ac:dyDescent="0.2">
      <c r="A85" s="4" t="s">
        <v>103</v>
      </c>
      <c r="B85" s="2"/>
      <c r="C85" s="2"/>
      <c r="D85" s="2"/>
    </row>
    <row r="86" spans="1:6" x14ac:dyDescent="0.2">
      <c r="A86" s="4" t="s">
        <v>104</v>
      </c>
      <c r="B86" s="2"/>
      <c r="C86" s="2"/>
      <c r="D86" s="2"/>
    </row>
    <row r="87" spans="1:6" x14ac:dyDescent="0.2">
      <c r="A87" s="4" t="s">
        <v>608</v>
      </c>
      <c r="B87" s="2"/>
      <c r="C87" s="2"/>
      <c r="D87" s="2"/>
    </row>
    <row r="88" spans="1:6" x14ac:dyDescent="0.2">
      <c r="A88" s="2" t="s">
        <v>600</v>
      </c>
      <c r="B88" s="2"/>
      <c r="C88" s="2"/>
      <c r="D88" s="10">
        <v>906.47709999999995</v>
      </c>
    </row>
    <row r="89" spans="1:6" x14ac:dyDescent="0.2">
      <c r="A89" s="2" t="s">
        <v>601</v>
      </c>
      <c r="B89" s="2"/>
      <c r="C89" s="2"/>
      <c r="D89" s="10">
        <v>57.423299999999998</v>
      </c>
    </row>
    <row r="90" spans="1:6" x14ac:dyDescent="0.2">
      <c r="A90" s="2" t="s">
        <v>602</v>
      </c>
      <c r="B90" s="2"/>
      <c r="C90" s="2"/>
      <c r="D90" s="10">
        <v>965.51400000000001</v>
      </c>
    </row>
    <row r="91" spans="1:6" x14ac:dyDescent="0.2">
      <c r="A91" s="2" t="s">
        <v>603</v>
      </c>
      <c r="B91" s="2"/>
      <c r="C91" s="2"/>
      <c r="D91" s="10">
        <v>62.410600000000002</v>
      </c>
    </row>
    <row r="92" spans="1:6" x14ac:dyDescent="0.2">
      <c r="A92" s="2"/>
      <c r="B92" s="2"/>
      <c r="C92" s="2"/>
      <c r="D92" s="10"/>
    </row>
    <row r="93" spans="1:6" x14ac:dyDescent="0.2">
      <c r="A93" s="4" t="s">
        <v>105</v>
      </c>
      <c r="B93" s="2"/>
      <c r="C93" s="2"/>
      <c r="D93" s="2"/>
    </row>
    <row r="94" spans="1:6" x14ac:dyDescent="0.2">
      <c r="A94" s="2" t="s">
        <v>600</v>
      </c>
      <c r="B94" s="2"/>
      <c r="C94" s="2"/>
      <c r="D94" s="10">
        <v>895.65899999999999</v>
      </c>
    </row>
    <row r="95" spans="1:6" x14ac:dyDescent="0.2">
      <c r="A95" s="2" t="s">
        <v>601</v>
      </c>
      <c r="B95" s="2"/>
      <c r="C95" s="2"/>
      <c r="D95" s="10">
        <v>51.608499999999999</v>
      </c>
    </row>
    <row r="96" spans="1:6" x14ac:dyDescent="0.2">
      <c r="A96" s="2" t="s">
        <v>602</v>
      </c>
      <c r="B96" s="2"/>
      <c r="C96" s="2"/>
      <c r="D96" s="10">
        <v>958.67570000000001</v>
      </c>
    </row>
    <row r="97" spans="1:4" x14ac:dyDescent="0.2">
      <c r="A97" s="2" t="s">
        <v>603</v>
      </c>
      <c r="B97" s="2"/>
      <c r="C97" s="2"/>
      <c r="D97" s="10">
        <v>56.835000000000001</v>
      </c>
    </row>
    <row r="98" spans="1:4" x14ac:dyDescent="0.2">
      <c r="A98" s="2"/>
      <c r="B98" s="2"/>
      <c r="C98" s="2"/>
      <c r="D98" s="2"/>
    </row>
    <row r="99" spans="1:4" x14ac:dyDescent="0.2">
      <c r="A99" s="4" t="s">
        <v>106</v>
      </c>
      <c r="B99" s="2"/>
      <c r="C99" s="2"/>
      <c r="D99" s="20" t="s">
        <v>311</v>
      </c>
    </row>
    <row r="100" spans="1:4" x14ac:dyDescent="0.2">
      <c r="A100" s="21" t="s">
        <v>604</v>
      </c>
      <c r="B100" s="22"/>
      <c r="C100" s="103" t="s">
        <v>605</v>
      </c>
      <c r="D100" s="104"/>
    </row>
    <row r="101" spans="1:4" x14ac:dyDescent="0.2">
      <c r="A101" s="105"/>
      <c r="B101" s="106"/>
      <c r="C101" s="23" t="s">
        <v>606</v>
      </c>
      <c r="D101" s="23" t="s">
        <v>607</v>
      </c>
    </row>
    <row r="102" spans="1:4" x14ac:dyDescent="0.2">
      <c r="A102" s="24" t="s">
        <v>601</v>
      </c>
      <c r="B102" s="25"/>
      <c r="C102" s="26">
        <v>4.8697465850000006</v>
      </c>
      <c r="D102" s="26">
        <v>4.8697465850000006</v>
      </c>
    </row>
    <row r="103" spans="1:4" x14ac:dyDescent="0.2">
      <c r="A103" s="24" t="s">
        <v>603</v>
      </c>
      <c r="B103" s="25"/>
      <c r="C103" s="26">
        <v>4.8697465850000006</v>
      </c>
      <c r="D103" s="26">
        <v>4.8697465850000006</v>
      </c>
    </row>
    <row r="104" spans="1:4" x14ac:dyDescent="0.2">
      <c r="A104" s="4"/>
      <c r="B104" s="2"/>
      <c r="C104" s="2"/>
      <c r="D104" s="20"/>
    </row>
    <row r="105" spans="1:4" x14ac:dyDescent="0.2">
      <c r="A105" s="9" t="s">
        <v>609</v>
      </c>
      <c r="B105" s="2"/>
      <c r="C105" s="2"/>
      <c r="D105" s="27">
        <v>0.10253765523151663</v>
      </c>
    </row>
  </sheetData>
  <mergeCells count="3">
    <mergeCell ref="A1:F1"/>
    <mergeCell ref="C100:D100"/>
    <mergeCell ref="A101:B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E578-BB4A-4BA2-BD40-62E62306CCBD}">
  <dimension ref="A1:F72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7.5703125" style="1" bestFit="1" customWidth="1"/>
    <col min="3" max="3" width="20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456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301393</v>
      </c>
      <c r="E7" s="12">
        <v>6786.3154844999999</v>
      </c>
      <c r="F7" s="7">
        <v>12.002906395598831</v>
      </c>
    </row>
    <row r="8" spans="1:6" x14ac:dyDescent="0.2">
      <c r="A8" s="7" t="s">
        <v>118</v>
      </c>
      <c r="B8" s="7" t="s">
        <v>119</v>
      </c>
      <c r="C8" s="7" t="s">
        <v>11</v>
      </c>
      <c r="D8" s="32">
        <v>538776</v>
      </c>
      <c r="E8" s="12">
        <v>3631.8890160000001</v>
      </c>
      <c r="F8" s="7">
        <v>6.4236954497354022</v>
      </c>
    </row>
    <row r="9" spans="1:6" x14ac:dyDescent="0.2">
      <c r="A9" s="7" t="s">
        <v>196</v>
      </c>
      <c r="B9" s="7" t="s">
        <v>197</v>
      </c>
      <c r="C9" s="7" t="s">
        <v>57</v>
      </c>
      <c r="D9" s="32">
        <v>411721</v>
      </c>
      <c r="E9" s="12">
        <v>3245.8025035000001</v>
      </c>
      <c r="F9" s="7">
        <v>5.7408270683987013</v>
      </c>
    </row>
    <row r="10" spans="1:6" x14ac:dyDescent="0.2">
      <c r="A10" s="7" t="s">
        <v>180</v>
      </c>
      <c r="B10" s="7" t="s">
        <v>181</v>
      </c>
      <c r="C10" s="7" t="s">
        <v>78</v>
      </c>
      <c r="D10" s="32">
        <v>405492</v>
      </c>
      <c r="E10" s="12">
        <v>3218.1872579999999</v>
      </c>
      <c r="F10" s="7">
        <v>5.6919841863392024</v>
      </c>
    </row>
    <row r="11" spans="1:6" x14ac:dyDescent="0.2">
      <c r="A11" s="7" t="s">
        <v>20</v>
      </c>
      <c r="B11" s="7" t="s">
        <v>21</v>
      </c>
      <c r="C11" s="7" t="s">
        <v>11</v>
      </c>
      <c r="D11" s="32">
        <v>197693</v>
      </c>
      <c r="E11" s="12">
        <v>3004.0439815</v>
      </c>
      <c r="F11" s="7">
        <v>5.313230544698607</v>
      </c>
    </row>
    <row r="12" spans="1:6" x14ac:dyDescent="0.2">
      <c r="A12" s="7" t="s">
        <v>281</v>
      </c>
      <c r="B12" s="7" t="s">
        <v>282</v>
      </c>
      <c r="C12" s="7" t="s">
        <v>78</v>
      </c>
      <c r="D12" s="32">
        <v>126574</v>
      </c>
      <c r="E12" s="12">
        <v>2841.459726</v>
      </c>
      <c r="F12" s="7">
        <v>5.0256689651313398</v>
      </c>
    </row>
    <row r="13" spans="1:6" x14ac:dyDescent="0.2">
      <c r="A13" s="7" t="s">
        <v>109</v>
      </c>
      <c r="B13" s="7" t="s">
        <v>110</v>
      </c>
      <c r="C13" s="7" t="s">
        <v>11</v>
      </c>
      <c r="D13" s="32">
        <v>643546</v>
      </c>
      <c r="E13" s="12">
        <v>2732.4963160000002</v>
      </c>
      <c r="F13" s="7">
        <v>4.8329461814997119</v>
      </c>
    </row>
    <row r="14" spans="1:6" x14ac:dyDescent="0.2">
      <c r="A14" s="7" t="s">
        <v>186</v>
      </c>
      <c r="B14" s="7" t="s">
        <v>187</v>
      </c>
      <c r="C14" s="7" t="s">
        <v>188</v>
      </c>
      <c r="D14" s="32">
        <v>98278</v>
      </c>
      <c r="E14" s="12">
        <v>2530.2653879999998</v>
      </c>
      <c r="F14" s="7">
        <v>4.4752618232314889</v>
      </c>
    </row>
    <row r="15" spans="1:6" x14ac:dyDescent="0.2">
      <c r="A15" s="7" t="s">
        <v>182</v>
      </c>
      <c r="B15" s="7" t="s">
        <v>183</v>
      </c>
      <c r="C15" s="7" t="s">
        <v>39</v>
      </c>
      <c r="D15" s="32">
        <v>343240</v>
      </c>
      <c r="E15" s="12">
        <v>1887.82</v>
      </c>
      <c r="F15" s="7">
        <v>3.3389733801049286</v>
      </c>
    </row>
    <row r="16" spans="1:6" x14ac:dyDescent="0.2">
      <c r="A16" s="7" t="s">
        <v>189</v>
      </c>
      <c r="B16" s="7" t="s">
        <v>190</v>
      </c>
      <c r="C16" s="7" t="s">
        <v>191</v>
      </c>
      <c r="D16" s="32">
        <v>116490</v>
      </c>
      <c r="E16" s="12">
        <v>1616.0657699999999</v>
      </c>
      <c r="F16" s="7">
        <v>2.858323667790772</v>
      </c>
    </row>
    <row r="17" spans="1:6" x14ac:dyDescent="0.2">
      <c r="A17" s="7" t="s">
        <v>374</v>
      </c>
      <c r="B17" s="7" t="s">
        <v>375</v>
      </c>
      <c r="C17" s="7" t="s">
        <v>36</v>
      </c>
      <c r="D17" s="32">
        <v>101394</v>
      </c>
      <c r="E17" s="12">
        <v>1542.304134</v>
      </c>
      <c r="F17" s="7">
        <v>2.7278620035023389</v>
      </c>
    </row>
    <row r="18" spans="1:6" x14ac:dyDescent="0.2">
      <c r="A18" s="7" t="s">
        <v>437</v>
      </c>
      <c r="B18" s="7" t="s">
        <v>438</v>
      </c>
      <c r="C18" s="7" t="s">
        <v>191</v>
      </c>
      <c r="D18" s="32">
        <v>1262673</v>
      </c>
      <c r="E18" s="12">
        <v>1526.571657</v>
      </c>
      <c r="F18" s="7">
        <v>2.7000360868862883</v>
      </c>
    </row>
    <row r="19" spans="1:6" x14ac:dyDescent="0.2">
      <c r="A19" s="7" t="s">
        <v>234</v>
      </c>
      <c r="B19" s="7" t="s">
        <v>235</v>
      </c>
      <c r="C19" s="7" t="s">
        <v>122</v>
      </c>
      <c r="D19" s="32">
        <v>551423</v>
      </c>
      <c r="E19" s="12">
        <v>1467.0608915</v>
      </c>
      <c r="F19" s="7">
        <v>2.594779832670226</v>
      </c>
    </row>
    <row r="20" spans="1:6" x14ac:dyDescent="0.2">
      <c r="A20" s="7" t="s">
        <v>255</v>
      </c>
      <c r="B20" s="7" t="s">
        <v>256</v>
      </c>
      <c r="C20" s="7" t="s">
        <v>33</v>
      </c>
      <c r="D20" s="32">
        <v>1247117</v>
      </c>
      <c r="E20" s="12">
        <v>1403.006625</v>
      </c>
      <c r="F20" s="7">
        <v>2.4814875215782535</v>
      </c>
    </row>
    <row r="21" spans="1:6" x14ac:dyDescent="0.2">
      <c r="A21" s="7" t="s">
        <v>120</v>
      </c>
      <c r="B21" s="7" t="s">
        <v>121</v>
      </c>
      <c r="C21" s="7" t="s">
        <v>122</v>
      </c>
      <c r="D21" s="32">
        <v>397644</v>
      </c>
      <c r="E21" s="12">
        <v>1373.8600200000001</v>
      </c>
      <c r="F21" s="7">
        <v>2.4299361352090907</v>
      </c>
    </row>
    <row r="22" spans="1:6" x14ac:dyDescent="0.2">
      <c r="A22" s="7" t="s">
        <v>230</v>
      </c>
      <c r="B22" s="7" t="s">
        <v>231</v>
      </c>
      <c r="C22" s="7" t="s">
        <v>117</v>
      </c>
      <c r="D22" s="32">
        <v>183307</v>
      </c>
      <c r="E22" s="12">
        <v>1363.9873869999999</v>
      </c>
      <c r="F22" s="7">
        <v>2.4124744816729771</v>
      </c>
    </row>
    <row r="23" spans="1:6" x14ac:dyDescent="0.2">
      <c r="A23" s="7" t="s">
        <v>259</v>
      </c>
      <c r="B23" s="7" t="s">
        <v>260</v>
      </c>
      <c r="C23" s="7" t="s">
        <v>261</v>
      </c>
      <c r="D23" s="32">
        <v>278178</v>
      </c>
      <c r="E23" s="12">
        <v>1201.8680489999999</v>
      </c>
      <c r="F23" s="7">
        <v>2.1257351982761312</v>
      </c>
    </row>
    <row r="24" spans="1:6" x14ac:dyDescent="0.2">
      <c r="A24" s="7" t="s">
        <v>184</v>
      </c>
      <c r="B24" s="7" t="s">
        <v>185</v>
      </c>
      <c r="C24" s="7" t="s">
        <v>78</v>
      </c>
      <c r="D24" s="32">
        <v>114846</v>
      </c>
      <c r="E24" s="12">
        <v>1188.139293</v>
      </c>
      <c r="F24" s="7">
        <v>2.1014532482883381</v>
      </c>
    </row>
    <row r="25" spans="1:6" x14ac:dyDescent="0.2">
      <c r="A25" s="7" t="s">
        <v>329</v>
      </c>
      <c r="B25" s="7" t="s">
        <v>330</v>
      </c>
      <c r="C25" s="7" t="s">
        <v>57</v>
      </c>
      <c r="D25" s="32">
        <v>121898</v>
      </c>
      <c r="E25" s="12">
        <v>1177.53468</v>
      </c>
      <c r="F25" s="7">
        <v>2.0826969470979098</v>
      </c>
    </row>
    <row r="26" spans="1:6" x14ac:dyDescent="0.2">
      <c r="A26" s="7" t="s">
        <v>123</v>
      </c>
      <c r="B26" s="7" t="s">
        <v>124</v>
      </c>
      <c r="C26" s="7" t="s">
        <v>122</v>
      </c>
      <c r="D26" s="32">
        <v>752083</v>
      </c>
      <c r="E26" s="12">
        <v>1047.651619</v>
      </c>
      <c r="F26" s="7">
        <v>1.8529737302628593</v>
      </c>
    </row>
    <row r="27" spans="1:6" x14ac:dyDescent="0.2">
      <c r="A27" s="7" t="s">
        <v>204</v>
      </c>
      <c r="B27" s="7" t="s">
        <v>205</v>
      </c>
      <c r="C27" s="7" t="s">
        <v>188</v>
      </c>
      <c r="D27" s="32">
        <v>387005</v>
      </c>
      <c r="E27" s="12">
        <v>881.59739000000002</v>
      </c>
      <c r="F27" s="7">
        <v>1.559274834030778</v>
      </c>
    </row>
    <row r="28" spans="1:6" x14ac:dyDescent="0.2">
      <c r="A28" s="7" t="s">
        <v>132</v>
      </c>
      <c r="B28" s="7" t="s">
        <v>133</v>
      </c>
      <c r="C28" s="7" t="s">
        <v>134</v>
      </c>
      <c r="D28" s="32">
        <v>580358</v>
      </c>
      <c r="E28" s="12">
        <v>821.78692799999999</v>
      </c>
      <c r="F28" s="7">
        <v>1.4534885088145089</v>
      </c>
    </row>
    <row r="29" spans="1:6" x14ac:dyDescent="0.2">
      <c r="A29" s="7" t="s">
        <v>439</v>
      </c>
      <c r="B29" s="7" t="s">
        <v>440</v>
      </c>
      <c r="C29" s="7" t="s">
        <v>33</v>
      </c>
      <c r="D29" s="32">
        <v>248911</v>
      </c>
      <c r="E29" s="12">
        <v>811.07649349999997</v>
      </c>
      <c r="F29" s="7">
        <v>1.4345450419136085</v>
      </c>
    </row>
    <row r="30" spans="1:6" x14ac:dyDescent="0.2">
      <c r="A30" s="7" t="s">
        <v>441</v>
      </c>
      <c r="B30" s="7" t="s">
        <v>442</v>
      </c>
      <c r="C30" s="7" t="s">
        <v>117</v>
      </c>
      <c r="D30" s="32">
        <v>244622</v>
      </c>
      <c r="E30" s="12">
        <v>746.83096599999999</v>
      </c>
      <c r="F30" s="7">
        <v>1.3209144488945181</v>
      </c>
    </row>
    <row r="31" spans="1:6" x14ac:dyDescent="0.2">
      <c r="A31" s="7" t="s">
        <v>443</v>
      </c>
      <c r="B31" s="7" t="s">
        <v>444</v>
      </c>
      <c r="C31" s="7" t="s">
        <v>445</v>
      </c>
      <c r="D31" s="32">
        <v>166757</v>
      </c>
      <c r="E31" s="12">
        <v>721.1406465</v>
      </c>
      <c r="F31" s="7">
        <v>1.2754761693250198</v>
      </c>
    </row>
    <row r="32" spans="1:6" x14ac:dyDescent="0.2">
      <c r="A32" s="7" t="s">
        <v>40</v>
      </c>
      <c r="B32" s="7" t="s">
        <v>41</v>
      </c>
      <c r="C32" s="7" t="s">
        <v>42</v>
      </c>
      <c r="D32" s="32">
        <v>9600668</v>
      </c>
      <c r="E32" s="12">
        <v>657.645758</v>
      </c>
      <c r="F32" s="7">
        <v>1.1631732259966143</v>
      </c>
    </row>
    <row r="33" spans="1:6" x14ac:dyDescent="0.2">
      <c r="A33" s="7" t="s">
        <v>37</v>
      </c>
      <c r="B33" s="7" t="s">
        <v>38</v>
      </c>
      <c r="C33" s="7" t="s">
        <v>39</v>
      </c>
      <c r="D33" s="32">
        <v>484457</v>
      </c>
      <c r="E33" s="12">
        <v>656.92369199999996</v>
      </c>
      <c r="F33" s="7">
        <v>1.1618961131613446</v>
      </c>
    </row>
    <row r="34" spans="1:6" x14ac:dyDescent="0.2">
      <c r="A34" s="7" t="s">
        <v>446</v>
      </c>
      <c r="B34" s="7" t="s">
        <v>447</v>
      </c>
      <c r="C34" s="7" t="s">
        <v>36</v>
      </c>
      <c r="D34" s="32">
        <v>7836</v>
      </c>
      <c r="E34" s="12">
        <v>580.82390999999996</v>
      </c>
      <c r="F34" s="7">
        <v>1.0272989872013545</v>
      </c>
    </row>
    <row r="35" spans="1:6" x14ac:dyDescent="0.2">
      <c r="A35" s="7" t="s">
        <v>206</v>
      </c>
      <c r="B35" s="7" t="s">
        <v>207</v>
      </c>
      <c r="C35" s="7" t="s">
        <v>11</v>
      </c>
      <c r="D35" s="32">
        <v>631101</v>
      </c>
      <c r="E35" s="12">
        <v>575.56411200000002</v>
      </c>
      <c r="F35" s="7">
        <v>1.0179960210781389</v>
      </c>
    </row>
    <row r="36" spans="1:6" x14ac:dyDescent="0.2">
      <c r="A36" s="7" t="s">
        <v>448</v>
      </c>
      <c r="B36" s="7" t="s">
        <v>449</v>
      </c>
      <c r="C36" s="7" t="s">
        <v>33</v>
      </c>
      <c r="D36" s="32">
        <v>593597</v>
      </c>
      <c r="E36" s="12">
        <v>438.668183</v>
      </c>
      <c r="F36" s="7">
        <v>0.77586919607589588</v>
      </c>
    </row>
    <row r="37" spans="1:6" x14ac:dyDescent="0.2">
      <c r="A37" s="7" t="s">
        <v>450</v>
      </c>
      <c r="B37" s="7" t="s">
        <v>451</v>
      </c>
      <c r="C37" s="7" t="s">
        <v>33</v>
      </c>
      <c r="D37" s="32">
        <v>12795</v>
      </c>
      <c r="E37" s="12">
        <v>221.23834500000001</v>
      </c>
      <c r="F37" s="7">
        <v>0.39130263722890452</v>
      </c>
    </row>
    <row r="38" spans="1:6" x14ac:dyDescent="0.2">
      <c r="A38" s="7" t="s">
        <v>293</v>
      </c>
      <c r="B38" s="7" t="s">
        <v>294</v>
      </c>
      <c r="C38" s="7" t="s">
        <v>14</v>
      </c>
      <c r="D38" s="32">
        <v>32642</v>
      </c>
      <c r="E38" s="12">
        <v>196.390593</v>
      </c>
      <c r="F38" s="7">
        <v>0.34735460061341727</v>
      </c>
    </row>
    <row r="39" spans="1:6" x14ac:dyDescent="0.2">
      <c r="A39" s="7" t="s">
        <v>452</v>
      </c>
      <c r="B39" s="7" t="s">
        <v>453</v>
      </c>
      <c r="C39" s="7" t="s">
        <v>78</v>
      </c>
      <c r="D39" s="32">
        <v>36661</v>
      </c>
      <c r="E39" s="12">
        <v>148.03711799999999</v>
      </c>
      <c r="F39" s="7">
        <v>0.26183216422617211</v>
      </c>
    </row>
    <row r="40" spans="1:6" x14ac:dyDescent="0.2">
      <c r="A40" s="7" t="s">
        <v>271</v>
      </c>
      <c r="B40" s="7" t="s">
        <v>272</v>
      </c>
      <c r="C40" s="7" t="s">
        <v>14</v>
      </c>
      <c r="D40" s="32">
        <v>26936</v>
      </c>
      <c r="E40" s="12">
        <v>18.451160000000002</v>
      </c>
      <c r="F40" s="7">
        <v>3.2634431286911292E-2</v>
      </c>
    </row>
    <row r="41" spans="1:6" x14ac:dyDescent="0.2">
      <c r="A41" s="6" t="s">
        <v>43</v>
      </c>
      <c r="B41" s="7"/>
      <c r="C41" s="7"/>
      <c r="D41" s="32"/>
      <c r="E41" s="13">
        <f xml:space="preserve"> SUM(E7:E40)</f>
        <v>52262.505093999986</v>
      </c>
      <c r="F41" s="6">
        <f>SUM(F7:F40)</f>
        <v>92.436309227820573</v>
      </c>
    </row>
    <row r="42" spans="1:6" x14ac:dyDescent="0.2">
      <c r="A42" s="7"/>
      <c r="B42" s="7"/>
      <c r="C42" s="7"/>
      <c r="D42" s="32"/>
      <c r="E42" s="12"/>
      <c r="F42" s="7"/>
    </row>
    <row r="43" spans="1:6" x14ac:dyDescent="0.2">
      <c r="A43" s="6" t="s">
        <v>310</v>
      </c>
      <c r="B43" s="7"/>
      <c r="C43" s="7"/>
      <c r="D43" s="32"/>
      <c r="E43" s="12"/>
      <c r="F43" s="7"/>
    </row>
    <row r="44" spans="1:6" x14ac:dyDescent="0.2">
      <c r="A44" s="7" t="s">
        <v>311</v>
      </c>
      <c r="B44" s="7" t="s">
        <v>454</v>
      </c>
      <c r="C44" s="7" t="s">
        <v>78</v>
      </c>
      <c r="D44" s="32">
        <v>489000</v>
      </c>
      <c r="E44" s="12">
        <v>4.8899999999999999E-2</v>
      </c>
      <c r="F44" s="41" t="s">
        <v>610</v>
      </c>
    </row>
    <row r="45" spans="1:6" x14ac:dyDescent="0.2">
      <c r="A45" s="7" t="s">
        <v>311</v>
      </c>
      <c r="B45" s="7" t="s">
        <v>312</v>
      </c>
      <c r="C45" s="7" t="s">
        <v>33</v>
      </c>
      <c r="D45" s="32">
        <v>98000</v>
      </c>
      <c r="E45" s="12">
        <v>9.7999999999999997E-3</v>
      </c>
      <c r="F45" s="41" t="s">
        <v>610</v>
      </c>
    </row>
    <row r="46" spans="1:6" x14ac:dyDescent="0.2">
      <c r="A46" s="7" t="s">
        <v>314</v>
      </c>
      <c r="B46" s="7" t="s">
        <v>315</v>
      </c>
      <c r="C46" s="7" t="s">
        <v>325</v>
      </c>
      <c r="D46" s="32">
        <v>44170</v>
      </c>
      <c r="E46" s="12">
        <v>4.4169999999999999E-3</v>
      </c>
      <c r="F46" s="41" t="s">
        <v>610</v>
      </c>
    </row>
    <row r="47" spans="1:6" x14ac:dyDescent="0.2">
      <c r="A47" s="7" t="s">
        <v>311</v>
      </c>
      <c r="B47" s="7" t="s">
        <v>455</v>
      </c>
      <c r="C47" s="7" t="s">
        <v>78</v>
      </c>
      <c r="D47" s="32">
        <v>23815</v>
      </c>
      <c r="E47" s="12">
        <v>2.3814999999999999E-3</v>
      </c>
      <c r="F47" s="41" t="s">
        <v>610</v>
      </c>
    </row>
    <row r="48" spans="1:6" x14ac:dyDescent="0.2">
      <c r="A48" s="6" t="s">
        <v>43</v>
      </c>
      <c r="B48" s="7"/>
      <c r="C48" s="7"/>
      <c r="D48" s="7"/>
      <c r="E48" s="13">
        <f>SUM(E44:E47)</f>
        <v>6.5498500000000001E-2</v>
      </c>
      <c r="F48" s="6">
        <f>SUM(F45:F47)</f>
        <v>0</v>
      </c>
    </row>
    <row r="49" spans="1:6" x14ac:dyDescent="0.2">
      <c r="A49" s="7"/>
      <c r="B49" s="7"/>
      <c r="C49" s="7"/>
      <c r="D49" s="7"/>
      <c r="E49" s="12"/>
      <c r="F49" s="7"/>
    </row>
    <row r="50" spans="1:6" x14ac:dyDescent="0.2">
      <c r="A50" s="6" t="s">
        <v>43</v>
      </c>
      <c r="B50" s="7"/>
      <c r="C50" s="7"/>
      <c r="D50" s="7"/>
      <c r="E50" s="13">
        <v>52262.570592499986</v>
      </c>
      <c r="F50" s="6">
        <v>92.436425074536857</v>
      </c>
    </row>
    <row r="51" spans="1:6" x14ac:dyDescent="0.2">
      <c r="A51" s="7"/>
      <c r="B51" s="7"/>
      <c r="C51" s="7"/>
      <c r="D51" s="7"/>
      <c r="E51" s="12"/>
      <c r="F51" s="7"/>
    </row>
    <row r="52" spans="1:6" x14ac:dyDescent="0.2">
      <c r="A52" s="6" t="s">
        <v>101</v>
      </c>
      <c r="B52" s="7"/>
      <c r="C52" s="7"/>
      <c r="D52" s="7"/>
      <c r="E52" s="13">
        <v>4276.3647356000001</v>
      </c>
      <c r="F52" s="6">
        <v>7.56</v>
      </c>
    </row>
    <row r="53" spans="1:6" x14ac:dyDescent="0.2">
      <c r="A53" s="7"/>
      <c r="B53" s="7"/>
      <c r="C53" s="7"/>
      <c r="D53" s="7"/>
      <c r="E53" s="12"/>
      <c r="F53" s="7"/>
    </row>
    <row r="54" spans="1:6" x14ac:dyDescent="0.2">
      <c r="A54" s="8" t="s">
        <v>102</v>
      </c>
      <c r="B54" s="5"/>
      <c r="C54" s="5"/>
      <c r="D54" s="5"/>
      <c r="E54" s="14">
        <v>56538.935328099986</v>
      </c>
      <c r="F54" s="8">
        <f xml:space="preserve"> ROUND(SUM(F50:F53),2)</f>
        <v>100</v>
      </c>
    </row>
    <row r="55" spans="1:6" x14ac:dyDescent="0.2">
      <c r="F55" s="11" t="s">
        <v>611</v>
      </c>
    </row>
    <row r="56" spans="1:6" x14ac:dyDescent="0.2">
      <c r="A56" s="4" t="s">
        <v>103</v>
      </c>
      <c r="B56" s="2"/>
      <c r="C56" s="2"/>
      <c r="D56" s="2"/>
    </row>
    <row r="57" spans="1:6" x14ac:dyDescent="0.2">
      <c r="A57" s="4" t="s">
        <v>104</v>
      </c>
      <c r="B57" s="2"/>
      <c r="C57" s="2"/>
      <c r="D57" s="2"/>
    </row>
    <row r="58" spans="1:6" x14ac:dyDescent="0.2">
      <c r="A58" s="4" t="s">
        <v>608</v>
      </c>
      <c r="B58" s="2"/>
      <c r="C58" s="2"/>
      <c r="D58" s="2"/>
    </row>
    <row r="59" spans="1:6" x14ac:dyDescent="0.2">
      <c r="A59" s="2" t="s">
        <v>600</v>
      </c>
      <c r="B59" s="2"/>
      <c r="C59" s="2"/>
      <c r="D59" s="10">
        <v>69.272300000000001</v>
      </c>
    </row>
    <row r="60" spans="1:6" x14ac:dyDescent="0.2">
      <c r="A60" s="2" t="s">
        <v>601</v>
      </c>
      <c r="B60" s="2"/>
      <c r="C60" s="2"/>
      <c r="D60" s="10">
        <v>17.598299999999998</v>
      </c>
    </row>
    <row r="61" spans="1:6" x14ac:dyDescent="0.2">
      <c r="A61" s="2" t="s">
        <v>602</v>
      </c>
      <c r="B61" s="2"/>
      <c r="C61" s="2"/>
      <c r="D61" s="10">
        <v>72.052800000000005</v>
      </c>
    </row>
    <row r="62" spans="1:6" x14ac:dyDescent="0.2">
      <c r="A62" s="2" t="s">
        <v>603</v>
      </c>
      <c r="B62" s="2"/>
      <c r="C62" s="2"/>
      <c r="D62" s="10">
        <v>18.496200000000002</v>
      </c>
    </row>
    <row r="63" spans="1:6" x14ac:dyDescent="0.2">
      <c r="A63" s="2"/>
      <c r="B63" s="2"/>
      <c r="C63" s="2"/>
      <c r="D63" s="10"/>
    </row>
    <row r="64" spans="1:6" x14ac:dyDescent="0.2">
      <c r="A64" s="4" t="s">
        <v>105</v>
      </c>
      <c r="B64" s="2"/>
      <c r="C64" s="2"/>
      <c r="D64" s="2"/>
    </row>
    <row r="65" spans="1:4" x14ac:dyDescent="0.2">
      <c r="A65" s="2" t="s">
        <v>600</v>
      </c>
      <c r="B65" s="2"/>
      <c r="C65" s="2"/>
      <c r="D65" s="10">
        <v>70.182299999999998</v>
      </c>
    </row>
    <row r="66" spans="1:4" x14ac:dyDescent="0.2">
      <c r="A66" s="2" t="s">
        <v>601</v>
      </c>
      <c r="B66" s="2"/>
      <c r="C66" s="2"/>
      <c r="D66" s="10">
        <v>17.829499999999999</v>
      </c>
    </row>
    <row r="67" spans="1:4" x14ac:dyDescent="0.2">
      <c r="A67" s="2" t="s">
        <v>602</v>
      </c>
      <c r="B67" s="2"/>
      <c r="C67" s="2"/>
      <c r="D67" s="10">
        <v>73.2179</v>
      </c>
    </row>
    <row r="68" spans="1:4" x14ac:dyDescent="0.2">
      <c r="A68" s="2" t="s">
        <v>603</v>
      </c>
      <c r="B68" s="2"/>
      <c r="C68" s="2"/>
      <c r="D68" s="10">
        <v>18.793700000000001</v>
      </c>
    </row>
    <row r="69" spans="1:4" x14ac:dyDescent="0.2">
      <c r="A69" s="2"/>
      <c r="B69" s="2"/>
      <c r="C69" s="2"/>
      <c r="D69" s="2"/>
    </row>
    <row r="70" spans="1:4" x14ac:dyDescent="0.2">
      <c r="A70" s="4" t="s">
        <v>106</v>
      </c>
      <c r="B70" s="2"/>
      <c r="C70" s="2"/>
      <c r="D70" s="20" t="s">
        <v>107</v>
      </c>
    </row>
    <row r="71" spans="1:4" x14ac:dyDescent="0.2">
      <c r="A71" s="4"/>
      <c r="B71" s="2"/>
      <c r="C71" s="2"/>
      <c r="D71" s="20"/>
    </row>
    <row r="72" spans="1:4" x14ac:dyDescent="0.2">
      <c r="A72" s="9" t="s">
        <v>609</v>
      </c>
      <c r="B72" s="2"/>
      <c r="C72" s="2"/>
      <c r="D72" s="27">
        <v>3.1163089064238283E-2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7306-6FD7-4B08-9349-DA96A794435E}">
  <dimension ref="A1:F65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6.7109375" style="1" bestFit="1" customWidth="1"/>
    <col min="3" max="3" width="19.140625" style="1" bestFit="1" customWidth="1"/>
    <col min="4" max="4" width="12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108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32">
        <v>2900000</v>
      </c>
      <c r="E7" s="29">
        <v>12313.4</v>
      </c>
      <c r="F7" s="7">
        <v>10.305396118477015</v>
      </c>
    </row>
    <row r="8" spans="1:6" x14ac:dyDescent="0.2">
      <c r="A8" s="7" t="s">
        <v>111</v>
      </c>
      <c r="B8" s="7" t="s">
        <v>112</v>
      </c>
      <c r="C8" s="7" t="s">
        <v>11</v>
      </c>
      <c r="D8" s="32">
        <v>3000000</v>
      </c>
      <c r="E8" s="29">
        <v>9966</v>
      </c>
      <c r="F8" s="7">
        <v>8.3407976445776111</v>
      </c>
    </row>
    <row r="9" spans="1:6" x14ac:dyDescent="0.2">
      <c r="A9" s="7" t="s">
        <v>113</v>
      </c>
      <c r="B9" s="7" t="s">
        <v>114</v>
      </c>
      <c r="C9" s="7" t="s">
        <v>42</v>
      </c>
      <c r="D9" s="32">
        <v>2000000</v>
      </c>
      <c r="E9" s="29">
        <v>6752</v>
      </c>
      <c r="F9" s="7">
        <v>5.6509196965871995</v>
      </c>
    </row>
    <row r="10" spans="1:6" x14ac:dyDescent="0.2">
      <c r="A10" s="7" t="s">
        <v>9</v>
      </c>
      <c r="B10" s="7" t="s">
        <v>10</v>
      </c>
      <c r="C10" s="7" t="s">
        <v>11</v>
      </c>
      <c r="D10" s="32">
        <v>275000</v>
      </c>
      <c r="E10" s="29">
        <v>6192.0375000000004</v>
      </c>
      <c r="F10" s="7">
        <v>5.1822729073987794</v>
      </c>
    </row>
    <row r="11" spans="1:6" x14ac:dyDescent="0.2">
      <c r="A11" s="7" t="s">
        <v>115</v>
      </c>
      <c r="B11" s="7" t="s">
        <v>116</v>
      </c>
      <c r="C11" s="7" t="s">
        <v>117</v>
      </c>
      <c r="D11" s="32">
        <v>4500000</v>
      </c>
      <c r="E11" s="29">
        <v>5694.75</v>
      </c>
      <c r="F11" s="7">
        <v>4.7660804120467937</v>
      </c>
    </row>
    <row r="12" spans="1:6" x14ac:dyDescent="0.2">
      <c r="A12" s="7" t="s">
        <v>118</v>
      </c>
      <c r="B12" s="7" t="s">
        <v>119</v>
      </c>
      <c r="C12" s="7" t="s">
        <v>11</v>
      </c>
      <c r="D12" s="32">
        <v>800000</v>
      </c>
      <c r="E12" s="29">
        <v>5392.8</v>
      </c>
      <c r="F12" s="7">
        <v>4.5133708145372404</v>
      </c>
    </row>
    <row r="13" spans="1:6" x14ac:dyDescent="0.2">
      <c r="A13" s="7" t="s">
        <v>120</v>
      </c>
      <c r="B13" s="7" t="s">
        <v>121</v>
      </c>
      <c r="C13" s="7" t="s">
        <v>122</v>
      </c>
      <c r="D13" s="32">
        <v>1500000</v>
      </c>
      <c r="E13" s="29">
        <v>5182.5</v>
      </c>
      <c r="F13" s="7">
        <v>4.3373654217362496</v>
      </c>
    </row>
    <row r="14" spans="1:6" x14ac:dyDescent="0.2">
      <c r="A14" s="7" t="s">
        <v>123</v>
      </c>
      <c r="B14" s="7" t="s">
        <v>124</v>
      </c>
      <c r="C14" s="7" t="s">
        <v>122</v>
      </c>
      <c r="D14" s="32">
        <v>3151644</v>
      </c>
      <c r="E14" s="29">
        <v>4390.240092</v>
      </c>
      <c r="F14" s="7">
        <v>3.6743030522259477</v>
      </c>
    </row>
    <row r="15" spans="1:6" x14ac:dyDescent="0.2">
      <c r="A15" s="7" t="s">
        <v>125</v>
      </c>
      <c r="B15" s="7" t="s">
        <v>126</v>
      </c>
      <c r="C15" s="7" t="s">
        <v>57</v>
      </c>
      <c r="D15" s="32">
        <v>95000</v>
      </c>
      <c r="E15" s="29">
        <v>4129.5550000000003</v>
      </c>
      <c r="F15" s="7">
        <v>3.4561291006576051</v>
      </c>
    </row>
    <row r="16" spans="1:6" x14ac:dyDescent="0.2">
      <c r="A16" s="7" t="s">
        <v>127</v>
      </c>
      <c r="B16" s="7" t="s">
        <v>128</v>
      </c>
      <c r="C16" s="7" t="s">
        <v>24</v>
      </c>
      <c r="D16" s="32">
        <v>860000</v>
      </c>
      <c r="E16" s="29">
        <v>3771.53</v>
      </c>
      <c r="F16" s="7">
        <v>3.156488916361007</v>
      </c>
    </row>
    <row r="17" spans="1:6" x14ac:dyDescent="0.2">
      <c r="A17" s="7" t="s">
        <v>129</v>
      </c>
      <c r="B17" s="7" t="s">
        <v>130</v>
      </c>
      <c r="C17" s="7" t="s">
        <v>131</v>
      </c>
      <c r="D17" s="32">
        <v>1500000</v>
      </c>
      <c r="E17" s="29">
        <v>3546.75</v>
      </c>
      <c r="F17" s="7">
        <v>2.968364845063781</v>
      </c>
    </row>
    <row r="18" spans="1:6" x14ac:dyDescent="0.2">
      <c r="A18" s="7" t="s">
        <v>132</v>
      </c>
      <c r="B18" s="7" t="s">
        <v>133</v>
      </c>
      <c r="C18" s="7" t="s">
        <v>134</v>
      </c>
      <c r="D18" s="32">
        <v>2500000</v>
      </c>
      <c r="E18" s="29">
        <v>3540</v>
      </c>
      <c r="F18" s="7">
        <v>2.9627155992178147</v>
      </c>
    </row>
    <row r="19" spans="1:6" x14ac:dyDescent="0.2">
      <c r="A19" s="7" t="s">
        <v>135</v>
      </c>
      <c r="B19" s="7" t="s">
        <v>136</v>
      </c>
      <c r="C19" s="7" t="s">
        <v>19</v>
      </c>
      <c r="D19" s="32">
        <v>590000</v>
      </c>
      <c r="E19" s="29">
        <v>3228.48</v>
      </c>
      <c r="F19" s="7">
        <v>2.7019966264866468</v>
      </c>
    </row>
    <row r="20" spans="1:6" x14ac:dyDescent="0.2">
      <c r="A20" s="7" t="s">
        <v>137</v>
      </c>
      <c r="B20" s="7" t="s">
        <v>138</v>
      </c>
      <c r="C20" s="7" t="s">
        <v>57</v>
      </c>
      <c r="D20" s="32">
        <v>200000</v>
      </c>
      <c r="E20" s="29">
        <v>3120.8</v>
      </c>
      <c r="F20" s="7">
        <v>2.6118765090505525</v>
      </c>
    </row>
    <row r="21" spans="1:6" x14ac:dyDescent="0.2">
      <c r="A21" s="7" t="s">
        <v>139</v>
      </c>
      <c r="B21" s="7" t="s">
        <v>140</v>
      </c>
      <c r="C21" s="7" t="s">
        <v>54</v>
      </c>
      <c r="D21" s="32">
        <v>2000000</v>
      </c>
      <c r="E21" s="29">
        <v>2777</v>
      </c>
      <c r="F21" s="7">
        <v>2.3241415872960087</v>
      </c>
    </row>
    <row r="22" spans="1:6" x14ac:dyDescent="0.2">
      <c r="A22" s="7" t="s">
        <v>141</v>
      </c>
      <c r="B22" s="7" t="s">
        <v>142</v>
      </c>
      <c r="C22" s="7" t="s">
        <v>57</v>
      </c>
      <c r="D22" s="32">
        <v>825000</v>
      </c>
      <c r="E22" s="29">
        <v>2757.15</v>
      </c>
      <c r="F22" s="7">
        <v>2.3075286198823157</v>
      </c>
    </row>
    <row r="23" spans="1:6" x14ac:dyDescent="0.2">
      <c r="A23" s="7" t="s">
        <v>40</v>
      </c>
      <c r="B23" s="7" t="s">
        <v>41</v>
      </c>
      <c r="C23" s="7" t="s">
        <v>42</v>
      </c>
      <c r="D23" s="32">
        <v>35000000</v>
      </c>
      <c r="E23" s="29">
        <v>2397.5</v>
      </c>
      <c r="F23" s="7">
        <v>2.006528431956133</v>
      </c>
    </row>
    <row r="24" spans="1:6" x14ac:dyDescent="0.2">
      <c r="A24" s="7" t="s">
        <v>143</v>
      </c>
      <c r="B24" s="7" t="s">
        <v>144</v>
      </c>
      <c r="C24" s="7" t="s">
        <v>39</v>
      </c>
      <c r="D24" s="32">
        <v>100000</v>
      </c>
      <c r="E24" s="29">
        <v>2356.1</v>
      </c>
      <c r="F24" s="7">
        <v>1.9718797241008736</v>
      </c>
    </row>
    <row r="25" spans="1:6" x14ac:dyDescent="0.2">
      <c r="A25" s="7" t="s">
        <v>145</v>
      </c>
      <c r="B25" s="7" t="s">
        <v>146</v>
      </c>
      <c r="C25" s="7" t="s">
        <v>131</v>
      </c>
      <c r="D25" s="32">
        <v>1600000</v>
      </c>
      <c r="E25" s="29">
        <v>2061.6</v>
      </c>
      <c r="F25" s="7">
        <v>1.7254052201546459</v>
      </c>
    </row>
    <row r="26" spans="1:6" x14ac:dyDescent="0.2">
      <c r="A26" s="7" t="s">
        <v>147</v>
      </c>
      <c r="B26" s="7" t="s">
        <v>148</v>
      </c>
      <c r="C26" s="7" t="s">
        <v>19</v>
      </c>
      <c r="D26" s="32">
        <v>550000</v>
      </c>
      <c r="E26" s="29">
        <v>1944.5250000000001</v>
      </c>
      <c r="F26" s="7">
        <v>1.6274221894262773</v>
      </c>
    </row>
    <row r="27" spans="1:6" x14ac:dyDescent="0.2">
      <c r="A27" s="7" t="s">
        <v>149</v>
      </c>
      <c r="B27" s="7" t="s">
        <v>150</v>
      </c>
      <c r="C27" s="7" t="s">
        <v>33</v>
      </c>
      <c r="D27" s="32">
        <v>600000</v>
      </c>
      <c r="E27" s="29">
        <v>1828.8</v>
      </c>
      <c r="F27" s="7">
        <v>1.5305690078671015</v>
      </c>
    </row>
    <row r="28" spans="1:6" x14ac:dyDescent="0.2">
      <c r="A28" s="7" t="s">
        <v>151</v>
      </c>
      <c r="B28" s="7" t="s">
        <v>152</v>
      </c>
      <c r="C28" s="7" t="s">
        <v>24</v>
      </c>
      <c r="D28" s="32">
        <v>426756</v>
      </c>
      <c r="E28" s="29">
        <v>1599.4814879999999</v>
      </c>
      <c r="F28" s="7">
        <v>1.3386465410050059</v>
      </c>
    </row>
    <row r="29" spans="1:6" x14ac:dyDescent="0.2">
      <c r="A29" s="7" t="s">
        <v>153</v>
      </c>
      <c r="B29" s="7" t="s">
        <v>154</v>
      </c>
      <c r="C29" s="7" t="s">
        <v>27</v>
      </c>
      <c r="D29" s="32">
        <v>3500000</v>
      </c>
      <c r="E29" s="29">
        <v>1594.25</v>
      </c>
      <c r="F29" s="7">
        <v>1.3342681762861586</v>
      </c>
    </row>
    <row r="30" spans="1:6" x14ac:dyDescent="0.2">
      <c r="A30" s="7" t="s">
        <v>155</v>
      </c>
      <c r="B30" s="7" t="s">
        <v>156</v>
      </c>
      <c r="C30" s="7" t="s">
        <v>134</v>
      </c>
      <c r="D30" s="32">
        <v>2000000</v>
      </c>
      <c r="E30" s="29">
        <v>1560</v>
      </c>
      <c r="F30" s="7">
        <v>1.3056034844010709</v>
      </c>
    </row>
    <row r="31" spans="1:6" x14ac:dyDescent="0.2">
      <c r="A31" s="7" t="s">
        <v>157</v>
      </c>
      <c r="B31" s="7" t="s">
        <v>158</v>
      </c>
      <c r="C31" s="7" t="s">
        <v>117</v>
      </c>
      <c r="D31" s="32">
        <v>700000</v>
      </c>
      <c r="E31" s="29">
        <v>1475.6</v>
      </c>
      <c r="F31" s="7">
        <v>1.2349669881937309</v>
      </c>
    </row>
    <row r="32" spans="1:6" x14ac:dyDescent="0.2">
      <c r="A32" s="7" t="s">
        <v>159</v>
      </c>
      <c r="B32" s="7" t="s">
        <v>160</v>
      </c>
      <c r="C32" s="7" t="s">
        <v>19</v>
      </c>
      <c r="D32" s="32">
        <v>1900000</v>
      </c>
      <c r="E32" s="29">
        <v>1469.65</v>
      </c>
      <c r="F32" s="7">
        <v>1.2299872825961755</v>
      </c>
    </row>
    <row r="33" spans="1:6" x14ac:dyDescent="0.2">
      <c r="A33" s="7" t="s">
        <v>161</v>
      </c>
      <c r="B33" s="7" t="s">
        <v>162</v>
      </c>
      <c r="C33" s="7" t="s">
        <v>24</v>
      </c>
      <c r="D33" s="32">
        <v>35000</v>
      </c>
      <c r="E33" s="29">
        <v>1463.0525</v>
      </c>
      <c r="F33" s="7">
        <v>1.2244656678600627</v>
      </c>
    </row>
    <row r="34" spans="1:6" x14ac:dyDescent="0.2">
      <c r="A34" s="7" t="s">
        <v>163</v>
      </c>
      <c r="B34" s="7" t="s">
        <v>599</v>
      </c>
      <c r="C34" s="7" t="s">
        <v>39</v>
      </c>
      <c r="D34" s="32">
        <v>2200000</v>
      </c>
      <c r="E34" s="29">
        <v>1433.3</v>
      </c>
      <c r="F34" s="7">
        <v>1.1995650475590096</v>
      </c>
    </row>
    <row r="35" spans="1:6" x14ac:dyDescent="0.2">
      <c r="A35" s="7" t="s">
        <v>25</v>
      </c>
      <c r="B35" s="7" t="s">
        <v>26</v>
      </c>
      <c r="C35" s="7" t="s">
        <v>27</v>
      </c>
      <c r="D35" s="32">
        <v>700000</v>
      </c>
      <c r="E35" s="29">
        <v>1333.85</v>
      </c>
      <c r="F35" s="7">
        <v>1.116332825428441</v>
      </c>
    </row>
    <row r="36" spans="1:6" x14ac:dyDescent="0.2">
      <c r="A36" s="7" t="s">
        <v>164</v>
      </c>
      <c r="B36" s="7" t="s">
        <v>165</v>
      </c>
      <c r="C36" s="7" t="s">
        <v>19</v>
      </c>
      <c r="D36" s="32">
        <v>2000000</v>
      </c>
      <c r="E36" s="29">
        <v>1232</v>
      </c>
      <c r="F36" s="7">
        <v>1.0310919825526406</v>
      </c>
    </row>
    <row r="37" spans="1:6" x14ac:dyDescent="0.2">
      <c r="A37" s="7" t="s">
        <v>166</v>
      </c>
      <c r="B37" s="7" t="s">
        <v>167</v>
      </c>
      <c r="C37" s="7" t="s">
        <v>134</v>
      </c>
      <c r="D37" s="32">
        <v>225000</v>
      </c>
      <c r="E37" s="29">
        <v>1151.55</v>
      </c>
      <c r="F37" s="7">
        <v>0.96376134132182889</v>
      </c>
    </row>
    <row r="38" spans="1:6" x14ac:dyDescent="0.2">
      <c r="A38" s="7" t="s">
        <v>168</v>
      </c>
      <c r="B38" s="7" t="s">
        <v>169</v>
      </c>
      <c r="C38" s="7" t="s">
        <v>24</v>
      </c>
      <c r="D38" s="32">
        <v>250000</v>
      </c>
      <c r="E38" s="29">
        <v>870.75</v>
      </c>
      <c r="F38" s="7">
        <v>0.72875271412963616</v>
      </c>
    </row>
    <row r="39" spans="1:6" x14ac:dyDescent="0.2">
      <c r="A39" s="7" t="s">
        <v>170</v>
      </c>
      <c r="B39" s="7" t="s">
        <v>171</v>
      </c>
      <c r="C39" s="7" t="s">
        <v>11</v>
      </c>
      <c r="D39" s="32">
        <v>1100000</v>
      </c>
      <c r="E39" s="29">
        <v>761.2</v>
      </c>
      <c r="F39" s="7">
        <v>0.63706754636288154</v>
      </c>
    </row>
    <row r="40" spans="1:6" x14ac:dyDescent="0.2">
      <c r="A40" s="7" t="s">
        <v>172</v>
      </c>
      <c r="B40" s="7" t="s">
        <v>173</v>
      </c>
      <c r="C40" s="7" t="s">
        <v>33</v>
      </c>
      <c r="D40" s="32">
        <v>600000</v>
      </c>
      <c r="E40" s="29">
        <v>685.2</v>
      </c>
      <c r="F40" s="7">
        <v>0.57346122276385503</v>
      </c>
    </row>
    <row r="41" spans="1:6" x14ac:dyDescent="0.2">
      <c r="A41" s="7" t="s">
        <v>174</v>
      </c>
      <c r="B41" s="7" t="s">
        <v>175</v>
      </c>
      <c r="C41" s="7" t="s">
        <v>70</v>
      </c>
      <c r="D41" s="32">
        <v>400000</v>
      </c>
      <c r="E41" s="29">
        <v>313</v>
      </c>
      <c r="F41" s="7">
        <v>0.26195762219072766</v>
      </c>
    </row>
    <row r="42" spans="1:6" x14ac:dyDescent="0.2">
      <c r="A42" s="6" t="s">
        <v>43</v>
      </c>
      <c r="B42" s="7"/>
      <c r="C42" s="7"/>
      <c r="D42" s="7"/>
      <c r="E42" s="42">
        <f xml:space="preserve"> SUM(E7:E41)</f>
        <v>110286.40158000002</v>
      </c>
      <c r="F42" s="6">
        <f>SUM(F7:F41)</f>
        <v>92.301480887758814</v>
      </c>
    </row>
    <row r="43" spans="1:6" x14ac:dyDescent="0.2">
      <c r="A43" s="7"/>
      <c r="B43" s="7"/>
      <c r="C43" s="7"/>
      <c r="D43" s="7"/>
      <c r="E43" s="29"/>
      <c r="F43" s="7"/>
    </row>
    <row r="44" spans="1:6" x14ac:dyDescent="0.2">
      <c r="A44" s="6" t="s">
        <v>101</v>
      </c>
      <c r="B44" s="7"/>
      <c r="C44" s="7"/>
      <c r="D44" s="7"/>
      <c r="E44" s="42">
        <v>9198.5736546999997</v>
      </c>
      <c r="F44" s="6">
        <v>7.7</v>
      </c>
    </row>
    <row r="45" spans="1:6" x14ac:dyDescent="0.2">
      <c r="A45" s="7"/>
      <c r="B45" s="7"/>
      <c r="C45" s="7"/>
      <c r="D45" s="7"/>
      <c r="E45" s="29"/>
      <c r="F45" s="7"/>
    </row>
    <row r="46" spans="1:6" x14ac:dyDescent="0.2">
      <c r="A46" s="8" t="s">
        <v>102</v>
      </c>
      <c r="B46" s="5"/>
      <c r="C46" s="5"/>
      <c r="D46" s="5"/>
      <c r="E46" s="43">
        <v>119484.97523470002</v>
      </c>
      <c r="F46" s="8">
        <f xml:space="preserve"> ROUND(SUM(F42:F45),2)</f>
        <v>100</v>
      </c>
    </row>
    <row r="48" spans="1:6" x14ac:dyDescent="0.2">
      <c r="A48" s="4" t="s">
        <v>103</v>
      </c>
      <c r="B48" s="2"/>
      <c r="C48" s="2"/>
      <c r="D48" s="2"/>
    </row>
    <row r="49" spans="1:4" x14ac:dyDescent="0.2">
      <c r="A49" s="4" t="s">
        <v>104</v>
      </c>
      <c r="B49" s="2"/>
      <c r="C49" s="2"/>
      <c r="D49" s="2"/>
    </row>
    <row r="50" spans="1:4" x14ac:dyDescent="0.2">
      <c r="A50" s="4" t="s">
        <v>608</v>
      </c>
      <c r="B50" s="2"/>
      <c r="C50" s="2"/>
      <c r="D50" s="2"/>
    </row>
    <row r="51" spans="1:4" x14ac:dyDescent="0.2">
      <c r="A51" s="2" t="s">
        <v>600</v>
      </c>
      <c r="B51" s="2"/>
      <c r="C51" s="2"/>
      <c r="D51" s="10">
        <v>38.635399999999997</v>
      </c>
    </row>
    <row r="52" spans="1:4" x14ac:dyDescent="0.2">
      <c r="A52" s="2" t="s">
        <v>601</v>
      </c>
      <c r="B52" s="2"/>
      <c r="C52" s="2"/>
      <c r="D52" s="10">
        <v>20.080500000000001</v>
      </c>
    </row>
    <row r="53" spans="1:4" x14ac:dyDescent="0.2">
      <c r="A53" s="2" t="s">
        <v>602</v>
      </c>
      <c r="B53" s="2"/>
      <c r="C53" s="2"/>
      <c r="D53" s="10">
        <v>41.4938</v>
      </c>
    </row>
    <row r="54" spans="1:4" x14ac:dyDescent="0.2">
      <c r="A54" s="2" t="s">
        <v>603</v>
      </c>
      <c r="B54" s="2"/>
      <c r="C54" s="2"/>
      <c r="D54" s="10">
        <v>22.0779</v>
      </c>
    </row>
    <row r="55" spans="1:4" x14ac:dyDescent="0.2">
      <c r="A55" s="2"/>
      <c r="B55" s="2"/>
      <c r="C55" s="2"/>
      <c r="D55" s="10"/>
    </row>
    <row r="56" spans="1:4" x14ac:dyDescent="0.2">
      <c r="A56" s="4" t="s">
        <v>105</v>
      </c>
      <c r="B56" s="2"/>
      <c r="C56" s="2"/>
      <c r="D56" s="2"/>
    </row>
    <row r="57" spans="1:4" x14ac:dyDescent="0.2">
      <c r="A57" s="2" t="s">
        <v>600</v>
      </c>
      <c r="B57" s="2"/>
      <c r="C57" s="2"/>
      <c r="D57" s="10">
        <v>39.676499999999997</v>
      </c>
    </row>
    <row r="58" spans="1:4" x14ac:dyDescent="0.2">
      <c r="A58" s="2" t="s">
        <v>601</v>
      </c>
      <c r="B58" s="2"/>
      <c r="C58" s="2"/>
      <c r="D58" s="10">
        <v>20.621600000000001</v>
      </c>
    </row>
    <row r="59" spans="1:4" x14ac:dyDescent="0.2">
      <c r="A59" s="2" t="s">
        <v>602</v>
      </c>
      <c r="B59" s="2"/>
      <c r="C59" s="2"/>
      <c r="D59" s="10">
        <v>42.872900000000001</v>
      </c>
    </row>
    <row r="60" spans="1:4" x14ac:dyDescent="0.2">
      <c r="A60" s="2" t="s">
        <v>603</v>
      </c>
      <c r="B60" s="2"/>
      <c r="C60" s="2"/>
      <c r="D60" s="10">
        <v>22.811299999999999</v>
      </c>
    </row>
    <row r="61" spans="1:4" x14ac:dyDescent="0.2">
      <c r="A61" s="2"/>
      <c r="B61" s="2"/>
      <c r="C61" s="2"/>
      <c r="D61" s="2"/>
    </row>
    <row r="62" spans="1:4" x14ac:dyDescent="0.2">
      <c r="A62" s="4" t="s">
        <v>106</v>
      </c>
      <c r="B62" s="2"/>
      <c r="C62" s="2"/>
      <c r="D62" s="20" t="s">
        <v>107</v>
      </c>
    </row>
    <row r="63" spans="1:4" x14ac:dyDescent="0.2">
      <c r="A63" s="4"/>
      <c r="B63" s="2"/>
      <c r="C63" s="2"/>
      <c r="D63" s="20"/>
    </row>
    <row r="64" spans="1:4" x14ac:dyDescent="0.2">
      <c r="A64" s="9" t="s">
        <v>609</v>
      </c>
      <c r="B64" s="2"/>
      <c r="C64" s="2"/>
      <c r="D64" s="27">
        <v>0.15888324788070163</v>
      </c>
    </row>
    <row r="65" spans="1:4" x14ac:dyDescent="0.2">
      <c r="A65" s="2"/>
      <c r="B65" s="2"/>
      <c r="C65" s="2"/>
      <c r="D65" s="2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56A5-6EE7-4AB7-9581-EC72CC8C2ADE}">
  <dimension ref="A1:F75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7.140625" style="1" bestFit="1" customWidth="1"/>
    <col min="3" max="3" width="20" style="1" bestFit="1" customWidth="1"/>
    <col min="4" max="4" width="12.8554687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210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32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32">
        <v>13500000</v>
      </c>
      <c r="E7" s="12">
        <v>57321</v>
      </c>
      <c r="F7" s="7">
        <v>8.6483485857440989</v>
      </c>
    </row>
    <row r="8" spans="1:6" x14ac:dyDescent="0.2">
      <c r="A8" s="7" t="s">
        <v>9</v>
      </c>
      <c r="B8" s="7" t="s">
        <v>10</v>
      </c>
      <c r="C8" s="7" t="s">
        <v>11</v>
      </c>
      <c r="D8" s="32">
        <v>2500000</v>
      </c>
      <c r="E8" s="12">
        <v>56291.25</v>
      </c>
      <c r="F8" s="7">
        <v>8.4929842872117991</v>
      </c>
    </row>
    <row r="9" spans="1:6" x14ac:dyDescent="0.2">
      <c r="A9" s="7" t="s">
        <v>113</v>
      </c>
      <c r="B9" s="7" t="s">
        <v>114</v>
      </c>
      <c r="C9" s="7" t="s">
        <v>42</v>
      </c>
      <c r="D9" s="32">
        <v>13477611</v>
      </c>
      <c r="E9" s="12">
        <v>45500.414735999999</v>
      </c>
      <c r="F9" s="7">
        <v>6.864908976341229</v>
      </c>
    </row>
    <row r="10" spans="1:6" x14ac:dyDescent="0.2">
      <c r="A10" s="7" t="s">
        <v>180</v>
      </c>
      <c r="B10" s="7" t="s">
        <v>181</v>
      </c>
      <c r="C10" s="7" t="s">
        <v>78</v>
      </c>
      <c r="D10" s="32">
        <v>4500000</v>
      </c>
      <c r="E10" s="12">
        <v>35714.25</v>
      </c>
      <c r="F10" s="7">
        <v>5.3884140799778653</v>
      </c>
    </row>
    <row r="11" spans="1:6" x14ac:dyDescent="0.2">
      <c r="A11" s="7" t="s">
        <v>111</v>
      </c>
      <c r="B11" s="7" t="s">
        <v>112</v>
      </c>
      <c r="C11" s="7" t="s">
        <v>11</v>
      </c>
      <c r="D11" s="32">
        <v>10000000</v>
      </c>
      <c r="E11" s="12">
        <v>33220</v>
      </c>
      <c r="F11" s="7">
        <v>5.0120922527244636</v>
      </c>
    </row>
    <row r="12" spans="1:6" x14ac:dyDescent="0.2">
      <c r="A12" s="7" t="s">
        <v>118</v>
      </c>
      <c r="B12" s="7" t="s">
        <v>119</v>
      </c>
      <c r="C12" s="7" t="s">
        <v>11</v>
      </c>
      <c r="D12" s="32">
        <v>4500000</v>
      </c>
      <c r="E12" s="12">
        <v>30334.5</v>
      </c>
      <c r="F12" s="7">
        <v>4.5767402901947696</v>
      </c>
    </row>
    <row r="13" spans="1:6" x14ac:dyDescent="0.2">
      <c r="A13" s="7" t="s">
        <v>182</v>
      </c>
      <c r="B13" s="7" t="s">
        <v>183</v>
      </c>
      <c r="C13" s="7" t="s">
        <v>39</v>
      </c>
      <c r="D13" s="32">
        <v>3800000</v>
      </c>
      <c r="E13" s="12">
        <v>20900</v>
      </c>
      <c r="F13" s="7">
        <v>3.1533030729061196</v>
      </c>
    </row>
    <row r="14" spans="1:6" x14ac:dyDescent="0.2">
      <c r="A14" s="7" t="s">
        <v>184</v>
      </c>
      <c r="B14" s="7" t="s">
        <v>185</v>
      </c>
      <c r="C14" s="7" t="s">
        <v>78</v>
      </c>
      <c r="D14" s="32">
        <v>2000000</v>
      </c>
      <c r="E14" s="12">
        <v>20691</v>
      </c>
      <c r="F14" s="7">
        <v>3.1217700421770584</v>
      </c>
    </row>
    <row r="15" spans="1:6" x14ac:dyDescent="0.2">
      <c r="A15" s="7" t="s">
        <v>115</v>
      </c>
      <c r="B15" s="7" t="s">
        <v>116</v>
      </c>
      <c r="C15" s="7" t="s">
        <v>117</v>
      </c>
      <c r="D15" s="32">
        <v>16000000</v>
      </c>
      <c r="E15" s="12">
        <v>20248</v>
      </c>
      <c r="F15" s="7">
        <v>3.0549320870910579</v>
      </c>
    </row>
    <row r="16" spans="1:6" x14ac:dyDescent="0.2">
      <c r="A16" s="7" t="s">
        <v>186</v>
      </c>
      <c r="B16" s="7" t="s">
        <v>187</v>
      </c>
      <c r="C16" s="7" t="s">
        <v>188</v>
      </c>
      <c r="D16" s="32">
        <v>775000</v>
      </c>
      <c r="E16" s="12">
        <v>19953.150000000001</v>
      </c>
      <c r="F16" s="7">
        <v>3.0104463736438634</v>
      </c>
    </row>
    <row r="17" spans="1:6" x14ac:dyDescent="0.2">
      <c r="A17" s="7" t="s">
        <v>123</v>
      </c>
      <c r="B17" s="7" t="s">
        <v>124</v>
      </c>
      <c r="C17" s="7" t="s">
        <v>122</v>
      </c>
      <c r="D17" s="32">
        <v>14000000</v>
      </c>
      <c r="E17" s="12">
        <v>19502</v>
      </c>
      <c r="F17" s="7">
        <v>2.9423787812351745</v>
      </c>
    </row>
    <row r="18" spans="1:6" x14ac:dyDescent="0.2">
      <c r="A18" s="7" t="s">
        <v>137</v>
      </c>
      <c r="B18" s="7" t="s">
        <v>138</v>
      </c>
      <c r="C18" s="7" t="s">
        <v>57</v>
      </c>
      <c r="D18" s="32">
        <v>1200000</v>
      </c>
      <c r="E18" s="12">
        <v>18724.8</v>
      </c>
      <c r="F18" s="7">
        <v>2.825118152131699</v>
      </c>
    </row>
    <row r="19" spans="1:6" x14ac:dyDescent="0.2">
      <c r="A19" s="7" t="s">
        <v>189</v>
      </c>
      <c r="B19" s="7" t="s">
        <v>190</v>
      </c>
      <c r="C19" s="7" t="s">
        <v>191</v>
      </c>
      <c r="D19" s="32">
        <v>1200000</v>
      </c>
      <c r="E19" s="12">
        <v>16647.599999999999</v>
      </c>
      <c r="F19" s="7">
        <v>2.5117190543785606</v>
      </c>
    </row>
    <row r="20" spans="1:6" x14ac:dyDescent="0.2">
      <c r="A20" s="7" t="s">
        <v>125</v>
      </c>
      <c r="B20" s="7" t="s">
        <v>126</v>
      </c>
      <c r="C20" s="7" t="s">
        <v>57</v>
      </c>
      <c r="D20" s="32">
        <v>340000</v>
      </c>
      <c r="E20" s="12">
        <v>14779.46</v>
      </c>
      <c r="F20" s="7">
        <v>2.2298620398991904</v>
      </c>
    </row>
    <row r="21" spans="1:6" x14ac:dyDescent="0.2">
      <c r="A21" s="7" t="s">
        <v>192</v>
      </c>
      <c r="B21" s="7" t="s">
        <v>193</v>
      </c>
      <c r="C21" s="7" t="s">
        <v>188</v>
      </c>
      <c r="D21" s="32">
        <v>1929484</v>
      </c>
      <c r="E21" s="12">
        <v>14756.693632</v>
      </c>
      <c r="F21" s="7">
        <v>2.2264271471636254</v>
      </c>
    </row>
    <row r="22" spans="1:6" x14ac:dyDescent="0.2">
      <c r="A22" s="7" t="s">
        <v>129</v>
      </c>
      <c r="B22" s="7" t="s">
        <v>130</v>
      </c>
      <c r="C22" s="7" t="s">
        <v>131</v>
      </c>
      <c r="D22" s="32">
        <v>6000000</v>
      </c>
      <c r="E22" s="12">
        <v>14187</v>
      </c>
      <c r="F22" s="7">
        <v>2.1404741959482831</v>
      </c>
    </row>
    <row r="23" spans="1:6" x14ac:dyDescent="0.2">
      <c r="A23" s="7" t="s">
        <v>194</v>
      </c>
      <c r="B23" s="7" t="s">
        <v>195</v>
      </c>
      <c r="C23" s="7" t="s">
        <v>134</v>
      </c>
      <c r="D23" s="32">
        <v>900000</v>
      </c>
      <c r="E23" s="12">
        <v>14014.8</v>
      </c>
      <c r="F23" s="7">
        <v>2.1144933926394582</v>
      </c>
    </row>
    <row r="24" spans="1:6" x14ac:dyDescent="0.2">
      <c r="A24" s="7" t="s">
        <v>196</v>
      </c>
      <c r="B24" s="7" t="s">
        <v>197</v>
      </c>
      <c r="C24" s="7" t="s">
        <v>57</v>
      </c>
      <c r="D24" s="32">
        <v>1700000</v>
      </c>
      <c r="E24" s="12">
        <v>13401.95</v>
      </c>
      <c r="F24" s="7">
        <v>2.0220291922456544</v>
      </c>
    </row>
    <row r="25" spans="1:6" x14ac:dyDescent="0.2">
      <c r="A25" s="7" t="s">
        <v>40</v>
      </c>
      <c r="B25" s="7" t="s">
        <v>41</v>
      </c>
      <c r="C25" s="7" t="s">
        <v>42</v>
      </c>
      <c r="D25" s="32">
        <v>175000000</v>
      </c>
      <c r="E25" s="12">
        <v>11987.5</v>
      </c>
      <c r="F25" s="7">
        <v>1.8086229945675651</v>
      </c>
    </row>
    <row r="26" spans="1:6" x14ac:dyDescent="0.2">
      <c r="A26" s="7" t="s">
        <v>198</v>
      </c>
      <c r="B26" s="7" t="s">
        <v>199</v>
      </c>
      <c r="C26" s="7" t="s">
        <v>36</v>
      </c>
      <c r="D26" s="32">
        <v>3101440</v>
      </c>
      <c r="E26" s="12">
        <v>11376.081920000001</v>
      </c>
      <c r="F26" s="7">
        <v>1.7163748361707056</v>
      </c>
    </row>
    <row r="27" spans="1:6" x14ac:dyDescent="0.2">
      <c r="A27" s="7" t="s">
        <v>145</v>
      </c>
      <c r="B27" s="7" t="s">
        <v>146</v>
      </c>
      <c r="C27" s="7" t="s">
        <v>131</v>
      </c>
      <c r="D27" s="32">
        <v>8800000</v>
      </c>
      <c r="E27" s="12">
        <v>11338.8</v>
      </c>
      <c r="F27" s="7">
        <v>1.7107498987113829</v>
      </c>
    </row>
    <row r="28" spans="1:6" x14ac:dyDescent="0.2">
      <c r="A28" s="7" t="s">
        <v>200</v>
      </c>
      <c r="B28" s="7" t="s">
        <v>201</v>
      </c>
      <c r="C28" s="7" t="s">
        <v>36</v>
      </c>
      <c r="D28" s="32">
        <v>800000</v>
      </c>
      <c r="E28" s="12">
        <v>11323.6</v>
      </c>
      <c r="F28" s="7">
        <v>1.7084565873856334</v>
      </c>
    </row>
    <row r="29" spans="1:6" x14ac:dyDescent="0.2">
      <c r="A29" s="7" t="s">
        <v>202</v>
      </c>
      <c r="B29" s="7" t="s">
        <v>203</v>
      </c>
      <c r="C29" s="7" t="s">
        <v>57</v>
      </c>
      <c r="D29" s="32">
        <v>5500000</v>
      </c>
      <c r="E29" s="12">
        <v>11104.5</v>
      </c>
      <c r="F29" s="7">
        <v>1.6753997116309094</v>
      </c>
    </row>
    <row r="30" spans="1:6" x14ac:dyDescent="0.2">
      <c r="A30" s="7" t="s">
        <v>25</v>
      </c>
      <c r="B30" s="7" t="s">
        <v>26</v>
      </c>
      <c r="C30" s="7" t="s">
        <v>27</v>
      </c>
      <c r="D30" s="32">
        <v>5500000</v>
      </c>
      <c r="E30" s="12">
        <v>10480.25</v>
      </c>
      <c r="F30" s="7">
        <v>1.5812155277427922</v>
      </c>
    </row>
    <row r="31" spans="1:6" x14ac:dyDescent="0.2">
      <c r="A31" s="7" t="s">
        <v>120</v>
      </c>
      <c r="B31" s="7" t="s">
        <v>121</v>
      </c>
      <c r="C31" s="7" t="s">
        <v>122</v>
      </c>
      <c r="D31" s="32">
        <v>3000000</v>
      </c>
      <c r="E31" s="12">
        <v>10365</v>
      </c>
      <c r="F31" s="7">
        <v>1.5638270981182743</v>
      </c>
    </row>
    <row r="32" spans="1:6" x14ac:dyDescent="0.2">
      <c r="A32" s="7" t="s">
        <v>22</v>
      </c>
      <c r="B32" s="7" t="s">
        <v>23</v>
      </c>
      <c r="C32" s="7" t="s">
        <v>24</v>
      </c>
      <c r="D32" s="32">
        <v>1400000</v>
      </c>
      <c r="E32" s="12">
        <v>9926</v>
      </c>
      <c r="F32" s="7">
        <v>1.4975926460127342</v>
      </c>
    </row>
    <row r="33" spans="1:6" x14ac:dyDescent="0.2">
      <c r="A33" s="7" t="s">
        <v>204</v>
      </c>
      <c r="B33" s="7" t="s">
        <v>205</v>
      </c>
      <c r="C33" s="7" t="s">
        <v>188</v>
      </c>
      <c r="D33" s="32">
        <v>4085705</v>
      </c>
      <c r="E33" s="12">
        <v>9307.2359899999992</v>
      </c>
      <c r="F33" s="7">
        <v>1.4042361649535611</v>
      </c>
    </row>
    <row r="34" spans="1:6" x14ac:dyDescent="0.2">
      <c r="A34" s="7" t="s">
        <v>143</v>
      </c>
      <c r="B34" s="7" t="s">
        <v>144</v>
      </c>
      <c r="C34" s="7" t="s">
        <v>39</v>
      </c>
      <c r="D34" s="32">
        <v>389650</v>
      </c>
      <c r="E34" s="12">
        <v>9180.5436499999996</v>
      </c>
      <c r="F34" s="7">
        <v>1.3851213637556825</v>
      </c>
    </row>
    <row r="35" spans="1:6" x14ac:dyDescent="0.2">
      <c r="A35" s="7" t="s">
        <v>37</v>
      </c>
      <c r="B35" s="7" t="s">
        <v>38</v>
      </c>
      <c r="C35" s="7" t="s">
        <v>39</v>
      </c>
      <c r="D35" s="32">
        <v>6000000</v>
      </c>
      <c r="E35" s="12">
        <v>8136</v>
      </c>
      <c r="F35" s="7">
        <v>1.2275250622566598</v>
      </c>
    </row>
    <row r="36" spans="1:6" x14ac:dyDescent="0.2">
      <c r="A36" s="7" t="s">
        <v>20</v>
      </c>
      <c r="B36" s="7" t="s">
        <v>21</v>
      </c>
      <c r="C36" s="7" t="s">
        <v>11</v>
      </c>
      <c r="D36" s="32">
        <v>500000</v>
      </c>
      <c r="E36" s="12">
        <v>7597.75</v>
      </c>
      <c r="F36" s="7">
        <v>1.1463161924484435</v>
      </c>
    </row>
    <row r="37" spans="1:6" x14ac:dyDescent="0.2">
      <c r="A37" s="7" t="s">
        <v>206</v>
      </c>
      <c r="B37" s="7" t="s">
        <v>207</v>
      </c>
      <c r="C37" s="7" t="s">
        <v>11</v>
      </c>
      <c r="D37" s="32">
        <v>7000000</v>
      </c>
      <c r="E37" s="12">
        <v>6384</v>
      </c>
      <c r="F37" s="7">
        <v>0.96319075681496025</v>
      </c>
    </row>
    <row r="38" spans="1:6" x14ac:dyDescent="0.2">
      <c r="A38" s="7" t="s">
        <v>163</v>
      </c>
      <c r="B38" s="7" t="s">
        <v>599</v>
      </c>
      <c r="C38" s="7" t="s">
        <v>39</v>
      </c>
      <c r="D38" s="32">
        <v>8000000</v>
      </c>
      <c r="E38" s="12">
        <v>5212</v>
      </c>
      <c r="F38" s="7">
        <v>0.78636438354003324</v>
      </c>
    </row>
    <row r="39" spans="1:6" x14ac:dyDescent="0.2">
      <c r="A39" s="7" t="s">
        <v>208</v>
      </c>
      <c r="B39" s="7" t="s">
        <v>209</v>
      </c>
      <c r="C39" s="7" t="s">
        <v>33</v>
      </c>
      <c r="D39" s="32">
        <v>800000</v>
      </c>
      <c r="E39" s="12">
        <v>3214</v>
      </c>
      <c r="F39" s="7">
        <v>0.4849146448000129</v>
      </c>
    </row>
    <row r="40" spans="1:6" x14ac:dyDescent="0.2">
      <c r="A40" s="7" t="s">
        <v>149</v>
      </c>
      <c r="B40" s="7" t="s">
        <v>150</v>
      </c>
      <c r="C40" s="7" t="s">
        <v>33</v>
      </c>
      <c r="D40" s="32">
        <v>1000000</v>
      </c>
      <c r="E40" s="12">
        <v>3048</v>
      </c>
      <c r="F40" s="7">
        <v>0.45986927111090203</v>
      </c>
    </row>
    <row r="41" spans="1:6" x14ac:dyDescent="0.2">
      <c r="A41" s="6" t="s">
        <v>43</v>
      </c>
      <c r="B41" s="7"/>
      <c r="C41" s="7"/>
      <c r="D41" s="32"/>
      <c r="E41" s="13">
        <v>606169.12992799992</v>
      </c>
      <c r="F41" s="6">
        <v>91.456219143674247</v>
      </c>
    </row>
    <row r="42" spans="1:6" x14ac:dyDescent="0.2">
      <c r="A42" s="7"/>
      <c r="B42" s="7"/>
      <c r="C42" s="7"/>
      <c r="D42" s="32"/>
      <c r="E42" s="12"/>
      <c r="F42" s="7"/>
    </row>
    <row r="43" spans="1:6" x14ac:dyDescent="0.2">
      <c r="A43" s="6" t="s">
        <v>44</v>
      </c>
      <c r="B43" s="7"/>
      <c r="C43" s="7"/>
      <c r="D43" s="32"/>
      <c r="E43" s="36"/>
      <c r="F43" s="7"/>
    </row>
    <row r="44" spans="1:6" x14ac:dyDescent="0.2">
      <c r="A44" s="7" t="s">
        <v>616</v>
      </c>
      <c r="B44" s="44" t="s">
        <v>624</v>
      </c>
      <c r="C44" s="7" t="s">
        <v>78</v>
      </c>
      <c r="D44" s="32">
        <v>350000</v>
      </c>
      <c r="E44" s="36">
        <v>15736.2100409</v>
      </c>
      <c r="F44" s="7">
        <v>2.3742124152089041</v>
      </c>
    </row>
    <row r="45" spans="1:6" x14ac:dyDescent="0.2">
      <c r="A45" s="6" t="s">
        <v>43</v>
      </c>
      <c r="B45" s="7"/>
      <c r="C45" s="7"/>
      <c r="D45" s="32"/>
      <c r="E45" s="35">
        <v>15736.2100409</v>
      </c>
      <c r="F45" s="35">
        <v>2.3742124152089041</v>
      </c>
    </row>
    <row r="46" spans="1:6" x14ac:dyDescent="0.2">
      <c r="A46" s="6"/>
      <c r="B46" s="7"/>
      <c r="C46" s="7"/>
      <c r="D46" s="32"/>
      <c r="E46" s="35"/>
      <c r="F46" s="35"/>
    </row>
    <row r="47" spans="1:6" x14ac:dyDescent="0.2">
      <c r="A47" s="6" t="s">
        <v>43</v>
      </c>
      <c r="B47" s="7"/>
      <c r="C47" s="7"/>
      <c r="D47" s="32"/>
      <c r="E47" s="13">
        <v>621905.33996889996</v>
      </c>
      <c r="F47" s="6">
        <v>93.830431558883149</v>
      </c>
    </row>
    <row r="48" spans="1:6" x14ac:dyDescent="0.2">
      <c r="A48" s="7"/>
      <c r="B48" s="7"/>
      <c r="C48" s="7"/>
      <c r="D48" s="32"/>
      <c r="E48" s="12"/>
      <c r="F48" s="7"/>
    </row>
    <row r="49" spans="1:6" x14ac:dyDescent="0.2">
      <c r="A49" s="6" t="s">
        <v>101</v>
      </c>
      <c r="B49" s="7"/>
      <c r="C49" s="7"/>
      <c r="D49" s="7"/>
      <c r="E49" s="13">
        <v>40891.718124799998</v>
      </c>
      <c r="F49" s="6">
        <v>6.1695684411168754</v>
      </c>
    </row>
    <row r="50" spans="1:6" x14ac:dyDescent="0.2">
      <c r="A50" s="7"/>
      <c r="B50" s="7"/>
      <c r="C50" s="7"/>
      <c r="D50" s="7"/>
      <c r="E50" s="12"/>
      <c r="F50" s="7"/>
    </row>
    <row r="51" spans="1:6" x14ac:dyDescent="0.2">
      <c r="A51" s="8" t="s">
        <v>102</v>
      </c>
      <c r="B51" s="5"/>
      <c r="C51" s="5"/>
      <c r="D51" s="5"/>
      <c r="E51" s="14">
        <v>662797.05809369998</v>
      </c>
      <c r="F51" s="8">
        <v>100</v>
      </c>
    </row>
    <row r="53" spans="1:6" x14ac:dyDescent="0.2">
      <c r="A53" s="4" t="s">
        <v>103</v>
      </c>
      <c r="B53" s="2"/>
      <c r="C53" s="2"/>
      <c r="D53" s="2"/>
    </row>
    <row r="54" spans="1:6" x14ac:dyDescent="0.2">
      <c r="A54" s="4" t="s">
        <v>104</v>
      </c>
      <c r="B54" s="2"/>
      <c r="C54" s="2"/>
      <c r="D54" s="2"/>
    </row>
    <row r="55" spans="1:6" x14ac:dyDescent="0.2">
      <c r="A55" s="4" t="s">
        <v>608</v>
      </c>
      <c r="B55" s="2"/>
      <c r="C55" s="2"/>
      <c r="D55" s="2"/>
    </row>
    <row r="56" spans="1:6" x14ac:dyDescent="0.2">
      <c r="A56" s="2" t="s">
        <v>600</v>
      </c>
      <c r="B56" s="2"/>
      <c r="C56" s="2"/>
      <c r="D56" s="10">
        <v>441.11279999999999</v>
      </c>
    </row>
    <row r="57" spans="1:6" x14ac:dyDescent="0.2">
      <c r="A57" s="2" t="s">
        <v>601</v>
      </c>
      <c r="B57" s="2"/>
      <c r="C57" s="2"/>
      <c r="D57" s="10">
        <v>39.218000000000004</v>
      </c>
    </row>
    <row r="58" spans="1:6" x14ac:dyDescent="0.2">
      <c r="A58" s="2" t="s">
        <v>602</v>
      </c>
      <c r="B58" s="2"/>
      <c r="C58" s="2"/>
      <c r="D58" s="10">
        <v>464.2106</v>
      </c>
    </row>
    <row r="59" spans="1:6" x14ac:dyDescent="0.2">
      <c r="A59" s="2" t="s">
        <v>603</v>
      </c>
      <c r="B59" s="2"/>
      <c r="C59" s="2"/>
      <c r="D59" s="10">
        <v>41.853099999999998</v>
      </c>
    </row>
    <row r="60" spans="1:6" x14ac:dyDescent="0.2">
      <c r="A60" s="2"/>
      <c r="B60" s="2"/>
      <c r="C60" s="2"/>
      <c r="D60" s="10"/>
    </row>
    <row r="61" spans="1:6" x14ac:dyDescent="0.2">
      <c r="A61" s="4" t="s">
        <v>105</v>
      </c>
      <c r="B61" s="2"/>
      <c r="C61" s="2"/>
      <c r="D61" s="2"/>
    </row>
    <row r="62" spans="1:6" x14ac:dyDescent="0.2">
      <c r="A62" s="2" t="s">
        <v>600</v>
      </c>
      <c r="B62" s="2"/>
      <c r="C62" s="2"/>
      <c r="D62" s="10">
        <v>436.9006</v>
      </c>
    </row>
    <row r="63" spans="1:6" x14ac:dyDescent="0.2">
      <c r="A63" s="2" t="s">
        <v>601</v>
      </c>
      <c r="B63" s="2"/>
      <c r="C63" s="2"/>
      <c r="D63" s="10">
        <v>35.370100000000001</v>
      </c>
    </row>
    <row r="64" spans="1:6" x14ac:dyDescent="0.2">
      <c r="A64" s="2" t="s">
        <v>602</v>
      </c>
      <c r="B64" s="2"/>
      <c r="C64" s="2"/>
      <c r="D64" s="10">
        <v>461.65800000000002</v>
      </c>
    </row>
    <row r="65" spans="1:4" x14ac:dyDescent="0.2">
      <c r="A65" s="2" t="s">
        <v>603</v>
      </c>
      <c r="B65" s="2"/>
      <c r="C65" s="2"/>
      <c r="D65" s="10">
        <v>38.1355</v>
      </c>
    </row>
    <row r="66" spans="1:4" x14ac:dyDescent="0.2">
      <c r="A66" s="2"/>
      <c r="B66" s="2"/>
      <c r="C66" s="2"/>
      <c r="D66" s="2"/>
    </row>
    <row r="67" spans="1:4" x14ac:dyDescent="0.2">
      <c r="A67" s="4" t="s">
        <v>106</v>
      </c>
      <c r="B67" s="2"/>
      <c r="C67" s="2"/>
      <c r="D67" s="20" t="s">
        <v>311</v>
      </c>
    </row>
    <row r="68" spans="1:4" x14ac:dyDescent="0.2">
      <c r="A68" s="21" t="s">
        <v>604</v>
      </c>
      <c r="B68" s="22"/>
      <c r="C68" s="103" t="s">
        <v>605</v>
      </c>
      <c r="D68" s="104"/>
    </row>
    <row r="69" spans="1:4" x14ac:dyDescent="0.2">
      <c r="A69" s="105"/>
      <c r="B69" s="106"/>
      <c r="C69" s="23" t="s">
        <v>606</v>
      </c>
      <c r="D69" s="23" t="s">
        <v>607</v>
      </c>
    </row>
    <row r="70" spans="1:4" x14ac:dyDescent="0.2">
      <c r="A70" s="24" t="s">
        <v>601</v>
      </c>
      <c r="B70" s="25"/>
      <c r="C70" s="26">
        <v>3.0989296450000001</v>
      </c>
      <c r="D70" s="26">
        <v>3.0989296450000001</v>
      </c>
    </row>
    <row r="71" spans="1:4" x14ac:dyDescent="0.2">
      <c r="A71" s="24" t="s">
        <v>603</v>
      </c>
      <c r="B71" s="25"/>
      <c r="C71" s="26">
        <v>3.0989296450000001</v>
      </c>
      <c r="D71" s="26">
        <v>3.0989296450000001</v>
      </c>
    </row>
    <row r="72" spans="1:4" x14ac:dyDescent="0.2">
      <c r="A72" s="4"/>
      <c r="B72" s="2"/>
      <c r="C72" s="2"/>
      <c r="D72" s="20"/>
    </row>
    <row r="73" spans="1:4" x14ac:dyDescent="0.2">
      <c r="A73" s="9" t="s">
        <v>609</v>
      </c>
      <c r="B73" s="2"/>
      <c r="C73" s="2"/>
      <c r="D73" s="27">
        <v>0.12425806766055551</v>
      </c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</sheetData>
  <mergeCells count="3">
    <mergeCell ref="C68:D68"/>
    <mergeCell ref="A69:B69"/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49E1-4243-4A81-BBEF-0D89D86FB8B4}">
  <dimension ref="A1:F63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1.28515625" style="1" customWidth="1"/>
    <col min="3" max="3" width="19.140625" style="1" bestFit="1" customWidth="1"/>
    <col min="4" max="4" width="12.8554687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398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32">
        <v>19000000</v>
      </c>
      <c r="E7" s="29">
        <v>80674</v>
      </c>
      <c r="F7" s="7">
        <v>9.8589206937518323</v>
      </c>
    </row>
    <row r="8" spans="1:6" x14ac:dyDescent="0.2">
      <c r="A8" s="7" t="s">
        <v>111</v>
      </c>
      <c r="B8" s="7" t="s">
        <v>112</v>
      </c>
      <c r="C8" s="7" t="s">
        <v>11</v>
      </c>
      <c r="D8" s="32">
        <v>21000000</v>
      </c>
      <c r="E8" s="29">
        <v>69762</v>
      </c>
      <c r="F8" s="7">
        <v>8.5253988328025798</v>
      </c>
    </row>
    <row r="9" spans="1:6" x14ac:dyDescent="0.2">
      <c r="A9" s="7" t="s">
        <v>113</v>
      </c>
      <c r="B9" s="7" t="s">
        <v>114</v>
      </c>
      <c r="C9" s="7" t="s">
        <v>42</v>
      </c>
      <c r="D9" s="32">
        <v>14500000</v>
      </c>
      <c r="E9" s="29">
        <v>48952</v>
      </c>
      <c r="F9" s="7">
        <v>5.982272923129381</v>
      </c>
    </row>
    <row r="10" spans="1:6" x14ac:dyDescent="0.2">
      <c r="A10" s="7" t="s">
        <v>123</v>
      </c>
      <c r="B10" s="7" t="s">
        <v>124</v>
      </c>
      <c r="C10" s="7" t="s">
        <v>122</v>
      </c>
      <c r="D10" s="32">
        <v>32000000</v>
      </c>
      <c r="E10" s="29">
        <v>44576</v>
      </c>
      <c r="F10" s="7">
        <v>5.4474954612970929</v>
      </c>
    </row>
    <row r="11" spans="1:6" x14ac:dyDescent="0.2">
      <c r="A11" s="7" t="s">
        <v>9</v>
      </c>
      <c r="B11" s="7" t="s">
        <v>10</v>
      </c>
      <c r="C11" s="7" t="s">
        <v>11</v>
      </c>
      <c r="D11" s="32">
        <v>1750000</v>
      </c>
      <c r="E11" s="29">
        <v>39403.875</v>
      </c>
      <c r="F11" s="7">
        <v>4.8154260189343585</v>
      </c>
    </row>
    <row r="12" spans="1:6" x14ac:dyDescent="0.2">
      <c r="A12" s="7" t="s">
        <v>125</v>
      </c>
      <c r="B12" s="7" t="s">
        <v>126</v>
      </c>
      <c r="C12" s="7" t="s">
        <v>57</v>
      </c>
      <c r="D12" s="32">
        <v>825000</v>
      </c>
      <c r="E12" s="29">
        <v>35861.925000000003</v>
      </c>
      <c r="F12" s="7">
        <v>4.3825752348994245</v>
      </c>
    </row>
    <row r="13" spans="1:6" x14ac:dyDescent="0.2">
      <c r="A13" s="7" t="s">
        <v>118</v>
      </c>
      <c r="B13" s="7" t="s">
        <v>119</v>
      </c>
      <c r="C13" s="7" t="s">
        <v>11</v>
      </c>
      <c r="D13" s="32">
        <v>5247999</v>
      </c>
      <c r="E13" s="29">
        <v>35376.761258999999</v>
      </c>
      <c r="F13" s="7">
        <v>4.3232848706432456</v>
      </c>
    </row>
    <row r="14" spans="1:6" x14ac:dyDescent="0.2">
      <c r="A14" s="7" t="s">
        <v>115</v>
      </c>
      <c r="B14" s="7" t="s">
        <v>116</v>
      </c>
      <c r="C14" s="7" t="s">
        <v>117</v>
      </c>
      <c r="D14" s="32">
        <v>27000000</v>
      </c>
      <c r="E14" s="29">
        <v>34168.5</v>
      </c>
      <c r="F14" s="7">
        <v>4.1756269891719695</v>
      </c>
    </row>
    <row r="15" spans="1:6" x14ac:dyDescent="0.2">
      <c r="A15" s="7" t="s">
        <v>384</v>
      </c>
      <c r="B15" s="7" t="s">
        <v>385</v>
      </c>
      <c r="C15" s="7" t="s">
        <v>188</v>
      </c>
      <c r="D15" s="32">
        <v>400000</v>
      </c>
      <c r="E15" s="29">
        <v>33454.400000000001</v>
      </c>
      <c r="F15" s="7">
        <v>4.088359030877994</v>
      </c>
    </row>
    <row r="16" spans="1:6" x14ac:dyDescent="0.2">
      <c r="A16" s="7" t="s">
        <v>186</v>
      </c>
      <c r="B16" s="7" t="s">
        <v>187</v>
      </c>
      <c r="C16" s="7" t="s">
        <v>188</v>
      </c>
      <c r="D16" s="32">
        <v>1180008</v>
      </c>
      <c r="E16" s="29">
        <v>30380.485968000001</v>
      </c>
      <c r="F16" s="7">
        <v>3.7127054787930729</v>
      </c>
    </row>
    <row r="17" spans="1:6" x14ac:dyDescent="0.2">
      <c r="A17" s="7" t="s">
        <v>129</v>
      </c>
      <c r="B17" s="7" t="s">
        <v>130</v>
      </c>
      <c r="C17" s="7" t="s">
        <v>131</v>
      </c>
      <c r="D17" s="32">
        <v>10700000</v>
      </c>
      <c r="E17" s="29">
        <v>25300.15</v>
      </c>
      <c r="F17" s="7">
        <v>3.0918532908994893</v>
      </c>
    </row>
    <row r="18" spans="1:6" x14ac:dyDescent="0.2">
      <c r="A18" s="7" t="s">
        <v>386</v>
      </c>
      <c r="B18" s="7" t="s">
        <v>387</v>
      </c>
      <c r="C18" s="7" t="s">
        <v>33</v>
      </c>
      <c r="D18" s="32">
        <v>3000000</v>
      </c>
      <c r="E18" s="29">
        <v>23926.5</v>
      </c>
      <c r="F18" s="7">
        <v>2.9239837615471309</v>
      </c>
    </row>
    <row r="19" spans="1:6" x14ac:dyDescent="0.2">
      <c r="A19" s="7" t="s">
        <v>132</v>
      </c>
      <c r="B19" s="7" t="s">
        <v>133</v>
      </c>
      <c r="C19" s="7" t="s">
        <v>134</v>
      </c>
      <c r="D19" s="32">
        <v>16500000</v>
      </c>
      <c r="E19" s="29">
        <v>23364</v>
      </c>
      <c r="F19" s="7">
        <v>2.8552423716292461</v>
      </c>
    </row>
    <row r="20" spans="1:6" x14ac:dyDescent="0.2">
      <c r="A20" s="7" t="s">
        <v>40</v>
      </c>
      <c r="B20" s="7" t="s">
        <v>41</v>
      </c>
      <c r="C20" s="7" t="s">
        <v>42</v>
      </c>
      <c r="D20" s="32">
        <v>337532011</v>
      </c>
      <c r="E20" s="29">
        <v>23120.9427535</v>
      </c>
      <c r="F20" s="7">
        <v>2.8255390952665373</v>
      </c>
    </row>
    <row r="21" spans="1:6" x14ac:dyDescent="0.2">
      <c r="A21" s="7" t="s">
        <v>135</v>
      </c>
      <c r="B21" s="7" t="s">
        <v>136</v>
      </c>
      <c r="C21" s="7" t="s">
        <v>19</v>
      </c>
      <c r="D21" s="32">
        <v>3968694</v>
      </c>
      <c r="E21" s="29">
        <v>21716.693567999999</v>
      </c>
      <c r="F21" s="7">
        <v>2.6539301338401775</v>
      </c>
    </row>
    <row r="22" spans="1:6" x14ac:dyDescent="0.2">
      <c r="A22" s="7" t="s">
        <v>120</v>
      </c>
      <c r="B22" s="7" t="s">
        <v>121</v>
      </c>
      <c r="C22" s="7" t="s">
        <v>122</v>
      </c>
      <c r="D22" s="32">
        <v>5500000</v>
      </c>
      <c r="E22" s="29">
        <v>19002.5</v>
      </c>
      <c r="F22" s="7">
        <v>2.322236910070397</v>
      </c>
    </row>
    <row r="23" spans="1:6" x14ac:dyDescent="0.2">
      <c r="A23" s="7" t="s">
        <v>163</v>
      </c>
      <c r="B23" s="7" t="s">
        <v>599</v>
      </c>
      <c r="C23" s="7" t="s">
        <v>39</v>
      </c>
      <c r="D23" s="32">
        <v>29000000</v>
      </c>
      <c r="E23" s="29">
        <v>18893.5</v>
      </c>
      <c r="F23" s="7">
        <v>2.3089163562907533</v>
      </c>
    </row>
    <row r="24" spans="1:6" x14ac:dyDescent="0.2">
      <c r="A24" s="7" t="s">
        <v>127</v>
      </c>
      <c r="B24" s="7" t="s">
        <v>128</v>
      </c>
      <c r="C24" s="7" t="s">
        <v>24</v>
      </c>
      <c r="D24" s="32">
        <v>4000000</v>
      </c>
      <c r="E24" s="29">
        <v>17542</v>
      </c>
      <c r="F24" s="7">
        <v>2.1437537101147166</v>
      </c>
    </row>
    <row r="25" spans="1:6" x14ac:dyDescent="0.2">
      <c r="A25" s="7" t="s">
        <v>141</v>
      </c>
      <c r="B25" s="7" t="s">
        <v>142</v>
      </c>
      <c r="C25" s="7" t="s">
        <v>57</v>
      </c>
      <c r="D25" s="32">
        <v>4500000</v>
      </c>
      <c r="E25" s="29">
        <v>15039</v>
      </c>
      <c r="F25" s="7">
        <v>1.8378698008445573</v>
      </c>
    </row>
    <row r="26" spans="1:6" x14ac:dyDescent="0.2">
      <c r="A26" s="7" t="s">
        <v>388</v>
      </c>
      <c r="B26" s="7" t="s">
        <v>389</v>
      </c>
      <c r="C26" s="7" t="s">
        <v>188</v>
      </c>
      <c r="D26" s="32">
        <v>2600000</v>
      </c>
      <c r="E26" s="29">
        <v>13391.3</v>
      </c>
      <c r="F26" s="7">
        <v>1.6365094663242048</v>
      </c>
    </row>
    <row r="27" spans="1:6" x14ac:dyDescent="0.2">
      <c r="A27" s="7" t="s">
        <v>147</v>
      </c>
      <c r="B27" s="7" t="s">
        <v>148</v>
      </c>
      <c r="C27" s="7" t="s">
        <v>19</v>
      </c>
      <c r="D27" s="32">
        <v>3200000</v>
      </c>
      <c r="E27" s="29">
        <v>11313.6</v>
      </c>
      <c r="F27" s="7">
        <v>1.3826001581777367</v>
      </c>
    </row>
    <row r="28" spans="1:6" x14ac:dyDescent="0.2">
      <c r="A28" s="7" t="s">
        <v>390</v>
      </c>
      <c r="B28" s="7" t="s">
        <v>391</v>
      </c>
      <c r="C28" s="7" t="s">
        <v>57</v>
      </c>
      <c r="D28" s="32">
        <v>11751464</v>
      </c>
      <c r="E28" s="29">
        <v>11263.778243999999</v>
      </c>
      <c r="F28" s="7">
        <v>1.3765115950566882</v>
      </c>
    </row>
    <row r="29" spans="1:6" x14ac:dyDescent="0.2">
      <c r="A29" s="7" t="s">
        <v>392</v>
      </c>
      <c r="B29" s="7" t="s">
        <v>393</v>
      </c>
      <c r="C29" s="7" t="s">
        <v>307</v>
      </c>
      <c r="D29" s="32">
        <v>941164</v>
      </c>
      <c r="E29" s="29">
        <v>10349.509926000001</v>
      </c>
      <c r="F29" s="7">
        <v>1.2647816840572104</v>
      </c>
    </row>
    <row r="30" spans="1:6" x14ac:dyDescent="0.2">
      <c r="A30" s="7" t="s">
        <v>159</v>
      </c>
      <c r="B30" s="7" t="s">
        <v>160</v>
      </c>
      <c r="C30" s="7" t="s">
        <v>19</v>
      </c>
      <c r="D30" s="32">
        <v>12000000</v>
      </c>
      <c r="E30" s="29">
        <v>9282</v>
      </c>
      <c r="F30" s="7">
        <v>1.1343245888316498</v>
      </c>
    </row>
    <row r="31" spans="1:6" x14ac:dyDescent="0.2">
      <c r="A31" s="7" t="s">
        <v>394</v>
      </c>
      <c r="B31" s="7" t="s">
        <v>395</v>
      </c>
      <c r="C31" s="7" t="s">
        <v>33</v>
      </c>
      <c r="D31" s="32">
        <v>3300000</v>
      </c>
      <c r="E31" s="29">
        <v>8698.7999999999993</v>
      </c>
      <c r="F31" s="7">
        <v>1.0630535157647871</v>
      </c>
    </row>
    <row r="32" spans="1:6" x14ac:dyDescent="0.2">
      <c r="A32" s="7" t="s">
        <v>161</v>
      </c>
      <c r="B32" s="7" t="s">
        <v>162</v>
      </c>
      <c r="C32" s="7" t="s">
        <v>24</v>
      </c>
      <c r="D32" s="32">
        <v>175000</v>
      </c>
      <c r="E32" s="29">
        <v>7315.2624999999998</v>
      </c>
      <c r="F32" s="7">
        <v>0.89397566553631602</v>
      </c>
    </row>
    <row r="33" spans="1:6" x14ac:dyDescent="0.2">
      <c r="A33" s="7" t="s">
        <v>145</v>
      </c>
      <c r="B33" s="7" t="s">
        <v>146</v>
      </c>
      <c r="C33" s="7" t="s">
        <v>131</v>
      </c>
      <c r="D33" s="32">
        <v>5000000</v>
      </c>
      <c r="E33" s="29">
        <v>6442.5</v>
      </c>
      <c r="F33" s="7">
        <v>0.78731805252616927</v>
      </c>
    </row>
    <row r="34" spans="1:6" x14ac:dyDescent="0.2">
      <c r="A34" s="7" t="s">
        <v>396</v>
      </c>
      <c r="B34" s="7" t="s">
        <v>397</v>
      </c>
      <c r="C34" s="7" t="s">
        <v>240</v>
      </c>
      <c r="D34" s="32">
        <v>525000</v>
      </c>
      <c r="E34" s="29">
        <v>5369.4375</v>
      </c>
      <c r="F34" s="7">
        <v>0.65618239435948511</v>
      </c>
    </row>
    <row r="35" spans="1:6" x14ac:dyDescent="0.2">
      <c r="A35" s="6" t="s">
        <v>43</v>
      </c>
      <c r="B35" s="7"/>
      <c r="C35" s="7"/>
      <c r="D35" s="32"/>
      <c r="E35" s="42">
        <v>723941.42171850009</v>
      </c>
      <c r="F35" s="6">
        <v>88.470648085438214</v>
      </c>
    </row>
    <row r="36" spans="1:6" x14ac:dyDescent="0.2">
      <c r="A36" s="7"/>
      <c r="B36" s="7"/>
      <c r="C36" s="7"/>
      <c r="D36" s="32"/>
      <c r="E36" s="29"/>
      <c r="F36" s="7"/>
    </row>
    <row r="37" spans="1:6" x14ac:dyDescent="0.2">
      <c r="A37" s="6" t="s">
        <v>44</v>
      </c>
      <c r="B37" s="7"/>
      <c r="C37" s="7"/>
      <c r="D37" s="32"/>
      <c r="E37" s="29"/>
      <c r="F37" s="7"/>
    </row>
    <row r="38" spans="1:6" x14ac:dyDescent="0.2">
      <c r="A38" s="7" t="s">
        <v>616</v>
      </c>
      <c r="B38" s="7" t="s">
        <v>624</v>
      </c>
      <c r="C38" s="7" t="s">
        <v>78</v>
      </c>
      <c r="D38" s="32">
        <v>525000</v>
      </c>
      <c r="E38" s="29">
        <v>23604.315061400001</v>
      </c>
      <c r="F38" s="7">
        <v>2.8846105340094024</v>
      </c>
    </row>
    <row r="39" spans="1:6" x14ac:dyDescent="0.2">
      <c r="A39" s="6" t="s">
        <v>43</v>
      </c>
      <c r="B39" s="7"/>
      <c r="C39" s="7"/>
      <c r="D39" s="32"/>
      <c r="E39" s="42">
        <v>23604.315061400001</v>
      </c>
      <c r="F39" s="6">
        <v>2.8846105340094024</v>
      </c>
    </row>
    <row r="40" spans="1:6" x14ac:dyDescent="0.2">
      <c r="A40" s="6"/>
      <c r="B40" s="7"/>
      <c r="C40" s="7"/>
      <c r="D40" s="34"/>
      <c r="E40" s="42"/>
      <c r="F40" s="6"/>
    </row>
    <row r="41" spans="1:6" x14ac:dyDescent="0.2">
      <c r="A41" s="6" t="s">
        <v>43</v>
      </c>
      <c r="B41" s="7"/>
      <c r="C41" s="7"/>
      <c r="D41" s="7"/>
      <c r="E41" s="42">
        <v>747545.73677990003</v>
      </c>
      <c r="F41" s="42">
        <v>91.355258619447611</v>
      </c>
    </row>
    <row r="42" spans="1:6" x14ac:dyDescent="0.2">
      <c r="A42" s="7"/>
      <c r="B42" s="7"/>
      <c r="C42" s="7"/>
      <c r="D42" s="7"/>
      <c r="E42" s="29"/>
      <c r="F42" s="7"/>
    </row>
    <row r="43" spans="1:6" x14ac:dyDescent="0.2">
      <c r="A43" s="6" t="s">
        <v>101</v>
      </c>
      <c r="B43" s="7"/>
      <c r="C43" s="7"/>
      <c r="D43" s="7"/>
      <c r="E43" s="42">
        <v>70738.561329200005</v>
      </c>
      <c r="F43" s="6">
        <v>8.6447413805523841</v>
      </c>
    </row>
    <row r="44" spans="1:6" x14ac:dyDescent="0.2">
      <c r="A44" s="7"/>
      <c r="B44" s="7"/>
      <c r="C44" s="7"/>
      <c r="D44" s="7"/>
      <c r="E44" s="29"/>
      <c r="F44" s="7"/>
    </row>
    <row r="45" spans="1:6" x14ac:dyDescent="0.2">
      <c r="A45" s="8" t="s">
        <v>102</v>
      </c>
      <c r="B45" s="5"/>
      <c r="C45" s="5"/>
      <c r="D45" s="5"/>
      <c r="E45" s="43">
        <v>818284.29810910008</v>
      </c>
      <c r="F45" s="45">
        <v>100</v>
      </c>
    </row>
    <row r="47" spans="1:6" x14ac:dyDescent="0.2">
      <c r="A47" s="4" t="s">
        <v>103</v>
      </c>
      <c r="B47" s="2"/>
      <c r="C47" s="2"/>
      <c r="D47" s="2"/>
    </row>
    <row r="48" spans="1:6" x14ac:dyDescent="0.2">
      <c r="A48" s="4" t="s">
        <v>104</v>
      </c>
      <c r="B48" s="2"/>
      <c r="C48" s="2"/>
      <c r="D48" s="2"/>
    </row>
    <row r="49" spans="1:4" x14ac:dyDescent="0.2">
      <c r="A49" s="4" t="s">
        <v>608</v>
      </c>
      <c r="B49" s="2"/>
      <c r="C49" s="2"/>
      <c r="D49" s="2"/>
    </row>
    <row r="50" spans="1:4" x14ac:dyDescent="0.2">
      <c r="A50" s="2" t="s">
        <v>600</v>
      </c>
      <c r="B50" s="2"/>
      <c r="C50" s="2"/>
      <c r="D50" s="10">
        <v>38.054600000000001</v>
      </c>
    </row>
    <row r="51" spans="1:4" x14ac:dyDescent="0.2">
      <c r="A51" s="2" t="s">
        <v>601</v>
      </c>
      <c r="B51" s="2"/>
      <c r="C51" s="2"/>
      <c r="D51" s="10">
        <v>22.3736</v>
      </c>
    </row>
    <row r="52" spans="1:4" x14ac:dyDescent="0.2">
      <c r="A52" s="2" t="s">
        <v>602</v>
      </c>
      <c r="B52" s="2"/>
      <c r="C52" s="2"/>
      <c r="D52" s="10">
        <v>40.618299999999998</v>
      </c>
    </row>
    <row r="53" spans="1:4" x14ac:dyDescent="0.2">
      <c r="A53" s="2" t="s">
        <v>603</v>
      </c>
      <c r="B53" s="2"/>
      <c r="C53" s="2"/>
      <c r="D53" s="10">
        <v>24.308399999999999</v>
      </c>
    </row>
    <row r="54" spans="1:4" x14ac:dyDescent="0.2">
      <c r="A54" s="2"/>
      <c r="B54" s="2"/>
      <c r="C54" s="2"/>
      <c r="D54" s="10"/>
    </row>
    <row r="55" spans="1:4" x14ac:dyDescent="0.2">
      <c r="A55" s="4" t="s">
        <v>105</v>
      </c>
      <c r="B55" s="2"/>
      <c r="C55" s="2"/>
      <c r="D55" s="2"/>
    </row>
    <row r="56" spans="1:4" x14ac:dyDescent="0.2">
      <c r="A56" s="2" t="s">
        <v>600</v>
      </c>
      <c r="B56" s="2"/>
      <c r="C56" s="2"/>
      <c r="D56" s="10">
        <v>39.528799999999997</v>
      </c>
    </row>
    <row r="57" spans="1:4" x14ac:dyDescent="0.2">
      <c r="A57" s="2" t="s">
        <v>601</v>
      </c>
      <c r="B57" s="2"/>
      <c r="C57" s="2"/>
      <c r="D57" s="10">
        <v>23.240400000000001</v>
      </c>
    </row>
    <row r="58" spans="1:4" x14ac:dyDescent="0.2">
      <c r="A58" s="2" t="s">
        <v>602</v>
      </c>
      <c r="B58" s="2"/>
      <c r="C58" s="2"/>
      <c r="D58" s="10">
        <v>42.405799999999999</v>
      </c>
    </row>
    <row r="59" spans="1:4" x14ac:dyDescent="0.2">
      <c r="A59" s="2" t="s">
        <v>603</v>
      </c>
      <c r="B59" s="2"/>
      <c r="C59" s="2"/>
      <c r="D59" s="10">
        <v>25.3781</v>
      </c>
    </row>
    <row r="60" spans="1:4" x14ac:dyDescent="0.2">
      <c r="A60" s="2"/>
      <c r="B60" s="2"/>
      <c r="C60" s="2"/>
      <c r="D60" s="2"/>
    </row>
    <row r="61" spans="1:4" x14ac:dyDescent="0.2">
      <c r="A61" s="4" t="s">
        <v>106</v>
      </c>
      <c r="B61" s="2"/>
      <c r="C61" s="2"/>
      <c r="D61" s="20" t="s">
        <v>107</v>
      </c>
    </row>
    <row r="62" spans="1:4" x14ac:dyDescent="0.2">
      <c r="A62" s="4"/>
      <c r="B62" s="2"/>
      <c r="C62" s="2"/>
      <c r="D62" s="20"/>
    </row>
    <row r="63" spans="1:4" x14ac:dyDescent="0.2">
      <c r="A63" s="9" t="s">
        <v>609</v>
      </c>
      <c r="B63" s="2"/>
      <c r="C63" s="2"/>
      <c r="D63" s="27">
        <v>0.23103593993414925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98AD-1400-4787-B8C9-F1DEDAA97B64}">
  <dimension ref="A1:F88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2" style="1" bestFit="1" customWidth="1"/>
    <col min="3" max="3" width="38.140625" style="1" customWidth="1"/>
    <col min="4" max="4" width="12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273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118</v>
      </c>
      <c r="B7" s="7" t="s">
        <v>119</v>
      </c>
      <c r="C7" s="7" t="s">
        <v>11</v>
      </c>
      <c r="D7" s="32">
        <v>2783870</v>
      </c>
      <c r="E7" s="12">
        <v>18766.06767</v>
      </c>
      <c r="F7" s="7">
        <v>7.5091954643548977</v>
      </c>
    </row>
    <row r="8" spans="1:6" x14ac:dyDescent="0.2">
      <c r="A8" s="7" t="s">
        <v>9</v>
      </c>
      <c r="B8" s="7" t="s">
        <v>10</v>
      </c>
      <c r="C8" s="7" t="s">
        <v>11</v>
      </c>
      <c r="D8" s="32">
        <v>619023</v>
      </c>
      <c r="E8" s="12">
        <v>13938.231379499999</v>
      </c>
      <c r="F8" s="7">
        <v>5.5773487390430203</v>
      </c>
    </row>
    <row r="9" spans="1:6" x14ac:dyDescent="0.2">
      <c r="A9" s="7" t="s">
        <v>109</v>
      </c>
      <c r="B9" s="7" t="s">
        <v>110</v>
      </c>
      <c r="C9" s="7" t="s">
        <v>11</v>
      </c>
      <c r="D9" s="32">
        <v>2891781</v>
      </c>
      <c r="E9" s="12">
        <v>12278.502125999999</v>
      </c>
      <c r="F9" s="7">
        <v>4.9132121920794054</v>
      </c>
    </row>
    <row r="10" spans="1:6" x14ac:dyDescent="0.2">
      <c r="A10" s="7" t="s">
        <v>180</v>
      </c>
      <c r="B10" s="7" t="s">
        <v>181</v>
      </c>
      <c r="C10" s="7" t="s">
        <v>78</v>
      </c>
      <c r="D10" s="32">
        <v>1427694</v>
      </c>
      <c r="E10" s="12">
        <v>11330.893431</v>
      </c>
      <c r="F10" s="7">
        <v>4.53402892152919</v>
      </c>
    </row>
    <row r="11" spans="1:6" x14ac:dyDescent="0.2">
      <c r="A11" s="7" t="s">
        <v>25</v>
      </c>
      <c r="B11" s="7" t="s">
        <v>26</v>
      </c>
      <c r="C11" s="7" t="s">
        <v>27</v>
      </c>
      <c r="D11" s="32">
        <v>4624884</v>
      </c>
      <c r="E11" s="12">
        <v>8812.7164620000003</v>
      </c>
      <c r="F11" s="7">
        <v>3.5263866489668336</v>
      </c>
    </row>
    <row r="12" spans="1:6" x14ac:dyDescent="0.2">
      <c r="A12" s="7" t="s">
        <v>196</v>
      </c>
      <c r="B12" s="7" t="s">
        <v>197</v>
      </c>
      <c r="C12" s="7" t="s">
        <v>57</v>
      </c>
      <c r="D12" s="32">
        <v>980035</v>
      </c>
      <c r="E12" s="12">
        <v>7726.1059224999999</v>
      </c>
      <c r="F12" s="7">
        <v>3.0915821348715466</v>
      </c>
    </row>
    <row r="13" spans="1:6" x14ac:dyDescent="0.2">
      <c r="A13" s="7" t="s">
        <v>182</v>
      </c>
      <c r="B13" s="7" t="s">
        <v>183</v>
      </c>
      <c r="C13" s="7" t="s">
        <v>39</v>
      </c>
      <c r="D13" s="32">
        <v>1396570</v>
      </c>
      <c r="E13" s="12">
        <v>7681.1350000000002</v>
      </c>
      <c r="F13" s="7">
        <v>3.0735871316986283</v>
      </c>
    </row>
    <row r="14" spans="1:6" x14ac:dyDescent="0.2">
      <c r="A14" s="7" t="s">
        <v>211</v>
      </c>
      <c r="B14" s="7" t="s">
        <v>212</v>
      </c>
      <c r="C14" s="7" t="s">
        <v>33</v>
      </c>
      <c r="D14" s="32">
        <v>1611999</v>
      </c>
      <c r="E14" s="12">
        <v>7341.0434459999997</v>
      </c>
      <c r="F14" s="7">
        <v>2.9375003393204455</v>
      </c>
    </row>
    <row r="15" spans="1:6" x14ac:dyDescent="0.2">
      <c r="A15" s="7" t="s">
        <v>213</v>
      </c>
      <c r="B15" s="7" t="s">
        <v>214</v>
      </c>
      <c r="C15" s="7" t="s">
        <v>131</v>
      </c>
      <c r="D15" s="32">
        <v>3346393</v>
      </c>
      <c r="E15" s="12">
        <v>7092.6799634999998</v>
      </c>
      <c r="F15" s="7">
        <v>2.8381183073947138</v>
      </c>
    </row>
    <row r="16" spans="1:6" x14ac:dyDescent="0.2">
      <c r="A16" s="7" t="s">
        <v>113</v>
      </c>
      <c r="B16" s="7" t="s">
        <v>114</v>
      </c>
      <c r="C16" s="7" t="s">
        <v>42</v>
      </c>
      <c r="D16" s="32">
        <v>2083873</v>
      </c>
      <c r="E16" s="12">
        <v>7035.155248</v>
      </c>
      <c r="F16" s="7">
        <v>2.8150999350688237</v>
      </c>
    </row>
    <row r="17" spans="1:6" x14ac:dyDescent="0.2">
      <c r="A17" s="7" t="s">
        <v>215</v>
      </c>
      <c r="B17" s="7" t="s">
        <v>216</v>
      </c>
      <c r="C17" s="7" t="s">
        <v>36</v>
      </c>
      <c r="D17" s="32">
        <v>1562320</v>
      </c>
      <c r="E17" s="12">
        <v>6673.4498800000001</v>
      </c>
      <c r="F17" s="7">
        <v>2.670364428590795</v>
      </c>
    </row>
    <row r="18" spans="1:6" x14ac:dyDescent="0.2">
      <c r="A18" s="7" t="s">
        <v>217</v>
      </c>
      <c r="B18" s="7" t="s">
        <v>218</v>
      </c>
      <c r="C18" s="7" t="s">
        <v>36</v>
      </c>
      <c r="D18" s="32">
        <v>531359</v>
      </c>
      <c r="E18" s="12">
        <v>6321.8437025000003</v>
      </c>
      <c r="F18" s="7">
        <v>2.5296700881593686</v>
      </c>
    </row>
    <row r="19" spans="1:6" x14ac:dyDescent="0.2">
      <c r="A19" s="7" t="s">
        <v>219</v>
      </c>
      <c r="B19" s="7" t="s">
        <v>220</v>
      </c>
      <c r="C19" s="7" t="s">
        <v>117</v>
      </c>
      <c r="D19" s="32">
        <v>10427483</v>
      </c>
      <c r="E19" s="12">
        <v>6313.8409565000002</v>
      </c>
      <c r="F19" s="7">
        <v>2.5264678091831687</v>
      </c>
    </row>
    <row r="20" spans="1:6" x14ac:dyDescent="0.2">
      <c r="A20" s="7" t="s">
        <v>20</v>
      </c>
      <c r="B20" s="7" t="s">
        <v>21</v>
      </c>
      <c r="C20" s="7" t="s">
        <v>11</v>
      </c>
      <c r="D20" s="32">
        <v>410751</v>
      </c>
      <c r="E20" s="12">
        <v>6241.5668205000002</v>
      </c>
      <c r="F20" s="7">
        <v>2.4975474928022905</v>
      </c>
    </row>
    <row r="21" spans="1:6" x14ac:dyDescent="0.2">
      <c r="A21" s="7" t="s">
        <v>221</v>
      </c>
      <c r="B21" s="7" t="s">
        <v>222</v>
      </c>
      <c r="C21" s="7" t="s">
        <v>33</v>
      </c>
      <c r="D21" s="32">
        <v>874063</v>
      </c>
      <c r="E21" s="12">
        <v>6201.0399534999997</v>
      </c>
      <c r="F21" s="7">
        <v>2.4813307674226084</v>
      </c>
    </row>
    <row r="22" spans="1:6" x14ac:dyDescent="0.2">
      <c r="A22" s="7" t="s">
        <v>15</v>
      </c>
      <c r="B22" s="7" t="s">
        <v>16</v>
      </c>
      <c r="C22" s="7" t="s">
        <v>87</v>
      </c>
      <c r="D22" s="32">
        <v>4317530</v>
      </c>
      <c r="E22" s="12">
        <v>6187.0204899999999</v>
      </c>
      <c r="F22" s="7">
        <v>2.4757209138518905</v>
      </c>
    </row>
    <row r="23" spans="1:6" x14ac:dyDescent="0.2">
      <c r="A23" s="7" t="s">
        <v>123</v>
      </c>
      <c r="B23" s="7" t="s">
        <v>124</v>
      </c>
      <c r="C23" s="7" t="s">
        <v>122</v>
      </c>
      <c r="D23" s="32">
        <v>4438381</v>
      </c>
      <c r="E23" s="12">
        <v>6182.6647329999996</v>
      </c>
      <c r="F23" s="7">
        <v>2.4739779684845709</v>
      </c>
    </row>
    <row r="24" spans="1:6" x14ac:dyDescent="0.2">
      <c r="A24" s="7" t="s">
        <v>157</v>
      </c>
      <c r="B24" s="7" t="s">
        <v>158</v>
      </c>
      <c r="C24" s="7" t="s">
        <v>117</v>
      </c>
      <c r="D24" s="32">
        <v>2701385</v>
      </c>
      <c r="E24" s="12">
        <v>5694.5195800000001</v>
      </c>
      <c r="F24" s="7">
        <v>2.2786478954339269</v>
      </c>
    </row>
    <row r="25" spans="1:6" x14ac:dyDescent="0.2">
      <c r="A25" s="7" t="s">
        <v>223</v>
      </c>
      <c r="B25" s="7" t="s">
        <v>224</v>
      </c>
      <c r="C25" s="7" t="s">
        <v>225</v>
      </c>
      <c r="D25" s="32">
        <v>1461291</v>
      </c>
      <c r="E25" s="12">
        <v>5452.0767210000004</v>
      </c>
      <c r="F25" s="7">
        <v>2.181634986326793</v>
      </c>
    </row>
    <row r="26" spans="1:6" x14ac:dyDescent="0.2">
      <c r="A26" s="7" t="s">
        <v>129</v>
      </c>
      <c r="B26" s="7" t="s">
        <v>130</v>
      </c>
      <c r="C26" s="7" t="s">
        <v>131</v>
      </c>
      <c r="D26" s="32">
        <v>2232307</v>
      </c>
      <c r="E26" s="12">
        <v>5278.2899015000003</v>
      </c>
      <c r="F26" s="7">
        <v>2.1120946212539189</v>
      </c>
    </row>
    <row r="27" spans="1:6" x14ac:dyDescent="0.2">
      <c r="A27" s="7" t="s">
        <v>226</v>
      </c>
      <c r="B27" s="7" t="s">
        <v>227</v>
      </c>
      <c r="C27" s="7" t="s">
        <v>19</v>
      </c>
      <c r="D27" s="32">
        <v>1872299</v>
      </c>
      <c r="E27" s="12">
        <v>4775.2985994999999</v>
      </c>
      <c r="F27" s="7">
        <v>1.910823898478764</v>
      </c>
    </row>
    <row r="28" spans="1:6" x14ac:dyDescent="0.2">
      <c r="A28" s="7" t="s">
        <v>228</v>
      </c>
      <c r="B28" s="7" t="s">
        <v>229</v>
      </c>
      <c r="C28" s="7" t="s">
        <v>24</v>
      </c>
      <c r="D28" s="32">
        <v>2417000</v>
      </c>
      <c r="E28" s="12">
        <v>4325.2214999999997</v>
      </c>
      <c r="F28" s="7">
        <v>1.7307266626802205</v>
      </c>
    </row>
    <row r="29" spans="1:6" x14ac:dyDescent="0.2">
      <c r="A29" s="7" t="s">
        <v>230</v>
      </c>
      <c r="B29" s="7" t="s">
        <v>231</v>
      </c>
      <c r="C29" s="7" t="s">
        <v>117</v>
      </c>
      <c r="D29" s="32">
        <v>580784</v>
      </c>
      <c r="E29" s="12">
        <v>4321.6137440000002</v>
      </c>
      <c r="F29" s="7">
        <v>1.7292830280590472</v>
      </c>
    </row>
    <row r="30" spans="1:6" x14ac:dyDescent="0.2">
      <c r="A30" s="7" t="s">
        <v>232</v>
      </c>
      <c r="B30" s="7" t="s">
        <v>233</v>
      </c>
      <c r="C30" s="7" t="s">
        <v>30</v>
      </c>
      <c r="D30" s="32">
        <v>297232</v>
      </c>
      <c r="E30" s="12">
        <v>4017.3877120000002</v>
      </c>
      <c r="F30" s="7">
        <v>1.6075477354124612</v>
      </c>
    </row>
    <row r="31" spans="1:6" x14ac:dyDescent="0.2">
      <c r="A31" s="7" t="s">
        <v>234</v>
      </c>
      <c r="B31" s="7" t="s">
        <v>235</v>
      </c>
      <c r="C31" s="7" t="s">
        <v>122</v>
      </c>
      <c r="D31" s="32">
        <v>1475067</v>
      </c>
      <c r="E31" s="12">
        <v>3924.4157534999999</v>
      </c>
      <c r="F31" s="7">
        <v>1.5703452366600736</v>
      </c>
    </row>
    <row r="32" spans="1:6" x14ac:dyDescent="0.2">
      <c r="A32" s="7" t="s">
        <v>186</v>
      </c>
      <c r="B32" s="7" t="s">
        <v>187</v>
      </c>
      <c r="C32" s="7" t="s">
        <v>188</v>
      </c>
      <c r="D32" s="32">
        <v>143420</v>
      </c>
      <c r="E32" s="12">
        <v>3692.4913200000001</v>
      </c>
      <c r="F32" s="7">
        <v>1.4775412494456719</v>
      </c>
    </row>
    <row r="33" spans="1:6" x14ac:dyDescent="0.2">
      <c r="A33" s="7" t="s">
        <v>22</v>
      </c>
      <c r="B33" s="7" t="s">
        <v>23</v>
      </c>
      <c r="C33" s="7" t="s">
        <v>24</v>
      </c>
      <c r="D33" s="32">
        <v>513620</v>
      </c>
      <c r="E33" s="12">
        <v>3641.5657999999999</v>
      </c>
      <c r="F33" s="7">
        <v>1.4571635288422635</v>
      </c>
    </row>
    <row r="34" spans="1:6" x14ac:dyDescent="0.2">
      <c r="A34" s="7" t="s">
        <v>236</v>
      </c>
      <c r="B34" s="7" t="s">
        <v>237</v>
      </c>
      <c r="C34" s="7" t="s">
        <v>57</v>
      </c>
      <c r="D34" s="32">
        <v>397199</v>
      </c>
      <c r="E34" s="12">
        <v>3540.6318860000001</v>
      </c>
      <c r="F34" s="7">
        <v>1.4167750733311475</v>
      </c>
    </row>
    <row r="35" spans="1:6" x14ac:dyDescent="0.2">
      <c r="A35" s="7" t="s">
        <v>238</v>
      </c>
      <c r="B35" s="7" t="s">
        <v>239</v>
      </c>
      <c r="C35" s="7" t="s">
        <v>240</v>
      </c>
      <c r="D35" s="32">
        <v>611059</v>
      </c>
      <c r="E35" s="12">
        <v>3524.2827824999999</v>
      </c>
      <c r="F35" s="7">
        <v>1.4102330200887023</v>
      </c>
    </row>
    <row r="36" spans="1:6" x14ac:dyDescent="0.2">
      <c r="A36" s="7" t="s">
        <v>241</v>
      </c>
      <c r="B36" s="7" t="s">
        <v>242</v>
      </c>
      <c r="C36" s="7" t="s">
        <v>243</v>
      </c>
      <c r="D36" s="32">
        <v>2227065</v>
      </c>
      <c r="E36" s="12">
        <v>3507.627375</v>
      </c>
      <c r="F36" s="7">
        <v>1.4035684000598661</v>
      </c>
    </row>
    <row r="37" spans="1:6" x14ac:dyDescent="0.2">
      <c r="A37" s="7" t="s">
        <v>200</v>
      </c>
      <c r="B37" s="7" t="s">
        <v>201</v>
      </c>
      <c r="C37" s="7" t="s">
        <v>36</v>
      </c>
      <c r="D37" s="32">
        <v>247050</v>
      </c>
      <c r="E37" s="12">
        <v>3496.8692249999999</v>
      </c>
      <c r="F37" s="7">
        <v>1.3992635530026427</v>
      </c>
    </row>
    <row r="38" spans="1:6" x14ac:dyDescent="0.2">
      <c r="A38" s="7" t="s">
        <v>244</v>
      </c>
      <c r="B38" s="7" t="s">
        <v>245</v>
      </c>
      <c r="C38" s="7" t="s">
        <v>246</v>
      </c>
      <c r="D38" s="32">
        <v>313075</v>
      </c>
      <c r="E38" s="12">
        <v>3442.4161625000002</v>
      </c>
      <c r="F38" s="7">
        <v>1.3774742950112677</v>
      </c>
    </row>
    <row r="39" spans="1:6" x14ac:dyDescent="0.2">
      <c r="A39" s="7" t="s">
        <v>247</v>
      </c>
      <c r="B39" s="7" t="s">
        <v>248</v>
      </c>
      <c r="C39" s="7" t="s">
        <v>11</v>
      </c>
      <c r="D39" s="32">
        <v>3280054</v>
      </c>
      <c r="E39" s="12">
        <v>3030.7698959999998</v>
      </c>
      <c r="F39" s="7">
        <v>1.2127550617825607</v>
      </c>
    </row>
    <row r="40" spans="1:6" x14ac:dyDescent="0.2">
      <c r="A40" s="7" t="s">
        <v>249</v>
      </c>
      <c r="B40" s="7" t="s">
        <v>250</v>
      </c>
      <c r="C40" s="7" t="s">
        <v>36</v>
      </c>
      <c r="D40" s="32">
        <v>25512</v>
      </c>
      <c r="E40" s="12">
        <v>2978.7556079999999</v>
      </c>
      <c r="F40" s="7">
        <v>1.1919416733625854</v>
      </c>
    </row>
    <row r="41" spans="1:6" x14ac:dyDescent="0.2">
      <c r="A41" s="7" t="s">
        <v>251</v>
      </c>
      <c r="B41" s="7" t="s">
        <v>252</v>
      </c>
      <c r="C41" s="7" t="s">
        <v>11</v>
      </c>
      <c r="D41" s="32">
        <v>1415268</v>
      </c>
      <c r="E41" s="12">
        <v>2640.8900880000001</v>
      </c>
      <c r="F41" s="7">
        <v>1.0567456229720293</v>
      </c>
    </row>
    <row r="42" spans="1:6" x14ac:dyDescent="0.2">
      <c r="A42" s="7" t="s">
        <v>253</v>
      </c>
      <c r="B42" s="7" t="s">
        <v>254</v>
      </c>
      <c r="C42" s="7" t="s">
        <v>243</v>
      </c>
      <c r="D42" s="32">
        <v>357387</v>
      </c>
      <c r="E42" s="12">
        <v>2510.1075944999998</v>
      </c>
      <c r="F42" s="7">
        <v>1.0044133323570277</v>
      </c>
    </row>
    <row r="43" spans="1:6" x14ac:dyDescent="0.2">
      <c r="A43" s="7" t="s">
        <v>163</v>
      </c>
      <c r="B43" s="7" t="s">
        <v>599</v>
      </c>
      <c r="C43" s="7" t="s">
        <v>39</v>
      </c>
      <c r="D43" s="32">
        <v>3415915</v>
      </c>
      <c r="E43" s="12">
        <v>2225.4686225</v>
      </c>
      <c r="F43" s="7">
        <v>0.89051575322072474</v>
      </c>
    </row>
    <row r="44" spans="1:6" x14ac:dyDescent="0.2">
      <c r="A44" s="7" t="s">
        <v>255</v>
      </c>
      <c r="B44" s="7" t="s">
        <v>256</v>
      </c>
      <c r="C44" s="7" t="s">
        <v>33</v>
      </c>
      <c r="D44" s="32">
        <v>1614973</v>
      </c>
      <c r="E44" s="12">
        <v>1816.844625</v>
      </c>
      <c r="F44" s="7">
        <v>0.72700587344133638</v>
      </c>
    </row>
    <row r="45" spans="1:6" x14ac:dyDescent="0.2">
      <c r="A45" s="7" t="s">
        <v>257</v>
      </c>
      <c r="B45" s="7" t="s">
        <v>258</v>
      </c>
      <c r="C45" s="7" t="s">
        <v>14</v>
      </c>
      <c r="D45" s="32">
        <v>952563</v>
      </c>
      <c r="E45" s="12">
        <v>1793.1998475</v>
      </c>
      <c r="F45" s="7">
        <v>0.71754447433093449</v>
      </c>
    </row>
    <row r="46" spans="1:6" x14ac:dyDescent="0.2">
      <c r="A46" s="7" t="s">
        <v>259</v>
      </c>
      <c r="B46" s="7" t="s">
        <v>260</v>
      </c>
      <c r="C46" s="7" t="s">
        <v>261</v>
      </c>
      <c r="D46" s="32">
        <v>402468</v>
      </c>
      <c r="E46" s="12">
        <v>1738.8629940000001</v>
      </c>
      <c r="F46" s="7">
        <v>0.69580171708287242</v>
      </c>
    </row>
    <row r="47" spans="1:6" x14ac:dyDescent="0.2">
      <c r="A47" s="7" t="s">
        <v>34</v>
      </c>
      <c r="B47" s="7" t="s">
        <v>35</v>
      </c>
      <c r="C47" s="7" t="s">
        <v>36</v>
      </c>
      <c r="D47" s="32">
        <v>664248</v>
      </c>
      <c r="E47" s="12">
        <v>1671.2479679999999</v>
      </c>
      <c r="F47" s="7">
        <v>0.66874573202036947</v>
      </c>
    </row>
    <row r="48" spans="1:6" x14ac:dyDescent="0.2">
      <c r="A48" s="7" t="s">
        <v>204</v>
      </c>
      <c r="B48" s="7" t="s">
        <v>205</v>
      </c>
      <c r="C48" s="7" t="s">
        <v>188</v>
      </c>
      <c r="D48" s="32">
        <v>698798</v>
      </c>
      <c r="E48" s="12">
        <v>1591.861844</v>
      </c>
      <c r="F48" s="7">
        <v>0.63697957126914828</v>
      </c>
    </row>
    <row r="49" spans="1:6" x14ac:dyDescent="0.2">
      <c r="A49" s="7" t="s">
        <v>262</v>
      </c>
      <c r="B49" s="7" t="s">
        <v>263</v>
      </c>
      <c r="C49" s="7" t="s">
        <v>70</v>
      </c>
      <c r="D49" s="32">
        <v>1656994</v>
      </c>
      <c r="E49" s="12">
        <v>1391.0464629999999</v>
      </c>
      <c r="F49" s="7">
        <v>0.55662379430535869</v>
      </c>
    </row>
    <row r="50" spans="1:6" x14ac:dyDescent="0.2">
      <c r="A50" s="7" t="s">
        <v>264</v>
      </c>
      <c r="B50" s="7" t="s">
        <v>265</v>
      </c>
      <c r="C50" s="7" t="s">
        <v>70</v>
      </c>
      <c r="D50" s="32">
        <v>4997148</v>
      </c>
      <c r="E50" s="12">
        <v>1369.218552</v>
      </c>
      <c r="F50" s="7">
        <v>0.54788940982162515</v>
      </c>
    </row>
    <row r="51" spans="1:6" x14ac:dyDescent="0.2">
      <c r="A51" s="7" t="s">
        <v>266</v>
      </c>
      <c r="B51" s="7" t="s">
        <v>267</v>
      </c>
      <c r="C51" s="7" t="s">
        <v>78</v>
      </c>
      <c r="D51" s="32">
        <v>211562</v>
      </c>
      <c r="E51" s="12">
        <v>1346.0632250000001</v>
      </c>
      <c r="F51" s="7">
        <v>0.53862386311564048</v>
      </c>
    </row>
    <row r="52" spans="1:6" x14ac:dyDescent="0.2">
      <c r="A52" s="7" t="s">
        <v>115</v>
      </c>
      <c r="B52" s="7" t="s">
        <v>116</v>
      </c>
      <c r="C52" s="7" t="s">
        <v>117</v>
      </c>
      <c r="D52" s="32">
        <v>892345</v>
      </c>
      <c r="E52" s="12">
        <v>1129.2625975000001</v>
      </c>
      <c r="F52" s="7">
        <v>0.45187162938609565</v>
      </c>
    </row>
    <row r="53" spans="1:6" x14ac:dyDescent="0.2">
      <c r="A53" s="7" t="s">
        <v>268</v>
      </c>
      <c r="B53" s="7" t="s">
        <v>269</v>
      </c>
      <c r="C53" s="7" t="s">
        <v>270</v>
      </c>
      <c r="D53" s="32">
        <v>656332</v>
      </c>
      <c r="E53" s="12">
        <v>873.57789200000002</v>
      </c>
      <c r="F53" s="7">
        <v>0.34956002822338283</v>
      </c>
    </row>
    <row r="54" spans="1:6" x14ac:dyDescent="0.2">
      <c r="A54" s="7" t="s">
        <v>40</v>
      </c>
      <c r="B54" s="7" t="s">
        <v>41</v>
      </c>
      <c r="C54" s="7" t="s">
        <v>42</v>
      </c>
      <c r="D54" s="32">
        <v>5190996</v>
      </c>
      <c r="E54" s="12">
        <v>355.58322600000002</v>
      </c>
      <c r="F54" s="7">
        <v>0.14228574653114223</v>
      </c>
    </row>
    <row r="55" spans="1:6" x14ac:dyDescent="0.2">
      <c r="A55" s="7" t="s">
        <v>271</v>
      </c>
      <c r="B55" s="7" t="s">
        <v>272</v>
      </c>
      <c r="C55" s="7" t="s">
        <v>14</v>
      </c>
      <c r="D55" s="32">
        <v>348470</v>
      </c>
      <c r="E55" s="12">
        <v>238.70195000000001</v>
      </c>
      <c r="F55" s="7">
        <v>9.5515993643044861E-2</v>
      </c>
    </row>
    <row r="56" spans="1:6" x14ac:dyDescent="0.2">
      <c r="A56" s="6" t="s">
        <v>43</v>
      </c>
      <c r="B56" s="7"/>
      <c r="C56" s="7"/>
      <c r="D56" s="32"/>
      <c r="E56" s="13">
        <v>237460.12824000005</v>
      </c>
      <c r="F56" s="6">
        <v>95.019081743774862</v>
      </c>
    </row>
    <row r="57" spans="1:6" x14ac:dyDescent="0.2">
      <c r="A57" s="7"/>
      <c r="B57" s="7"/>
      <c r="C57" s="7"/>
      <c r="D57" s="7"/>
      <c r="E57" s="12"/>
      <c r="F57" s="7"/>
    </row>
    <row r="58" spans="1:6" x14ac:dyDescent="0.2">
      <c r="A58" s="6" t="s">
        <v>44</v>
      </c>
      <c r="B58" s="7"/>
      <c r="C58" s="7"/>
      <c r="D58" s="34"/>
      <c r="E58" s="36"/>
      <c r="F58" s="7"/>
    </row>
    <row r="59" spans="1:6" x14ac:dyDescent="0.2">
      <c r="A59" s="7" t="s">
        <v>616</v>
      </c>
      <c r="B59" s="44" t="s">
        <v>624</v>
      </c>
      <c r="C59" s="7" t="s">
        <v>78</v>
      </c>
      <c r="D59" s="34">
        <v>60000</v>
      </c>
      <c r="E59" s="36">
        <v>2697.6360070000001</v>
      </c>
      <c r="F59" s="7">
        <v>1.0794523618087783</v>
      </c>
    </row>
    <row r="60" spans="1:6" x14ac:dyDescent="0.2">
      <c r="A60" s="6" t="s">
        <v>43</v>
      </c>
      <c r="B60" s="7"/>
      <c r="C60" s="7"/>
      <c r="D60" s="34"/>
      <c r="E60" s="35">
        <v>2697.6360070000001</v>
      </c>
      <c r="F60" s="35">
        <v>1.0794523618087783</v>
      </c>
    </row>
    <row r="61" spans="1:6" x14ac:dyDescent="0.2">
      <c r="A61" s="7"/>
      <c r="B61" s="7"/>
      <c r="C61" s="7"/>
      <c r="D61" s="7"/>
      <c r="E61" s="12"/>
      <c r="F61" s="7"/>
    </row>
    <row r="62" spans="1:6" x14ac:dyDescent="0.2">
      <c r="A62" s="6" t="s">
        <v>43</v>
      </c>
      <c r="B62" s="7"/>
      <c r="C62" s="7"/>
      <c r="D62" s="7"/>
      <c r="E62" s="13">
        <v>240157.76424700004</v>
      </c>
      <c r="F62" s="6">
        <v>96.098534105583639</v>
      </c>
    </row>
    <row r="63" spans="1:6" x14ac:dyDescent="0.2">
      <c r="A63" s="7"/>
      <c r="B63" s="7"/>
      <c r="C63" s="7"/>
      <c r="D63" s="7"/>
      <c r="E63" s="12"/>
      <c r="F63" s="7"/>
    </row>
    <row r="64" spans="1:6" x14ac:dyDescent="0.2">
      <c r="A64" s="6" t="s">
        <v>101</v>
      </c>
      <c r="B64" s="7"/>
      <c r="C64" s="7"/>
      <c r="D64" s="7"/>
      <c r="E64" s="13">
        <v>9750.0688768</v>
      </c>
      <c r="F64" s="6">
        <v>3.9014658944163561</v>
      </c>
    </row>
    <row r="65" spans="1:6" x14ac:dyDescent="0.2">
      <c r="A65" s="7"/>
      <c r="B65" s="7"/>
      <c r="C65" s="7"/>
      <c r="D65" s="7"/>
      <c r="E65" s="12"/>
      <c r="F65" s="7"/>
    </row>
    <row r="66" spans="1:6" x14ac:dyDescent="0.2">
      <c r="A66" s="8" t="s">
        <v>102</v>
      </c>
      <c r="B66" s="5"/>
      <c r="C66" s="5"/>
      <c r="D66" s="5"/>
      <c r="E66" s="14">
        <v>249907.83312380005</v>
      </c>
      <c r="F66" s="8">
        <v>100</v>
      </c>
    </row>
    <row r="68" spans="1:6" x14ac:dyDescent="0.2">
      <c r="A68" s="4" t="s">
        <v>103</v>
      </c>
      <c r="B68" s="2"/>
      <c r="C68" s="2"/>
      <c r="D68" s="2"/>
    </row>
    <row r="69" spans="1:6" x14ac:dyDescent="0.2">
      <c r="A69" s="4" t="s">
        <v>104</v>
      </c>
      <c r="B69" s="2"/>
      <c r="C69" s="2"/>
      <c r="D69" s="2"/>
    </row>
    <row r="70" spans="1:6" x14ac:dyDescent="0.2">
      <c r="A70" s="4" t="s">
        <v>608</v>
      </c>
      <c r="B70" s="2"/>
      <c r="C70" s="2"/>
      <c r="D70" s="2"/>
    </row>
    <row r="71" spans="1:6" x14ac:dyDescent="0.2">
      <c r="A71" s="2" t="s">
        <v>600</v>
      </c>
      <c r="B71" s="2"/>
      <c r="C71" s="2"/>
      <c r="D71" s="10">
        <v>76.304299999999998</v>
      </c>
    </row>
    <row r="72" spans="1:6" x14ac:dyDescent="0.2">
      <c r="A72" s="2" t="s">
        <v>601</v>
      </c>
      <c r="B72" s="2"/>
      <c r="C72" s="2"/>
      <c r="D72" s="10">
        <v>15.9946</v>
      </c>
    </row>
    <row r="73" spans="1:6" x14ac:dyDescent="0.2">
      <c r="A73" s="2" t="s">
        <v>602</v>
      </c>
      <c r="B73" s="2"/>
      <c r="C73" s="2"/>
      <c r="D73" s="10">
        <v>79.745699999999999</v>
      </c>
    </row>
    <row r="74" spans="1:6" x14ac:dyDescent="0.2">
      <c r="A74" s="2" t="s">
        <v>603</v>
      </c>
      <c r="B74" s="2"/>
      <c r="C74" s="2"/>
      <c r="D74" s="10">
        <v>16.934100000000001</v>
      </c>
    </row>
    <row r="75" spans="1:6" x14ac:dyDescent="0.2">
      <c r="A75" s="2"/>
      <c r="B75" s="2"/>
      <c r="C75" s="2"/>
      <c r="D75" s="10"/>
    </row>
    <row r="76" spans="1:6" x14ac:dyDescent="0.2">
      <c r="A76" s="4" t="s">
        <v>105</v>
      </c>
      <c r="B76" s="2"/>
      <c r="C76" s="2"/>
      <c r="D76" s="2"/>
    </row>
    <row r="77" spans="1:6" x14ac:dyDescent="0.2">
      <c r="A77" s="2" t="s">
        <v>600</v>
      </c>
      <c r="B77" s="2"/>
      <c r="C77" s="2"/>
      <c r="D77" s="10">
        <v>74.841200000000001</v>
      </c>
    </row>
    <row r="78" spans="1:6" x14ac:dyDescent="0.2">
      <c r="A78" s="2" t="s">
        <v>601</v>
      </c>
      <c r="B78" s="2"/>
      <c r="C78" s="2"/>
      <c r="D78" s="10">
        <v>14.2828</v>
      </c>
    </row>
    <row r="79" spans="1:6" x14ac:dyDescent="0.2">
      <c r="A79" s="2" t="s">
        <v>602</v>
      </c>
      <c r="B79" s="2"/>
      <c r="C79" s="2"/>
      <c r="D79" s="10">
        <v>78.491100000000003</v>
      </c>
    </row>
    <row r="80" spans="1:6" x14ac:dyDescent="0.2">
      <c r="A80" s="2" t="s">
        <v>603</v>
      </c>
      <c r="B80" s="2"/>
      <c r="C80" s="2"/>
      <c r="D80" s="10">
        <v>15.2584</v>
      </c>
    </row>
    <row r="81" spans="1:4" x14ac:dyDescent="0.2">
      <c r="A81" s="2"/>
      <c r="B81" s="2"/>
      <c r="C81" s="2"/>
      <c r="D81" s="2"/>
    </row>
    <row r="82" spans="1:4" x14ac:dyDescent="0.2">
      <c r="A82" s="4" t="s">
        <v>106</v>
      </c>
      <c r="B82" s="2"/>
      <c r="C82" s="2"/>
      <c r="D82" s="20" t="s">
        <v>311</v>
      </c>
    </row>
    <row r="83" spans="1:4" x14ac:dyDescent="0.2">
      <c r="A83" s="21" t="s">
        <v>604</v>
      </c>
      <c r="B83" s="22"/>
      <c r="C83" s="103" t="s">
        <v>605</v>
      </c>
      <c r="D83" s="104"/>
    </row>
    <row r="84" spans="1:4" x14ac:dyDescent="0.2">
      <c r="A84" s="105"/>
      <c r="B84" s="106"/>
      <c r="C84" s="23" t="s">
        <v>606</v>
      </c>
      <c r="D84" s="23" t="s">
        <v>607</v>
      </c>
    </row>
    <row r="85" spans="1:4" x14ac:dyDescent="0.2">
      <c r="A85" s="24" t="s">
        <v>601</v>
      </c>
      <c r="B85" s="25"/>
      <c r="C85" s="26">
        <v>1.3281127050000001</v>
      </c>
      <c r="D85" s="26">
        <v>1.3281127050000001</v>
      </c>
    </row>
    <row r="86" spans="1:4" x14ac:dyDescent="0.2">
      <c r="A86" s="24" t="s">
        <v>603</v>
      </c>
      <c r="B86" s="25"/>
      <c r="C86" s="26">
        <v>1.3281127050000001</v>
      </c>
      <c r="D86" s="26">
        <v>1.3281127050000001</v>
      </c>
    </row>
    <row r="87" spans="1:4" x14ac:dyDescent="0.2">
      <c r="A87" s="4"/>
      <c r="B87" s="2"/>
      <c r="C87" s="2"/>
      <c r="D87" s="20"/>
    </row>
    <row r="88" spans="1:4" x14ac:dyDescent="0.2">
      <c r="A88" s="9" t="s">
        <v>609</v>
      </c>
      <c r="B88" s="2"/>
      <c r="C88" s="2"/>
      <c r="D88" s="27">
        <v>6.9888504757451092E-2</v>
      </c>
    </row>
  </sheetData>
  <mergeCells count="3">
    <mergeCell ref="C83:D83"/>
    <mergeCell ref="A84:B84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ADB5-6DC9-4780-BA86-D9DC0479359E}">
  <dimension ref="A1:F81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45" style="1" bestFit="1" customWidth="1"/>
    <col min="3" max="3" width="40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0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24627</v>
      </c>
      <c r="E7" s="12">
        <v>554.5138455</v>
      </c>
      <c r="F7" s="7">
        <v>4.5546548411580918</v>
      </c>
    </row>
    <row r="8" spans="1:6" x14ac:dyDescent="0.2">
      <c r="A8" s="7" t="s">
        <v>12</v>
      </c>
      <c r="B8" s="7" t="s">
        <v>13</v>
      </c>
      <c r="C8" s="7" t="s">
        <v>14</v>
      </c>
      <c r="D8" s="32">
        <v>54190</v>
      </c>
      <c r="E8" s="12">
        <v>215.486535</v>
      </c>
      <c r="F8" s="7">
        <v>1.7699590331367705</v>
      </c>
    </row>
    <row r="9" spans="1:6" x14ac:dyDescent="0.2">
      <c r="A9" s="7" t="s">
        <v>15</v>
      </c>
      <c r="B9" s="7" t="s">
        <v>16</v>
      </c>
      <c r="C9" s="7" t="s">
        <v>87</v>
      </c>
      <c r="D9" s="32">
        <v>134100</v>
      </c>
      <c r="E9" s="12">
        <v>192.1653</v>
      </c>
      <c r="F9" s="7">
        <v>1.578403535007129</v>
      </c>
    </row>
    <row r="10" spans="1:6" x14ac:dyDescent="0.2">
      <c r="A10" s="7" t="s">
        <v>17</v>
      </c>
      <c r="B10" s="7" t="s">
        <v>18</v>
      </c>
      <c r="C10" s="7" t="s">
        <v>19</v>
      </c>
      <c r="D10" s="32">
        <v>27999</v>
      </c>
      <c r="E10" s="12">
        <v>153.88250400000001</v>
      </c>
      <c r="F10" s="7">
        <v>1.2639570634726909</v>
      </c>
    </row>
    <row r="11" spans="1:6" x14ac:dyDescent="0.2">
      <c r="A11" s="7" t="s">
        <v>20</v>
      </c>
      <c r="B11" s="7" t="s">
        <v>21</v>
      </c>
      <c r="C11" s="7" t="s">
        <v>11</v>
      </c>
      <c r="D11" s="32">
        <v>8892</v>
      </c>
      <c r="E11" s="12">
        <v>135.11838599999999</v>
      </c>
      <c r="F11" s="7">
        <v>1.1098327226968541</v>
      </c>
    </row>
    <row r="12" spans="1:6" x14ac:dyDescent="0.2">
      <c r="A12" s="7" t="s">
        <v>22</v>
      </c>
      <c r="B12" s="7" t="s">
        <v>23</v>
      </c>
      <c r="C12" s="7" t="s">
        <v>24</v>
      </c>
      <c r="D12" s="32">
        <v>15402</v>
      </c>
      <c r="E12" s="12">
        <v>109.20018</v>
      </c>
      <c r="F12" s="7">
        <v>0.89694627560446549</v>
      </c>
    </row>
    <row r="13" spans="1:6" x14ac:dyDescent="0.2">
      <c r="A13" s="7" t="s">
        <v>25</v>
      </c>
      <c r="B13" s="7" t="s">
        <v>26</v>
      </c>
      <c r="C13" s="7" t="s">
        <v>27</v>
      </c>
      <c r="D13" s="32">
        <v>56959</v>
      </c>
      <c r="E13" s="12">
        <v>108.5353745</v>
      </c>
      <c r="F13" s="7">
        <v>0.89148570935607319</v>
      </c>
    </row>
    <row r="14" spans="1:6" x14ac:dyDescent="0.2">
      <c r="A14" s="7" t="s">
        <v>28</v>
      </c>
      <c r="B14" s="7" t="s">
        <v>29</v>
      </c>
      <c r="C14" s="7" t="s">
        <v>30</v>
      </c>
      <c r="D14" s="32">
        <v>37307</v>
      </c>
      <c r="E14" s="12">
        <v>82.933460999999994</v>
      </c>
      <c r="F14" s="7">
        <v>0.68119721933551935</v>
      </c>
    </row>
    <row r="15" spans="1:6" x14ac:dyDescent="0.2">
      <c r="A15" s="7" t="s">
        <v>31</v>
      </c>
      <c r="B15" s="7" t="s">
        <v>32</v>
      </c>
      <c r="C15" s="7" t="s">
        <v>33</v>
      </c>
      <c r="D15" s="32">
        <v>15620</v>
      </c>
      <c r="E15" s="12">
        <v>81.950329999999994</v>
      </c>
      <c r="F15" s="7">
        <v>0.67312199740015899</v>
      </c>
    </row>
    <row r="16" spans="1:6" x14ac:dyDescent="0.2">
      <c r="A16" s="7" t="s">
        <v>34</v>
      </c>
      <c r="B16" s="7" t="s">
        <v>35</v>
      </c>
      <c r="C16" s="7" t="s">
        <v>36</v>
      </c>
      <c r="D16" s="32">
        <v>30332</v>
      </c>
      <c r="E16" s="12">
        <v>76.315312000000006</v>
      </c>
      <c r="F16" s="7">
        <v>0.62683719816206152</v>
      </c>
    </row>
    <row r="17" spans="1:6" x14ac:dyDescent="0.2">
      <c r="A17" s="7" t="s">
        <v>37</v>
      </c>
      <c r="B17" s="7" t="s">
        <v>38</v>
      </c>
      <c r="C17" s="7" t="s">
        <v>39</v>
      </c>
      <c r="D17" s="32">
        <v>54279</v>
      </c>
      <c r="E17" s="12">
        <v>73.602323999999996</v>
      </c>
      <c r="F17" s="7">
        <v>0.60455331106261145</v>
      </c>
    </row>
    <row r="18" spans="1:6" x14ac:dyDescent="0.2">
      <c r="A18" s="7" t="s">
        <v>40</v>
      </c>
      <c r="B18" s="7" t="s">
        <v>41</v>
      </c>
      <c r="C18" s="7" t="s">
        <v>42</v>
      </c>
      <c r="D18" s="32">
        <v>668809</v>
      </c>
      <c r="E18" s="12">
        <v>45.813416500000002</v>
      </c>
      <c r="F18" s="7">
        <v>0.37630133304167784</v>
      </c>
    </row>
    <row r="19" spans="1:6" x14ac:dyDescent="0.2">
      <c r="A19" s="6" t="s">
        <v>43</v>
      </c>
      <c r="B19" s="7"/>
      <c r="C19" s="7"/>
      <c r="D19" s="32"/>
      <c r="E19" s="13">
        <v>1829.5169684999998</v>
      </c>
      <c r="F19" s="6">
        <v>15.027250239434105</v>
      </c>
    </row>
    <row r="20" spans="1:6" x14ac:dyDescent="0.2">
      <c r="A20" s="7"/>
      <c r="B20" s="7"/>
      <c r="C20" s="7"/>
      <c r="D20" s="32"/>
      <c r="E20" s="12"/>
      <c r="F20" s="7"/>
    </row>
    <row r="21" spans="1:6" x14ac:dyDescent="0.2">
      <c r="A21" s="6" t="s">
        <v>44</v>
      </c>
      <c r="B21" s="7"/>
      <c r="C21" s="7"/>
      <c r="D21" s="32"/>
      <c r="E21" s="12"/>
      <c r="F21" s="7"/>
    </row>
    <row r="22" spans="1:6" x14ac:dyDescent="0.2">
      <c r="A22" s="38" t="s">
        <v>96</v>
      </c>
      <c r="B22" s="7" t="s">
        <v>97</v>
      </c>
      <c r="C22" s="7" t="s">
        <v>14</v>
      </c>
      <c r="D22" s="32">
        <v>9063</v>
      </c>
      <c r="E22" s="15">
        <v>1085.9008980999999</v>
      </c>
      <c r="F22" s="7">
        <v>8.9193512888562942</v>
      </c>
    </row>
    <row r="23" spans="1:6" x14ac:dyDescent="0.2">
      <c r="A23" s="38" t="s">
        <v>76</v>
      </c>
      <c r="B23" s="7" t="s">
        <v>77</v>
      </c>
      <c r="C23" s="7" t="s">
        <v>78</v>
      </c>
      <c r="D23" s="32">
        <v>31700</v>
      </c>
      <c r="E23" s="15">
        <v>1026.2381390999999</v>
      </c>
      <c r="F23" s="7">
        <v>8.4292945006958995</v>
      </c>
    </row>
    <row r="24" spans="1:6" x14ac:dyDescent="0.2">
      <c r="A24" s="38" t="s">
        <v>48</v>
      </c>
      <c r="B24" s="7" t="s">
        <v>49</v>
      </c>
      <c r="C24" s="7" t="s">
        <v>33</v>
      </c>
      <c r="D24" s="32">
        <v>132124</v>
      </c>
      <c r="E24" s="15">
        <v>941.54230180000002</v>
      </c>
      <c r="F24" s="7">
        <v>7.7336215098140464</v>
      </c>
    </row>
    <row r="25" spans="1:6" x14ac:dyDescent="0.2">
      <c r="A25" s="38" t="s">
        <v>619</v>
      </c>
      <c r="B25" s="7" t="s">
        <v>641</v>
      </c>
      <c r="C25" s="7" t="s">
        <v>75</v>
      </c>
      <c r="D25" s="32">
        <v>32100</v>
      </c>
      <c r="E25" s="15">
        <v>848.05092349999995</v>
      </c>
      <c r="F25" s="7">
        <v>6.9657038784757725</v>
      </c>
    </row>
    <row r="26" spans="1:6" x14ac:dyDescent="0.2">
      <c r="A26" s="38" t="s">
        <v>89</v>
      </c>
      <c r="B26" s="7" t="s">
        <v>90</v>
      </c>
      <c r="C26" s="7" t="s">
        <v>75</v>
      </c>
      <c r="D26" s="32">
        <v>146714</v>
      </c>
      <c r="E26" s="15">
        <v>843.01232959999993</v>
      </c>
      <c r="F26" s="7">
        <v>6.9243179756971474</v>
      </c>
    </row>
    <row r="27" spans="1:6" x14ac:dyDescent="0.2">
      <c r="A27" s="38" t="s">
        <v>47</v>
      </c>
      <c r="B27" s="7" t="s">
        <v>640</v>
      </c>
      <c r="C27" s="7" t="s">
        <v>33</v>
      </c>
      <c r="D27" s="32">
        <v>80310</v>
      </c>
      <c r="E27" s="15">
        <v>659.51033629999995</v>
      </c>
      <c r="F27" s="7">
        <v>5.417072937672204</v>
      </c>
    </row>
    <row r="28" spans="1:6" x14ac:dyDescent="0.2">
      <c r="A28" s="38" t="s">
        <v>60</v>
      </c>
      <c r="B28" s="7" t="s">
        <v>61</v>
      </c>
      <c r="C28" s="7" t="s">
        <v>11</v>
      </c>
      <c r="D28" s="32">
        <v>195429</v>
      </c>
      <c r="E28" s="15">
        <v>296.97139709999999</v>
      </c>
      <c r="F28" s="7">
        <v>2.4392577795192256</v>
      </c>
    </row>
    <row r="29" spans="1:6" x14ac:dyDescent="0.2">
      <c r="A29" s="38" t="s">
        <v>626</v>
      </c>
      <c r="B29" s="7" t="s">
        <v>635</v>
      </c>
      <c r="C29" s="7" t="s">
        <v>134</v>
      </c>
      <c r="D29" s="32">
        <v>10238</v>
      </c>
      <c r="E29" s="15">
        <v>276.26852479999997</v>
      </c>
      <c r="F29" s="7">
        <v>2.2692089370740955</v>
      </c>
    </row>
    <row r="30" spans="1:6" x14ac:dyDescent="0.2">
      <c r="A30" s="38" t="s">
        <v>98</v>
      </c>
      <c r="B30" s="7" t="s">
        <v>99</v>
      </c>
      <c r="C30" s="7" t="s">
        <v>100</v>
      </c>
      <c r="D30" s="32">
        <v>3660</v>
      </c>
      <c r="E30" s="15">
        <v>264.32703620000001</v>
      </c>
      <c r="F30" s="7">
        <v>2.1711241745311844</v>
      </c>
    </row>
    <row r="31" spans="1:6" x14ac:dyDescent="0.2">
      <c r="A31" s="38" t="s">
        <v>625</v>
      </c>
      <c r="B31" s="7" t="s">
        <v>633</v>
      </c>
      <c r="C31" s="7" t="s">
        <v>11</v>
      </c>
      <c r="D31" s="32">
        <v>131360</v>
      </c>
      <c r="E31" s="15">
        <v>261.16756319999996</v>
      </c>
      <c r="F31" s="7">
        <v>2.1451729577820644</v>
      </c>
    </row>
    <row r="32" spans="1:6" x14ac:dyDescent="0.2">
      <c r="A32" s="38" t="s">
        <v>620</v>
      </c>
      <c r="B32" s="7" t="s">
        <v>621</v>
      </c>
      <c r="C32" s="7" t="s">
        <v>78</v>
      </c>
      <c r="D32" s="32">
        <v>14600</v>
      </c>
      <c r="E32" s="15">
        <v>260.03785140000002</v>
      </c>
      <c r="F32" s="7">
        <v>2.1358937533749254</v>
      </c>
    </row>
    <row r="33" spans="1:6" x14ac:dyDescent="0.2">
      <c r="A33" s="38" t="s">
        <v>45</v>
      </c>
      <c r="B33" s="7" t="s">
        <v>46</v>
      </c>
      <c r="C33" s="7" t="s">
        <v>11</v>
      </c>
      <c r="D33" s="32">
        <v>67000</v>
      </c>
      <c r="E33" s="15">
        <v>231.2168968</v>
      </c>
      <c r="F33" s="7">
        <v>1.8991647673253109</v>
      </c>
    </row>
    <row r="34" spans="1:6" x14ac:dyDescent="0.2">
      <c r="A34" s="38" t="s">
        <v>83</v>
      </c>
      <c r="B34" s="7" t="s">
        <v>84</v>
      </c>
      <c r="C34" s="7" t="s">
        <v>57</v>
      </c>
      <c r="D34" s="32">
        <v>23512</v>
      </c>
      <c r="E34" s="15">
        <v>228.4522474</v>
      </c>
      <c r="F34" s="7">
        <v>1.8764565448417754</v>
      </c>
    </row>
    <row r="35" spans="1:6" x14ac:dyDescent="0.2">
      <c r="A35" s="38" t="s">
        <v>81</v>
      </c>
      <c r="B35" s="7" t="s">
        <v>82</v>
      </c>
      <c r="C35" s="7" t="s">
        <v>11</v>
      </c>
      <c r="D35" s="32">
        <v>17142</v>
      </c>
      <c r="E35" s="15">
        <v>227.6279979</v>
      </c>
      <c r="F35" s="7">
        <v>1.8696863406242197</v>
      </c>
    </row>
    <row r="36" spans="1:6" x14ac:dyDescent="0.2">
      <c r="A36" s="38" t="s">
        <v>50</v>
      </c>
      <c r="B36" s="7" t="s">
        <v>51</v>
      </c>
      <c r="C36" s="7" t="s">
        <v>14</v>
      </c>
      <c r="D36" s="32">
        <v>37521</v>
      </c>
      <c r="E36" s="15">
        <v>194.1448953</v>
      </c>
      <c r="F36" s="7">
        <v>1.594663495673303</v>
      </c>
    </row>
    <row r="37" spans="1:6" x14ac:dyDescent="0.2">
      <c r="A37" s="38" t="s">
        <v>52</v>
      </c>
      <c r="B37" s="7" t="s">
        <v>53</v>
      </c>
      <c r="C37" s="7" t="s">
        <v>54</v>
      </c>
      <c r="D37" s="32">
        <v>170000</v>
      </c>
      <c r="E37" s="15">
        <v>193.41417609999999</v>
      </c>
      <c r="F37" s="7">
        <v>1.5886615287813741</v>
      </c>
    </row>
    <row r="38" spans="1:6" x14ac:dyDescent="0.2">
      <c r="A38" s="38" t="s">
        <v>632</v>
      </c>
      <c r="B38" s="7" t="s">
        <v>645</v>
      </c>
      <c r="C38" s="7" t="s">
        <v>36</v>
      </c>
      <c r="D38" s="32">
        <v>87300</v>
      </c>
      <c r="E38" s="15">
        <v>188.4455529</v>
      </c>
      <c r="F38" s="7">
        <v>1.54785034995253</v>
      </c>
    </row>
    <row r="39" spans="1:6" x14ac:dyDescent="0.2">
      <c r="A39" s="38" t="s">
        <v>88</v>
      </c>
      <c r="B39" s="7" t="s">
        <v>634</v>
      </c>
      <c r="C39" s="7" t="s">
        <v>14</v>
      </c>
      <c r="D39" s="32">
        <v>91900</v>
      </c>
      <c r="E39" s="15">
        <v>178.48475489999998</v>
      </c>
      <c r="F39" s="7">
        <v>1.4660345446292382</v>
      </c>
    </row>
    <row r="40" spans="1:6" x14ac:dyDescent="0.2">
      <c r="A40" s="38" t="s">
        <v>85</v>
      </c>
      <c r="B40" s="7" t="s">
        <v>86</v>
      </c>
      <c r="C40" s="7" t="s">
        <v>638</v>
      </c>
      <c r="D40" s="32">
        <v>193900</v>
      </c>
      <c r="E40" s="15">
        <v>174.72692180000001</v>
      </c>
      <c r="F40" s="7">
        <v>1.4351685295421923</v>
      </c>
    </row>
    <row r="41" spans="1:6" x14ac:dyDescent="0.2">
      <c r="A41" s="38" t="s">
        <v>62</v>
      </c>
      <c r="B41" s="7" t="s">
        <v>63</v>
      </c>
      <c r="C41" s="7" t="s">
        <v>14</v>
      </c>
      <c r="D41" s="32">
        <v>1925400</v>
      </c>
      <c r="E41" s="15">
        <v>173.46904800000002</v>
      </c>
      <c r="F41" s="7">
        <v>1.4248366306379008</v>
      </c>
    </row>
    <row r="42" spans="1:6" x14ac:dyDescent="0.2">
      <c r="A42" s="38" t="s">
        <v>58</v>
      </c>
      <c r="B42" s="7" t="s">
        <v>59</v>
      </c>
      <c r="C42" s="7" t="s">
        <v>636</v>
      </c>
      <c r="D42" s="32">
        <v>244200</v>
      </c>
      <c r="E42" s="15">
        <v>154.3682057</v>
      </c>
      <c r="F42" s="7">
        <v>1.2679465104760728</v>
      </c>
    </row>
    <row r="43" spans="1:6" x14ac:dyDescent="0.2">
      <c r="A43" s="38" t="s">
        <v>66</v>
      </c>
      <c r="B43" s="7" t="s">
        <v>67</v>
      </c>
      <c r="C43" s="7" t="s">
        <v>36</v>
      </c>
      <c r="D43" s="32">
        <v>53000</v>
      </c>
      <c r="E43" s="15">
        <v>148.18631350000001</v>
      </c>
      <c r="F43" s="7">
        <v>1.21716980676571</v>
      </c>
    </row>
    <row r="44" spans="1:6" x14ac:dyDescent="0.2">
      <c r="A44" s="38" t="s">
        <v>631</v>
      </c>
      <c r="B44" s="7" t="s">
        <v>644</v>
      </c>
      <c r="C44" s="7" t="s">
        <v>14</v>
      </c>
      <c r="D44" s="32">
        <v>300100</v>
      </c>
      <c r="E44" s="15">
        <v>148.14862399999998</v>
      </c>
      <c r="F44" s="7">
        <v>1.216860233497109</v>
      </c>
    </row>
    <row r="45" spans="1:6" x14ac:dyDescent="0.2">
      <c r="A45" s="38" t="s">
        <v>627</v>
      </c>
      <c r="B45" s="7" t="s">
        <v>637</v>
      </c>
      <c r="C45" s="7" t="s">
        <v>36</v>
      </c>
      <c r="D45" s="32">
        <v>1500</v>
      </c>
      <c r="E45" s="15">
        <v>145.87585000000001</v>
      </c>
      <c r="F45" s="7">
        <v>1.1981921674317357</v>
      </c>
    </row>
    <row r="46" spans="1:6" x14ac:dyDescent="0.2">
      <c r="A46" s="38" t="s">
        <v>55</v>
      </c>
      <c r="B46" s="7" t="s">
        <v>56</v>
      </c>
      <c r="C46" s="7" t="s">
        <v>636</v>
      </c>
      <c r="D46" s="32">
        <v>125600</v>
      </c>
      <c r="E46" s="15">
        <v>138.59714959999999</v>
      </c>
      <c r="F46" s="7">
        <v>1.1384065222522064</v>
      </c>
    </row>
    <row r="47" spans="1:6" x14ac:dyDescent="0.2">
      <c r="A47" s="38" t="s">
        <v>79</v>
      </c>
      <c r="B47" s="7" t="s">
        <v>80</v>
      </c>
      <c r="C47" s="7" t="s">
        <v>36</v>
      </c>
      <c r="D47" s="32">
        <v>101700</v>
      </c>
      <c r="E47" s="15">
        <v>138.41941630000002</v>
      </c>
      <c r="F47" s="7">
        <v>1.1369466599929512</v>
      </c>
    </row>
    <row r="48" spans="1:6" x14ac:dyDescent="0.2">
      <c r="A48" s="38" t="s">
        <v>630</v>
      </c>
      <c r="B48" s="7" t="s">
        <v>643</v>
      </c>
      <c r="C48" s="7" t="s">
        <v>11</v>
      </c>
      <c r="D48" s="32">
        <v>5267</v>
      </c>
      <c r="E48" s="15">
        <v>133.4726192</v>
      </c>
      <c r="F48" s="7">
        <v>1.0963147559519872</v>
      </c>
    </row>
    <row r="49" spans="1:6" x14ac:dyDescent="0.2">
      <c r="A49" s="38" t="s">
        <v>629</v>
      </c>
      <c r="B49" s="7" t="s">
        <v>642</v>
      </c>
      <c r="C49" s="7" t="s">
        <v>75</v>
      </c>
      <c r="D49" s="32">
        <v>903</v>
      </c>
      <c r="E49" s="15">
        <v>130.9865504</v>
      </c>
      <c r="F49" s="7">
        <v>1.0758947332830093</v>
      </c>
    </row>
    <row r="50" spans="1:6" x14ac:dyDescent="0.2">
      <c r="A50" s="38" t="s">
        <v>73</v>
      </c>
      <c r="B50" s="7" t="s">
        <v>74</v>
      </c>
      <c r="C50" s="7" t="s">
        <v>75</v>
      </c>
      <c r="D50" s="32">
        <v>14600</v>
      </c>
      <c r="E50" s="15">
        <v>118.61235569999999</v>
      </c>
      <c r="F50" s="7">
        <v>0.97425581794633576</v>
      </c>
    </row>
    <row r="51" spans="1:6" x14ac:dyDescent="0.2">
      <c r="A51" s="38" t="s">
        <v>91</v>
      </c>
      <c r="B51" s="7" t="s">
        <v>92</v>
      </c>
      <c r="C51" s="7" t="s">
        <v>93</v>
      </c>
      <c r="D51" s="32">
        <v>1000</v>
      </c>
      <c r="E51" s="15">
        <v>94.105268099999989</v>
      </c>
      <c r="F51" s="7">
        <v>0.7729599872184707</v>
      </c>
    </row>
    <row r="52" spans="1:6" x14ac:dyDescent="0.2">
      <c r="A52" s="38" t="s">
        <v>94</v>
      </c>
      <c r="B52" s="7" t="s">
        <v>95</v>
      </c>
      <c r="C52" s="7" t="s">
        <v>75</v>
      </c>
      <c r="D52" s="32">
        <v>16010</v>
      </c>
      <c r="E52" s="15">
        <v>77.990017800000004</v>
      </c>
      <c r="F52" s="7">
        <v>0.64059286349194644</v>
      </c>
    </row>
    <row r="53" spans="1:6" x14ac:dyDescent="0.2">
      <c r="A53" s="38" t="s">
        <v>71</v>
      </c>
      <c r="B53" s="7" t="s">
        <v>72</v>
      </c>
      <c r="C53" s="7" t="s">
        <v>36</v>
      </c>
      <c r="D53" s="32">
        <v>16000</v>
      </c>
      <c r="E53" s="15">
        <v>64.571038700000003</v>
      </c>
      <c r="F53" s="7">
        <v>0.53037231874413404</v>
      </c>
    </row>
    <row r="54" spans="1:6" x14ac:dyDescent="0.2">
      <c r="A54" s="38" t="s">
        <v>64</v>
      </c>
      <c r="B54" s="38" t="s">
        <v>65</v>
      </c>
      <c r="C54" s="7" t="s">
        <v>19</v>
      </c>
      <c r="D54" s="32">
        <v>10000</v>
      </c>
      <c r="E54" s="15">
        <v>29.674190599999999</v>
      </c>
      <c r="F54" s="7">
        <v>0.24373727900674744</v>
      </c>
    </row>
    <row r="55" spans="1:6" x14ac:dyDescent="0.2">
      <c r="A55" s="38" t="s">
        <v>628</v>
      </c>
      <c r="B55" s="7" t="s">
        <v>639</v>
      </c>
      <c r="C55" s="7" t="s">
        <v>638</v>
      </c>
      <c r="D55" s="32">
        <v>9695</v>
      </c>
      <c r="E55" s="15">
        <v>1.1937864</v>
      </c>
      <c r="F55" s="7">
        <v>9.8054990875222261E-3</v>
      </c>
    </row>
    <row r="56" spans="1:6" x14ac:dyDescent="0.2">
      <c r="A56" s="38" t="s">
        <v>68</v>
      </c>
      <c r="B56" s="7" t="s">
        <v>69</v>
      </c>
      <c r="C56" s="7" t="s">
        <v>70</v>
      </c>
      <c r="D56" s="32">
        <v>32</v>
      </c>
      <c r="E56" s="15">
        <v>8.8767600000000002E-2</v>
      </c>
      <c r="F56" s="7">
        <v>7.2911755469951564E-4</v>
      </c>
    </row>
    <row r="57" spans="1:6" x14ac:dyDescent="0.2">
      <c r="A57" s="6" t="s">
        <v>43</v>
      </c>
      <c r="B57" s="7"/>
      <c r="C57" s="7"/>
      <c r="D57" s="7"/>
      <c r="E57" s="13">
        <v>10077.299945800001</v>
      </c>
      <c r="F57" s="6">
        <v>82.772726698201367</v>
      </c>
    </row>
    <row r="58" spans="1:6" x14ac:dyDescent="0.2">
      <c r="A58" s="7"/>
      <c r="B58" s="7"/>
      <c r="C58" s="7"/>
      <c r="D58" s="7"/>
      <c r="E58" s="12"/>
      <c r="F58" s="7"/>
    </row>
    <row r="59" spans="1:6" x14ac:dyDescent="0.2">
      <c r="A59" s="6" t="s">
        <v>43</v>
      </c>
      <c r="B59" s="7"/>
      <c r="C59" s="7"/>
      <c r="D59" s="7"/>
      <c r="E59" s="13">
        <v>11906.816914300001</v>
      </c>
      <c r="F59" s="13">
        <v>97.799976937635478</v>
      </c>
    </row>
    <row r="60" spans="1:6" x14ac:dyDescent="0.2">
      <c r="A60" s="7"/>
      <c r="B60" s="7"/>
      <c r="C60" s="7"/>
      <c r="D60" s="7"/>
      <c r="E60" s="12"/>
      <c r="F60" s="7"/>
    </row>
    <row r="61" spans="1:6" x14ac:dyDescent="0.2">
      <c r="A61" s="6" t="s">
        <v>101</v>
      </c>
      <c r="B61" s="7"/>
      <c r="C61" s="7"/>
      <c r="D61" s="7"/>
      <c r="E61" s="13">
        <v>267.84537820000003</v>
      </c>
      <c r="F61" s="6">
        <v>2.2000230623645449</v>
      </c>
    </row>
    <row r="62" spans="1:6" x14ac:dyDescent="0.2">
      <c r="A62" s="7"/>
      <c r="B62" s="7"/>
      <c r="C62" s="7"/>
      <c r="D62" s="7"/>
      <c r="E62" s="12"/>
      <c r="F62" s="7"/>
    </row>
    <row r="63" spans="1:6" x14ac:dyDescent="0.2">
      <c r="A63" s="8" t="s">
        <v>102</v>
      </c>
      <c r="B63" s="5"/>
      <c r="C63" s="5"/>
      <c r="D63" s="5"/>
      <c r="E63" s="14">
        <v>12174.662292500001</v>
      </c>
      <c r="F63" s="8">
        <v>100</v>
      </c>
    </row>
    <row r="65" spans="1:4" x14ac:dyDescent="0.2">
      <c r="A65" s="4" t="s">
        <v>103</v>
      </c>
      <c r="B65" s="2"/>
      <c r="C65" s="2"/>
      <c r="D65" s="2"/>
    </row>
    <row r="66" spans="1:4" x14ac:dyDescent="0.2">
      <c r="A66" s="4" t="s">
        <v>104</v>
      </c>
      <c r="B66" s="2"/>
      <c r="C66" s="2"/>
      <c r="D66" s="2"/>
    </row>
    <row r="67" spans="1:4" x14ac:dyDescent="0.2">
      <c r="A67" s="4" t="s">
        <v>608</v>
      </c>
      <c r="B67" s="2"/>
      <c r="C67" s="2"/>
      <c r="D67" s="2"/>
    </row>
    <row r="68" spans="1:4" x14ac:dyDescent="0.2">
      <c r="A68" s="2" t="s">
        <v>600</v>
      </c>
      <c r="B68" s="2"/>
      <c r="C68" s="2"/>
      <c r="D68" s="10">
        <v>21.081499999999998</v>
      </c>
    </row>
    <row r="69" spans="1:4" x14ac:dyDescent="0.2">
      <c r="A69" s="2" t="s">
        <v>601</v>
      </c>
      <c r="B69" s="2"/>
      <c r="C69" s="2"/>
      <c r="D69" s="10">
        <v>12.4207</v>
      </c>
    </row>
    <row r="70" spans="1:4" x14ac:dyDescent="0.2">
      <c r="A70" s="2" t="s">
        <v>602</v>
      </c>
      <c r="B70" s="2"/>
      <c r="C70" s="2"/>
      <c r="D70" s="10">
        <v>21.934000000000001</v>
      </c>
    </row>
    <row r="71" spans="1:4" x14ac:dyDescent="0.2">
      <c r="A71" s="2" t="s">
        <v>603</v>
      </c>
      <c r="B71" s="2"/>
      <c r="C71" s="2"/>
      <c r="D71" s="10">
        <v>12.975199999999999</v>
      </c>
    </row>
    <row r="72" spans="1:4" x14ac:dyDescent="0.2">
      <c r="A72" s="2"/>
      <c r="B72" s="2"/>
      <c r="C72" s="2"/>
      <c r="D72" s="10"/>
    </row>
    <row r="73" spans="1:4" x14ac:dyDescent="0.2">
      <c r="A73" s="4" t="s">
        <v>105</v>
      </c>
      <c r="B73" s="2"/>
      <c r="C73" s="2"/>
      <c r="D73" s="2"/>
    </row>
    <row r="74" spans="1:4" x14ac:dyDescent="0.2">
      <c r="A74" s="2" t="s">
        <v>600</v>
      </c>
      <c r="B74" s="2"/>
      <c r="C74" s="2"/>
      <c r="D74" s="10">
        <v>21.9587</v>
      </c>
    </row>
    <row r="75" spans="1:4" x14ac:dyDescent="0.2">
      <c r="A75" s="2" t="s">
        <v>601</v>
      </c>
      <c r="B75" s="2"/>
      <c r="C75" s="2"/>
      <c r="D75" s="10">
        <v>12.9375</v>
      </c>
    </row>
    <row r="76" spans="1:4" x14ac:dyDescent="0.2">
      <c r="A76" s="2" t="s">
        <v>602</v>
      </c>
      <c r="B76" s="2"/>
      <c r="C76" s="2"/>
      <c r="D76" s="10">
        <v>22.901800000000001</v>
      </c>
    </row>
    <row r="77" spans="1:4" x14ac:dyDescent="0.2">
      <c r="A77" s="2" t="s">
        <v>603</v>
      </c>
      <c r="B77" s="2"/>
      <c r="C77" s="2"/>
      <c r="D77" s="10">
        <v>13.542999999999999</v>
      </c>
    </row>
    <row r="78" spans="1:4" x14ac:dyDescent="0.2">
      <c r="A78" s="2"/>
      <c r="B78" s="2"/>
      <c r="C78" s="2"/>
      <c r="D78" s="2"/>
    </row>
    <row r="79" spans="1:4" x14ac:dyDescent="0.2">
      <c r="A79" s="4" t="s">
        <v>106</v>
      </c>
      <c r="B79" s="2"/>
      <c r="C79" s="2"/>
      <c r="D79" s="20" t="s">
        <v>107</v>
      </c>
    </row>
    <row r="80" spans="1:4" x14ac:dyDescent="0.2">
      <c r="A80" s="4"/>
      <c r="B80" s="2"/>
      <c r="C80" s="2"/>
      <c r="D80" s="20"/>
    </row>
    <row r="81" spans="1:4" x14ac:dyDescent="0.2">
      <c r="A81" s="9" t="s">
        <v>609</v>
      </c>
      <c r="B81" s="2"/>
      <c r="C81" s="2"/>
      <c r="D81" s="27">
        <v>7.5970738016856304E-2</v>
      </c>
    </row>
  </sheetData>
  <sortState xmlns:xlrd2="http://schemas.microsoft.com/office/spreadsheetml/2017/richdata2" ref="A22:H56">
    <sortCondition descending="1" ref="E22:E56"/>
  </sortState>
  <mergeCells count="1">
    <mergeCell ref="A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D9DB-B5CB-45C8-BBE4-7EFE710E5120}">
  <dimension ref="A1:F100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43.140625" style="1" bestFit="1" customWidth="1"/>
    <col min="3" max="3" width="20" style="1" bestFit="1" customWidth="1"/>
    <col min="4" max="4" width="11.14062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363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109</v>
      </c>
      <c r="B7" s="7" t="s">
        <v>110</v>
      </c>
      <c r="C7" s="7" t="s">
        <v>11</v>
      </c>
      <c r="D7" s="32">
        <v>1604200</v>
      </c>
      <c r="E7" s="29">
        <v>6811.4332000000004</v>
      </c>
      <c r="F7" s="7">
        <f>E7/$E$74*100</f>
        <v>7.4839365822105126</v>
      </c>
    </row>
    <row r="8" spans="1:6" x14ac:dyDescent="0.2">
      <c r="A8" s="7" t="s">
        <v>9</v>
      </c>
      <c r="B8" s="7" t="s">
        <v>10</v>
      </c>
      <c r="C8" s="7" t="s">
        <v>11</v>
      </c>
      <c r="D8" s="32">
        <v>283200</v>
      </c>
      <c r="E8" s="29">
        <v>6376.6728000000003</v>
      </c>
      <c r="F8" s="7">
        <f t="shared" ref="F8:F42" si="0">E8/$E$74*100</f>
        <v>7.006251612466337</v>
      </c>
    </row>
    <row r="9" spans="1:6" x14ac:dyDescent="0.2">
      <c r="A9" s="7" t="s">
        <v>180</v>
      </c>
      <c r="B9" s="7" t="s">
        <v>181</v>
      </c>
      <c r="C9" s="7" t="s">
        <v>78</v>
      </c>
      <c r="D9" s="32">
        <v>615444</v>
      </c>
      <c r="E9" s="29">
        <v>4884.4713060000004</v>
      </c>
      <c r="F9" s="7">
        <f t="shared" si="0"/>
        <v>5.3667227466505816</v>
      </c>
    </row>
    <row r="10" spans="1:6" x14ac:dyDescent="0.2">
      <c r="A10" s="7" t="s">
        <v>115</v>
      </c>
      <c r="B10" s="7" t="s">
        <v>116</v>
      </c>
      <c r="C10" s="7" t="s">
        <v>117</v>
      </c>
      <c r="D10" s="32">
        <v>3150145</v>
      </c>
      <c r="E10" s="29">
        <v>3986.5084975</v>
      </c>
      <c r="F10" s="7">
        <f t="shared" si="0"/>
        <v>4.3801026749749692</v>
      </c>
    </row>
    <row r="11" spans="1:6" x14ac:dyDescent="0.2">
      <c r="A11" s="7" t="s">
        <v>157</v>
      </c>
      <c r="B11" s="7" t="s">
        <v>158</v>
      </c>
      <c r="C11" s="7" t="s">
        <v>117</v>
      </c>
      <c r="D11" s="32">
        <v>1509054</v>
      </c>
      <c r="E11" s="29">
        <v>3181.0858320000002</v>
      </c>
      <c r="F11" s="7">
        <f t="shared" si="0"/>
        <v>3.4951593783899053</v>
      </c>
    </row>
    <row r="12" spans="1:6" x14ac:dyDescent="0.2">
      <c r="A12" s="7" t="s">
        <v>213</v>
      </c>
      <c r="B12" s="7" t="s">
        <v>214</v>
      </c>
      <c r="C12" s="7" t="s">
        <v>131</v>
      </c>
      <c r="D12" s="32">
        <v>1224255</v>
      </c>
      <c r="E12" s="29">
        <v>2594.8084724999999</v>
      </c>
      <c r="F12" s="7">
        <f t="shared" si="0"/>
        <v>2.8509979443346123</v>
      </c>
    </row>
    <row r="13" spans="1:6" x14ac:dyDescent="0.2">
      <c r="A13" s="7" t="s">
        <v>238</v>
      </c>
      <c r="B13" s="7" t="s">
        <v>239</v>
      </c>
      <c r="C13" s="7" t="s">
        <v>240</v>
      </c>
      <c r="D13" s="32">
        <v>434134</v>
      </c>
      <c r="E13" s="29">
        <v>2503.8678450000002</v>
      </c>
      <c r="F13" s="7">
        <f t="shared" si="0"/>
        <v>2.7510786073944176</v>
      </c>
    </row>
    <row r="14" spans="1:6" x14ac:dyDescent="0.2">
      <c r="A14" s="7" t="s">
        <v>316</v>
      </c>
      <c r="B14" s="7" t="s">
        <v>317</v>
      </c>
      <c r="C14" s="7" t="s">
        <v>33</v>
      </c>
      <c r="D14" s="32">
        <v>284585</v>
      </c>
      <c r="E14" s="29">
        <v>2333.7392924999999</v>
      </c>
      <c r="F14" s="7">
        <f t="shared" si="0"/>
        <v>2.5641529985910791</v>
      </c>
    </row>
    <row r="15" spans="1:6" x14ac:dyDescent="0.2">
      <c r="A15" s="7" t="s">
        <v>287</v>
      </c>
      <c r="B15" s="7" t="s">
        <v>288</v>
      </c>
      <c r="C15" s="7" t="s">
        <v>24</v>
      </c>
      <c r="D15" s="32">
        <v>419757</v>
      </c>
      <c r="E15" s="29">
        <v>2210.8601189999999</v>
      </c>
      <c r="F15" s="7">
        <f t="shared" si="0"/>
        <v>2.4291417733839604</v>
      </c>
    </row>
    <row r="16" spans="1:6" x14ac:dyDescent="0.2">
      <c r="A16" s="7" t="s">
        <v>129</v>
      </c>
      <c r="B16" s="7" t="s">
        <v>130</v>
      </c>
      <c r="C16" s="7" t="s">
        <v>131</v>
      </c>
      <c r="D16" s="32">
        <v>753388</v>
      </c>
      <c r="E16" s="29">
        <v>1781.3859259999999</v>
      </c>
      <c r="F16" s="7">
        <f t="shared" si="0"/>
        <v>1.9572649260696482</v>
      </c>
    </row>
    <row r="17" spans="1:6" x14ac:dyDescent="0.2">
      <c r="A17" s="7" t="s">
        <v>234</v>
      </c>
      <c r="B17" s="7" t="s">
        <v>235</v>
      </c>
      <c r="C17" s="7" t="s">
        <v>122</v>
      </c>
      <c r="D17" s="32">
        <v>639633</v>
      </c>
      <c r="E17" s="29">
        <v>1701.7435965</v>
      </c>
      <c r="F17" s="7">
        <f t="shared" si="0"/>
        <v>1.869759385644248</v>
      </c>
    </row>
    <row r="18" spans="1:6" x14ac:dyDescent="0.2">
      <c r="A18" s="7" t="s">
        <v>255</v>
      </c>
      <c r="B18" s="7" t="s">
        <v>256</v>
      </c>
      <c r="C18" s="7" t="s">
        <v>33</v>
      </c>
      <c r="D18" s="32">
        <v>1505501</v>
      </c>
      <c r="E18" s="29">
        <v>1693.688625</v>
      </c>
      <c r="F18" s="7">
        <f t="shared" si="0"/>
        <v>1.8609091342936934</v>
      </c>
    </row>
    <row r="19" spans="1:6" x14ac:dyDescent="0.2">
      <c r="A19" s="7" t="s">
        <v>196</v>
      </c>
      <c r="B19" s="7" t="s">
        <v>197</v>
      </c>
      <c r="C19" s="7" t="s">
        <v>57</v>
      </c>
      <c r="D19" s="32">
        <v>214691</v>
      </c>
      <c r="E19" s="29">
        <v>1692.5164984999999</v>
      </c>
      <c r="F19" s="7">
        <f t="shared" si="0"/>
        <v>1.8596212819233098</v>
      </c>
    </row>
    <row r="20" spans="1:6" x14ac:dyDescent="0.2">
      <c r="A20" s="7" t="s">
        <v>318</v>
      </c>
      <c r="B20" s="7" t="s">
        <v>319</v>
      </c>
      <c r="C20" s="7" t="s">
        <v>134</v>
      </c>
      <c r="D20" s="32">
        <v>1517846</v>
      </c>
      <c r="E20" s="29">
        <v>1634.7201419999999</v>
      </c>
      <c r="F20" s="7">
        <f t="shared" si="0"/>
        <v>1.7961186013525265</v>
      </c>
    </row>
    <row r="21" spans="1:6" x14ac:dyDescent="0.2">
      <c r="A21" s="7" t="s">
        <v>241</v>
      </c>
      <c r="B21" s="7" t="s">
        <v>242</v>
      </c>
      <c r="C21" s="7" t="s">
        <v>243</v>
      </c>
      <c r="D21" s="32">
        <v>1002100</v>
      </c>
      <c r="E21" s="29">
        <v>1578.3074999999999</v>
      </c>
      <c r="F21" s="7">
        <f t="shared" si="0"/>
        <v>1.7341362515640932</v>
      </c>
    </row>
    <row r="22" spans="1:6" x14ac:dyDescent="0.2">
      <c r="A22" s="7" t="s">
        <v>320</v>
      </c>
      <c r="B22" s="7" t="s">
        <v>321</v>
      </c>
      <c r="C22" s="7" t="s">
        <v>322</v>
      </c>
      <c r="D22" s="32">
        <v>747000</v>
      </c>
      <c r="E22" s="29">
        <v>1527.2415000000001</v>
      </c>
      <c r="F22" s="7">
        <f t="shared" si="0"/>
        <v>1.6780284260469673</v>
      </c>
    </row>
    <row r="23" spans="1:6" x14ac:dyDescent="0.2">
      <c r="A23" s="7" t="s">
        <v>219</v>
      </c>
      <c r="B23" s="7" t="s">
        <v>220</v>
      </c>
      <c r="C23" s="7" t="s">
        <v>117</v>
      </c>
      <c r="D23" s="32">
        <v>2363566</v>
      </c>
      <c r="E23" s="29">
        <v>1431.1392129999999</v>
      </c>
      <c r="F23" s="7">
        <f t="shared" si="0"/>
        <v>1.5724378109450832</v>
      </c>
    </row>
    <row r="24" spans="1:6" x14ac:dyDescent="0.2">
      <c r="A24" s="7" t="s">
        <v>247</v>
      </c>
      <c r="B24" s="7" t="s">
        <v>248</v>
      </c>
      <c r="C24" s="7" t="s">
        <v>11</v>
      </c>
      <c r="D24" s="32">
        <v>1505600</v>
      </c>
      <c r="E24" s="29">
        <v>1391.1744000000001</v>
      </c>
      <c r="F24" s="7">
        <f t="shared" si="0"/>
        <v>1.5285272098674858</v>
      </c>
    </row>
    <row r="25" spans="1:6" x14ac:dyDescent="0.2">
      <c r="A25" s="7" t="s">
        <v>217</v>
      </c>
      <c r="B25" s="7" t="s">
        <v>218</v>
      </c>
      <c r="C25" s="7" t="s">
        <v>36</v>
      </c>
      <c r="D25" s="32">
        <v>114045</v>
      </c>
      <c r="E25" s="29">
        <v>1356.8503874999999</v>
      </c>
      <c r="F25" s="7">
        <f t="shared" si="0"/>
        <v>1.4908143342869102</v>
      </c>
    </row>
    <row r="26" spans="1:6" x14ac:dyDescent="0.2">
      <c r="A26" s="7" t="s">
        <v>323</v>
      </c>
      <c r="B26" s="7" t="s">
        <v>324</v>
      </c>
      <c r="C26" s="7" t="s">
        <v>325</v>
      </c>
      <c r="D26" s="32">
        <v>140800</v>
      </c>
      <c r="E26" s="29">
        <v>1297.5424</v>
      </c>
      <c r="F26" s="7">
        <f t="shared" si="0"/>
        <v>1.4256507770389977</v>
      </c>
    </row>
    <row r="27" spans="1:6" x14ac:dyDescent="0.2">
      <c r="A27" s="7" t="s">
        <v>326</v>
      </c>
      <c r="B27" s="7" t="s">
        <v>327</v>
      </c>
      <c r="C27" s="7" t="s">
        <v>328</v>
      </c>
      <c r="D27" s="32">
        <v>136944</v>
      </c>
      <c r="E27" s="29">
        <v>1247.012064</v>
      </c>
      <c r="F27" s="7">
        <f t="shared" si="0"/>
        <v>1.3701315024608089</v>
      </c>
    </row>
    <row r="28" spans="1:6" x14ac:dyDescent="0.2">
      <c r="A28" s="7" t="s">
        <v>329</v>
      </c>
      <c r="B28" s="7" t="s">
        <v>330</v>
      </c>
      <c r="C28" s="7" t="s">
        <v>57</v>
      </c>
      <c r="D28" s="32">
        <v>126875</v>
      </c>
      <c r="E28" s="29">
        <v>1225.6125</v>
      </c>
      <c r="F28" s="7">
        <f t="shared" si="0"/>
        <v>1.346619126260312</v>
      </c>
    </row>
    <row r="29" spans="1:6" x14ac:dyDescent="0.2">
      <c r="A29" s="7" t="s">
        <v>266</v>
      </c>
      <c r="B29" s="7" t="s">
        <v>267</v>
      </c>
      <c r="C29" s="7" t="s">
        <v>78</v>
      </c>
      <c r="D29" s="32">
        <v>185768</v>
      </c>
      <c r="E29" s="29">
        <v>1181.9489000000001</v>
      </c>
      <c r="F29" s="7">
        <f t="shared" si="0"/>
        <v>1.2986445511956979</v>
      </c>
    </row>
    <row r="30" spans="1:6" x14ac:dyDescent="0.2">
      <c r="A30" s="7" t="s">
        <v>331</v>
      </c>
      <c r="B30" s="7" t="s">
        <v>332</v>
      </c>
      <c r="C30" s="7" t="s">
        <v>188</v>
      </c>
      <c r="D30" s="32">
        <v>494940</v>
      </c>
      <c r="E30" s="29">
        <v>1121.28657</v>
      </c>
      <c r="F30" s="7">
        <f t="shared" si="0"/>
        <v>1.2319929351086272</v>
      </c>
    </row>
    <row r="31" spans="1:6" x14ac:dyDescent="0.2">
      <c r="A31" s="7" t="s">
        <v>139</v>
      </c>
      <c r="B31" s="7" t="s">
        <v>140</v>
      </c>
      <c r="C31" s="7" t="s">
        <v>54</v>
      </c>
      <c r="D31" s="32">
        <v>753071</v>
      </c>
      <c r="E31" s="29">
        <v>1045.6390835</v>
      </c>
      <c r="F31" s="7">
        <f t="shared" si="0"/>
        <v>1.1488766547390823</v>
      </c>
    </row>
    <row r="32" spans="1:6" x14ac:dyDescent="0.2">
      <c r="A32" s="7" t="s">
        <v>186</v>
      </c>
      <c r="B32" s="7" t="s">
        <v>187</v>
      </c>
      <c r="C32" s="7" t="s">
        <v>188</v>
      </c>
      <c r="D32" s="32">
        <v>40000</v>
      </c>
      <c r="E32" s="29">
        <v>1029.8399999999999</v>
      </c>
      <c r="F32" s="7">
        <f t="shared" si="0"/>
        <v>1.1315177031793653</v>
      </c>
    </row>
    <row r="33" spans="1:6" x14ac:dyDescent="0.2">
      <c r="A33" s="7" t="s">
        <v>153</v>
      </c>
      <c r="B33" s="7" t="s">
        <v>154</v>
      </c>
      <c r="C33" s="7" t="s">
        <v>27</v>
      </c>
      <c r="D33" s="32">
        <v>2209748</v>
      </c>
      <c r="E33" s="29">
        <v>1006.540214</v>
      </c>
      <c r="F33" s="7">
        <f t="shared" si="0"/>
        <v>1.1059174931085867</v>
      </c>
    </row>
    <row r="34" spans="1:6" x14ac:dyDescent="0.2">
      <c r="A34" s="7" t="s">
        <v>123</v>
      </c>
      <c r="B34" s="7" t="s">
        <v>124</v>
      </c>
      <c r="C34" s="7" t="s">
        <v>122</v>
      </c>
      <c r="D34" s="32">
        <v>672460</v>
      </c>
      <c r="E34" s="29">
        <v>936.73677999999995</v>
      </c>
      <c r="F34" s="7">
        <f t="shared" si="0"/>
        <v>1.0292222576218</v>
      </c>
    </row>
    <row r="35" spans="1:6" x14ac:dyDescent="0.2">
      <c r="A35" s="7" t="s">
        <v>182</v>
      </c>
      <c r="B35" s="7" t="s">
        <v>183</v>
      </c>
      <c r="C35" s="7" t="s">
        <v>39</v>
      </c>
      <c r="D35" s="32">
        <v>155566</v>
      </c>
      <c r="E35" s="29">
        <v>855.61300000000006</v>
      </c>
      <c r="F35" s="7">
        <f t="shared" si="0"/>
        <v>0.94008900078692459</v>
      </c>
    </row>
    <row r="36" spans="1:6" x14ac:dyDescent="0.2">
      <c r="A36" s="7" t="s">
        <v>333</v>
      </c>
      <c r="B36" s="7" t="s">
        <v>334</v>
      </c>
      <c r="C36" s="7" t="s">
        <v>39</v>
      </c>
      <c r="D36" s="32">
        <v>32930</v>
      </c>
      <c r="E36" s="29">
        <v>828.68344999999999</v>
      </c>
      <c r="F36" s="7">
        <f t="shared" si="0"/>
        <v>0.91050065447715411</v>
      </c>
    </row>
    <row r="37" spans="1:6" x14ac:dyDescent="0.2">
      <c r="A37" s="7" t="s">
        <v>163</v>
      </c>
      <c r="B37" s="7" t="s">
        <v>599</v>
      </c>
      <c r="C37" s="7" t="s">
        <v>39</v>
      </c>
      <c r="D37" s="32">
        <v>1158906</v>
      </c>
      <c r="E37" s="29">
        <v>755.02725899999996</v>
      </c>
      <c r="F37" s="7">
        <f t="shared" si="0"/>
        <v>0.82957227330603933</v>
      </c>
    </row>
    <row r="38" spans="1:6" x14ac:dyDescent="0.2">
      <c r="A38" s="7" t="s">
        <v>253</v>
      </c>
      <c r="B38" s="7" t="s">
        <v>254</v>
      </c>
      <c r="C38" s="7" t="s">
        <v>243</v>
      </c>
      <c r="D38" s="32">
        <v>99400</v>
      </c>
      <c r="E38" s="29">
        <v>698.13589999999999</v>
      </c>
      <c r="F38" s="7">
        <f t="shared" si="0"/>
        <v>0.7670639420444525</v>
      </c>
    </row>
    <row r="39" spans="1:6" x14ac:dyDescent="0.2">
      <c r="A39" s="7" t="s">
        <v>145</v>
      </c>
      <c r="B39" s="7" t="s">
        <v>146</v>
      </c>
      <c r="C39" s="7" t="s">
        <v>131</v>
      </c>
      <c r="D39" s="32">
        <v>471258</v>
      </c>
      <c r="E39" s="29">
        <v>607.21593299999995</v>
      </c>
      <c r="F39" s="7">
        <f t="shared" si="0"/>
        <v>0.66716730544752123</v>
      </c>
    </row>
    <row r="40" spans="1:6" x14ac:dyDescent="0.2">
      <c r="A40" s="7" t="s">
        <v>268</v>
      </c>
      <c r="B40" s="7" t="s">
        <v>269</v>
      </c>
      <c r="C40" s="7" t="s">
        <v>270</v>
      </c>
      <c r="D40" s="32">
        <v>439349</v>
      </c>
      <c r="E40" s="29">
        <v>584.77351899999996</v>
      </c>
      <c r="F40" s="7">
        <f t="shared" si="0"/>
        <v>0.64250911704633229</v>
      </c>
    </row>
    <row r="41" spans="1:6" x14ac:dyDescent="0.2">
      <c r="A41" s="7" t="s">
        <v>335</v>
      </c>
      <c r="B41" s="7" t="s">
        <v>336</v>
      </c>
      <c r="C41" s="7" t="s">
        <v>39</v>
      </c>
      <c r="D41" s="32">
        <v>739545</v>
      </c>
      <c r="E41" s="29">
        <v>516.57218250000005</v>
      </c>
      <c r="F41" s="7">
        <f t="shared" si="0"/>
        <v>0.5675741566347704</v>
      </c>
    </row>
    <row r="42" spans="1:6" x14ac:dyDescent="0.2">
      <c r="A42" s="7" t="s">
        <v>337</v>
      </c>
      <c r="B42" s="7" t="s">
        <v>338</v>
      </c>
      <c r="C42" s="7" t="s">
        <v>134</v>
      </c>
      <c r="D42" s="32">
        <v>192709</v>
      </c>
      <c r="E42" s="29">
        <v>453.34792249999998</v>
      </c>
      <c r="F42" s="7">
        <f t="shared" si="0"/>
        <v>0.49810766721853578</v>
      </c>
    </row>
    <row r="43" spans="1:6" x14ac:dyDescent="0.2">
      <c r="A43" s="6" t="s">
        <v>43</v>
      </c>
      <c r="B43" s="7"/>
      <c r="C43" s="7"/>
      <c r="D43" s="32"/>
      <c r="E43" s="42">
        <f xml:space="preserve"> SUM(E7:E42)</f>
        <v>66063.742830500021</v>
      </c>
      <c r="F43" s="6">
        <f>SUM(F7:F42)</f>
        <v>72.586318798065363</v>
      </c>
    </row>
    <row r="44" spans="1:6" x14ac:dyDescent="0.2">
      <c r="A44" s="7"/>
      <c r="B44" s="7"/>
      <c r="C44" s="7"/>
      <c r="D44" s="32"/>
      <c r="E44" s="29"/>
      <c r="F44" s="7"/>
    </row>
    <row r="45" spans="1:6" x14ac:dyDescent="0.2">
      <c r="A45" s="6" t="s">
        <v>651</v>
      </c>
      <c r="B45" s="7"/>
      <c r="C45" s="7"/>
      <c r="D45" s="32"/>
      <c r="E45" s="29"/>
      <c r="F45" s="7"/>
    </row>
    <row r="46" spans="1:6" x14ac:dyDescent="0.2">
      <c r="A46" s="7" t="s">
        <v>652</v>
      </c>
      <c r="B46" s="7" t="s">
        <v>653</v>
      </c>
      <c r="C46" s="7"/>
      <c r="D46" s="32">
        <v>439200</v>
      </c>
      <c r="E46" s="29">
        <v>1643.7499200000002</v>
      </c>
      <c r="F46" s="7">
        <f t="shared" ref="F46" si="1">E46/$E$74*100</f>
        <v>1.8060399033633046</v>
      </c>
    </row>
    <row r="47" spans="1:6" x14ac:dyDescent="0.2">
      <c r="A47" s="6" t="s">
        <v>43</v>
      </c>
      <c r="B47" s="7"/>
      <c r="C47" s="7"/>
      <c r="D47" s="32"/>
      <c r="E47" s="42">
        <f>SUM(E46)</f>
        <v>1643.7499200000002</v>
      </c>
      <c r="F47" s="35">
        <f>SUM(F46)</f>
        <v>1.8060399033633046</v>
      </c>
    </row>
    <row r="48" spans="1:6" x14ac:dyDescent="0.2">
      <c r="A48" s="7"/>
      <c r="B48" s="7"/>
      <c r="C48" s="7"/>
      <c r="D48" s="32"/>
      <c r="E48" s="29"/>
      <c r="F48" s="7"/>
    </row>
    <row r="49" spans="1:6" x14ac:dyDescent="0.2">
      <c r="A49" s="6" t="s">
        <v>44</v>
      </c>
      <c r="B49" s="7"/>
      <c r="C49" s="7"/>
      <c r="D49" s="32"/>
      <c r="E49" s="29"/>
      <c r="F49" s="7"/>
    </row>
    <row r="50" spans="1:6" x14ac:dyDescent="0.2">
      <c r="A50" s="38" t="s">
        <v>350</v>
      </c>
      <c r="B50" s="7" t="s">
        <v>351</v>
      </c>
      <c r="C50" s="7" t="s">
        <v>246</v>
      </c>
      <c r="D50" s="32">
        <v>8075983</v>
      </c>
      <c r="E50" s="46">
        <v>3067.4977104999998</v>
      </c>
      <c r="F50" s="7">
        <f t="shared" ref="F50:F67" si="2">E50/$E$74*100</f>
        <v>3.3703565251815051</v>
      </c>
    </row>
    <row r="51" spans="1:6" x14ac:dyDescent="0.2">
      <c r="A51" s="38" t="s">
        <v>646</v>
      </c>
      <c r="B51" s="7" t="s">
        <v>654</v>
      </c>
      <c r="C51" s="7" t="s">
        <v>134</v>
      </c>
      <c r="D51" s="32">
        <v>2562198</v>
      </c>
      <c r="E51" s="46">
        <v>2112.2581998999999</v>
      </c>
      <c r="F51" s="7">
        <f t="shared" si="2"/>
        <v>2.3208047336213666</v>
      </c>
    </row>
    <row r="52" spans="1:6" x14ac:dyDescent="0.2">
      <c r="A52" s="38" t="s">
        <v>71</v>
      </c>
      <c r="B52" s="7" t="s">
        <v>72</v>
      </c>
      <c r="C52" s="7" t="s">
        <v>36</v>
      </c>
      <c r="D52" s="32">
        <v>440700</v>
      </c>
      <c r="E52" s="46">
        <v>1778.5285470000001</v>
      </c>
      <c r="F52" s="7">
        <f t="shared" si="2"/>
        <v>1.9541254336016993</v>
      </c>
    </row>
    <row r="53" spans="1:6" x14ac:dyDescent="0.2">
      <c r="A53" s="38" t="s">
        <v>650</v>
      </c>
      <c r="B53" s="7" t="s">
        <v>659</v>
      </c>
      <c r="C53" s="7" t="s">
        <v>36</v>
      </c>
      <c r="D53" s="32">
        <v>851378</v>
      </c>
      <c r="E53" s="46">
        <v>1625.6652429999999</v>
      </c>
      <c r="F53" s="7">
        <f t="shared" si="2"/>
        <v>1.7861696981063899</v>
      </c>
    </row>
    <row r="54" spans="1:6" x14ac:dyDescent="0.2">
      <c r="A54" s="38" t="s">
        <v>348</v>
      </c>
      <c r="B54" s="7" t="s">
        <v>349</v>
      </c>
      <c r="C54" s="7" t="s">
        <v>93</v>
      </c>
      <c r="D54" s="32">
        <v>3204100</v>
      </c>
      <c r="E54" s="46">
        <v>1597.3284435999999</v>
      </c>
      <c r="F54" s="7">
        <f t="shared" si="2"/>
        <v>1.7550351624770275</v>
      </c>
    </row>
    <row r="55" spans="1:6" x14ac:dyDescent="0.2">
      <c r="A55" s="38" t="s">
        <v>648</v>
      </c>
      <c r="B55" s="7" t="s">
        <v>657</v>
      </c>
      <c r="C55" s="7" t="s">
        <v>243</v>
      </c>
      <c r="D55" s="32">
        <v>340000</v>
      </c>
      <c r="E55" s="46">
        <v>1530.8447424000001</v>
      </c>
      <c r="F55" s="7">
        <f t="shared" si="2"/>
        <v>1.6819874221671864</v>
      </c>
    </row>
    <row r="56" spans="1:6" x14ac:dyDescent="0.2">
      <c r="A56" s="38" t="s">
        <v>342</v>
      </c>
      <c r="B56" s="7" t="s">
        <v>343</v>
      </c>
      <c r="C56" s="7" t="s">
        <v>188</v>
      </c>
      <c r="D56" s="32">
        <v>2678400</v>
      </c>
      <c r="E56" s="46">
        <v>1441.2255835999999</v>
      </c>
      <c r="F56" s="7">
        <f t="shared" si="2"/>
        <v>1.5835200245848016</v>
      </c>
    </row>
    <row r="57" spans="1:6" x14ac:dyDescent="0.2">
      <c r="A57" s="38" t="s">
        <v>649</v>
      </c>
      <c r="B57" s="7" t="s">
        <v>658</v>
      </c>
      <c r="C57" s="7" t="s">
        <v>188</v>
      </c>
      <c r="D57" s="32">
        <v>5150</v>
      </c>
      <c r="E57" s="46">
        <v>1253.7738509000001</v>
      </c>
      <c r="F57" s="7">
        <f t="shared" si="2"/>
        <v>1.3775608910866892</v>
      </c>
    </row>
    <row r="58" spans="1:6" x14ac:dyDescent="0.2">
      <c r="A58" s="38" t="s">
        <v>339</v>
      </c>
      <c r="B58" s="7" t="s">
        <v>655</v>
      </c>
      <c r="C58" s="7" t="s">
        <v>134</v>
      </c>
      <c r="D58" s="32">
        <v>2017335</v>
      </c>
      <c r="E58" s="46">
        <v>1216.766498</v>
      </c>
      <c r="F58" s="7">
        <f t="shared" si="2"/>
        <v>1.3368997447395321</v>
      </c>
    </row>
    <row r="59" spans="1:6" x14ac:dyDescent="0.2">
      <c r="A59" s="38" t="s">
        <v>359</v>
      </c>
      <c r="B59" s="7" t="s">
        <v>360</v>
      </c>
      <c r="C59" s="7" t="s">
        <v>188</v>
      </c>
      <c r="D59" s="32">
        <v>500000</v>
      </c>
      <c r="E59" s="46">
        <v>901.19633260000001</v>
      </c>
      <c r="F59" s="7">
        <f t="shared" si="2"/>
        <v>0.99017284663367056</v>
      </c>
    </row>
    <row r="60" spans="1:6" x14ac:dyDescent="0.2">
      <c r="A60" s="38" t="s">
        <v>344</v>
      </c>
      <c r="B60" s="7" t="s">
        <v>345</v>
      </c>
      <c r="C60" s="7" t="s">
        <v>78</v>
      </c>
      <c r="D60" s="32">
        <v>633055</v>
      </c>
      <c r="E60" s="46">
        <v>859.39702039999997</v>
      </c>
      <c r="F60" s="7">
        <f t="shared" si="2"/>
        <v>0.94424662339994381</v>
      </c>
    </row>
    <row r="61" spans="1:6" x14ac:dyDescent="0.2">
      <c r="A61" s="38" t="s">
        <v>354</v>
      </c>
      <c r="B61" s="7" t="s">
        <v>355</v>
      </c>
      <c r="C61" s="7" t="s">
        <v>188</v>
      </c>
      <c r="D61" s="32">
        <v>70700</v>
      </c>
      <c r="E61" s="46">
        <v>817.17472069999997</v>
      </c>
      <c r="F61" s="7">
        <f t="shared" si="2"/>
        <v>0.89785565045318039</v>
      </c>
    </row>
    <row r="62" spans="1:6" x14ac:dyDescent="0.2">
      <c r="A62" s="38" t="s">
        <v>340</v>
      </c>
      <c r="B62" s="7" t="s">
        <v>341</v>
      </c>
      <c r="C62" s="7" t="s">
        <v>14</v>
      </c>
      <c r="D62" s="32">
        <v>2826000</v>
      </c>
      <c r="E62" s="46">
        <v>713.1143217</v>
      </c>
      <c r="F62" s="7">
        <f t="shared" si="2"/>
        <v>0.78352120658965951</v>
      </c>
    </row>
    <row r="63" spans="1:6" x14ac:dyDescent="0.2">
      <c r="A63" s="38" t="s">
        <v>356</v>
      </c>
      <c r="B63" s="7" t="s">
        <v>357</v>
      </c>
      <c r="C63" s="7" t="s">
        <v>358</v>
      </c>
      <c r="D63" s="32">
        <v>187038</v>
      </c>
      <c r="E63" s="46">
        <v>687.48455290000004</v>
      </c>
      <c r="F63" s="7">
        <f t="shared" si="2"/>
        <v>0.7553609708971305</v>
      </c>
    </row>
    <row r="64" spans="1:6" x14ac:dyDescent="0.2">
      <c r="A64" s="38" t="s">
        <v>352</v>
      </c>
      <c r="B64" s="7" t="s">
        <v>353</v>
      </c>
      <c r="C64" s="7" t="s">
        <v>11</v>
      </c>
      <c r="D64" s="32">
        <v>300000</v>
      </c>
      <c r="E64" s="46">
        <v>678.3577027</v>
      </c>
      <c r="F64" s="7">
        <f t="shared" si="2"/>
        <v>0.74533301259723328</v>
      </c>
    </row>
    <row r="65" spans="1:6" x14ac:dyDescent="0.2">
      <c r="A65" s="38" t="s">
        <v>361</v>
      </c>
      <c r="B65" s="7" t="s">
        <v>362</v>
      </c>
      <c r="C65" s="7" t="s">
        <v>75</v>
      </c>
      <c r="D65" s="32">
        <v>500000</v>
      </c>
      <c r="E65" s="46">
        <v>592.30962890000001</v>
      </c>
      <c r="F65" s="7">
        <f t="shared" si="2"/>
        <v>0.65078927878500559</v>
      </c>
    </row>
    <row r="66" spans="1:6" x14ac:dyDescent="0.2">
      <c r="A66" s="38" t="s">
        <v>647</v>
      </c>
      <c r="B66" s="7" t="s">
        <v>656</v>
      </c>
      <c r="C66" s="7" t="s">
        <v>33</v>
      </c>
      <c r="D66" s="32">
        <v>25000</v>
      </c>
      <c r="E66" s="46">
        <v>577.06204190000005</v>
      </c>
      <c r="F66" s="7">
        <f t="shared" si="2"/>
        <v>0.63403627383154926</v>
      </c>
    </row>
    <row r="67" spans="1:6" x14ac:dyDescent="0.2">
      <c r="A67" s="38" t="s">
        <v>346</v>
      </c>
      <c r="B67" s="7" t="s">
        <v>347</v>
      </c>
      <c r="C67" s="7" t="s">
        <v>33</v>
      </c>
      <c r="D67" s="32">
        <v>500000</v>
      </c>
      <c r="E67" s="46">
        <v>458.08157899999998</v>
      </c>
      <c r="F67" s="7">
        <f t="shared" si="2"/>
        <v>0.5033086849790811</v>
      </c>
    </row>
    <row r="68" spans="1:6" x14ac:dyDescent="0.2">
      <c r="A68" s="6" t="s">
        <v>43</v>
      </c>
      <c r="B68" s="7"/>
      <c r="C68" s="7"/>
      <c r="D68" s="32"/>
      <c r="E68" s="42">
        <f>SUM(E50:E67)</f>
        <v>21908.0667197</v>
      </c>
      <c r="F68" s="6">
        <f>SUM(F50:F67)</f>
        <v>24.071084183732648</v>
      </c>
    </row>
    <row r="69" spans="1:6" x14ac:dyDescent="0.2">
      <c r="A69" s="7"/>
      <c r="B69" s="7"/>
      <c r="C69" s="7"/>
      <c r="D69" s="7"/>
      <c r="E69" s="29"/>
      <c r="F69" s="7"/>
    </row>
    <row r="70" spans="1:6" x14ac:dyDescent="0.2">
      <c r="A70" s="6" t="s">
        <v>43</v>
      </c>
      <c r="B70" s="7"/>
      <c r="C70" s="7"/>
      <c r="D70" s="7"/>
      <c r="E70" s="42">
        <f>E43+E47+E68</f>
        <v>89615.559470200023</v>
      </c>
      <c r="F70" s="6">
        <f>F43+F47+F68</f>
        <v>98.463442885161314</v>
      </c>
    </row>
    <row r="71" spans="1:6" x14ac:dyDescent="0.2">
      <c r="A71" s="7"/>
      <c r="B71" s="7"/>
      <c r="C71" s="7"/>
      <c r="D71" s="7"/>
      <c r="E71" s="29"/>
      <c r="F71" s="7"/>
    </row>
    <row r="72" spans="1:6" x14ac:dyDescent="0.2">
      <c r="A72" s="6" t="s">
        <v>101</v>
      </c>
      <c r="B72" s="7"/>
      <c r="C72" s="7"/>
      <c r="D72" s="7"/>
      <c r="E72" s="42">
        <v>1398.4827411000001</v>
      </c>
      <c r="F72" s="6">
        <f t="shared" ref="F72" si="3">E72/$E$74*100</f>
        <v>1.5365571148386692</v>
      </c>
    </row>
    <row r="73" spans="1:6" x14ac:dyDescent="0.2">
      <c r="A73" s="7"/>
      <c r="B73" s="7"/>
      <c r="C73" s="7"/>
      <c r="D73" s="7"/>
      <c r="E73" s="29"/>
      <c r="F73" s="7"/>
    </row>
    <row r="74" spans="1:6" x14ac:dyDescent="0.2">
      <c r="A74" s="8" t="s">
        <v>102</v>
      </c>
      <c r="B74" s="5"/>
      <c r="C74" s="5"/>
      <c r="D74" s="5"/>
      <c r="E74" s="43">
        <f>E70+E72</f>
        <v>91014.042211300024</v>
      </c>
      <c r="F74" s="8">
        <f>F70+F72</f>
        <v>99.999999999999986</v>
      </c>
    </row>
    <row r="76" spans="1:6" x14ac:dyDescent="0.2">
      <c r="A76" s="4" t="s">
        <v>103</v>
      </c>
      <c r="B76" s="2"/>
      <c r="C76" s="2"/>
      <c r="D76" s="2"/>
    </row>
    <row r="77" spans="1:6" x14ac:dyDescent="0.2">
      <c r="A77" s="4" t="s">
        <v>104</v>
      </c>
      <c r="B77" s="2"/>
      <c r="C77" s="2"/>
      <c r="D77" s="2"/>
    </row>
    <row r="78" spans="1:6" x14ac:dyDescent="0.2">
      <c r="A78" s="4" t="s">
        <v>608</v>
      </c>
      <c r="B78" s="2"/>
      <c r="C78" s="2"/>
      <c r="D78" s="2"/>
    </row>
    <row r="79" spans="1:6" x14ac:dyDescent="0.2">
      <c r="A79" s="2" t="s">
        <v>600</v>
      </c>
      <c r="B79" s="2"/>
      <c r="C79" s="2"/>
      <c r="D79" s="10">
        <v>44.430199999999999</v>
      </c>
    </row>
    <row r="80" spans="1:6" x14ac:dyDescent="0.2">
      <c r="A80" s="2" t="s">
        <v>601</v>
      </c>
      <c r="B80" s="2"/>
      <c r="C80" s="2"/>
      <c r="D80" s="10">
        <v>15.0177</v>
      </c>
    </row>
    <row r="81" spans="1:4" x14ac:dyDescent="0.2">
      <c r="A81" s="2" t="s">
        <v>602</v>
      </c>
      <c r="B81" s="2"/>
      <c r="C81" s="2"/>
      <c r="D81" s="10">
        <v>46.12</v>
      </c>
    </row>
    <row r="82" spans="1:4" x14ac:dyDescent="0.2">
      <c r="A82" s="2" t="s">
        <v>603</v>
      </c>
      <c r="B82" s="2"/>
      <c r="C82" s="2"/>
      <c r="D82" s="10">
        <v>15.7281</v>
      </c>
    </row>
    <row r="83" spans="1:4" x14ac:dyDescent="0.2">
      <c r="A83" s="2"/>
      <c r="B83" s="2"/>
      <c r="C83" s="2"/>
      <c r="D83" s="10"/>
    </row>
    <row r="84" spans="1:4" x14ac:dyDescent="0.2">
      <c r="A84" s="4" t="s">
        <v>105</v>
      </c>
      <c r="B84" s="2"/>
      <c r="C84" s="2"/>
      <c r="D84" s="2"/>
    </row>
    <row r="85" spans="1:4" x14ac:dyDescent="0.2">
      <c r="A85" s="2" t="s">
        <v>600</v>
      </c>
      <c r="B85" s="2"/>
      <c r="C85" s="2"/>
      <c r="D85" s="10">
        <v>44.722099999999998</v>
      </c>
    </row>
    <row r="86" spans="1:4" x14ac:dyDescent="0.2">
      <c r="A86" s="2" t="s">
        <v>601</v>
      </c>
      <c r="B86" s="2"/>
      <c r="C86" s="2"/>
      <c r="D86" s="10">
        <v>14.3459</v>
      </c>
    </row>
    <row r="87" spans="1:4" x14ac:dyDescent="0.2">
      <c r="A87" s="2" t="s">
        <v>602</v>
      </c>
      <c r="B87" s="2"/>
      <c r="C87" s="2"/>
      <c r="D87" s="10">
        <v>46.561599999999999</v>
      </c>
    </row>
    <row r="88" spans="1:4" x14ac:dyDescent="0.2">
      <c r="A88" s="2" t="s">
        <v>603</v>
      </c>
      <c r="B88" s="2"/>
      <c r="C88" s="2"/>
      <c r="D88" s="10">
        <v>15.1035</v>
      </c>
    </row>
    <row r="89" spans="1:4" x14ac:dyDescent="0.2">
      <c r="A89" s="2"/>
      <c r="B89" s="2"/>
      <c r="C89" s="2"/>
      <c r="D89" s="2"/>
    </row>
    <row r="90" spans="1:4" x14ac:dyDescent="0.2">
      <c r="A90" s="4" t="s">
        <v>106</v>
      </c>
      <c r="B90" s="2"/>
      <c r="C90" s="2"/>
      <c r="D90" s="20" t="s">
        <v>311</v>
      </c>
    </row>
    <row r="91" spans="1:4" x14ac:dyDescent="0.2">
      <c r="A91" s="21" t="s">
        <v>604</v>
      </c>
      <c r="B91" s="22"/>
      <c r="C91" s="103" t="s">
        <v>605</v>
      </c>
      <c r="D91" s="104"/>
    </row>
    <row r="92" spans="1:4" x14ac:dyDescent="0.2">
      <c r="A92" s="105"/>
      <c r="B92" s="106"/>
      <c r="C92" s="23" t="s">
        <v>606</v>
      </c>
      <c r="D92" s="23" t="s">
        <v>607</v>
      </c>
    </row>
    <row r="93" spans="1:4" x14ac:dyDescent="0.2">
      <c r="A93" s="24" t="s">
        <v>601</v>
      </c>
      <c r="B93" s="25"/>
      <c r="C93" s="26">
        <v>0.70000393640000003</v>
      </c>
      <c r="D93" s="26">
        <v>0.70000393640000003</v>
      </c>
    </row>
    <row r="94" spans="1:4" x14ac:dyDescent="0.2">
      <c r="A94" s="24" t="s">
        <v>603</v>
      </c>
      <c r="B94" s="25"/>
      <c r="C94" s="26">
        <v>0.70000393640000003</v>
      </c>
      <c r="D94" s="26">
        <v>0.70000393640000003</v>
      </c>
    </row>
    <row r="95" spans="1:4" x14ac:dyDescent="0.2">
      <c r="A95" s="4"/>
      <c r="B95" s="2"/>
      <c r="C95" s="2"/>
      <c r="D95" s="20"/>
    </row>
    <row r="96" spans="1:4" x14ac:dyDescent="0.2">
      <c r="A96" s="9" t="s">
        <v>609</v>
      </c>
      <c r="B96" s="2"/>
      <c r="C96" s="2"/>
      <c r="D96" s="27">
        <v>0.15121711003597019</v>
      </c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</sheetData>
  <sortState xmlns:xlrd2="http://schemas.microsoft.com/office/spreadsheetml/2017/richdata2" ref="A50:H67">
    <sortCondition descending="1" ref="E50:E67"/>
  </sortState>
  <mergeCells count="3">
    <mergeCell ref="A1:F1"/>
    <mergeCell ref="C91:D91"/>
    <mergeCell ref="A92:B9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E974-A8FF-42F6-B1EC-AF623514CB00}">
  <dimension ref="A1:F93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1.42578125" style="1" bestFit="1" customWidth="1"/>
    <col min="3" max="3" width="20" style="1" bestFit="1" customWidth="1"/>
    <col min="4" max="4" width="12.8554687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274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4200000</v>
      </c>
      <c r="E7" s="29">
        <v>94569.3</v>
      </c>
      <c r="F7" s="7">
        <v>8.9178797248697084</v>
      </c>
    </row>
    <row r="8" spans="1:6" x14ac:dyDescent="0.2">
      <c r="A8" s="7" t="s">
        <v>180</v>
      </c>
      <c r="B8" s="7" t="s">
        <v>181</v>
      </c>
      <c r="C8" s="7" t="s">
        <v>78</v>
      </c>
      <c r="D8" s="32">
        <v>9000000</v>
      </c>
      <c r="E8" s="29">
        <v>71428.5</v>
      </c>
      <c r="F8" s="7">
        <v>6.7357035732299595</v>
      </c>
    </row>
    <row r="9" spans="1:6" x14ac:dyDescent="0.2">
      <c r="A9" s="7" t="s">
        <v>113</v>
      </c>
      <c r="B9" s="7" t="s">
        <v>114</v>
      </c>
      <c r="C9" s="7" t="s">
        <v>42</v>
      </c>
      <c r="D9" s="32">
        <v>19000000</v>
      </c>
      <c r="E9" s="29">
        <v>64144</v>
      </c>
      <c r="F9" s="7">
        <v>6.0487756287933037</v>
      </c>
    </row>
    <row r="10" spans="1:6" x14ac:dyDescent="0.2">
      <c r="A10" s="7" t="s">
        <v>109</v>
      </c>
      <c r="B10" s="7" t="s">
        <v>110</v>
      </c>
      <c r="C10" s="7" t="s">
        <v>11</v>
      </c>
      <c r="D10" s="32">
        <v>12000000</v>
      </c>
      <c r="E10" s="29">
        <v>50952</v>
      </c>
      <c r="F10" s="7">
        <v>4.8047707632557435</v>
      </c>
    </row>
    <row r="11" spans="1:6" x14ac:dyDescent="0.2">
      <c r="A11" s="7" t="s">
        <v>189</v>
      </c>
      <c r="B11" s="7" t="s">
        <v>190</v>
      </c>
      <c r="C11" s="7" t="s">
        <v>191</v>
      </c>
      <c r="D11" s="32">
        <v>2800000</v>
      </c>
      <c r="E11" s="29">
        <v>38844.400000000001</v>
      </c>
      <c r="F11" s="7">
        <v>3.6630247573443908</v>
      </c>
    </row>
    <row r="12" spans="1:6" x14ac:dyDescent="0.2">
      <c r="A12" s="7" t="s">
        <v>20</v>
      </c>
      <c r="B12" s="7" t="s">
        <v>21</v>
      </c>
      <c r="C12" s="7" t="s">
        <v>11</v>
      </c>
      <c r="D12" s="32">
        <v>2500000</v>
      </c>
      <c r="E12" s="29">
        <v>37988.75</v>
      </c>
      <c r="F12" s="7">
        <v>3.582337009982564</v>
      </c>
    </row>
    <row r="13" spans="1:6" x14ac:dyDescent="0.2">
      <c r="A13" s="7" t="s">
        <v>118</v>
      </c>
      <c r="B13" s="7" t="s">
        <v>119</v>
      </c>
      <c r="C13" s="7" t="s">
        <v>11</v>
      </c>
      <c r="D13" s="32">
        <v>4800000</v>
      </c>
      <c r="E13" s="29">
        <v>32356.799999999999</v>
      </c>
      <c r="F13" s="7">
        <v>3.0512444385404582</v>
      </c>
    </row>
    <row r="14" spans="1:6" x14ac:dyDescent="0.2">
      <c r="A14" s="7" t="s">
        <v>182</v>
      </c>
      <c r="B14" s="7" t="s">
        <v>183</v>
      </c>
      <c r="C14" s="7" t="s">
        <v>39</v>
      </c>
      <c r="D14" s="32">
        <v>5800000</v>
      </c>
      <c r="E14" s="29">
        <v>31900</v>
      </c>
      <c r="F14" s="7">
        <v>3.0081682239727234</v>
      </c>
    </row>
    <row r="15" spans="1:6" x14ac:dyDescent="0.2">
      <c r="A15" s="7" t="s">
        <v>184</v>
      </c>
      <c r="B15" s="7" t="s">
        <v>185</v>
      </c>
      <c r="C15" s="7" t="s">
        <v>78</v>
      </c>
      <c r="D15" s="32">
        <v>3000000</v>
      </c>
      <c r="E15" s="29">
        <v>31036.5</v>
      </c>
      <c r="F15" s="7">
        <v>2.9267402220479446</v>
      </c>
    </row>
    <row r="16" spans="1:6" x14ac:dyDescent="0.2">
      <c r="A16" s="7" t="s">
        <v>196</v>
      </c>
      <c r="B16" s="7" t="s">
        <v>197</v>
      </c>
      <c r="C16" s="7" t="s">
        <v>57</v>
      </c>
      <c r="D16" s="32">
        <v>3500000</v>
      </c>
      <c r="E16" s="29">
        <v>27592.25</v>
      </c>
      <c r="F16" s="7">
        <v>2.6019476388059992</v>
      </c>
    </row>
    <row r="17" spans="1:6" x14ac:dyDescent="0.2">
      <c r="A17" s="7" t="s">
        <v>200</v>
      </c>
      <c r="B17" s="7" t="s">
        <v>201</v>
      </c>
      <c r="C17" s="7" t="s">
        <v>36</v>
      </c>
      <c r="D17" s="32">
        <v>1760000</v>
      </c>
      <c r="E17" s="29">
        <v>24911.919999999998</v>
      </c>
      <c r="F17" s="7">
        <v>2.349192669032933</v>
      </c>
    </row>
    <row r="18" spans="1:6" x14ac:dyDescent="0.2">
      <c r="A18" s="7" t="s">
        <v>198</v>
      </c>
      <c r="B18" s="7" t="s">
        <v>199</v>
      </c>
      <c r="C18" s="7" t="s">
        <v>36</v>
      </c>
      <c r="D18" s="32">
        <v>6500000</v>
      </c>
      <c r="E18" s="29">
        <v>23842</v>
      </c>
      <c r="F18" s="7">
        <v>2.248299272600554</v>
      </c>
    </row>
    <row r="19" spans="1:6" x14ac:dyDescent="0.2">
      <c r="A19" s="7" t="s">
        <v>275</v>
      </c>
      <c r="B19" s="7" t="s">
        <v>276</v>
      </c>
      <c r="C19" s="7" t="s">
        <v>93</v>
      </c>
      <c r="D19" s="32">
        <v>4000000</v>
      </c>
      <c r="E19" s="29">
        <v>23320</v>
      </c>
      <c r="F19" s="7">
        <v>2.1990747016628185</v>
      </c>
    </row>
    <row r="20" spans="1:6" x14ac:dyDescent="0.2">
      <c r="A20" s="7" t="s">
        <v>37</v>
      </c>
      <c r="B20" s="7" t="s">
        <v>38</v>
      </c>
      <c r="C20" s="7" t="s">
        <v>39</v>
      </c>
      <c r="D20" s="32">
        <v>16500000</v>
      </c>
      <c r="E20" s="29">
        <v>22374</v>
      </c>
      <c r="F20" s="7">
        <v>2.1098669543312134</v>
      </c>
    </row>
    <row r="21" spans="1:6" x14ac:dyDescent="0.2">
      <c r="A21" s="7" t="s">
        <v>277</v>
      </c>
      <c r="B21" s="7" t="s">
        <v>278</v>
      </c>
      <c r="C21" s="7" t="s">
        <v>36</v>
      </c>
      <c r="D21" s="32">
        <v>5200000</v>
      </c>
      <c r="E21" s="29">
        <v>22175.4</v>
      </c>
      <c r="F21" s="7">
        <v>2.0911389853882363</v>
      </c>
    </row>
    <row r="22" spans="1:6" x14ac:dyDescent="0.2">
      <c r="A22" s="7" t="s">
        <v>192</v>
      </c>
      <c r="B22" s="7" t="s">
        <v>193</v>
      </c>
      <c r="C22" s="7" t="s">
        <v>188</v>
      </c>
      <c r="D22" s="32">
        <v>2800000</v>
      </c>
      <c r="E22" s="29">
        <v>21414.400000000001</v>
      </c>
      <c r="F22" s="7">
        <v>2.0193767277567867</v>
      </c>
    </row>
    <row r="23" spans="1:6" x14ac:dyDescent="0.2">
      <c r="A23" s="7" t="s">
        <v>137</v>
      </c>
      <c r="B23" s="7" t="s">
        <v>138</v>
      </c>
      <c r="C23" s="7" t="s">
        <v>57</v>
      </c>
      <c r="D23" s="32">
        <v>1370000</v>
      </c>
      <c r="E23" s="29">
        <v>21377.48</v>
      </c>
      <c r="F23" s="7">
        <v>2.0158951738123014</v>
      </c>
    </row>
    <row r="24" spans="1:6" x14ac:dyDescent="0.2">
      <c r="A24" s="7" t="s">
        <v>111</v>
      </c>
      <c r="B24" s="7" t="s">
        <v>112</v>
      </c>
      <c r="C24" s="7" t="s">
        <v>11</v>
      </c>
      <c r="D24" s="32">
        <v>6000000</v>
      </c>
      <c r="E24" s="29">
        <v>19932</v>
      </c>
      <c r="F24" s="7">
        <v>1.8795864902891639</v>
      </c>
    </row>
    <row r="25" spans="1:6" x14ac:dyDescent="0.2">
      <c r="A25" s="7" t="s">
        <v>257</v>
      </c>
      <c r="B25" s="7" t="s">
        <v>258</v>
      </c>
      <c r="C25" s="7" t="s">
        <v>14</v>
      </c>
      <c r="D25" s="32">
        <v>10000000</v>
      </c>
      <c r="E25" s="29">
        <v>18825</v>
      </c>
      <c r="F25" s="7">
        <v>1.7751964519212076</v>
      </c>
    </row>
    <row r="26" spans="1:6" x14ac:dyDescent="0.2">
      <c r="A26" s="7" t="s">
        <v>266</v>
      </c>
      <c r="B26" s="7" t="s">
        <v>267</v>
      </c>
      <c r="C26" s="7" t="s">
        <v>78</v>
      </c>
      <c r="D26" s="32">
        <v>2900000</v>
      </c>
      <c r="E26" s="29">
        <v>18451.25</v>
      </c>
      <c r="F26" s="7">
        <v>1.7399518477296774</v>
      </c>
    </row>
    <row r="27" spans="1:6" x14ac:dyDescent="0.2">
      <c r="A27" s="7" t="s">
        <v>115</v>
      </c>
      <c r="B27" s="7" t="s">
        <v>116</v>
      </c>
      <c r="C27" s="7" t="s">
        <v>117</v>
      </c>
      <c r="D27" s="32">
        <v>14000000</v>
      </c>
      <c r="E27" s="29">
        <v>17717</v>
      </c>
      <c r="F27" s="7">
        <v>1.670712113608926</v>
      </c>
    </row>
    <row r="28" spans="1:6" x14ac:dyDescent="0.2">
      <c r="A28" s="7" t="s">
        <v>234</v>
      </c>
      <c r="B28" s="7" t="s">
        <v>235</v>
      </c>
      <c r="C28" s="7" t="s">
        <v>122</v>
      </c>
      <c r="D28" s="32">
        <v>6000000</v>
      </c>
      <c r="E28" s="29">
        <v>15963</v>
      </c>
      <c r="F28" s="7">
        <v>1.505310011262589</v>
      </c>
    </row>
    <row r="29" spans="1:6" x14ac:dyDescent="0.2">
      <c r="A29" s="7" t="s">
        <v>204</v>
      </c>
      <c r="B29" s="7" t="s">
        <v>205</v>
      </c>
      <c r="C29" s="7" t="s">
        <v>188</v>
      </c>
      <c r="D29" s="32">
        <v>7000000</v>
      </c>
      <c r="E29" s="29">
        <v>15946</v>
      </c>
      <c r="F29" s="7">
        <v>1.5037069122090609</v>
      </c>
    </row>
    <row r="30" spans="1:6" x14ac:dyDescent="0.2">
      <c r="A30" s="7" t="s">
        <v>186</v>
      </c>
      <c r="B30" s="7" t="s">
        <v>187</v>
      </c>
      <c r="C30" s="7" t="s">
        <v>188</v>
      </c>
      <c r="D30" s="32">
        <v>600000</v>
      </c>
      <c r="E30" s="29">
        <v>15447.6</v>
      </c>
      <c r="F30" s="7">
        <v>1.4567078199573995</v>
      </c>
    </row>
    <row r="31" spans="1:6" x14ac:dyDescent="0.2">
      <c r="A31" s="7" t="s">
        <v>25</v>
      </c>
      <c r="B31" s="7" t="s">
        <v>26</v>
      </c>
      <c r="C31" s="7" t="s">
        <v>27</v>
      </c>
      <c r="D31" s="32">
        <v>7700000</v>
      </c>
      <c r="E31" s="29">
        <v>14672.35</v>
      </c>
      <c r="F31" s="7">
        <v>1.3836017881193163</v>
      </c>
    </row>
    <row r="32" spans="1:6" x14ac:dyDescent="0.2">
      <c r="A32" s="7" t="s">
        <v>244</v>
      </c>
      <c r="B32" s="7" t="s">
        <v>245</v>
      </c>
      <c r="C32" s="7" t="s">
        <v>246</v>
      </c>
      <c r="D32" s="32">
        <v>1200000</v>
      </c>
      <c r="E32" s="29">
        <v>13194.6</v>
      </c>
      <c r="F32" s="7">
        <v>1.2442500453928056</v>
      </c>
    </row>
    <row r="33" spans="1:6" x14ac:dyDescent="0.2">
      <c r="A33" s="7" t="s">
        <v>40</v>
      </c>
      <c r="B33" s="7" t="s">
        <v>41</v>
      </c>
      <c r="C33" s="7" t="s">
        <v>42</v>
      </c>
      <c r="D33" s="32">
        <v>190000000</v>
      </c>
      <c r="E33" s="29">
        <v>13015</v>
      </c>
      <c r="F33" s="7">
        <v>1.2273137753920063</v>
      </c>
    </row>
    <row r="34" spans="1:6" x14ac:dyDescent="0.2">
      <c r="A34" s="7" t="s">
        <v>279</v>
      </c>
      <c r="B34" s="7" t="s">
        <v>280</v>
      </c>
      <c r="C34" s="7" t="s">
        <v>188</v>
      </c>
      <c r="D34" s="32">
        <v>3000000</v>
      </c>
      <c r="E34" s="29">
        <v>12802.5</v>
      </c>
      <c r="F34" s="7">
        <v>1.2072750372229089</v>
      </c>
    </row>
    <row r="35" spans="1:6" x14ac:dyDescent="0.2">
      <c r="A35" s="7" t="s">
        <v>141</v>
      </c>
      <c r="B35" s="7" t="s">
        <v>142</v>
      </c>
      <c r="C35" s="7" t="s">
        <v>57</v>
      </c>
      <c r="D35" s="32">
        <v>3500000</v>
      </c>
      <c r="E35" s="29">
        <v>11697</v>
      </c>
      <c r="F35" s="7">
        <v>1.1030264487714403</v>
      </c>
    </row>
    <row r="36" spans="1:6" x14ac:dyDescent="0.2">
      <c r="A36" s="7" t="s">
        <v>281</v>
      </c>
      <c r="B36" s="7" t="s">
        <v>282</v>
      </c>
      <c r="C36" s="7" t="s">
        <v>78</v>
      </c>
      <c r="D36" s="32">
        <v>500000</v>
      </c>
      <c r="E36" s="29">
        <v>11224.5</v>
      </c>
      <c r="F36" s="7">
        <v>1.0584697250778006</v>
      </c>
    </row>
    <row r="37" spans="1:6" x14ac:dyDescent="0.2">
      <c r="A37" s="7" t="s">
        <v>283</v>
      </c>
      <c r="B37" s="7" t="s">
        <v>284</v>
      </c>
      <c r="C37" s="7" t="s">
        <v>39</v>
      </c>
      <c r="D37" s="32">
        <v>3020203</v>
      </c>
      <c r="E37" s="29">
        <v>11115.857141500001</v>
      </c>
      <c r="F37" s="7">
        <v>1.0482247095699238</v>
      </c>
    </row>
    <row r="38" spans="1:6" x14ac:dyDescent="0.2">
      <c r="A38" s="7" t="s">
        <v>285</v>
      </c>
      <c r="B38" s="7" t="s">
        <v>286</v>
      </c>
      <c r="C38" s="7" t="s">
        <v>36</v>
      </c>
      <c r="D38" s="32">
        <v>7223359</v>
      </c>
      <c r="E38" s="29">
        <v>11087.856065</v>
      </c>
      <c r="F38" s="7">
        <v>1.0455842096149293</v>
      </c>
    </row>
    <row r="39" spans="1:6" x14ac:dyDescent="0.2">
      <c r="A39" s="7" t="s">
        <v>206</v>
      </c>
      <c r="B39" s="7" t="s">
        <v>207</v>
      </c>
      <c r="C39" s="7" t="s">
        <v>11</v>
      </c>
      <c r="D39" s="32">
        <v>11929129</v>
      </c>
      <c r="E39" s="29">
        <v>10879.365648000001</v>
      </c>
      <c r="F39" s="7">
        <v>1.025923574899499</v>
      </c>
    </row>
    <row r="40" spans="1:6" x14ac:dyDescent="0.2">
      <c r="A40" s="7" t="s">
        <v>22</v>
      </c>
      <c r="B40" s="7" t="s">
        <v>23</v>
      </c>
      <c r="C40" s="7" t="s">
        <v>24</v>
      </c>
      <c r="D40" s="32">
        <v>1500000</v>
      </c>
      <c r="E40" s="29">
        <v>10635</v>
      </c>
      <c r="F40" s="7">
        <v>1.0028799078981165</v>
      </c>
    </row>
    <row r="41" spans="1:6" x14ac:dyDescent="0.2">
      <c r="A41" s="7" t="s">
        <v>287</v>
      </c>
      <c r="B41" s="7" t="s">
        <v>288</v>
      </c>
      <c r="C41" s="7" t="s">
        <v>24</v>
      </c>
      <c r="D41" s="32">
        <v>1900000</v>
      </c>
      <c r="E41" s="29">
        <v>10007.299999999999</v>
      </c>
      <c r="F41" s="7">
        <v>0.94368783284521107</v>
      </c>
    </row>
    <row r="42" spans="1:6" x14ac:dyDescent="0.2">
      <c r="A42" s="7" t="s">
        <v>289</v>
      </c>
      <c r="B42" s="7" t="s">
        <v>290</v>
      </c>
      <c r="C42" s="7" t="s">
        <v>24</v>
      </c>
      <c r="D42" s="32">
        <v>2304612</v>
      </c>
      <c r="E42" s="29">
        <v>9747.3564540000007</v>
      </c>
      <c r="F42" s="7">
        <v>0.91917517092972556</v>
      </c>
    </row>
    <row r="43" spans="1:6" x14ac:dyDescent="0.2">
      <c r="A43" s="7" t="s">
        <v>145</v>
      </c>
      <c r="B43" s="7" t="s">
        <v>146</v>
      </c>
      <c r="C43" s="7" t="s">
        <v>131</v>
      </c>
      <c r="D43" s="32">
        <v>7200000</v>
      </c>
      <c r="E43" s="29">
        <v>9277.2000000000007</v>
      </c>
      <c r="F43" s="7">
        <v>0.87483944349340914</v>
      </c>
    </row>
    <row r="44" spans="1:6" x14ac:dyDescent="0.2">
      <c r="A44" s="7" t="s">
        <v>291</v>
      </c>
      <c r="B44" s="7" t="s">
        <v>292</v>
      </c>
      <c r="C44" s="7" t="s">
        <v>93</v>
      </c>
      <c r="D44" s="32">
        <v>650000</v>
      </c>
      <c r="E44" s="29">
        <v>8499.0750000000007</v>
      </c>
      <c r="F44" s="7">
        <v>0.80146229931539104</v>
      </c>
    </row>
    <row r="45" spans="1:6" x14ac:dyDescent="0.2">
      <c r="A45" s="7" t="s">
        <v>236</v>
      </c>
      <c r="B45" s="7" t="s">
        <v>237</v>
      </c>
      <c r="C45" s="7" t="s">
        <v>57</v>
      </c>
      <c r="D45" s="32">
        <v>920000</v>
      </c>
      <c r="E45" s="29">
        <v>8200.8799999999992</v>
      </c>
      <c r="F45" s="7">
        <v>0.77334252741734877</v>
      </c>
    </row>
    <row r="46" spans="1:6" x14ac:dyDescent="0.2">
      <c r="A46" s="7" t="s">
        <v>293</v>
      </c>
      <c r="B46" s="7" t="s">
        <v>294</v>
      </c>
      <c r="C46" s="7" t="s">
        <v>14</v>
      </c>
      <c r="D46" s="32">
        <v>1240000</v>
      </c>
      <c r="E46" s="29">
        <v>7460.46</v>
      </c>
      <c r="F46" s="7">
        <v>0.7035209626401111</v>
      </c>
    </row>
    <row r="47" spans="1:6" x14ac:dyDescent="0.2">
      <c r="A47" s="7" t="s">
        <v>295</v>
      </c>
      <c r="B47" s="7" t="s">
        <v>296</v>
      </c>
      <c r="C47" s="7" t="s">
        <v>36</v>
      </c>
      <c r="D47" s="32">
        <v>530955</v>
      </c>
      <c r="E47" s="29">
        <v>6378.0969375000004</v>
      </c>
      <c r="F47" s="7">
        <v>0.60145418610674739</v>
      </c>
    </row>
    <row r="48" spans="1:6" x14ac:dyDescent="0.2">
      <c r="A48" s="7" t="s">
        <v>241</v>
      </c>
      <c r="B48" s="7" t="s">
        <v>242</v>
      </c>
      <c r="C48" s="7" t="s">
        <v>243</v>
      </c>
      <c r="D48" s="32">
        <v>4000000</v>
      </c>
      <c r="E48" s="29">
        <v>6300</v>
      </c>
      <c r="F48" s="7">
        <v>0.59408964924853158</v>
      </c>
    </row>
    <row r="49" spans="1:6" x14ac:dyDescent="0.2">
      <c r="A49" s="7" t="s">
        <v>255</v>
      </c>
      <c r="B49" s="7" t="s">
        <v>256</v>
      </c>
      <c r="C49" s="7" t="s">
        <v>33</v>
      </c>
      <c r="D49" s="32">
        <v>5500000</v>
      </c>
      <c r="E49" s="29">
        <v>6187.5</v>
      </c>
      <c r="F49" s="7">
        <v>0.58348090551195064</v>
      </c>
    </row>
    <row r="50" spans="1:6" x14ac:dyDescent="0.2">
      <c r="A50" s="7" t="s">
        <v>120</v>
      </c>
      <c r="B50" s="7" t="s">
        <v>121</v>
      </c>
      <c r="C50" s="7" t="s">
        <v>122</v>
      </c>
      <c r="D50" s="32">
        <v>1700000</v>
      </c>
      <c r="E50" s="29">
        <v>5873.5</v>
      </c>
      <c r="F50" s="7">
        <v>0.55387072299384921</v>
      </c>
    </row>
    <row r="51" spans="1:6" x14ac:dyDescent="0.2">
      <c r="A51" s="7" t="s">
        <v>155</v>
      </c>
      <c r="B51" s="7" t="s">
        <v>156</v>
      </c>
      <c r="C51" s="7" t="s">
        <v>134</v>
      </c>
      <c r="D51" s="32">
        <v>7500000</v>
      </c>
      <c r="E51" s="29">
        <v>5850</v>
      </c>
      <c r="F51" s="7">
        <v>0.55165467430220794</v>
      </c>
    </row>
    <row r="52" spans="1:6" x14ac:dyDescent="0.2">
      <c r="A52" s="7" t="s">
        <v>297</v>
      </c>
      <c r="B52" s="7" t="s">
        <v>298</v>
      </c>
      <c r="C52" s="7" t="s">
        <v>33</v>
      </c>
      <c r="D52" s="32">
        <v>6500000</v>
      </c>
      <c r="E52" s="29">
        <v>5333.25</v>
      </c>
      <c r="F52" s="7">
        <v>0.50292517807217951</v>
      </c>
    </row>
    <row r="53" spans="1:6" x14ac:dyDescent="0.2">
      <c r="A53" s="7" t="s">
        <v>262</v>
      </c>
      <c r="B53" s="7" t="s">
        <v>263</v>
      </c>
      <c r="C53" s="7" t="s">
        <v>70</v>
      </c>
      <c r="D53" s="32">
        <v>5571244</v>
      </c>
      <c r="E53" s="29">
        <v>4677.059338</v>
      </c>
      <c r="F53" s="7">
        <v>0.4410464351788872</v>
      </c>
    </row>
    <row r="54" spans="1:6" x14ac:dyDescent="0.2">
      <c r="A54" s="7" t="s">
        <v>299</v>
      </c>
      <c r="B54" s="7" t="s">
        <v>300</v>
      </c>
      <c r="C54" s="7" t="s">
        <v>11</v>
      </c>
      <c r="D54" s="32">
        <v>7000000</v>
      </c>
      <c r="E54" s="29">
        <v>4403</v>
      </c>
      <c r="F54" s="7">
        <v>0.41520265486369595</v>
      </c>
    </row>
    <row r="55" spans="1:6" x14ac:dyDescent="0.2">
      <c r="A55" s="7" t="s">
        <v>301</v>
      </c>
      <c r="B55" s="7" t="s">
        <v>302</v>
      </c>
      <c r="C55" s="7" t="s">
        <v>246</v>
      </c>
      <c r="D55" s="32">
        <v>20000000</v>
      </c>
      <c r="E55" s="29">
        <v>3650</v>
      </c>
      <c r="F55" s="7">
        <v>0.34419479678684767</v>
      </c>
    </row>
    <row r="56" spans="1:6" x14ac:dyDescent="0.2">
      <c r="A56" s="7" t="s">
        <v>303</v>
      </c>
      <c r="B56" s="7" t="s">
        <v>304</v>
      </c>
      <c r="C56" s="7" t="s">
        <v>270</v>
      </c>
      <c r="D56" s="32">
        <v>6000000</v>
      </c>
      <c r="E56" s="29">
        <v>3297</v>
      </c>
      <c r="F56" s="7">
        <v>0.31090691644006491</v>
      </c>
    </row>
    <row r="57" spans="1:6" x14ac:dyDescent="0.2">
      <c r="A57" s="7" t="s">
        <v>305</v>
      </c>
      <c r="B57" s="7" t="s">
        <v>306</v>
      </c>
      <c r="C57" s="7" t="s">
        <v>307</v>
      </c>
      <c r="D57" s="32">
        <v>39070</v>
      </c>
      <c r="E57" s="29">
        <v>1198.70667</v>
      </c>
      <c r="F57" s="7">
        <v>0.11303797224320243</v>
      </c>
    </row>
    <row r="58" spans="1:6" x14ac:dyDescent="0.2">
      <c r="A58" s="7" t="s">
        <v>308</v>
      </c>
      <c r="B58" s="7" t="s">
        <v>309</v>
      </c>
      <c r="C58" s="7" t="s">
        <v>33</v>
      </c>
      <c r="D58" s="32">
        <v>500000</v>
      </c>
      <c r="E58" s="29">
        <v>1090.5</v>
      </c>
      <c r="F58" s="7">
        <v>0.10283408928659105</v>
      </c>
    </row>
    <row r="59" spans="1:6" x14ac:dyDescent="0.2">
      <c r="A59" s="6" t="s">
        <v>43</v>
      </c>
      <c r="B59" s="7"/>
      <c r="C59" s="7"/>
      <c r="D59" s="7"/>
      <c r="E59" s="42">
        <f xml:space="preserve"> SUM(E7:E58)</f>
        <v>990264.46325399983</v>
      </c>
      <c r="F59" s="6">
        <f>SUM(F7:F58)</f>
        <v>93.381883752040366</v>
      </c>
    </row>
    <row r="60" spans="1:6" x14ac:dyDescent="0.2">
      <c r="A60" s="7"/>
      <c r="B60" s="7"/>
      <c r="C60" s="7"/>
      <c r="D60" s="7"/>
      <c r="E60" s="29"/>
      <c r="F60" s="7"/>
    </row>
    <row r="61" spans="1:6" x14ac:dyDescent="0.2">
      <c r="A61" s="6" t="s">
        <v>310</v>
      </c>
      <c r="B61" s="7"/>
      <c r="C61" s="7"/>
      <c r="D61" s="7"/>
      <c r="E61" s="29"/>
      <c r="F61" s="7"/>
    </row>
    <row r="62" spans="1:6" x14ac:dyDescent="0.2">
      <c r="A62" s="7" t="s">
        <v>311</v>
      </c>
      <c r="B62" s="7" t="s">
        <v>312</v>
      </c>
      <c r="C62" s="7" t="s">
        <v>33</v>
      </c>
      <c r="D62" s="32">
        <v>73500</v>
      </c>
      <c r="E62" s="29">
        <v>7.3499999999999998E-3</v>
      </c>
      <c r="F62" s="41" t="s">
        <v>610</v>
      </c>
    </row>
    <row r="63" spans="1:6" x14ac:dyDescent="0.2">
      <c r="A63" s="7" t="s">
        <v>311</v>
      </c>
      <c r="B63" s="7" t="s">
        <v>313</v>
      </c>
      <c r="C63" s="7" t="s">
        <v>78</v>
      </c>
      <c r="D63" s="32">
        <v>45000</v>
      </c>
      <c r="E63" s="29">
        <v>4.4999999999999997E-3</v>
      </c>
      <c r="F63" s="41" t="s">
        <v>610</v>
      </c>
    </row>
    <row r="64" spans="1:6" x14ac:dyDescent="0.2">
      <c r="A64" s="7" t="s">
        <v>314</v>
      </c>
      <c r="B64" s="7" t="s">
        <v>315</v>
      </c>
      <c r="C64" s="7" t="s">
        <v>325</v>
      </c>
      <c r="D64" s="32">
        <v>38000</v>
      </c>
      <c r="E64" s="29">
        <v>3.8E-3</v>
      </c>
      <c r="F64" s="41" t="s">
        <v>610</v>
      </c>
    </row>
    <row r="65" spans="1:6" x14ac:dyDescent="0.2">
      <c r="A65" s="6" t="s">
        <v>43</v>
      </c>
      <c r="B65" s="7"/>
      <c r="C65" s="7"/>
      <c r="D65" s="7"/>
      <c r="E65" s="42">
        <f>SUM(E62:E64)</f>
        <v>1.5650000000000001E-2</v>
      </c>
      <c r="F65" s="6">
        <f>SUM(F62:F64)</f>
        <v>0</v>
      </c>
    </row>
    <row r="66" spans="1:6" x14ac:dyDescent="0.2">
      <c r="A66" s="7"/>
      <c r="B66" s="7"/>
      <c r="C66" s="7"/>
      <c r="D66" s="7"/>
      <c r="E66" s="29"/>
      <c r="F66" s="7"/>
    </row>
    <row r="67" spans="1:6" x14ac:dyDescent="0.2">
      <c r="A67" s="6" t="s">
        <v>43</v>
      </c>
      <c r="B67" s="7"/>
      <c r="C67" s="7"/>
      <c r="D67" s="7"/>
      <c r="E67" s="42">
        <v>990264.47890399978</v>
      </c>
      <c r="F67" s="6">
        <v>93.381885227834502</v>
      </c>
    </row>
    <row r="68" spans="1:6" x14ac:dyDescent="0.2">
      <c r="A68" s="7"/>
      <c r="B68" s="7"/>
      <c r="C68" s="7"/>
      <c r="D68" s="7"/>
      <c r="E68" s="29"/>
      <c r="F68" s="7"/>
    </row>
    <row r="69" spans="1:6" x14ac:dyDescent="0.2">
      <c r="A69" s="6" t="s">
        <v>101</v>
      </c>
      <c r="B69" s="7"/>
      <c r="C69" s="7"/>
      <c r="D69" s="7"/>
      <c r="E69" s="42">
        <v>70181.534247200005</v>
      </c>
      <c r="F69" s="6">
        <v>6.62</v>
      </c>
    </row>
    <row r="70" spans="1:6" x14ac:dyDescent="0.2">
      <c r="A70" s="7"/>
      <c r="B70" s="7"/>
      <c r="C70" s="7"/>
      <c r="D70" s="7"/>
      <c r="E70" s="29"/>
      <c r="F70" s="7"/>
    </row>
    <row r="71" spans="1:6" x14ac:dyDescent="0.2">
      <c r="A71" s="8" t="s">
        <v>102</v>
      </c>
      <c r="B71" s="5"/>
      <c r="C71" s="5"/>
      <c r="D71" s="5"/>
      <c r="E71" s="43">
        <v>1060446.0131511998</v>
      </c>
      <c r="F71" s="8">
        <f xml:space="preserve"> ROUND(SUM(F67:F70),2)</f>
        <v>100</v>
      </c>
    </row>
    <row r="72" spans="1:6" x14ac:dyDescent="0.2">
      <c r="F72" s="11" t="s">
        <v>611</v>
      </c>
    </row>
    <row r="73" spans="1:6" x14ac:dyDescent="0.2">
      <c r="A73" s="4" t="s">
        <v>103</v>
      </c>
      <c r="B73" s="2"/>
      <c r="C73" s="2"/>
      <c r="D73" s="2"/>
    </row>
    <row r="74" spans="1:6" x14ac:dyDescent="0.2">
      <c r="A74" s="4" t="s">
        <v>104</v>
      </c>
      <c r="B74" s="2"/>
      <c r="C74" s="2"/>
      <c r="D74" s="2"/>
    </row>
    <row r="75" spans="1:6" x14ac:dyDescent="0.2">
      <c r="A75" s="4" t="s">
        <v>608</v>
      </c>
      <c r="B75" s="2"/>
      <c r="C75" s="2"/>
      <c r="D75" s="2"/>
    </row>
    <row r="76" spans="1:6" x14ac:dyDescent="0.2">
      <c r="A76" s="2" t="s">
        <v>600</v>
      </c>
      <c r="B76" s="2"/>
      <c r="C76" s="2"/>
      <c r="D76" s="10">
        <v>563.93119999999999</v>
      </c>
    </row>
    <row r="77" spans="1:6" x14ac:dyDescent="0.2">
      <c r="A77" s="2" t="s">
        <v>601</v>
      </c>
      <c r="B77" s="2"/>
      <c r="C77" s="2"/>
      <c r="D77" s="10">
        <v>37.1873</v>
      </c>
    </row>
    <row r="78" spans="1:6" x14ac:dyDescent="0.2">
      <c r="A78" s="2" t="s">
        <v>602</v>
      </c>
      <c r="B78" s="2"/>
      <c r="C78" s="2"/>
      <c r="D78" s="10">
        <v>597.38329999999996</v>
      </c>
    </row>
    <row r="79" spans="1:6" x14ac:dyDescent="0.2">
      <c r="A79" s="2" t="s">
        <v>603</v>
      </c>
      <c r="B79" s="2"/>
      <c r="C79" s="2"/>
      <c r="D79" s="10">
        <v>39.857199999999999</v>
      </c>
    </row>
    <row r="80" spans="1:6" x14ac:dyDescent="0.2">
      <c r="A80" s="2"/>
      <c r="B80" s="2"/>
      <c r="C80" s="2"/>
      <c r="D80" s="10"/>
    </row>
    <row r="81" spans="1:4" x14ac:dyDescent="0.2">
      <c r="A81" s="4" t="s">
        <v>105</v>
      </c>
      <c r="B81" s="2"/>
      <c r="C81" s="2"/>
      <c r="D81" s="2"/>
    </row>
    <row r="82" spans="1:4" x14ac:dyDescent="0.2">
      <c r="A82" s="2" t="s">
        <v>600</v>
      </c>
      <c r="B82" s="2"/>
      <c r="C82" s="2"/>
      <c r="D82" s="10">
        <v>552.90219999999999</v>
      </c>
    </row>
    <row r="83" spans="1:4" x14ac:dyDescent="0.2">
      <c r="A83" s="2" t="s">
        <v>601</v>
      </c>
      <c r="B83" s="2"/>
      <c r="C83" s="2"/>
      <c r="D83" s="10">
        <v>33.762900000000002</v>
      </c>
    </row>
    <row r="84" spans="1:4" x14ac:dyDescent="0.2">
      <c r="A84" s="2" t="s">
        <v>602</v>
      </c>
      <c r="B84" s="2"/>
      <c r="C84" s="2"/>
      <c r="D84" s="10">
        <v>588.28129999999999</v>
      </c>
    </row>
    <row r="85" spans="1:4" x14ac:dyDescent="0.2">
      <c r="A85" s="2" t="s">
        <v>603</v>
      </c>
      <c r="B85" s="2"/>
      <c r="C85" s="2"/>
      <c r="D85" s="10">
        <v>36.5426</v>
      </c>
    </row>
    <row r="86" spans="1:4" x14ac:dyDescent="0.2">
      <c r="A86" s="2"/>
      <c r="B86" s="2"/>
      <c r="C86" s="2"/>
      <c r="D86" s="2"/>
    </row>
    <row r="87" spans="1:4" x14ac:dyDescent="0.2">
      <c r="A87" s="4" t="s">
        <v>106</v>
      </c>
      <c r="B87" s="2"/>
      <c r="C87" s="2"/>
      <c r="D87" s="20" t="s">
        <v>311</v>
      </c>
    </row>
    <row r="88" spans="1:4" x14ac:dyDescent="0.2">
      <c r="A88" s="21" t="s">
        <v>604</v>
      </c>
      <c r="B88" s="22"/>
      <c r="C88" s="103" t="s">
        <v>605</v>
      </c>
      <c r="D88" s="104"/>
    </row>
    <row r="89" spans="1:4" x14ac:dyDescent="0.2">
      <c r="A89" s="105"/>
      <c r="B89" s="106"/>
      <c r="C89" s="23" t="s">
        <v>606</v>
      </c>
      <c r="D89" s="23" t="s">
        <v>607</v>
      </c>
    </row>
    <row r="90" spans="1:4" x14ac:dyDescent="0.2">
      <c r="A90" s="24" t="s">
        <v>601</v>
      </c>
      <c r="B90" s="25"/>
      <c r="C90" s="26">
        <v>2.4348732925000003</v>
      </c>
      <c r="D90" s="26">
        <v>2.4348732925000003</v>
      </c>
    </row>
    <row r="91" spans="1:4" x14ac:dyDescent="0.2">
      <c r="A91" s="24" t="s">
        <v>603</v>
      </c>
      <c r="B91" s="25"/>
      <c r="C91" s="26">
        <v>2.4348732925000003</v>
      </c>
      <c r="D91" s="26">
        <v>2.4348732925000003</v>
      </c>
    </row>
    <row r="92" spans="1:4" x14ac:dyDescent="0.2">
      <c r="A92" s="4"/>
      <c r="B92" s="2"/>
      <c r="C92" s="2"/>
      <c r="D92" s="20"/>
    </row>
    <row r="93" spans="1:4" x14ac:dyDescent="0.2">
      <c r="A93" s="9" t="s">
        <v>609</v>
      </c>
      <c r="B93" s="2"/>
      <c r="C93" s="2"/>
      <c r="D93" s="27">
        <v>0.11743421046523474</v>
      </c>
    </row>
  </sheetData>
  <mergeCells count="3">
    <mergeCell ref="A1:F1"/>
    <mergeCell ref="C88:D88"/>
    <mergeCell ref="A89:B8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CC1F-E781-4CB2-A0B1-3BCA03CADDFF}">
  <dimension ref="A1:F81"/>
  <sheetViews>
    <sheetView showGridLines="0" workbookViewId="0">
      <selection sqref="A1:F1"/>
    </sheetView>
  </sheetViews>
  <sheetFormatPr defaultRowHeight="11.25" x14ac:dyDescent="0.2"/>
  <cols>
    <col min="1" max="1" width="58.7109375" style="1" bestFit="1" customWidth="1"/>
    <col min="2" max="2" width="36.5703125" style="1" bestFit="1" customWidth="1"/>
    <col min="3" max="3" width="29.85546875" style="1" bestFit="1" customWidth="1"/>
    <col min="4" max="4" width="9.85546875" style="1" bestFit="1" customWidth="1"/>
    <col min="5" max="5" width="24" style="1" bestFit="1" customWidth="1"/>
    <col min="6" max="6" width="14.140625" style="1" bestFit="1" customWidth="1"/>
    <col min="7" max="16384" width="9.140625" style="2"/>
  </cols>
  <sheetData>
    <row r="1" spans="1:6" x14ac:dyDescent="0.2">
      <c r="A1" s="102" t="s">
        <v>434</v>
      </c>
      <c r="B1" s="102"/>
      <c r="C1" s="102"/>
      <c r="D1" s="102"/>
      <c r="E1" s="102"/>
      <c r="F1" s="102"/>
    </row>
    <row r="3" spans="1:6" s="4" customForma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5"/>
      <c r="B4" s="5"/>
      <c r="C4" s="5"/>
      <c r="D4" s="5"/>
      <c r="E4" s="5"/>
      <c r="F4" s="5"/>
    </row>
    <row r="5" spans="1:6" x14ac:dyDescent="0.2">
      <c r="A5" s="6" t="s">
        <v>7</v>
      </c>
      <c r="B5" s="7"/>
      <c r="C5" s="7"/>
      <c r="D5" s="7"/>
      <c r="E5" s="7"/>
      <c r="F5" s="7"/>
    </row>
    <row r="6" spans="1:6" x14ac:dyDescent="0.2">
      <c r="A6" s="6" t="s">
        <v>8</v>
      </c>
      <c r="B6" s="7"/>
      <c r="C6" s="7"/>
      <c r="D6" s="7"/>
      <c r="E6" s="7"/>
      <c r="F6" s="7"/>
    </row>
    <row r="7" spans="1:6" x14ac:dyDescent="0.2">
      <c r="A7" s="7" t="s">
        <v>9</v>
      </c>
      <c r="B7" s="7" t="s">
        <v>10</v>
      </c>
      <c r="C7" s="7" t="s">
        <v>11</v>
      </c>
      <c r="D7" s="32">
        <v>121623</v>
      </c>
      <c r="E7" s="47">
        <v>2738.5242794999999</v>
      </c>
      <c r="F7" s="7">
        <v>10.497172279429909</v>
      </c>
    </row>
    <row r="8" spans="1:6" x14ac:dyDescent="0.2">
      <c r="A8" s="7" t="s">
        <v>364</v>
      </c>
      <c r="B8" s="7" t="s">
        <v>365</v>
      </c>
      <c r="C8" s="7" t="s">
        <v>122</v>
      </c>
      <c r="D8" s="32">
        <v>192839</v>
      </c>
      <c r="E8" s="47">
        <v>2248.9848375000001</v>
      </c>
      <c r="F8" s="7">
        <v>8.6206945360270932</v>
      </c>
    </row>
    <row r="9" spans="1:6" x14ac:dyDescent="0.2">
      <c r="A9" s="7" t="s">
        <v>372</v>
      </c>
      <c r="B9" s="7" t="s">
        <v>373</v>
      </c>
      <c r="C9" s="7" t="s">
        <v>33</v>
      </c>
      <c r="D9" s="32">
        <v>96890</v>
      </c>
      <c r="E9" s="47">
        <v>2055.8120199999998</v>
      </c>
      <c r="F9" s="7">
        <v>7.8802342961161997</v>
      </c>
    </row>
    <row r="10" spans="1:6" x14ac:dyDescent="0.2">
      <c r="A10" s="7" t="s">
        <v>180</v>
      </c>
      <c r="B10" s="7" t="s">
        <v>181</v>
      </c>
      <c r="C10" s="7" t="s">
        <v>78</v>
      </c>
      <c r="D10" s="32">
        <v>213953</v>
      </c>
      <c r="E10" s="47">
        <v>1698.0379845</v>
      </c>
      <c r="F10" s="7">
        <v>6.5088330213989742</v>
      </c>
    </row>
    <row r="11" spans="1:6" x14ac:dyDescent="0.2">
      <c r="A11" s="7" t="s">
        <v>109</v>
      </c>
      <c r="B11" s="7" t="s">
        <v>110</v>
      </c>
      <c r="C11" s="7" t="s">
        <v>11</v>
      </c>
      <c r="D11" s="32">
        <v>363438</v>
      </c>
      <c r="E11" s="47">
        <v>1543.1577480000001</v>
      </c>
      <c r="F11" s="7">
        <v>5.9151539595079523</v>
      </c>
    </row>
    <row r="12" spans="1:6" x14ac:dyDescent="0.2">
      <c r="A12" s="7" t="s">
        <v>376</v>
      </c>
      <c r="B12" s="7" t="s">
        <v>377</v>
      </c>
      <c r="C12" s="7" t="s">
        <v>36</v>
      </c>
      <c r="D12" s="32">
        <v>483414</v>
      </c>
      <c r="E12" s="47">
        <v>1306.184628</v>
      </c>
      <c r="F12" s="7">
        <v>5.0068006230576376</v>
      </c>
    </row>
    <row r="13" spans="1:6" x14ac:dyDescent="0.2">
      <c r="A13" s="7" t="s">
        <v>407</v>
      </c>
      <c r="B13" s="7" t="s">
        <v>408</v>
      </c>
      <c r="C13" s="7" t="s">
        <v>78</v>
      </c>
      <c r="D13" s="32">
        <v>59189</v>
      </c>
      <c r="E13" s="47">
        <v>1305.5317729999999</v>
      </c>
      <c r="F13" s="7">
        <v>5.0042981324060891</v>
      </c>
    </row>
    <row r="14" spans="1:6" x14ac:dyDescent="0.2">
      <c r="A14" s="7" t="s">
        <v>20</v>
      </c>
      <c r="B14" s="7" t="s">
        <v>21</v>
      </c>
      <c r="C14" s="7" t="s">
        <v>11</v>
      </c>
      <c r="D14" s="32">
        <v>75285</v>
      </c>
      <c r="E14" s="47">
        <v>1143.9932174999999</v>
      </c>
      <c r="F14" s="7">
        <v>4.3850967400549683</v>
      </c>
    </row>
    <row r="15" spans="1:6" x14ac:dyDescent="0.2">
      <c r="A15" s="7" t="s">
        <v>189</v>
      </c>
      <c r="B15" s="7" t="s">
        <v>190</v>
      </c>
      <c r="C15" s="7" t="s">
        <v>191</v>
      </c>
      <c r="D15" s="32">
        <v>69558</v>
      </c>
      <c r="E15" s="47">
        <v>964.97813399999995</v>
      </c>
      <c r="F15" s="7">
        <v>3.6989052075631959</v>
      </c>
    </row>
    <row r="16" spans="1:6" x14ac:dyDescent="0.2">
      <c r="A16" s="7" t="s">
        <v>118</v>
      </c>
      <c r="B16" s="7" t="s">
        <v>119</v>
      </c>
      <c r="C16" s="7" t="s">
        <v>11</v>
      </c>
      <c r="D16" s="32">
        <v>115087</v>
      </c>
      <c r="E16" s="47">
        <v>775.801467</v>
      </c>
      <c r="F16" s="7">
        <v>2.9737628089316552</v>
      </c>
    </row>
    <row r="17" spans="1:6" x14ac:dyDescent="0.2">
      <c r="A17" s="7" t="s">
        <v>111</v>
      </c>
      <c r="B17" s="7" t="s">
        <v>112</v>
      </c>
      <c r="C17" s="7" t="s">
        <v>11</v>
      </c>
      <c r="D17" s="32">
        <v>216190</v>
      </c>
      <c r="E17" s="47">
        <v>718.18317999999999</v>
      </c>
      <c r="F17" s="7">
        <v>2.7529033155131541</v>
      </c>
    </row>
    <row r="18" spans="1:6" x14ac:dyDescent="0.2">
      <c r="A18" s="7" t="s">
        <v>366</v>
      </c>
      <c r="B18" s="7" t="s">
        <v>367</v>
      </c>
      <c r="C18" s="7" t="s">
        <v>36</v>
      </c>
      <c r="D18" s="32">
        <v>40244</v>
      </c>
      <c r="E18" s="47">
        <v>694.87302599999998</v>
      </c>
      <c r="F18" s="7">
        <v>2.6635520162642323</v>
      </c>
    </row>
    <row r="19" spans="1:6" x14ac:dyDescent="0.2">
      <c r="A19" s="7" t="s">
        <v>370</v>
      </c>
      <c r="B19" s="7" t="s">
        <v>371</v>
      </c>
      <c r="C19" s="7" t="s">
        <v>33</v>
      </c>
      <c r="D19" s="32">
        <v>13394</v>
      </c>
      <c r="E19" s="47">
        <v>435.57957699999997</v>
      </c>
      <c r="F19" s="7">
        <v>1.6696415275182539</v>
      </c>
    </row>
    <row r="20" spans="1:6" x14ac:dyDescent="0.2">
      <c r="A20" s="7" t="s">
        <v>409</v>
      </c>
      <c r="B20" s="7" t="s">
        <v>410</v>
      </c>
      <c r="C20" s="7" t="s">
        <v>11</v>
      </c>
      <c r="D20" s="32">
        <v>30440</v>
      </c>
      <c r="E20" s="47">
        <v>430.07154000000003</v>
      </c>
      <c r="F20" s="7">
        <v>1.6485283996401141</v>
      </c>
    </row>
    <row r="21" spans="1:6" x14ac:dyDescent="0.2">
      <c r="A21" s="7" t="s">
        <v>378</v>
      </c>
      <c r="B21" s="7" t="s">
        <v>379</v>
      </c>
      <c r="C21" s="7" t="s">
        <v>39</v>
      </c>
      <c r="D21" s="32">
        <v>7487</v>
      </c>
      <c r="E21" s="47">
        <v>409.51643899999999</v>
      </c>
      <c r="F21" s="7">
        <v>1.5697376297231582</v>
      </c>
    </row>
    <row r="22" spans="1:6" x14ac:dyDescent="0.2">
      <c r="A22" s="7" t="s">
        <v>374</v>
      </c>
      <c r="B22" s="7" t="s">
        <v>375</v>
      </c>
      <c r="C22" s="7" t="s">
        <v>36</v>
      </c>
      <c r="D22" s="32">
        <v>25397</v>
      </c>
      <c r="E22" s="47">
        <v>386.31376699999998</v>
      </c>
      <c r="F22" s="7">
        <v>1.4807983250215857</v>
      </c>
    </row>
    <row r="23" spans="1:6" x14ac:dyDescent="0.2">
      <c r="A23" s="7" t="s">
        <v>113</v>
      </c>
      <c r="B23" s="7" t="s">
        <v>114</v>
      </c>
      <c r="C23" s="7" t="s">
        <v>42</v>
      </c>
      <c r="D23" s="32">
        <v>106950</v>
      </c>
      <c r="E23" s="47">
        <v>361.06319999999999</v>
      </c>
      <c r="F23" s="7">
        <v>1.3840091331431474</v>
      </c>
    </row>
    <row r="24" spans="1:6" x14ac:dyDescent="0.2">
      <c r="A24" s="7" t="s">
        <v>184</v>
      </c>
      <c r="B24" s="7" t="s">
        <v>185</v>
      </c>
      <c r="C24" s="7" t="s">
        <v>78</v>
      </c>
      <c r="D24" s="32">
        <v>30562</v>
      </c>
      <c r="E24" s="47">
        <v>316.179171</v>
      </c>
      <c r="F24" s="7">
        <v>1.2119619511864652</v>
      </c>
    </row>
    <row r="25" spans="1:6" x14ac:dyDescent="0.2">
      <c r="A25" s="7" t="s">
        <v>115</v>
      </c>
      <c r="B25" s="7" t="s">
        <v>116</v>
      </c>
      <c r="C25" s="7" t="s">
        <v>117</v>
      </c>
      <c r="D25" s="32">
        <v>245261</v>
      </c>
      <c r="E25" s="47">
        <v>310.37779549999999</v>
      </c>
      <c r="F25" s="7">
        <v>1.18972441305798</v>
      </c>
    </row>
    <row r="26" spans="1:6" x14ac:dyDescent="0.2">
      <c r="A26" s="7" t="s">
        <v>182</v>
      </c>
      <c r="B26" s="7" t="s">
        <v>183</v>
      </c>
      <c r="C26" s="7" t="s">
        <v>39</v>
      </c>
      <c r="D26" s="32">
        <v>52526</v>
      </c>
      <c r="E26" s="47">
        <v>288.89299999999997</v>
      </c>
      <c r="F26" s="7">
        <v>1.1073699853685539</v>
      </c>
    </row>
    <row r="27" spans="1:6" x14ac:dyDescent="0.2">
      <c r="A27" s="7" t="s">
        <v>157</v>
      </c>
      <c r="B27" s="7" t="s">
        <v>158</v>
      </c>
      <c r="C27" s="7" t="s">
        <v>117</v>
      </c>
      <c r="D27" s="32">
        <v>132625</v>
      </c>
      <c r="E27" s="47">
        <v>279.57350000000002</v>
      </c>
      <c r="F27" s="7">
        <v>1.0716469509625899</v>
      </c>
    </row>
    <row r="28" spans="1:6" x14ac:dyDescent="0.2">
      <c r="A28" s="7" t="s">
        <v>279</v>
      </c>
      <c r="B28" s="7" t="s">
        <v>280</v>
      </c>
      <c r="C28" s="7" t="s">
        <v>188</v>
      </c>
      <c r="D28" s="32">
        <v>62176</v>
      </c>
      <c r="E28" s="47">
        <v>265.33607999999998</v>
      </c>
      <c r="F28" s="7">
        <v>1.0170727952125855</v>
      </c>
    </row>
    <row r="29" spans="1:6" x14ac:dyDescent="0.2">
      <c r="A29" s="7" t="s">
        <v>125</v>
      </c>
      <c r="B29" s="7" t="s">
        <v>126</v>
      </c>
      <c r="C29" s="7" t="s">
        <v>57</v>
      </c>
      <c r="D29" s="32">
        <v>5879</v>
      </c>
      <c r="E29" s="47">
        <v>255.55425099999999</v>
      </c>
      <c r="F29" s="7">
        <v>0.97957758474847689</v>
      </c>
    </row>
    <row r="30" spans="1:6" x14ac:dyDescent="0.2">
      <c r="A30" s="7" t="s">
        <v>368</v>
      </c>
      <c r="B30" s="7" t="s">
        <v>369</v>
      </c>
      <c r="C30" s="7" t="s">
        <v>93</v>
      </c>
      <c r="D30" s="32">
        <v>23506</v>
      </c>
      <c r="E30" s="47">
        <v>248.30563100000001</v>
      </c>
      <c r="F30" s="7">
        <v>0.95179254245481748</v>
      </c>
    </row>
    <row r="31" spans="1:6" x14ac:dyDescent="0.2">
      <c r="A31" s="7" t="s">
        <v>139</v>
      </c>
      <c r="B31" s="7" t="s">
        <v>140</v>
      </c>
      <c r="C31" s="7" t="s">
        <v>54</v>
      </c>
      <c r="D31" s="32">
        <v>177178</v>
      </c>
      <c r="E31" s="47">
        <v>246.011653</v>
      </c>
      <c r="F31" s="7">
        <v>0.94299938241184034</v>
      </c>
    </row>
    <row r="32" spans="1:6" x14ac:dyDescent="0.2">
      <c r="A32" s="7" t="s">
        <v>382</v>
      </c>
      <c r="B32" s="7" t="s">
        <v>383</v>
      </c>
      <c r="C32" s="7" t="s">
        <v>33</v>
      </c>
      <c r="D32" s="32">
        <v>3406</v>
      </c>
      <c r="E32" s="47">
        <v>241.752771</v>
      </c>
      <c r="F32" s="7">
        <v>0.92667445208114207</v>
      </c>
    </row>
    <row r="33" spans="1:6" x14ac:dyDescent="0.2">
      <c r="A33" s="7" t="s">
        <v>411</v>
      </c>
      <c r="B33" s="7" t="s">
        <v>412</v>
      </c>
      <c r="C33" s="7" t="s">
        <v>78</v>
      </c>
      <c r="D33" s="32">
        <v>88400</v>
      </c>
      <c r="E33" s="47">
        <v>234.52520000000001</v>
      </c>
      <c r="F33" s="7">
        <v>0.89897009374597936</v>
      </c>
    </row>
    <row r="34" spans="1:6" x14ac:dyDescent="0.2">
      <c r="A34" s="7" t="s">
        <v>266</v>
      </c>
      <c r="B34" s="7" t="s">
        <v>267</v>
      </c>
      <c r="C34" s="7" t="s">
        <v>78</v>
      </c>
      <c r="D34" s="32">
        <v>35493</v>
      </c>
      <c r="E34" s="47">
        <v>225.82421249999999</v>
      </c>
      <c r="F34" s="7">
        <v>0.8656179100635536</v>
      </c>
    </row>
    <row r="35" spans="1:6" x14ac:dyDescent="0.2">
      <c r="A35" s="7" t="s">
        <v>320</v>
      </c>
      <c r="B35" s="7" t="s">
        <v>321</v>
      </c>
      <c r="C35" s="7" t="s">
        <v>322</v>
      </c>
      <c r="D35" s="32">
        <v>100681</v>
      </c>
      <c r="E35" s="47">
        <v>205.84230450000001</v>
      </c>
      <c r="F35" s="7">
        <v>0.78902427446284429</v>
      </c>
    </row>
    <row r="36" spans="1:6" x14ac:dyDescent="0.2">
      <c r="A36" s="7" t="s">
        <v>123</v>
      </c>
      <c r="B36" s="7" t="s">
        <v>124</v>
      </c>
      <c r="C36" s="7" t="s">
        <v>122</v>
      </c>
      <c r="D36" s="32">
        <v>137890</v>
      </c>
      <c r="E36" s="47">
        <v>192.08077</v>
      </c>
      <c r="F36" s="7">
        <v>0.73627425885874909</v>
      </c>
    </row>
    <row r="37" spans="1:6" x14ac:dyDescent="0.2">
      <c r="A37" s="7" t="s">
        <v>333</v>
      </c>
      <c r="B37" s="7" t="s">
        <v>334</v>
      </c>
      <c r="C37" s="7" t="s">
        <v>39</v>
      </c>
      <c r="D37" s="32">
        <v>7335</v>
      </c>
      <c r="E37" s="47">
        <v>184.585275</v>
      </c>
      <c r="F37" s="7">
        <v>0.7075429078447748</v>
      </c>
    </row>
    <row r="38" spans="1:6" x14ac:dyDescent="0.2">
      <c r="A38" s="7" t="s">
        <v>413</v>
      </c>
      <c r="B38" s="7" t="s">
        <v>414</v>
      </c>
      <c r="C38" s="7" t="s">
        <v>307</v>
      </c>
      <c r="D38" s="32">
        <v>30989</v>
      </c>
      <c r="E38" s="47">
        <v>184.46202249999999</v>
      </c>
      <c r="F38" s="7">
        <v>0.70707046261722806</v>
      </c>
    </row>
    <row r="39" spans="1:6" x14ac:dyDescent="0.2">
      <c r="A39" s="7" t="s">
        <v>259</v>
      </c>
      <c r="B39" s="7" t="s">
        <v>260</v>
      </c>
      <c r="C39" s="7" t="s">
        <v>261</v>
      </c>
      <c r="D39" s="32">
        <v>42518</v>
      </c>
      <c r="E39" s="47">
        <v>183.69901899999999</v>
      </c>
      <c r="F39" s="7">
        <v>0.70414575632586363</v>
      </c>
    </row>
    <row r="40" spans="1:6" x14ac:dyDescent="0.2">
      <c r="A40" s="7" t="s">
        <v>186</v>
      </c>
      <c r="B40" s="7" t="s">
        <v>187</v>
      </c>
      <c r="C40" s="7" t="s">
        <v>188</v>
      </c>
      <c r="D40" s="32">
        <v>6831</v>
      </c>
      <c r="E40" s="47">
        <v>175.870926</v>
      </c>
      <c r="F40" s="7">
        <v>0.67413950753868745</v>
      </c>
    </row>
    <row r="41" spans="1:6" x14ac:dyDescent="0.2">
      <c r="A41" s="7" t="s">
        <v>196</v>
      </c>
      <c r="B41" s="7" t="s">
        <v>197</v>
      </c>
      <c r="C41" s="7" t="s">
        <v>57</v>
      </c>
      <c r="D41" s="32">
        <v>22227</v>
      </c>
      <c r="E41" s="47">
        <v>175.22655449999999</v>
      </c>
      <c r="F41" s="7">
        <v>0.67166953540877461</v>
      </c>
    </row>
    <row r="42" spans="1:6" x14ac:dyDescent="0.2">
      <c r="A42" s="7" t="s">
        <v>415</v>
      </c>
      <c r="B42" s="7" t="s">
        <v>416</v>
      </c>
      <c r="C42" s="7" t="s">
        <v>36</v>
      </c>
      <c r="D42" s="32">
        <v>6633</v>
      </c>
      <c r="E42" s="47">
        <v>172.78964999999999</v>
      </c>
      <c r="F42" s="7">
        <v>0.66232851675996851</v>
      </c>
    </row>
    <row r="43" spans="1:6" x14ac:dyDescent="0.2">
      <c r="A43" s="7" t="s">
        <v>143</v>
      </c>
      <c r="B43" s="7" t="s">
        <v>144</v>
      </c>
      <c r="C43" s="7" t="s">
        <v>39</v>
      </c>
      <c r="D43" s="32">
        <v>7313</v>
      </c>
      <c r="E43" s="47">
        <v>172.301593</v>
      </c>
      <c r="F43" s="7">
        <v>0.66045772143800141</v>
      </c>
    </row>
    <row r="44" spans="1:6" x14ac:dyDescent="0.2">
      <c r="A44" s="7" t="s">
        <v>417</v>
      </c>
      <c r="B44" s="7" t="s">
        <v>418</v>
      </c>
      <c r="C44" s="7" t="s">
        <v>134</v>
      </c>
      <c r="D44" s="32">
        <v>44333</v>
      </c>
      <c r="E44" s="47">
        <v>167.37924150000001</v>
      </c>
      <c r="F44" s="7">
        <v>0.6415896134930742</v>
      </c>
    </row>
    <row r="45" spans="1:6" x14ac:dyDescent="0.2">
      <c r="A45" s="7" t="s">
        <v>419</v>
      </c>
      <c r="B45" s="7" t="s">
        <v>420</v>
      </c>
      <c r="C45" s="7" t="s">
        <v>27</v>
      </c>
      <c r="D45" s="32">
        <v>102610</v>
      </c>
      <c r="E45" s="47">
        <v>158.12200999999999</v>
      </c>
      <c r="F45" s="7">
        <v>0.60610526354098693</v>
      </c>
    </row>
    <row r="46" spans="1:6" x14ac:dyDescent="0.2">
      <c r="A46" s="7" t="s">
        <v>25</v>
      </c>
      <c r="B46" s="7" t="s">
        <v>26</v>
      </c>
      <c r="C46" s="7" t="s">
        <v>27</v>
      </c>
      <c r="D46" s="32">
        <v>82238</v>
      </c>
      <c r="E46" s="47">
        <v>156.704509</v>
      </c>
      <c r="F46" s="7">
        <v>0.60067177065043609</v>
      </c>
    </row>
    <row r="47" spans="1:6" x14ac:dyDescent="0.2">
      <c r="A47" s="7" t="s">
        <v>120</v>
      </c>
      <c r="B47" s="7" t="s">
        <v>121</v>
      </c>
      <c r="C47" s="7" t="s">
        <v>122</v>
      </c>
      <c r="D47" s="32">
        <v>45215</v>
      </c>
      <c r="E47" s="47">
        <v>156.217825</v>
      </c>
      <c r="F47" s="7">
        <v>0.59880623824238499</v>
      </c>
    </row>
    <row r="48" spans="1:6" x14ac:dyDescent="0.2">
      <c r="A48" s="7" t="s">
        <v>421</v>
      </c>
      <c r="B48" s="7" t="s">
        <v>422</v>
      </c>
      <c r="C48" s="7" t="s">
        <v>188</v>
      </c>
      <c r="D48" s="32">
        <v>28596</v>
      </c>
      <c r="E48" s="47">
        <v>149.013756</v>
      </c>
      <c r="F48" s="7">
        <v>0.5711919665808215</v>
      </c>
    </row>
    <row r="49" spans="1:6" x14ac:dyDescent="0.2">
      <c r="A49" s="7" t="s">
        <v>37</v>
      </c>
      <c r="B49" s="7" t="s">
        <v>38</v>
      </c>
      <c r="C49" s="7" t="s">
        <v>39</v>
      </c>
      <c r="D49" s="32">
        <v>100848</v>
      </c>
      <c r="E49" s="47">
        <v>136.749888</v>
      </c>
      <c r="F49" s="7">
        <v>0.52418273019322514</v>
      </c>
    </row>
    <row r="50" spans="1:6" x14ac:dyDescent="0.2">
      <c r="A50" s="7" t="s">
        <v>423</v>
      </c>
      <c r="B50" s="7" t="s">
        <v>424</v>
      </c>
      <c r="C50" s="7" t="s">
        <v>261</v>
      </c>
      <c r="D50" s="32">
        <v>57193</v>
      </c>
      <c r="E50" s="47">
        <v>135.8047785</v>
      </c>
      <c r="F50" s="7">
        <v>0.52055998442511486</v>
      </c>
    </row>
    <row r="51" spans="1:6" x14ac:dyDescent="0.2">
      <c r="A51" s="7" t="s">
        <v>145</v>
      </c>
      <c r="B51" s="7" t="s">
        <v>146</v>
      </c>
      <c r="C51" s="7" t="s">
        <v>131</v>
      </c>
      <c r="D51" s="32">
        <v>104172</v>
      </c>
      <c r="E51" s="47">
        <v>134.22562199999999</v>
      </c>
      <c r="F51" s="7">
        <v>0.51450684187649076</v>
      </c>
    </row>
    <row r="52" spans="1:6" x14ac:dyDescent="0.2">
      <c r="A52" s="7" t="s">
        <v>425</v>
      </c>
      <c r="B52" s="7" t="s">
        <v>426</v>
      </c>
      <c r="C52" s="7" t="s">
        <v>39</v>
      </c>
      <c r="D52" s="32">
        <v>783</v>
      </c>
      <c r="E52" s="47">
        <v>128.00523150000001</v>
      </c>
      <c r="F52" s="7">
        <v>0.49066315671633914</v>
      </c>
    </row>
    <row r="53" spans="1:6" x14ac:dyDescent="0.2">
      <c r="A53" s="7" t="s">
        <v>427</v>
      </c>
      <c r="B53" s="7" t="s">
        <v>428</v>
      </c>
      <c r="C53" s="7" t="s">
        <v>70</v>
      </c>
      <c r="D53" s="32">
        <v>33547</v>
      </c>
      <c r="E53" s="47">
        <v>121.305952</v>
      </c>
      <c r="F53" s="7">
        <v>0.46498381854651555</v>
      </c>
    </row>
    <row r="54" spans="1:6" x14ac:dyDescent="0.2">
      <c r="A54" s="7" t="s">
        <v>429</v>
      </c>
      <c r="B54" s="7" t="s">
        <v>430</v>
      </c>
      <c r="C54" s="7" t="s">
        <v>431</v>
      </c>
      <c r="D54" s="32">
        <v>47931</v>
      </c>
      <c r="E54" s="47">
        <v>117.79043249999999</v>
      </c>
      <c r="F54" s="7">
        <v>0.45150830762282457</v>
      </c>
    </row>
    <row r="55" spans="1:6" x14ac:dyDescent="0.2">
      <c r="A55" s="7" t="s">
        <v>432</v>
      </c>
      <c r="B55" s="7" t="s">
        <v>433</v>
      </c>
      <c r="C55" s="7" t="s">
        <v>33</v>
      </c>
      <c r="D55" s="32">
        <v>18788</v>
      </c>
      <c r="E55" s="47">
        <v>100.628528</v>
      </c>
      <c r="F55" s="7">
        <v>0.38572416631423789</v>
      </c>
    </row>
    <row r="56" spans="1:6" x14ac:dyDescent="0.2">
      <c r="A56" s="7" t="s">
        <v>206</v>
      </c>
      <c r="B56" s="7" t="s">
        <v>207</v>
      </c>
      <c r="C56" s="7" t="s">
        <v>11</v>
      </c>
      <c r="D56" s="32">
        <v>104421</v>
      </c>
      <c r="E56" s="47">
        <v>95.231952000000007</v>
      </c>
      <c r="F56" s="7">
        <v>0.36503828508430058</v>
      </c>
    </row>
    <row r="57" spans="1:6" x14ac:dyDescent="0.2">
      <c r="A57" s="6" t="s">
        <v>43</v>
      </c>
      <c r="B57" s="7"/>
      <c r="C57" s="7"/>
      <c r="D57" s="7"/>
      <c r="E57" s="48">
        <f xml:space="preserve"> SUM(E7:E56)</f>
        <v>25532.977923499999</v>
      </c>
      <c r="F57" s="6">
        <f>SUM(F7:F56)</f>
        <v>97.871715097152915</v>
      </c>
    </row>
    <row r="58" spans="1:6" x14ac:dyDescent="0.2">
      <c r="A58" s="7"/>
      <c r="B58" s="7"/>
      <c r="C58" s="7"/>
      <c r="D58" s="7"/>
      <c r="E58" s="47"/>
      <c r="F58" s="7"/>
    </row>
    <row r="59" spans="1:6" x14ac:dyDescent="0.2">
      <c r="A59" s="6" t="s">
        <v>43</v>
      </c>
      <c r="B59" s="7"/>
      <c r="C59" s="7"/>
      <c r="D59" s="7"/>
      <c r="E59" s="48">
        <v>25532.977923499999</v>
      </c>
      <c r="F59" s="6">
        <v>97.871715097152915</v>
      </c>
    </row>
    <row r="60" spans="1:6" x14ac:dyDescent="0.2">
      <c r="A60" s="7"/>
      <c r="B60" s="7"/>
      <c r="C60" s="7"/>
      <c r="D60" s="7"/>
      <c r="E60" s="47"/>
      <c r="F60" s="7"/>
    </row>
    <row r="61" spans="1:6" x14ac:dyDescent="0.2">
      <c r="A61" s="6" t="s">
        <v>101</v>
      </c>
      <c r="B61" s="7"/>
      <c r="C61" s="7"/>
      <c r="D61" s="7"/>
      <c r="E61" s="48">
        <v>555.23142089999999</v>
      </c>
      <c r="F61" s="6">
        <v>2.13</v>
      </c>
    </row>
    <row r="62" spans="1:6" x14ac:dyDescent="0.2">
      <c r="A62" s="7"/>
      <c r="B62" s="7"/>
      <c r="C62" s="7"/>
      <c r="D62" s="7"/>
      <c r="E62" s="47"/>
      <c r="F62" s="7"/>
    </row>
    <row r="63" spans="1:6" x14ac:dyDescent="0.2">
      <c r="A63" s="8" t="s">
        <v>102</v>
      </c>
      <c r="B63" s="5"/>
      <c r="C63" s="5"/>
      <c r="D63" s="5"/>
      <c r="E63" s="49">
        <v>26088.209344399998</v>
      </c>
      <c r="F63" s="8">
        <f xml:space="preserve"> ROUND(SUM(F59:F62),2)</f>
        <v>100</v>
      </c>
    </row>
    <row r="65" spans="1:4" x14ac:dyDescent="0.2">
      <c r="A65" s="4" t="s">
        <v>103</v>
      </c>
      <c r="B65" s="2"/>
      <c r="C65" s="2"/>
      <c r="D65" s="2"/>
    </row>
    <row r="66" spans="1:4" x14ac:dyDescent="0.2">
      <c r="A66" s="4" t="s">
        <v>104</v>
      </c>
      <c r="B66" s="2"/>
      <c r="C66" s="2"/>
      <c r="D66" s="2"/>
    </row>
    <row r="67" spans="1:4" x14ac:dyDescent="0.2">
      <c r="A67" s="4" t="s">
        <v>608</v>
      </c>
      <c r="B67" s="2"/>
      <c r="C67" s="2"/>
      <c r="D67" s="2"/>
    </row>
    <row r="68" spans="1:4" x14ac:dyDescent="0.2">
      <c r="A68" s="2" t="s">
        <v>600</v>
      </c>
      <c r="B68" s="2"/>
      <c r="C68" s="2"/>
      <c r="D68" s="10">
        <v>85.625500000000002</v>
      </c>
    </row>
    <row r="69" spans="1:4" x14ac:dyDescent="0.2">
      <c r="A69" s="2" t="s">
        <v>601</v>
      </c>
      <c r="B69" s="2"/>
      <c r="C69" s="2"/>
      <c r="D69" s="10">
        <v>85.625500000000002</v>
      </c>
    </row>
    <row r="70" spans="1:4" x14ac:dyDescent="0.2">
      <c r="A70" s="2" t="s">
        <v>602</v>
      </c>
      <c r="B70" s="2"/>
      <c r="C70" s="2"/>
      <c r="D70" s="10">
        <v>87.601299999999995</v>
      </c>
    </row>
    <row r="71" spans="1:4" x14ac:dyDescent="0.2">
      <c r="A71" s="2" t="s">
        <v>603</v>
      </c>
      <c r="B71" s="2"/>
      <c r="C71" s="2"/>
      <c r="D71" s="10">
        <v>87.601299999999995</v>
      </c>
    </row>
    <row r="72" spans="1:4" x14ac:dyDescent="0.2">
      <c r="A72" s="2"/>
      <c r="B72" s="2"/>
      <c r="C72" s="2"/>
      <c r="D72" s="10"/>
    </row>
    <row r="73" spans="1:4" x14ac:dyDescent="0.2">
      <c r="A73" s="4" t="s">
        <v>105</v>
      </c>
      <c r="B73" s="2"/>
      <c r="C73" s="2"/>
      <c r="D73" s="2"/>
    </row>
    <row r="74" spans="1:4" x14ac:dyDescent="0.2">
      <c r="A74" s="2" t="s">
        <v>600</v>
      </c>
      <c r="B74" s="2"/>
      <c r="C74" s="2"/>
      <c r="D74" s="10">
        <v>88.140100000000004</v>
      </c>
    </row>
    <row r="75" spans="1:4" x14ac:dyDescent="0.2">
      <c r="A75" s="2" t="s">
        <v>601</v>
      </c>
      <c r="B75" s="2"/>
      <c r="C75" s="2"/>
      <c r="D75" s="10">
        <v>88.140100000000004</v>
      </c>
    </row>
    <row r="76" spans="1:4" x14ac:dyDescent="0.2">
      <c r="A76" s="2" t="s">
        <v>602</v>
      </c>
      <c r="B76" s="2"/>
      <c r="C76" s="2"/>
      <c r="D76" s="10">
        <v>90.350999999999999</v>
      </c>
    </row>
    <row r="77" spans="1:4" x14ac:dyDescent="0.2">
      <c r="A77" s="2" t="s">
        <v>603</v>
      </c>
      <c r="B77" s="2"/>
      <c r="C77" s="2"/>
      <c r="D77" s="10">
        <v>90.350999999999999</v>
      </c>
    </row>
    <row r="78" spans="1:4" x14ac:dyDescent="0.2">
      <c r="A78" s="2"/>
      <c r="B78" s="2"/>
      <c r="C78" s="2"/>
      <c r="D78" s="2"/>
    </row>
    <row r="79" spans="1:4" x14ac:dyDescent="0.2">
      <c r="A79" s="4" t="s">
        <v>106</v>
      </c>
      <c r="B79" s="2"/>
      <c r="C79" s="2"/>
      <c r="D79" s="20" t="s">
        <v>107</v>
      </c>
    </row>
    <row r="80" spans="1:4" x14ac:dyDescent="0.2">
      <c r="A80" s="4"/>
      <c r="B80" s="2"/>
      <c r="C80" s="2"/>
      <c r="D80" s="20"/>
    </row>
    <row r="81" spans="1:4" x14ac:dyDescent="0.2">
      <c r="A81" s="9" t="s">
        <v>609</v>
      </c>
      <c r="B81" s="2"/>
      <c r="C81" s="2"/>
      <c r="D81" s="27">
        <v>6.9674487183658568E-2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ECC3-E34B-4D90-844A-C660C7A4529A}">
  <dimension ref="A1:E34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38.140625" style="1" bestFit="1" customWidth="1"/>
    <col min="3" max="3" width="11.14062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179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7" t="s">
        <v>177</v>
      </c>
      <c r="B6" s="7" t="s">
        <v>661</v>
      </c>
      <c r="C6" s="32">
        <v>1883996.4</v>
      </c>
      <c r="D6" s="15">
        <v>80380.598975500005</v>
      </c>
      <c r="E6" s="7">
        <v>81.320383810043467</v>
      </c>
    </row>
    <row r="7" spans="1:5" x14ac:dyDescent="0.2">
      <c r="A7" s="7" t="s">
        <v>178</v>
      </c>
      <c r="B7" s="7" t="s">
        <v>662</v>
      </c>
      <c r="C7" s="32">
        <v>4098393.96</v>
      </c>
      <c r="D7" s="15">
        <v>18920.563597100001</v>
      </c>
      <c r="E7" s="7">
        <v>19.141776911708288</v>
      </c>
    </row>
    <row r="8" spans="1:5" x14ac:dyDescent="0.2">
      <c r="A8" s="6" t="s">
        <v>43</v>
      </c>
      <c r="B8" s="7"/>
      <c r="C8" s="7"/>
      <c r="D8" s="13">
        <v>99301.162572600006</v>
      </c>
      <c r="E8" s="6">
        <v>100.46216072175176</v>
      </c>
    </row>
    <row r="9" spans="1:5" x14ac:dyDescent="0.2">
      <c r="A9" s="7"/>
      <c r="B9" s="7"/>
      <c r="C9" s="7"/>
      <c r="D9" s="12"/>
      <c r="E9" s="7"/>
    </row>
    <row r="10" spans="1:5" x14ac:dyDescent="0.2">
      <c r="A10" s="6" t="s">
        <v>101</v>
      </c>
      <c r="B10" s="7"/>
      <c r="C10" s="7"/>
      <c r="D10" s="13">
        <v>-456.81972830000001</v>
      </c>
      <c r="E10" s="6">
        <v>-0.46</v>
      </c>
    </row>
    <row r="11" spans="1:5" x14ac:dyDescent="0.2">
      <c r="A11" s="7"/>
      <c r="B11" s="7"/>
      <c r="C11" s="7"/>
      <c r="D11" s="12"/>
      <c r="E11" s="7"/>
    </row>
    <row r="12" spans="1:5" x14ac:dyDescent="0.2">
      <c r="A12" s="8" t="s">
        <v>102</v>
      </c>
      <c r="B12" s="5"/>
      <c r="C12" s="5"/>
      <c r="D12" s="14">
        <v>98844.342844300001</v>
      </c>
      <c r="E12" s="14">
        <v>100.00216072175176</v>
      </c>
    </row>
    <row r="14" spans="1:5" x14ac:dyDescent="0.2">
      <c r="A14" s="4" t="s">
        <v>103</v>
      </c>
      <c r="B14" s="2"/>
      <c r="C14" s="2"/>
      <c r="D14" s="2"/>
    </row>
    <row r="15" spans="1:5" x14ac:dyDescent="0.2">
      <c r="A15" s="4" t="s">
        <v>104</v>
      </c>
      <c r="B15" s="2"/>
      <c r="C15" s="2"/>
      <c r="D15" s="2"/>
    </row>
    <row r="16" spans="1:5" x14ac:dyDescent="0.2">
      <c r="A16" s="4" t="s">
        <v>608</v>
      </c>
      <c r="B16" s="2"/>
      <c r="C16" s="2"/>
      <c r="D16" s="2"/>
    </row>
    <row r="17" spans="1:4" x14ac:dyDescent="0.2">
      <c r="A17" s="2" t="s">
        <v>600</v>
      </c>
      <c r="B17" s="2"/>
      <c r="C17" s="2"/>
      <c r="D17" s="10">
        <v>81.327399999999997</v>
      </c>
    </row>
    <row r="18" spans="1:4" x14ac:dyDescent="0.2">
      <c r="A18" s="2" t="s">
        <v>601</v>
      </c>
      <c r="B18" s="2"/>
      <c r="C18" s="2"/>
      <c r="D18" s="10">
        <v>36.529600000000002</v>
      </c>
    </row>
    <row r="19" spans="1:4" x14ac:dyDescent="0.2">
      <c r="A19" s="2" t="s">
        <v>602</v>
      </c>
      <c r="B19" s="2"/>
      <c r="C19" s="2"/>
      <c r="D19" s="10">
        <v>86.318200000000004</v>
      </c>
    </row>
    <row r="20" spans="1:4" x14ac:dyDescent="0.2">
      <c r="A20" s="2" t="s">
        <v>603</v>
      </c>
      <c r="B20" s="2"/>
      <c r="C20" s="2"/>
      <c r="D20" s="10">
        <v>39.437800000000003</v>
      </c>
    </row>
    <row r="21" spans="1:4" x14ac:dyDescent="0.2">
      <c r="A21" s="2"/>
      <c r="B21" s="2"/>
      <c r="C21" s="2"/>
      <c r="D21" s="10"/>
    </row>
    <row r="22" spans="1:4" x14ac:dyDescent="0.2">
      <c r="A22" s="4" t="s">
        <v>105</v>
      </c>
      <c r="B22" s="2"/>
      <c r="C22" s="2"/>
      <c r="D22" s="2"/>
    </row>
    <row r="23" spans="1:4" x14ac:dyDescent="0.2">
      <c r="A23" s="2" t="s">
        <v>600</v>
      </c>
      <c r="B23" s="2"/>
      <c r="C23" s="2"/>
      <c r="D23" s="10">
        <v>83.526399999999995</v>
      </c>
    </row>
    <row r="24" spans="1:4" x14ac:dyDescent="0.2">
      <c r="A24" s="2" t="s">
        <v>601</v>
      </c>
      <c r="B24" s="2"/>
      <c r="C24" s="2"/>
      <c r="D24" s="10">
        <v>35.922499999999999</v>
      </c>
    </row>
    <row r="25" spans="1:4" x14ac:dyDescent="0.2">
      <c r="A25" s="2" t="s">
        <v>602</v>
      </c>
      <c r="B25" s="2"/>
      <c r="C25" s="2"/>
      <c r="D25" s="10">
        <v>89.115600000000001</v>
      </c>
    </row>
    <row r="26" spans="1:4" x14ac:dyDescent="0.2">
      <c r="A26" s="2" t="s">
        <v>603</v>
      </c>
      <c r="B26" s="2"/>
      <c r="C26" s="2"/>
      <c r="D26" s="10">
        <v>39.1175</v>
      </c>
    </row>
    <row r="27" spans="1:4" x14ac:dyDescent="0.2">
      <c r="A27" s="2"/>
      <c r="B27" s="2"/>
      <c r="C27" s="2"/>
      <c r="D27" s="2"/>
    </row>
    <row r="28" spans="1:4" x14ac:dyDescent="0.2">
      <c r="A28" s="4" t="s">
        <v>106</v>
      </c>
      <c r="B28" s="2"/>
      <c r="C28" s="2"/>
      <c r="D28" s="20" t="s">
        <v>311</v>
      </c>
    </row>
    <row r="29" spans="1:4" x14ac:dyDescent="0.2">
      <c r="A29" s="21" t="s">
        <v>604</v>
      </c>
      <c r="B29" s="22"/>
      <c r="C29" s="103" t="s">
        <v>605</v>
      </c>
      <c r="D29" s="104"/>
    </row>
    <row r="30" spans="1:4" x14ac:dyDescent="0.2">
      <c r="A30" s="105"/>
      <c r="B30" s="106"/>
      <c r="C30" s="23" t="s">
        <v>606</v>
      </c>
      <c r="D30" s="23" t="s">
        <v>607</v>
      </c>
    </row>
    <row r="31" spans="1:4" x14ac:dyDescent="0.2">
      <c r="A31" s="24" t="s">
        <v>601</v>
      </c>
      <c r="B31" s="25"/>
      <c r="C31" s="26">
        <v>1.1525163200000001</v>
      </c>
      <c r="D31" s="26">
        <v>1.0672358559999999</v>
      </c>
    </row>
    <row r="32" spans="1:4" x14ac:dyDescent="0.2">
      <c r="A32" s="24" t="s">
        <v>603</v>
      </c>
      <c r="B32" s="25"/>
      <c r="C32" s="26">
        <v>1.1525163200000001</v>
      </c>
      <c r="D32" s="26">
        <v>1.0672358559999999</v>
      </c>
    </row>
    <row r="33" spans="1:4" x14ac:dyDescent="0.2">
      <c r="A33" s="4"/>
      <c r="B33" s="2"/>
      <c r="C33" s="2"/>
      <c r="D33" s="20"/>
    </row>
    <row r="34" spans="1:4" x14ac:dyDescent="0.2">
      <c r="A34" s="9" t="s">
        <v>609</v>
      </c>
      <c r="B34" s="2"/>
      <c r="C34" s="2"/>
      <c r="D34" s="27">
        <v>0.28402256760717681</v>
      </c>
    </row>
  </sheetData>
  <mergeCells count="3">
    <mergeCell ref="A1:E1"/>
    <mergeCell ref="C29:D29"/>
    <mergeCell ref="A30:B3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2E0E-30F9-4716-8683-FBCD835E4486}">
  <dimension ref="A1:E32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38.140625" style="1" bestFit="1" customWidth="1"/>
    <col min="3" max="3" width="9.855468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436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663</v>
      </c>
      <c r="B5" s="7"/>
      <c r="C5" s="7"/>
      <c r="D5" s="7"/>
      <c r="E5" s="7"/>
    </row>
    <row r="6" spans="1:5" x14ac:dyDescent="0.2">
      <c r="A6" s="7" t="s">
        <v>177</v>
      </c>
      <c r="B6" s="7" t="s">
        <v>661</v>
      </c>
      <c r="C6" s="32">
        <v>23770.240000000002</v>
      </c>
      <c r="D6" s="46">
        <v>1014.1559347</v>
      </c>
      <c r="E6" s="12">
        <v>34.945284655370365</v>
      </c>
    </row>
    <row r="7" spans="1:5" x14ac:dyDescent="0.2">
      <c r="A7" s="7" t="s">
        <v>178</v>
      </c>
      <c r="B7" s="7" t="s">
        <v>662</v>
      </c>
      <c r="C7" s="32">
        <v>215991.10699999999</v>
      </c>
      <c r="D7" s="46">
        <v>997.14022480000006</v>
      </c>
      <c r="E7" s="12">
        <v>34.358965721838125</v>
      </c>
    </row>
    <row r="8" spans="1:5" x14ac:dyDescent="0.2">
      <c r="A8" s="7" t="s">
        <v>664</v>
      </c>
      <c r="B8" s="7" t="s">
        <v>665</v>
      </c>
      <c r="C8" s="32">
        <v>24250</v>
      </c>
      <c r="D8" s="46">
        <v>743.42012499999998</v>
      </c>
      <c r="E8" s="12">
        <v>25.616403747951189</v>
      </c>
    </row>
    <row r="9" spans="1:5" x14ac:dyDescent="0.2">
      <c r="A9" s="7" t="s">
        <v>435</v>
      </c>
      <c r="B9" s="7" t="s">
        <v>666</v>
      </c>
      <c r="C9" s="32">
        <v>3819.5210000000002</v>
      </c>
      <c r="D9" s="46">
        <v>109.46401900000001</v>
      </c>
      <c r="E9" s="12">
        <v>3.771857140102846</v>
      </c>
    </row>
    <row r="10" spans="1:5" x14ac:dyDescent="0.2">
      <c r="A10" s="6" t="s">
        <v>43</v>
      </c>
      <c r="B10" s="7"/>
      <c r="C10" s="7"/>
      <c r="D10" s="42">
        <v>2864.1803035000003</v>
      </c>
      <c r="E10" s="6">
        <v>98.692511265262524</v>
      </c>
    </row>
    <row r="11" spans="1:5" x14ac:dyDescent="0.2">
      <c r="A11" s="7"/>
      <c r="B11" s="7"/>
      <c r="C11" s="7"/>
      <c r="D11" s="29"/>
      <c r="E11" s="7"/>
    </row>
    <row r="12" spans="1:5" x14ac:dyDescent="0.2">
      <c r="A12" s="6" t="s">
        <v>101</v>
      </c>
      <c r="B12" s="7"/>
      <c r="C12" s="7"/>
      <c r="D12" s="42">
        <v>37.944960899999998</v>
      </c>
      <c r="E12" s="13">
        <v>1.3074887347374693</v>
      </c>
    </row>
    <row r="13" spans="1:5" x14ac:dyDescent="0.2">
      <c r="A13" s="7"/>
      <c r="B13" s="7"/>
      <c r="C13" s="7"/>
      <c r="D13" s="29"/>
      <c r="E13" s="7"/>
    </row>
    <row r="14" spans="1:5" x14ac:dyDescent="0.2">
      <c r="A14" s="8" t="s">
        <v>102</v>
      </c>
      <c r="B14" s="5"/>
      <c r="C14" s="5"/>
      <c r="D14" s="43">
        <v>2902.1252644000001</v>
      </c>
      <c r="E14" s="8">
        <v>100</v>
      </c>
    </row>
    <row r="16" spans="1:5" x14ac:dyDescent="0.2">
      <c r="A16" s="4" t="s">
        <v>103</v>
      </c>
      <c r="B16" s="2"/>
      <c r="C16" s="2"/>
      <c r="D16" s="2"/>
    </row>
    <row r="17" spans="1:4" x14ac:dyDescent="0.2">
      <c r="A17" s="4" t="s">
        <v>104</v>
      </c>
      <c r="B17" s="2"/>
      <c r="C17" s="2"/>
      <c r="D17" s="2"/>
    </row>
    <row r="18" spans="1:4" x14ac:dyDescent="0.2">
      <c r="A18" s="4" t="s">
        <v>608</v>
      </c>
      <c r="B18" s="2"/>
      <c r="C18" s="2"/>
      <c r="D18" s="2"/>
    </row>
    <row r="19" spans="1:4" x14ac:dyDescent="0.2">
      <c r="A19" s="2" t="s">
        <v>600</v>
      </c>
      <c r="B19" s="2"/>
      <c r="C19" s="2"/>
      <c r="D19" s="10">
        <v>12.2323</v>
      </c>
    </row>
    <row r="20" spans="1:4" x14ac:dyDescent="0.2">
      <c r="A20" s="2" t="s">
        <v>601</v>
      </c>
      <c r="B20" s="2"/>
      <c r="C20" s="2"/>
      <c r="D20" s="10">
        <v>12.2323</v>
      </c>
    </row>
    <row r="21" spans="1:4" x14ac:dyDescent="0.2">
      <c r="A21" s="2" t="s">
        <v>602</v>
      </c>
      <c r="B21" s="2"/>
      <c r="C21" s="2"/>
      <c r="D21" s="10">
        <v>13.0434</v>
      </c>
    </row>
    <row r="22" spans="1:4" x14ac:dyDescent="0.2">
      <c r="A22" s="2" t="s">
        <v>603</v>
      </c>
      <c r="B22" s="2"/>
      <c r="C22" s="2"/>
      <c r="D22" s="10">
        <v>13.0434</v>
      </c>
    </row>
    <row r="23" spans="1:4" x14ac:dyDescent="0.2">
      <c r="A23" s="2"/>
      <c r="B23" s="2"/>
      <c r="C23" s="2"/>
      <c r="D23" s="10"/>
    </row>
    <row r="24" spans="1:4" x14ac:dyDescent="0.2">
      <c r="A24" s="4" t="s">
        <v>105</v>
      </c>
      <c r="B24" s="2"/>
      <c r="C24" s="2"/>
      <c r="D24" s="2"/>
    </row>
    <row r="25" spans="1:4" x14ac:dyDescent="0.2">
      <c r="A25" s="2" t="s">
        <v>600</v>
      </c>
      <c r="B25" s="2"/>
      <c r="C25" s="2"/>
      <c r="D25" s="10">
        <v>12.4794</v>
      </c>
    </row>
    <row r="26" spans="1:4" x14ac:dyDescent="0.2">
      <c r="A26" s="2" t="s">
        <v>601</v>
      </c>
      <c r="B26" s="2"/>
      <c r="C26" s="2"/>
      <c r="D26" s="10">
        <v>12.4794</v>
      </c>
    </row>
    <row r="27" spans="1:4" x14ac:dyDescent="0.2">
      <c r="A27" s="2" t="s">
        <v>602</v>
      </c>
      <c r="B27" s="2"/>
      <c r="C27" s="2"/>
      <c r="D27" s="10">
        <v>13.357900000000001</v>
      </c>
    </row>
    <row r="28" spans="1:4" x14ac:dyDescent="0.2">
      <c r="A28" s="2" t="s">
        <v>603</v>
      </c>
      <c r="B28" s="2"/>
      <c r="C28" s="2"/>
      <c r="D28" s="10">
        <v>13.357900000000001</v>
      </c>
    </row>
    <row r="29" spans="1:4" x14ac:dyDescent="0.2">
      <c r="A29" s="2"/>
      <c r="B29" s="2"/>
      <c r="C29" s="2"/>
      <c r="D29" s="2"/>
    </row>
    <row r="30" spans="1:4" x14ac:dyDescent="0.2">
      <c r="A30" s="4" t="s">
        <v>106</v>
      </c>
      <c r="B30" s="2"/>
      <c r="C30" s="2"/>
      <c r="D30" s="20" t="s">
        <v>107</v>
      </c>
    </row>
    <row r="31" spans="1:4" x14ac:dyDescent="0.2">
      <c r="A31" s="4"/>
      <c r="B31" s="2"/>
      <c r="C31" s="2"/>
      <c r="D31" s="20"/>
    </row>
    <row r="32" spans="1:4" x14ac:dyDescent="0.2">
      <c r="A32" s="9" t="s">
        <v>609</v>
      </c>
      <c r="B32" s="2"/>
      <c r="C32" s="2"/>
      <c r="D32" s="27">
        <v>0.51197094524344311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99C8-2C9D-45F7-A02F-15B295A37D8C}">
  <dimension ref="A1:E29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37" style="1" customWidth="1"/>
    <col min="3" max="3" width="9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102" t="s">
        <v>591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615</v>
      </c>
      <c r="B5" s="7"/>
      <c r="C5" s="7"/>
      <c r="D5" s="6"/>
      <c r="E5" s="6"/>
    </row>
    <row r="6" spans="1:5" x14ac:dyDescent="0.2">
      <c r="A6" s="7" t="s">
        <v>667</v>
      </c>
      <c r="B6" s="7" t="s">
        <v>668</v>
      </c>
      <c r="C6" s="34">
        <v>2730148.523</v>
      </c>
      <c r="D6" s="50">
        <v>91390.127083500003</v>
      </c>
      <c r="E6" s="51">
        <v>99.856731353011952</v>
      </c>
    </row>
    <row r="7" spans="1:5" x14ac:dyDescent="0.2">
      <c r="A7" s="6" t="s">
        <v>43</v>
      </c>
      <c r="B7" s="7"/>
      <c r="C7" s="7"/>
      <c r="D7" s="13">
        <v>91390.127083500003</v>
      </c>
      <c r="E7" s="13">
        <v>99.856731353011952</v>
      </c>
    </row>
    <row r="8" spans="1:5" x14ac:dyDescent="0.2">
      <c r="A8" s="7"/>
      <c r="B8" s="7"/>
      <c r="C8" s="7"/>
      <c r="D8" s="12"/>
      <c r="E8" s="7"/>
    </row>
    <row r="9" spans="1:5" x14ac:dyDescent="0.2">
      <c r="A9" s="6" t="s">
        <v>101</v>
      </c>
      <c r="B9" s="7"/>
      <c r="C9" s="7"/>
      <c r="D9" s="13">
        <v>131.12125420000001</v>
      </c>
      <c r="E9" s="52">
        <v>0.14326864698805439</v>
      </c>
    </row>
    <row r="10" spans="1:5" x14ac:dyDescent="0.2">
      <c r="A10" s="7"/>
      <c r="B10" s="7"/>
      <c r="C10" s="7"/>
      <c r="D10" s="12"/>
      <c r="E10" s="7"/>
    </row>
    <row r="11" spans="1:5" x14ac:dyDescent="0.2">
      <c r="A11" s="8" t="s">
        <v>102</v>
      </c>
      <c r="B11" s="5"/>
      <c r="C11" s="5"/>
      <c r="D11" s="14">
        <v>91521.248337700003</v>
      </c>
      <c r="E11" s="8">
        <v>100</v>
      </c>
    </row>
    <row r="13" spans="1:5" x14ac:dyDescent="0.2">
      <c r="A13" s="4" t="s">
        <v>103</v>
      </c>
      <c r="B13" s="2"/>
      <c r="C13" s="2"/>
      <c r="D13" s="2"/>
    </row>
    <row r="14" spans="1:5" x14ac:dyDescent="0.2">
      <c r="A14" s="4" t="s">
        <v>104</v>
      </c>
      <c r="B14" s="2"/>
      <c r="C14" s="2"/>
      <c r="D14" s="2"/>
    </row>
    <row r="15" spans="1:5" x14ac:dyDescent="0.2">
      <c r="A15" s="4" t="s">
        <v>608</v>
      </c>
      <c r="B15" s="2"/>
      <c r="C15" s="2"/>
      <c r="D15" s="2"/>
    </row>
    <row r="16" spans="1:5" x14ac:dyDescent="0.2">
      <c r="A16" s="2" t="s">
        <v>600</v>
      </c>
      <c r="B16" s="2"/>
      <c r="C16" s="2"/>
      <c r="D16" s="10">
        <v>28.934200000000001</v>
      </c>
    </row>
    <row r="17" spans="1:4" x14ac:dyDescent="0.2">
      <c r="A17" s="2" t="s">
        <v>601</v>
      </c>
      <c r="B17" s="2"/>
      <c r="C17" s="2"/>
      <c r="D17" s="10">
        <v>28.934200000000001</v>
      </c>
    </row>
    <row r="18" spans="1:4" x14ac:dyDescent="0.2">
      <c r="A18" s="2" t="s">
        <v>602</v>
      </c>
      <c r="B18" s="2"/>
      <c r="C18" s="2"/>
      <c r="D18" s="10">
        <v>30.7089</v>
      </c>
    </row>
    <row r="19" spans="1:4" x14ac:dyDescent="0.2">
      <c r="A19" s="2" t="s">
        <v>603</v>
      </c>
      <c r="B19" s="2"/>
      <c r="C19" s="2"/>
      <c r="D19" s="10">
        <v>30.7089</v>
      </c>
    </row>
    <row r="20" spans="1:4" x14ac:dyDescent="0.2">
      <c r="A20" s="2"/>
      <c r="B20" s="2"/>
      <c r="C20" s="2"/>
      <c r="D20" s="10"/>
    </row>
    <row r="21" spans="1:4" x14ac:dyDescent="0.2">
      <c r="A21" s="4" t="s">
        <v>105</v>
      </c>
      <c r="B21" s="2"/>
      <c r="C21" s="2"/>
      <c r="D21" s="2"/>
    </row>
    <row r="22" spans="1:4" x14ac:dyDescent="0.2">
      <c r="A22" s="2" t="s">
        <v>600</v>
      </c>
      <c r="B22" s="2"/>
      <c r="C22" s="2"/>
      <c r="D22" s="10">
        <v>32.074800000000003</v>
      </c>
    </row>
    <row r="23" spans="1:4" x14ac:dyDescent="0.2">
      <c r="A23" s="2" t="s">
        <v>601</v>
      </c>
      <c r="B23" s="2"/>
      <c r="C23" s="2"/>
      <c r="D23" s="10">
        <v>32.074800000000003</v>
      </c>
    </row>
    <row r="24" spans="1:4" x14ac:dyDescent="0.2">
      <c r="A24" s="2" t="s">
        <v>602</v>
      </c>
      <c r="B24" s="2"/>
      <c r="C24" s="2"/>
      <c r="D24" s="10">
        <v>34.182699999999997</v>
      </c>
    </row>
    <row r="25" spans="1:4" x14ac:dyDescent="0.2">
      <c r="A25" s="2" t="s">
        <v>603</v>
      </c>
      <c r="B25" s="2"/>
      <c r="C25" s="2"/>
      <c r="D25" s="10">
        <v>34.182699999999997</v>
      </c>
    </row>
    <row r="26" spans="1:4" x14ac:dyDescent="0.2">
      <c r="A26" s="2"/>
      <c r="B26" s="2"/>
      <c r="C26" s="2"/>
      <c r="D26" s="2"/>
    </row>
    <row r="27" spans="1:4" x14ac:dyDescent="0.2">
      <c r="A27" s="4" t="s">
        <v>106</v>
      </c>
      <c r="B27" s="2"/>
      <c r="C27" s="2"/>
      <c r="D27" s="20" t="s">
        <v>107</v>
      </c>
    </row>
    <row r="28" spans="1:4" x14ac:dyDescent="0.2">
      <c r="A28" s="4"/>
      <c r="B28" s="2"/>
      <c r="C28" s="2"/>
      <c r="D28" s="20"/>
    </row>
    <row r="29" spans="1:4" x14ac:dyDescent="0.2">
      <c r="A29" s="9" t="s">
        <v>609</v>
      </c>
      <c r="B29" s="2"/>
      <c r="C29" s="2"/>
      <c r="D29" s="27">
        <v>2.1989094755010062E-2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4ACC-F5AA-4483-B0CB-23E10E056F6B}">
  <dimension ref="A1:E29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1.85546875" style="1" customWidth="1"/>
    <col min="3" max="3" width="9" style="1" bestFit="1" customWidth="1"/>
    <col min="4" max="4" width="23.85546875" style="1" bestFit="1" customWidth="1"/>
    <col min="5" max="5" width="14" style="1" bestFit="1" customWidth="1"/>
    <col min="6" max="16384" width="9.140625" style="2"/>
  </cols>
  <sheetData>
    <row r="1" spans="1:5" x14ac:dyDescent="0.2">
      <c r="A1" s="102" t="s">
        <v>176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615</v>
      </c>
      <c r="B5" s="7"/>
      <c r="C5" s="7"/>
      <c r="D5" s="7"/>
      <c r="E5" s="7"/>
    </row>
    <row r="6" spans="1:5" x14ac:dyDescent="0.2">
      <c r="A6" s="7" t="s">
        <v>669</v>
      </c>
      <c r="B6" s="7" t="s">
        <v>670</v>
      </c>
      <c r="C6" s="32">
        <v>78535.228000000003</v>
      </c>
      <c r="D6" s="12">
        <v>1833.2658182999999</v>
      </c>
      <c r="E6" s="12">
        <v>98.744165411927099</v>
      </c>
    </row>
    <row r="7" spans="1:5" x14ac:dyDescent="0.2">
      <c r="A7" s="6" t="s">
        <v>43</v>
      </c>
      <c r="B7" s="7"/>
      <c r="C7" s="7"/>
      <c r="D7" s="13">
        <v>1833.2658182999999</v>
      </c>
      <c r="E7" s="13">
        <v>98.744165411927099</v>
      </c>
    </row>
    <row r="8" spans="1:5" x14ac:dyDescent="0.2">
      <c r="A8" s="7"/>
      <c r="B8" s="7"/>
      <c r="C8" s="7"/>
      <c r="D8" s="7"/>
      <c r="E8" s="7"/>
    </row>
    <row r="9" spans="1:5" x14ac:dyDescent="0.2">
      <c r="A9" s="6" t="s">
        <v>101</v>
      </c>
      <c r="B9" s="7"/>
      <c r="C9" s="7"/>
      <c r="D9" s="6">
        <v>23.3155915</v>
      </c>
      <c r="E9" s="13">
        <v>1.2558345880729072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8" t="s">
        <v>102</v>
      </c>
      <c r="B11" s="5"/>
      <c r="C11" s="5"/>
      <c r="D11" s="14">
        <v>1856.5814097999998</v>
      </c>
      <c r="E11" s="8">
        <v>100</v>
      </c>
    </row>
    <row r="13" spans="1:5" x14ac:dyDescent="0.2">
      <c r="A13" s="4" t="s">
        <v>103</v>
      </c>
      <c r="B13" s="2"/>
      <c r="C13" s="2"/>
      <c r="D13" s="2"/>
    </row>
    <row r="14" spans="1:5" x14ac:dyDescent="0.2">
      <c r="A14" s="4" t="s">
        <v>104</v>
      </c>
      <c r="B14" s="2"/>
      <c r="C14" s="2"/>
      <c r="D14" s="2"/>
    </row>
    <row r="15" spans="1:5" x14ac:dyDescent="0.2">
      <c r="A15" s="4" t="s">
        <v>608</v>
      </c>
      <c r="B15" s="2"/>
      <c r="C15" s="2"/>
      <c r="D15" s="2"/>
    </row>
    <row r="16" spans="1:5" x14ac:dyDescent="0.2">
      <c r="A16" s="2" t="s">
        <v>600</v>
      </c>
      <c r="B16" s="2"/>
      <c r="C16" s="2"/>
      <c r="D16" s="10">
        <v>9.5452999999999992</v>
      </c>
    </row>
    <row r="17" spans="1:4" x14ac:dyDescent="0.2">
      <c r="A17" s="2" t="s">
        <v>601</v>
      </c>
      <c r="B17" s="2"/>
      <c r="C17" s="2"/>
      <c r="D17" s="10">
        <v>9.5452999999999992</v>
      </c>
    </row>
    <row r="18" spans="1:4" x14ac:dyDescent="0.2">
      <c r="A18" s="2" t="s">
        <v>602</v>
      </c>
      <c r="B18" s="2"/>
      <c r="C18" s="2"/>
      <c r="D18" s="10">
        <v>10.1534</v>
      </c>
    </row>
    <row r="19" spans="1:4" x14ac:dyDescent="0.2">
      <c r="A19" s="2" t="s">
        <v>603</v>
      </c>
      <c r="B19" s="2"/>
      <c r="C19" s="2"/>
      <c r="D19" s="10">
        <v>10.1534</v>
      </c>
    </row>
    <row r="20" spans="1:4" x14ac:dyDescent="0.2">
      <c r="A20" s="2"/>
      <c r="B20" s="2"/>
      <c r="C20" s="2"/>
      <c r="D20" s="10"/>
    </row>
    <row r="21" spans="1:4" x14ac:dyDescent="0.2">
      <c r="A21" s="4" t="s">
        <v>105</v>
      </c>
      <c r="B21" s="2"/>
      <c r="C21" s="2"/>
      <c r="D21" s="2"/>
    </row>
    <row r="22" spans="1:4" x14ac:dyDescent="0.2">
      <c r="A22" s="2" t="s">
        <v>600</v>
      </c>
      <c r="B22" s="2"/>
      <c r="C22" s="2"/>
      <c r="D22" s="10">
        <v>8.9741999999999997</v>
      </c>
    </row>
    <row r="23" spans="1:4" x14ac:dyDescent="0.2">
      <c r="A23" s="2" t="s">
        <v>601</v>
      </c>
      <c r="B23" s="2"/>
      <c r="C23" s="2"/>
      <c r="D23" s="10">
        <v>8.9741999999999997</v>
      </c>
    </row>
    <row r="24" spans="1:4" x14ac:dyDescent="0.2">
      <c r="A24" s="2" t="s">
        <v>602</v>
      </c>
      <c r="B24" s="2"/>
      <c r="C24" s="2"/>
      <c r="D24" s="10">
        <v>9.5961999999999996</v>
      </c>
    </row>
    <row r="25" spans="1:4" x14ac:dyDescent="0.2">
      <c r="A25" s="2" t="s">
        <v>603</v>
      </c>
      <c r="B25" s="2"/>
      <c r="C25" s="2"/>
      <c r="D25" s="10">
        <v>9.5961999999999996</v>
      </c>
    </row>
    <row r="26" spans="1:4" x14ac:dyDescent="0.2">
      <c r="A26" s="2"/>
      <c r="B26" s="2"/>
      <c r="C26" s="2"/>
      <c r="D26" s="2"/>
    </row>
    <row r="27" spans="1:4" x14ac:dyDescent="0.2">
      <c r="A27" s="4" t="s">
        <v>106</v>
      </c>
      <c r="B27" s="2"/>
      <c r="C27" s="2"/>
      <c r="D27" s="20" t="s">
        <v>107</v>
      </c>
    </row>
    <row r="28" spans="1:4" x14ac:dyDescent="0.2">
      <c r="A28" s="4"/>
      <c r="B28" s="2"/>
      <c r="C28" s="2"/>
      <c r="D28" s="20"/>
    </row>
    <row r="29" spans="1:4" x14ac:dyDescent="0.2">
      <c r="A29" s="9" t="s">
        <v>609</v>
      </c>
      <c r="B29" s="2"/>
      <c r="C29" s="2"/>
      <c r="D29" s="27">
        <v>9.0594994373569618E-2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D9F7-BC24-4B2B-BE91-3018D36AEBD6}">
  <dimension ref="A1:E35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0" style="1" bestFit="1" customWidth="1"/>
    <col min="3" max="3" width="12.7109375" style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406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38" t="s">
        <v>405</v>
      </c>
      <c r="B6" s="7" t="s">
        <v>671</v>
      </c>
      <c r="C6" s="32">
        <v>6233514.8360000001</v>
      </c>
      <c r="D6" s="46">
        <v>2255.1235962999999</v>
      </c>
      <c r="E6" s="12">
        <v>80.390486154535466</v>
      </c>
    </row>
    <row r="7" spans="1:5" x14ac:dyDescent="0.2">
      <c r="A7" s="38" t="s">
        <v>178</v>
      </c>
      <c r="B7" s="7" t="s">
        <v>662</v>
      </c>
      <c r="C7" s="32">
        <v>90882.642999999996</v>
      </c>
      <c r="D7" s="46">
        <v>419.56699200000003</v>
      </c>
      <c r="E7" s="12">
        <v>14.956694398753074</v>
      </c>
    </row>
    <row r="8" spans="1:5" x14ac:dyDescent="0.2">
      <c r="A8" s="38" t="s">
        <v>400</v>
      </c>
      <c r="B8" s="7" t="s">
        <v>672</v>
      </c>
      <c r="C8" s="32">
        <v>57872.779000000002</v>
      </c>
      <c r="D8" s="46">
        <v>139.87486090000002</v>
      </c>
      <c r="E8" s="12">
        <v>4.9862491293151949</v>
      </c>
    </row>
    <row r="9" spans="1:5" x14ac:dyDescent="0.2">
      <c r="A9" s="6" t="s">
        <v>43</v>
      </c>
      <c r="B9" s="7"/>
      <c r="C9" s="7"/>
      <c r="D9" s="42">
        <v>2814.5654491999999</v>
      </c>
      <c r="E9" s="6">
        <v>100.33342968260374</v>
      </c>
    </row>
    <row r="10" spans="1:5" x14ac:dyDescent="0.2">
      <c r="A10" s="7"/>
      <c r="B10" s="7"/>
      <c r="C10" s="7"/>
      <c r="D10" s="29"/>
      <c r="E10" s="7"/>
    </row>
    <row r="11" spans="1:5" x14ac:dyDescent="0.2">
      <c r="A11" s="6" t="s">
        <v>101</v>
      </c>
      <c r="B11" s="7"/>
      <c r="C11" s="7"/>
      <c r="D11" s="53">
        <v>-9.3534096000000009</v>
      </c>
      <c r="E11" s="13">
        <v>-0.33342968260373357</v>
      </c>
    </row>
    <row r="12" spans="1:5" x14ac:dyDescent="0.2">
      <c r="A12" s="7"/>
      <c r="B12" s="7"/>
      <c r="C12" s="7"/>
      <c r="D12" s="29"/>
      <c r="E12" s="7"/>
    </row>
    <row r="13" spans="1:5" x14ac:dyDescent="0.2">
      <c r="A13" s="8" t="s">
        <v>102</v>
      </c>
      <c r="B13" s="5"/>
      <c r="C13" s="5"/>
      <c r="D13" s="43">
        <v>2805.2120396</v>
      </c>
      <c r="E13" s="8">
        <v>100</v>
      </c>
    </row>
    <row r="15" spans="1:5" x14ac:dyDescent="0.2">
      <c r="A15" s="4" t="s">
        <v>103</v>
      </c>
      <c r="B15" s="2"/>
      <c r="C15" s="2"/>
      <c r="D15" s="2"/>
    </row>
    <row r="16" spans="1:5" x14ac:dyDescent="0.2">
      <c r="A16" s="4" t="s">
        <v>104</v>
      </c>
      <c r="B16" s="2"/>
      <c r="C16" s="2"/>
      <c r="D16" s="2"/>
    </row>
    <row r="17" spans="1:4" x14ac:dyDescent="0.2">
      <c r="A17" s="4" t="s">
        <v>608</v>
      </c>
      <c r="B17" s="2"/>
      <c r="C17" s="2"/>
      <c r="D17" s="2"/>
    </row>
    <row r="18" spans="1:4" x14ac:dyDescent="0.2">
      <c r="A18" s="2" t="s">
        <v>600</v>
      </c>
      <c r="B18" s="2"/>
      <c r="C18" s="2"/>
      <c r="D18" s="10">
        <v>36.771099999999997</v>
      </c>
    </row>
    <row r="19" spans="1:4" x14ac:dyDescent="0.2">
      <c r="A19" s="2" t="s">
        <v>601</v>
      </c>
      <c r="B19" s="2"/>
      <c r="C19" s="2"/>
      <c r="D19" s="10">
        <v>14.1655</v>
      </c>
    </row>
    <row r="20" spans="1:4" x14ac:dyDescent="0.2">
      <c r="A20" s="2" t="s">
        <v>602</v>
      </c>
      <c r="B20" s="2"/>
      <c r="C20" s="2"/>
      <c r="D20" s="10">
        <v>37.694800000000001</v>
      </c>
    </row>
    <row r="21" spans="1:4" x14ac:dyDescent="0.2">
      <c r="A21" s="2" t="s">
        <v>603</v>
      </c>
      <c r="B21" s="2"/>
      <c r="C21" s="2"/>
      <c r="D21" s="10">
        <v>14.532299999999999</v>
      </c>
    </row>
    <row r="22" spans="1:4" x14ac:dyDescent="0.2">
      <c r="A22" s="2"/>
      <c r="B22" s="2"/>
      <c r="C22" s="2"/>
      <c r="D22" s="10"/>
    </row>
    <row r="23" spans="1:4" x14ac:dyDescent="0.2">
      <c r="A23" s="4" t="s">
        <v>105</v>
      </c>
      <c r="B23" s="2"/>
      <c r="C23" s="2"/>
      <c r="D23" s="2"/>
    </row>
    <row r="24" spans="1:4" x14ac:dyDescent="0.2">
      <c r="A24" s="2" t="s">
        <v>600</v>
      </c>
      <c r="B24" s="2"/>
      <c r="C24" s="2"/>
      <c r="D24" s="10">
        <v>37.918599999999998</v>
      </c>
    </row>
    <row r="25" spans="1:4" x14ac:dyDescent="0.2">
      <c r="A25" s="2" t="s">
        <v>601</v>
      </c>
      <c r="B25" s="2"/>
      <c r="C25" s="2"/>
      <c r="D25" s="10">
        <v>14.055199999999999</v>
      </c>
    </row>
    <row r="26" spans="1:4" x14ac:dyDescent="0.2">
      <c r="A26" s="2" t="s">
        <v>602</v>
      </c>
      <c r="B26" s="2"/>
      <c r="C26" s="2"/>
      <c r="D26" s="10">
        <v>38.941400000000002</v>
      </c>
    </row>
    <row r="27" spans="1:4" x14ac:dyDescent="0.2">
      <c r="A27" s="2" t="s">
        <v>603</v>
      </c>
      <c r="B27" s="2"/>
      <c r="C27" s="2"/>
      <c r="D27" s="10">
        <v>14.456799999999999</v>
      </c>
    </row>
    <row r="28" spans="1:4" x14ac:dyDescent="0.2">
      <c r="A28" s="2"/>
      <c r="B28" s="2"/>
      <c r="C28" s="2"/>
      <c r="D28" s="2"/>
    </row>
    <row r="29" spans="1:4" x14ac:dyDescent="0.2">
      <c r="A29" s="4" t="s">
        <v>106</v>
      </c>
      <c r="B29" s="2"/>
      <c r="C29" s="2"/>
      <c r="D29" s="20" t="s">
        <v>311</v>
      </c>
    </row>
    <row r="30" spans="1:4" x14ac:dyDescent="0.2">
      <c r="A30" s="21" t="s">
        <v>604</v>
      </c>
      <c r="B30" s="22"/>
      <c r="C30" s="103" t="s">
        <v>605</v>
      </c>
      <c r="D30" s="104"/>
    </row>
    <row r="31" spans="1:4" x14ac:dyDescent="0.2">
      <c r="A31" s="105"/>
      <c r="B31" s="106"/>
      <c r="C31" s="23" t="s">
        <v>606</v>
      </c>
      <c r="D31" s="23" t="s">
        <v>607</v>
      </c>
    </row>
    <row r="32" spans="1:4" x14ac:dyDescent="0.2">
      <c r="A32" s="24" t="s">
        <v>601</v>
      </c>
      <c r="B32" s="25"/>
      <c r="C32" s="26">
        <v>0.396177485</v>
      </c>
      <c r="D32" s="26">
        <v>0.36686232560000004</v>
      </c>
    </row>
    <row r="33" spans="1:4" x14ac:dyDescent="0.2">
      <c r="A33" s="24" t="s">
        <v>603</v>
      </c>
      <c r="B33" s="25"/>
      <c r="C33" s="26">
        <v>0.396177485</v>
      </c>
      <c r="D33" s="26">
        <v>0.36686232560000004</v>
      </c>
    </row>
    <row r="34" spans="1:4" x14ac:dyDescent="0.2">
      <c r="A34" s="4"/>
      <c r="B34" s="2"/>
      <c r="C34" s="2"/>
      <c r="D34" s="20"/>
    </row>
    <row r="35" spans="1:4" x14ac:dyDescent="0.2">
      <c r="A35" s="9" t="s">
        <v>609</v>
      </c>
      <c r="B35" s="2"/>
      <c r="C35" s="2"/>
      <c r="D35" s="27">
        <v>6.85522202159662E-2</v>
      </c>
    </row>
  </sheetData>
  <mergeCells count="3">
    <mergeCell ref="C30:D30"/>
    <mergeCell ref="A31:B31"/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FE39-AC4F-4F77-913A-F4CCC2D9F282}">
  <dimension ref="A1:E36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3.140625" style="1" bestFit="1" customWidth="1"/>
    <col min="3" max="3" width="12.140625" style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404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7" t="s">
        <v>673</v>
      </c>
      <c r="B6" s="7" t="s">
        <v>674</v>
      </c>
      <c r="C6" s="32">
        <v>421707.40600000002</v>
      </c>
      <c r="D6" s="15">
        <v>301.98551689999999</v>
      </c>
      <c r="E6" s="7">
        <v>49.97420064070792</v>
      </c>
    </row>
    <row r="7" spans="1:5" x14ac:dyDescent="0.2">
      <c r="A7" s="7" t="s">
        <v>675</v>
      </c>
      <c r="B7" s="7" t="s">
        <v>676</v>
      </c>
      <c r="C7" s="32">
        <v>253017.50099999999</v>
      </c>
      <c r="D7" s="15">
        <v>181.4206327</v>
      </c>
      <c r="E7" s="7">
        <v>30.022469924993867</v>
      </c>
    </row>
    <row r="8" spans="1:5" x14ac:dyDescent="0.2">
      <c r="A8" s="7" t="s">
        <v>400</v>
      </c>
      <c r="B8" s="7" t="s">
        <v>672</v>
      </c>
      <c r="C8" s="32">
        <v>24846.921999999999</v>
      </c>
      <c r="D8" s="15">
        <v>60.053445100000005</v>
      </c>
      <c r="E8" s="7">
        <v>9.9379696927218379</v>
      </c>
    </row>
    <row r="9" spans="1:5" x14ac:dyDescent="0.2">
      <c r="A9" s="7" t="s">
        <v>178</v>
      </c>
      <c r="B9" s="7" t="s">
        <v>662</v>
      </c>
      <c r="C9" s="32">
        <v>13006.159</v>
      </c>
      <c r="D9" s="15">
        <v>60.0439735</v>
      </c>
      <c r="E9" s="7">
        <v>9.9364022810007473</v>
      </c>
    </row>
    <row r="10" spans="1:5" x14ac:dyDescent="0.2">
      <c r="A10" s="6" t="s">
        <v>43</v>
      </c>
      <c r="B10" s="7"/>
      <c r="C10" s="7"/>
      <c r="D10" s="6">
        <v>603.50356820000002</v>
      </c>
      <c r="E10" s="6">
        <v>99.87104253942438</v>
      </c>
    </row>
    <row r="11" spans="1:5" x14ac:dyDescent="0.2">
      <c r="A11" s="7"/>
      <c r="B11" s="7"/>
      <c r="C11" s="7"/>
      <c r="D11" s="7"/>
      <c r="E11" s="7"/>
    </row>
    <row r="12" spans="1:5" x14ac:dyDescent="0.2">
      <c r="A12" s="6" t="s">
        <v>101</v>
      </c>
      <c r="B12" s="7"/>
      <c r="C12" s="7"/>
      <c r="D12" s="6">
        <v>0.77926779999999995</v>
      </c>
      <c r="E12" s="6">
        <v>0.12895746057563018</v>
      </c>
    </row>
    <row r="13" spans="1:5" x14ac:dyDescent="0.2">
      <c r="A13" s="7"/>
      <c r="B13" s="7"/>
      <c r="C13" s="7"/>
      <c r="D13" s="7"/>
      <c r="E13" s="7"/>
    </row>
    <row r="14" spans="1:5" x14ac:dyDescent="0.2">
      <c r="A14" s="8" t="s">
        <v>102</v>
      </c>
      <c r="B14" s="5"/>
      <c r="C14" s="5"/>
      <c r="D14" s="8">
        <v>604.28283599999997</v>
      </c>
      <c r="E14" s="8">
        <v>100.00000000000001</v>
      </c>
    </row>
    <row r="16" spans="1:5" x14ac:dyDescent="0.2">
      <c r="A16" s="4" t="s">
        <v>103</v>
      </c>
      <c r="B16" s="2"/>
      <c r="C16" s="2"/>
      <c r="D16" s="2"/>
    </row>
    <row r="17" spans="1:4" x14ac:dyDescent="0.2">
      <c r="A17" s="4" t="s">
        <v>104</v>
      </c>
      <c r="B17" s="2"/>
      <c r="C17" s="2"/>
      <c r="D17" s="2"/>
    </row>
    <row r="18" spans="1:4" x14ac:dyDescent="0.2">
      <c r="A18" s="4" t="s">
        <v>608</v>
      </c>
      <c r="B18" s="2"/>
      <c r="C18" s="2"/>
      <c r="D18" s="2"/>
    </row>
    <row r="19" spans="1:4" x14ac:dyDescent="0.2">
      <c r="A19" s="2" t="s">
        <v>600</v>
      </c>
      <c r="B19" s="2"/>
      <c r="C19" s="2"/>
      <c r="D19" s="10">
        <v>35.078899999999997</v>
      </c>
    </row>
    <row r="20" spans="1:4" x14ac:dyDescent="0.2">
      <c r="A20" s="2" t="s">
        <v>601</v>
      </c>
      <c r="B20" s="2"/>
      <c r="C20" s="2"/>
      <c r="D20" s="10">
        <v>13.354100000000001</v>
      </c>
    </row>
    <row r="21" spans="1:4" x14ac:dyDescent="0.2">
      <c r="A21" s="2" t="s">
        <v>602</v>
      </c>
      <c r="B21" s="2"/>
      <c r="C21" s="2"/>
      <c r="D21" s="10">
        <v>36.5672</v>
      </c>
    </row>
    <row r="22" spans="1:4" x14ac:dyDescent="0.2">
      <c r="A22" s="2" t="s">
        <v>603</v>
      </c>
      <c r="B22" s="2"/>
      <c r="C22" s="2"/>
      <c r="D22" s="10">
        <v>13.904999999999999</v>
      </c>
    </row>
    <row r="23" spans="1:4" x14ac:dyDescent="0.2">
      <c r="A23" s="2"/>
      <c r="B23" s="2"/>
      <c r="C23" s="2"/>
      <c r="D23" s="10"/>
    </row>
    <row r="24" spans="1:4" x14ac:dyDescent="0.2">
      <c r="A24" s="4" t="s">
        <v>105</v>
      </c>
      <c r="B24" s="2"/>
      <c r="C24" s="2"/>
      <c r="D24" s="2"/>
    </row>
    <row r="25" spans="1:4" x14ac:dyDescent="0.2">
      <c r="A25" s="2" t="s">
        <v>600</v>
      </c>
      <c r="B25" s="2"/>
      <c r="C25" s="2"/>
      <c r="D25" s="10">
        <v>35.978999999999999</v>
      </c>
    </row>
    <row r="26" spans="1:4" x14ac:dyDescent="0.2">
      <c r="A26" s="2" t="s">
        <v>601</v>
      </c>
      <c r="B26" s="2"/>
      <c r="C26" s="2"/>
      <c r="D26" s="10">
        <v>13.1469</v>
      </c>
    </row>
    <row r="27" spans="1:4" x14ac:dyDescent="0.2">
      <c r="A27" s="2" t="s">
        <v>602</v>
      </c>
      <c r="B27" s="2"/>
      <c r="C27" s="2"/>
      <c r="D27" s="10">
        <v>37.634500000000003</v>
      </c>
    </row>
    <row r="28" spans="1:4" x14ac:dyDescent="0.2">
      <c r="A28" s="2" t="s">
        <v>603</v>
      </c>
      <c r="B28" s="2"/>
      <c r="C28" s="2"/>
      <c r="D28" s="10">
        <v>13.748699999999999</v>
      </c>
    </row>
    <row r="29" spans="1:4" x14ac:dyDescent="0.2">
      <c r="A29" s="2"/>
      <c r="B29" s="2"/>
      <c r="C29" s="2"/>
      <c r="D29" s="2"/>
    </row>
    <row r="30" spans="1:4" x14ac:dyDescent="0.2">
      <c r="A30" s="4" t="s">
        <v>106</v>
      </c>
      <c r="B30" s="2"/>
      <c r="C30" s="2"/>
      <c r="D30" s="20" t="s">
        <v>311</v>
      </c>
    </row>
    <row r="31" spans="1:4" x14ac:dyDescent="0.2">
      <c r="A31" s="21" t="s">
        <v>604</v>
      </c>
      <c r="B31" s="22"/>
      <c r="C31" s="103" t="s">
        <v>605</v>
      </c>
      <c r="D31" s="104"/>
    </row>
    <row r="32" spans="1:4" x14ac:dyDescent="0.2">
      <c r="A32" s="105"/>
      <c r="B32" s="106"/>
      <c r="C32" s="23" t="s">
        <v>606</v>
      </c>
      <c r="D32" s="23" t="s">
        <v>607</v>
      </c>
    </row>
    <row r="33" spans="1:4" x14ac:dyDescent="0.2">
      <c r="A33" s="24" t="s">
        <v>601</v>
      </c>
      <c r="B33" s="25"/>
      <c r="C33" s="26">
        <v>0.396177485</v>
      </c>
      <c r="D33" s="26">
        <v>0.36686232560000004</v>
      </c>
    </row>
    <row r="34" spans="1:4" x14ac:dyDescent="0.2">
      <c r="A34" s="24" t="s">
        <v>603</v>
      </c>
      <c r="B34" s="25"/>
      <c r="C34" s="26">
        <v>0.396177485</v>
      </c>
      <c r="D34" s="26">
        <v>0.36686232560000004</v>
      </c>
    </row>
    <row r="35" spans="1:4" x14ac:dyDescent="0.2">
      <c r="A35" s="4"/>
      <c r="B35" s="2"/>
      <c r="C35" s="2"/>
      <c r="D35" s="20"/>
    </row>
    <row r="36" spans="1:4" x14ac:dyDescent="0.2">
      <c r="A36" s="9" t="s">
        <v>609</v>
      </c>
      <c r="B36" s="2"/>
      <c r="C36" s="2"/>
      <c r="D36" s="27">
        <v>4.2658137373466777E-2</v>
      </c>
    </row>
  </sheetData>
  <mergeCells count="3">
    <mergeCell ref="C31:D31"/>
    <mergeCell ref="A32:B32"/>
    <mergeCell ref="A1:E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BB7C-04AE-4B5C-9320-E9F0A5C3E57D}">
  <dimension ref="A1:E33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3.140625" style="1" bestFit="1" customWidth="1"/>
    <col min="3" max="3" width="9.855468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403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7" t="s">
        <v>673</v>
      </c>
      <c r="B6" s="7" t="s">
        <v>674</v>
      </c>
      <c r="C6" s="32">
        <v>652682.67500000005</v>
      </c>
      <c r="D6" s="54">
        <v>467.38736889999996</v>
      </c>
      <c r="E6" s="7">
        <f>D6/$D$15*100</f>
        <v>34.944660602010096</v>
      </c>
    </row>
    <row r="7" spans="1:5" x14ac:dyDescent="0.2">
      <c r="A7" s="7" t="s">
        <v>675</v>
      </c>
      <c r="B7" s="7" t="s">
        <v>676</v>
      </c>
      <c r="C7" s="32">
        <v>559425.98499999999</v>
      </c>
      <c r="D7" s="54">
        <v>401.12409519999994</v>
      </c>
      <c r="E7" s="7">
        <f t="shared" ref="E7:E10" si="0">D7/$D$15*100</f>
        <v>29.9904240010633</v>
      </c>
    </row>
    <row r="8" spans="1:5" x14ac:dyDescent="0.2">
      <c r="A8" s="7" t="s">
        <v>178</v>
      </c>
      <c r="B8" s="7" t="s">
        <v>662</v>
      </c>
      <c r="C8" s="32">
        <v>57522.252</v>
      </c>
      <c r="D8" s="54">
        <v>265.55607810000004</v>
      </c>
      <c r="E8" s="7">
        <f t="shared" si="0"/>
        <v>19.854552427990075</v>
      </c>
    </row>
    <row r="9" spans="1:5" x14ac:dyDescent="0.2">
      <c r="A9" s="7" t="s">
        <v>399</v>
      </c>
      <c r="B9" s="7" t="s">
        <v>677</v>
      </c>
      <c r="C9" s="32">
        <v>13961.575000000001</v>
      </c>
      <c r="D9" s="54">
        <v>133.8462269</v>
      </c>
      <c r="E9" s="7">
        <f t="shared" si="0"/>
        <v>10.007140293260361</v>
      </c>
    </row>
    <row r="10" spans="1:5" x14ac:dyDescent="0.2">
      <c r="A10" s="7" t="s">
        <v>400</v>
      </c>
      <c r="B10" s="7" t="s">
        <v>672</v>
      </c>
      <c r="C10" s="32">
        <v>27474.871999999999</v>
      </c>
      <c r="D10" s="54">
        <v>66.405034700000002</v>
      </c>
      <c r="E10" s="7">
        <f t="shared" si="0"/>
        <v>4.9648354967690347</v>
      </c>
    </row>
    <row r="11" spans="1:5" x14ac:dyDescent="0.2">
      <c r="A11" s="6" t="s">
        <v>43</v>
      </c>
      <c r="B11" s="7"/>
      <c r="C11" s="32"/>
      <c r="D11" s="53">
        <f>SUM(D6:D10)</f>
        <v>1334.3188037999998</v>
      </c>
      <c r="E11" s="6">
        <f>SUM(E6:E10)</f>
        <v>99.761612821092868</v>
      </c>
    </row>
    <row r="12" spans="1:5" x14ac:dyDescent="0.2">
      <c r="A12" s="7"/>
      <c r="B12" s="7"/>
      <c r="C12" s="7"/>
      <c r="D12" s="55"/>
      <c r="E12" s="7"/>
    </row>
    <row r="13" spans="1:5" x14ac:dyDescent="0.2">
      <c r="A13" s="6" t="s">
        <v>101</v>
      </c>
      <c r="B13" s="7"/>
      <c r="C13" s="7"/>
      <c r="D13" s="53">
        <v>3.1884458000000002</v>
      </c>
      <c r="E13" s="6">
        <f t="shared" ref="E13" si="1">D13/$D$15*100</f>
        <v>0.23838717890714606</v>
      </c>
    </row>
    <row r="14" spans="1:5" x14ac:dyDescent="0.2">
      <c r="A14" s="7"/>
      <c r="B14" s="7"/>
      <c r="C14" s="7"/>
      <c r="D14" s="55"/>
      <c r="E14" s="7"/>
    </row>
    <row r="15" spans="1:5" x14ac:dyDescent="0.2">
      <c r="A15" s="8" t="s">
        <v>102</v>
      </c>
      <c r="B15" s="5"/>
      <c r="C15" s="5"/>
      <c r="D15" s="56">
        <f>D11+D13</f>
        <v>1337.5072495999998</v>
      </c>
      <c r="E15" s="8">
        <f>E11+E13</f>
        <v>100.00000000000001</v>
      </c>
    </row>
    <row r="17" spans="1:4" x14ac:dyDescent="0.2">
      <c r="A17" s="4" t="s">
        <v>103</v>
      </c>
      <c r="B17" s="2"/>
      <c r="C17" s="2"/>
      <c r="D17" s="2"/>
    </row>
    <row r="18" spans="1:4" x14ac:dyDescent="0.2">
      <c r="A18" s="4" t="s">
        <v>104</v>
      </c>
      <c r="B18" s="2"/>
      <c r="C18" s="2"/>
      <c r="D18" s="2"/>
    </row>
    <row r="19" spans="1:4" x14ac:dyDescent="0.2">
      <c r="A19" s="4" t="s">
        <v>608</v>
      </c>
      <c r="B19" s="2"/>
      <c r="C19" s="2"/>
      <c r="D19" s="2"/>
    </row>
    <row r="20" spans="1:4" x14ac:dyDescent="0.2">
      <c r="A20" s="2" t="s">
        <v>600</v>
      </c>
      <c r="B20" s="2"/>
      <c r="C20" s="2"/>
      <c r="D20" s="10">
        <v>46.722900000000003</v>
      </c>
    </row>
    <row r="21" spans="1:4" x14ac:dyDescent="0.2">
      <c r="A21" s="2" t="s">
        <v>601</v>
      </c>
      <c r="B21" s="2"/>
      <c r="C21" s="2"/>
      <c r="D21" s="10">
        <v>14.5344</v>
      </c>
    </row>
    <row r="22" spans="1:4" x14ac:dyDescent="0.2">
      <c r="A22" s="2" t="s">
        <v>602</v>
      </c>
      <c r="B22" s="2"/>
      <c r="C22" s="2"/>
      <c r="D22" s="10">
        <v>48.683199999999999</v>
      </c>
    </row>
    <row r="23" spans="1:4" x14ac:dyDescent="0.2">
      <c r="A23" s="2" t="s">
        <v>603</v>
      </c>
      <c r="B23" s="2"/>
      <c r="C23" s="2"/>
      <c r="D23" s="10">
        <v>15.055099999999999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600</v>
      </c>
      <c r="B26" s="2"/>
      <c r="C26" s="2"/>
      <c r="D26" s="10">
        <v>47.673499999999997</v>
      </c>
    </row>
    <row r="27" spans="1:4" x14ac:dyDescent="0.2">
      <c r="A27" s="2" t="s">
        <v>601</v>
      </c>
      <c r="B27" s="2"/>
      <c r="C27" s="2"/>
      <c r="D27" s="10">
        <v>14.8301</v>
      </c>
    </row>
    <row r="28" spans="1:4" x14ac:dyDescent="0.2">
      <c r="A28" s="2" t="s">
        <v>602</v>
      </c>
      <c r="B28" s="2"/>
      <c r="C28" s="2"/>
      <c r="D28" s="10">
        <v>49.824100000000001</v>
      </c>
    </row>
    <row r="29" spans="1:4" x14ac:dyDescent="0.2">
      <c r="A29" s="2" t="s">
        <v>603</v>
      </c>
      <c r="B29" s="2"/>
      <c r="C29" s="2"/>
      <c r="D29" s="10">
        <v>15.398300000000001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20" t="s">
        <v>107</v>
      </c>
    </row>
    <row r="32" spans="1:4" x14ac:dyDescent="0.2">
      <c r="A32" s="4"/>
      <c r="B32" s="2"/>
      <c r="C32" s="2"/>
      <c r="D32" s="20"/>
    </row>
    <row r="33" spans="1:4" x14ac:dyDescent="0.2">
      <c r="A33" s="9" t="s">
        <v>609</v>
      </c>
      <c r="B33" s="2"/>
      <c r="C33" s="2"/>
      <c r="D33" s="27">
        <v>6.6874582616529926E-2</v>
      </c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6ACA-B1F3-4060-983A-AEAC3692FCDA}">
  <dimension ref="A1:E33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3.140625" style="1" bestFit="1" customWidth="1"/>
    <col min="3" max="3" width="9.855468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402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7" t="s">
        <v>178</v>
      </c>
      <c r="B6" s="7" t="s">
        <v>662</v>
      </c>
      <c r="C6" s="32">
        <v>44387.593000000001</v>
      </c>
      <c r="D6" s="12">
        <v>204.91887410000001</v>
      </c>
      <c r="E6" s="7">
        <v>34.861304754216192</v>
      </c>
    </row>
    <row r="7" spans="1:5" x14ac:dyDescent="0.2">
      <c r="A7" s="7" t="s">
        <v>673</v>
      </c>
      <c r="B7" s="7" t="s">
        <v>674</v>
      </c>
      <c r="C7" s="32">
        <v>205633.679</v>
      </c>
      <c r="D7" s="12">
        <v>147.2546888</v>
      </c>
      <c r="E7" s="7">
        <v>25.051331192845282</v>
      </c>
    </row>
    <row r="8" spans="1:5" x14ac:dyDescent="0.2">
      <c r="A8" s="7" t="s">
        <v>675</v>
      </c>
      <c r="B8" s="7" t="s">
        <v>676</v>
      </c>
      <c r="C8" s="32">
        <v>164506.321</v>
      </c>
      <c r="D8" s="12">
        <v>117.9556383</v>
      </c>
      <c r="E8" s="7">
        <v>20.066904389918253</v>
      </c>
    </row>
    <row r="9" spans="1:5" x14ac:dyDescent="0.2">
      <c r="A9" s="7" t="s">
        <v>399</v>
      </c>
      <c r="B9" s="7" t="s">
        <v>677</v>
      </c>
      <c r="C9" s="32">
        <v>6156.9870000000001</v>
      </c>
      <c r="D9" s="12">
        <v>59.025538200000007</v>
      </c>
      <c r="E9" s="7">
        <v>10.041570277551266</v>
      </c>
    </row>
    <row r="10" spans="1:5" x14ac:dyDescent="0.2">
      <c r="A10" s="7" t="s">
        <v>400</v>
      </c>
      <c r="B10" s="7" t="s">
        <v>672</v>
      </c>
      <c r="C10" s="32">
        <v>24231.772000000001</v>
      </c>
      <c r="D10" s="12">
        <v>58.566666300000001</v>
      </c>
      <c r="E10" s="7">
        <v>9.9635058570858277</v>
      </c>
    </row>
    <row r="11" spans="1:5" x14ac:dyDescent="0.2">
      <c r="A11" s="6" t="s">
        <v>43</v>
      </c>
      <c r="B11" s="7"/>
      <c r="C11" s="32"/>
      <c r="D11" s="6">
        <v>587.72140569999999</v>
      </c>
      <c r="E11" s="6">
        <v>99.984616471616818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6" t="s">
        <v>101</v>
      </c>
      <c r="B13" s="7"/>
      <c r="C13" s="7"/>
      <c r="D13" s="6">
        <v>9.0426199999998097E-2</v>
      </c>
      <c r="E13" s="6">
        <v>0.02</v>
      </c>
    </row>
    <row r="14" spans="1:5" x14ac:dyDescent="0.2">
      <c r="A14" s="7"/>
      <c r="B14" s="7"/>
      <c r="C14" s="7"/>
      <c r="D14" s="7"/>
      <c r="E14" s="7"/>
    </row>
    <row r="15" spans="1:5" x14ac:dyDescent="0.2">
      <c r="A15" s="8" t="s">
        <v>102</v>
      </c>
      <c r="B15" s="5"/>
      <c r="C15" s="5"/>
      <c r="D15" s="8">
        <v>587.81183190000002</v>
      </c>
      <c r="E15" s="8">
        <v>100.00461647161681</v>
      </c>
    </row>
    <row r="17" spans="1:4" x14ac:dyDescent="0.2">
      <c r="A17" s="4" t="s">
        <v>103</v>
      </c>
      <c r="B17" s="2"/>
      <c r="C17" s="2"/>
      <c r="D17" s="2"/>
    </row>
    <row r="18" spans="1:4" x14ac:dyDescent="0.2">
      <c r="A18" s="4" t="s">
        <v>104</v>
      </c>
      <c r="B18" s="2"/>
      <c r="C18" s="2"/>
      <c r="D18" s="2"/>
    </row>
    <row r="19" spans="1:4" x14ac:dyDescent="0.2">
      <c r="A19" s="4" t="s">
        <v>608</v>
      </c>
      <c r="B19" s="2"/>
      <c r="C19" s="2"/>
      <c r="D19" s="2"/>
    </row>
    <row r="20" spans="1:4" x14ac:dyDescent="0.2">
      <c r="A20" s="2" t="s">
        <v>600</v>
      </c>
      <c r="B20" s="2"/>
      <c r="C20" s="2"/>
      <c r="D20" s="10">
        <v>57.695</v>
      </c>
    </row>
    <row r="21" spans="1:4" x14ac:dyDescent="0.2">
      <c r="A21" s="2" t="s">
        <v>601</v>
      </c>
      <c r="B21" s="2"/>
      <c r="C21" s="2"/>
      <c r="D21" s="10">
        <v>22.264399999999998</v>
      </c>
    </row>
    <row r="22" spans="1:4" x14ac:dyDescent="0.2">
      <c r="A22" s="2" t="s">
        <v>602</v>
      </c>
      <c r="B22" s="2"/>
      <c r="C22" s="2"/>
      <c r="D22" s="10">
        <v>59.746200000000002</v>
      </c>
    </row>
    <row r="23" spans="1:4" x14ac:dyDescent="0.2">
      <c r="A23" s="2" t="s">
        <v>603</v>
      </c>
      <c r="B23" s="2"/>
      <c r="C23" s="2"/>
      <c r="D23" s="10">
        <v>23.241900000000001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600</v>
      </c>
      <c r="B26" s="2"/>
      <c r="C26" s="2"/>
      <c r="D26" s="10">
        <v>58.246200000000002</v>
      </c>
    </row>
    <row r="27" spans="1:4" x14ac:dyDescent="0.2">
      <c r="A27" s="2" t="s">
        <v>601</v>
      </c>
      <c r="B27" s="2"/>
      <c r="C27" s="2"/>
      <c r="D27" s="10">
        <v>22.4772</v>
      </c>
    </row>
    <row r="28" spans="1:4" x14ac:dyDescent="0.2">
      <c r="A28" s="2" t="s">
        <v>602</v>
      </c>
      <c r="B28" s="2"/>
      <c r="C28" s="2"/>
      <c r="D28" s="10">
        <v>60.468899999999998</v>
      </c>
    </row>
    <row r="29" spans="1:4" x14ac:dyDescent="0.2">
      <c r="A29" s="2" t="s">
        <v>603</v>
      </c>
      <c r="B29" s="2"/>
      <c r="C29" s="2"/>
      <c r="D29" s="10">
        <v>23.514399999999998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20" t="s">
        <v>107</v>
      </c>
    </row>
    <row r="32" spans="1:4" x14ac:dyDescent="0.2">
      <c r="A32" s="4"/>
      <c r="B32" s="2"/>
      <c r="C32" s="2"/>
      <c r="D32" s="20"/>
    </row>
    <row r="33" spans="1:4" x14ac:dyDescent="0.2">
      <c r="A33" s="9" t="s">
        <v>609</v>
      </c>
      <c r="B33" s="2"/>
      <c r="C33" s="2"/>
      <c r="D33" s="27">
        <v>7.689813168572121E-2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1237-68C8-4AEB-A2D9-5730784A56AD}">
  <dimension ref="A1:E33"/>
  <sheetViews>
    <sheetView showGridLines="0" workbookViewId="0">
      <selection sqref="A1:E1"/>
    </sheetView>
  </sheetViews>
  <sheetFormatPr defaultRowHeight="11.25" x14ac:dyDescent="0.2"/>
  <cols>
    <col min="1" max="1" width="58.7109375" style="1" bestFit="1" customWidth="1"/>
    <col min="2" max="2" width="43.140625" style="1" bestFit="1" customWidth="1"/>
    <col min="3" max="3" width="9.85546875" style="1" bestFit="1" customWidth="1"/>
    <col min="4" max="4" width="24" style="1" bestFit="1" customWidth="1"/>
    <col min="5" max="5" width="14.140625" style="1" bestFit="1" customWidth="1"/>
    <col min="6" max="16384" width="9.140625" style="2"/>
  </cols>
  <sheetData>
    <row r="1" spans="1:5" x14ac:dyDescent="0.2">
      <c r="A1" s="102" t="s">
        <v>401</v>
      </c>
      <c r="B1" s="102"/>
      <c r="C1" s="102"/>
      <c r="D1" s="102"/>
      <c r="E1" s="102"/>
    </row>
    <row r="3" spans="1:5" s="4" customFormat="1" x14ac:dyDescent="0.2">
      <c r="A3" s="3" t="s">
        <v>1</v>
      </c>
      <c r="B3" s="3" t="s">
        <v>2</v>
      </c>
      <c r="C3" s="3" t="s">
        <v>4</v>
      </c>
      <c r="D3" s="3" t="s">
        <v>5</v>
      </c>
      <c r="E3" s="3" t="s">
        <v>6</v>
      </c>
    </row>
    <row r="4" spans="1:5" x14ac:dyDescent="0.2">
      <c r="A4" s="5"/>
      <c r="B4" s="5"/>
      <c r="C4" s="5"/>
      <c r="D4" s="5"/>
      <c r="E4" s="5"/>
    </row>
    <row r="5" spans="1:5" x14ac:dyDescent="0.2">
      <c r="A5" s="6" t="s">
        <v>660</v>
      </c>
      <c r="B5" s="7"/>
      <c r="C5" s="7"/>
      <c r="D5" s="7"/>
      <c r="E5" s="7"/>
    </row>
    <row r="6" spans="1:5" x14ac:dyDescent="0.2">
      <c r="A6" s="7" t="s">
        <v>178</v>
      </c>
      <c r="B6" s="7" t="s">
        <v>662</v>
      </c>
      <c r="C6" s="32">
        <v>126434.10400000001</v>
      </c>
      <c r="D6" s="15">
        <v>583.6931558</v>
      </c>
      <c r="E6" s="7">
        <v>49.787910282856345</v>
      </c>
    </row>
    <row r="7" spans="1:5" x14ac:dyDescent="0.2">
      <c r="A7" s="7" t="s">
        <v>399</v>
      </c>
      <c r="B7" s="7" t="s">
        <v>677</v>
      </c>
      <c r="C7" s="32">
        <v>18414.531999999999</v>
      </c>
      <c r="D7" s="15">
        <v>176.53564360000001</v>
      </c>
      <c r="E7" s="7">
        <v>15.058152897538402</v>
      </c>
    </row>
    <row r="8" spans="1:5" x14ac:dyDescent="0.2">
      <c r="A8" s="7" t="s">
        <v>400</v>
      </c>
      <c r="B8" s="7" t="s">
        <v>672</v>
      </c>
      <c r="C8" s="32">
        <v>72454.342000000004</v>
      </c>
      <c r="D8" s="15">
        <v>175.11758</v>
      </c>
      <c r="E8" s="7">
        <v>14.937194783517999</v>
      </c>
    </row>
    <row r="9" spans="1:5" x14ac:dyDescent="0.2">
      <c r="A9" s="7" t="s">
        <v>675</v>
      </c>
      <c r="B9" s="7" t="s">
        <v>676</v>
      </c>
      <c r="C9" s="32">
        <v>164037.84899999999</v>
      </c>
      <c r="D9" s="15">
        <v>117.61973080000001</v>
      </c>
      <c r="E9" s="7">
        <v>10.032738171373493</v>
      </c>
    </row>
    <row r="10" spans="1:5" x14ac:dyDescent="0.2">
      <c r="A10" s="7" t="s">
        <v>673</v>
      </c>
      <c r="B10" s="7" t="s">
        <v>674</v>
      </c>
      <c r="C10" s="32">
        <v>164042.48300000001</v>
      </c>
      <c r="D10" s="15">
        <v>117.47115020000001</v>
      </c>
      <c r="E10" s="7">
        <v>10.020064530250473</v>
      </c>
    </row>
    <row r="11" spans="1:5" x14ac:dyDescent="0.2">
      <c r="A11" s="6" t="s">
        <v>43</v>
      </c>
      <c r="B11" s="7"/>
      <c r="C11" s="7"/>
      <c r="D11" s="13">
        <v>1170.4372604</v>
      </c>
      <c r="E11" s="6">
        <v>99.836060665536706</v>
      </c>
    </row>
    <row r="12" spans="1:5" x14ac:dyDescent="0.2">
      <c r="A12" s="7"/>
      <c r="B12" s="7"/>
      <c r="C12" s="7"/>
      <c r="D12" s="12"/>
      <c r="E12" s="7"/>
    </row>
    <row r="13" spans="1:5" x14ac:dyDescent="0.2">
      <c r="A13" s="6" t="s">
        <v>101</v>
      </c>
      <c r="B13" s="7"/>
      <c r="C13" s="7"/>
      <c r="D13" s="13">
        <v>1.9219579</v>
      </c>
      <c r="E13" s="6">
        <v>0.16393933446328579</v>
      </c>
    </row>
    <row r="14" spans="1:5" x14ac:dyDescent="0.2">
      <c r="A14" s="7"/>
      <c r="B14" s="7"/>
      <c r="C14" s="7"/>
      <c r="D14" s="12"/>
      <c r="E14" s="7"/>
    </row>
    <row r="15" spans="1:5" x14ac:dyDescent="0.2">
      <c r="A15" s="8" t="s">
        <v>102</v>
      </c>
      <c r="B15" s="5"/>
      <c r="C15" s="5"/>
      <c r="D15" s="14">
        <v>1172.3592183000001</v>
      </c>
      <c r="E15" s="14">
        <v>99.999999999999986</v>
      </c>
    </row>
    <row r="17" spans="1:4" x14ac:dyDescent="0.2">
      <c r="A17" s="4" t="s">
        <v>103</v>
      </c>
      <c r="B17" s="2"/>
      <c r="C17" s="2"/>
      <c r="D17" s="2"/>
    </row>
    <row r="18" spans="1:4" x14ac:dyDescent="0.2">
      <c r="A18" s="4" t="s">
        <v>104</v>
      </c>
      <c r="B18" s="2"/>
      <c r="C18" s="2"/>
      <c r="D18" s="2"/>
    </row>
    <row r="19" spans="1:4" x14ac:dyDescent="0.2">
      <c r="A19" s="4" t="s">
        <v>608</v>
      </c>
      <c r="B19" s="2"/>
      <c r="C19" s="2"/>
      <c r="D19" s="2"/>
    </row>
    <row r="20" spans="1:4" x14ac:dyDescent="0.2">
      <c r="A20" s="2" t="s">
        <v>600</v>
      </c>
      <c r="B20" s="2"/>
      <c r="C20" s="2"/>
      <c r="D20" s="10">
        <v>79.025999999999996</v>
      </c>
    </row>
    <row r="21" spans="1:4" x14ac:dyDescent="0.2">
      <c r="A21" s="2" t="s">
        <v>601</v>
      </c>
      <c r="B21" s="2"/>
      <c r="C21" s="2"/>
      <c r="D21" s="10">
        <v>28.233000000000001</v>
      </c>
    </row>
    <row r="22" spans="1:4" x14ac:dyDescent="0.2">
      <c r="A22" s="2" t="s">
        <v>602</v>
      </c>
      <c r="B22" s="2"/>
      <c r="C22" s="2"/>
      <c r="D22" s="10">
        <v>81.101500000000001</v>
      </c>
    </row>
    <row r="23" spans="1:4" x14ac:dyDescent="0.2">
      <c r="A23" s="2" t="s">
        <v>603</v>
      </c>
      <c r="B23" s="2"/>
      <c r="C23" s="2"/>
      <c r="D23" s="10">
        <v>29.1556</v>
      </c>
    </row>
    <row r="24" spans="1:4" x14ac:dyDescent="0.2">
      <c r="A24" s="2"/>
      <c r="B24" s="2"/>
      <c r="C24" s="2"/>
      <c r="D24" s="10"/>
    </row>
    <row r="25" spans="1:4" x14ac:dyDescent="0.2">
      <c r="A25" s="4" t="s">
        <v>105</v>
      </c>
      <c r="B25" s="2"/>
      <c r="C25" s="2"/>
      <c r="D25" s="2"/>
    </row>
    <row r="26" spans="1:4" x14ac:dyDescent="0.2">
      <c r="A26" s="2" t="s">
        <v>600</v>
      </c>
      <c r="B26" s="2"/>
      <c r="C26" s="2"/>
      <c r="D26" s="10">
        <v>78.637100000000004</v>
      </c>
    </row>
    <row r="27" spans="1:4" x14ac:dyDescent="0.2">
      <c r="A27" s="2" t="s">
        <v>601</v>
      </c>
      <c r="B27" s="2"/>
      <c r="C27" s="2"/>
      <c r="D27" s="10">
        <v>28.094100000000001</v>
      </c>
    </row>
    <row r="28" spans="1:4" x14ac:dyDescent="0.2">
      <c r="A28" s="2" t="s">
        <v>602</v>
      </c>
      <c r="B28" s="2"/>
      <c r="C28" s="2"/>
      <c r="D28" s="10">
        <v>80.865899999999996</v>
      </c>
    </row>
    <row r="29" spans="1:4" x14ac:dyDescent="0.2">
      <c r="A29" s="2" t="s">
        <v>603</v>
      </c>
      <c r="B29" s="2"/>
      <c r="C29" s="2"/>
      <c r="D29" s="10">
        <v>29.0608</v>
      </c>
    </row>
    <row r="30" spans="1:4" x14ac:dyDescent="0.2">
      <c r="A30" s="2"/>
      <c r="B30" s="2"/>
      <c r="C30" s="2"/>
      <c r="D30" s="2"/>
    </row>
    <row r="31" spans="1:4" x14ac:dyDescent="0.2">
      <c r="A31" s="4" t="s">
        <v>106</v>
      </c>
      <c r="B31" s="2"/>
      <c r="C31" s="2"/>
      <c r="D31" s="20" t="s">
        <v>107</v>
      </c>
    </row>
    <row r="32" spans="1:4" x14ac:dyDescent="0.2">
      <c r="A32" s="4"/>
      <c r="B32" s="2"/>
      <c r="C32" s="2"/>
      <c r="D32" s="20"/>
    </row>
    <row r="33" spans="1:4" x14ac:dyDescent="0.2">
      <c r="A33" s="9" t="s">
        <v>609</v>
      </c>
      <c r="B33" s="2"/>
      <c r="C33" s="2"/>
      <c r="D33" s="27">
        <v>5.2929424659009142E-2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DBAA-6C38-4616-BD5A-9F5538C02051}">
  <dimension ref="A1:G120"/>
  <sheetViews>
    <sheetView showGridLines="0" workbookViewId="0">
      <selection sqref="A1:G1"/>
    </sheetView>
  </sheetViews>
  <sheetFormatPr defaultRowHeight="11.25" x14ac:dyDescent="0.2"/>
  <cols>
    <col min="1" max="1" width="58.7109375" style="1" bestFit="1" customWidth="1"/>
    <col min="2" max="2" width="42.85546875" style="1" bestFit="1" customWidth="1"/>
    <col min="3" max="3" width="35.7109375" style="1" bestFit="1" customWidth="1"/>
    <col min="4" max="4" width="9.5703125" style="1" bestFit="1" customWidth="1"/>
    <col min="5" max="5" width="24" style="1" bestFit="1" customWidth="1"/>
    <col min="6" max="6" width="14.140625" style="1" bestFit="1" customWidth="1"/>
    <col min="7" max="7" width="13" style="2" customWidth="1"/>
    <col min="8" max="16384" width="9.140625" style="2"/>
  </cols>
  <sheetData>
    <row r="1" spans="1:7" x14ac:dyDescent="0.2">
      <c r="A1" s="102" t="s">
        <v>711</v>
      </c>
      <c r="B1" s="102"/>
      <c r="C1" s="102"/>
      <c r="D1" s="102"/>
      <c r="E1" s="102"/>
      <c r="F1" s="102"/>
      <c r="G1" s="102"/>
    </row>
    <row r="3" spans="1:7" s="4" customFormat="1" x14ac:dyDescent="0.2">
      <c r="A3" s="3" t="s">
        <v>1</v>
      </c>
      <c r="B3" s="3" t="s">
        <v>2</v>
      </c>
      <c r="C3" s="3" t="s">
        <v>710</v>
      </c>
      <c r="D3" s="3" t="s">
        <v>4</v>
      </c>
      <c r="E3" s="3" t="s">
        <v>5</v>
      </c>
      <c r="F3" s="3" t="s">
        <v>6</v>
      </c>
      <c r="G3" s="111" t="s">
        <v>709</v>
      </c>
    </row>
    <row r="4" spans="1:7" ht="22.5" customHeight="1" x14ac:dyDescent="0.2">
      <c r="A4" s="5"/>
      <c r="B4" s="5"/>
      <c r="C4" s="5"/>
      <c r="D4" s="5"/>
      <c r="E4" s="5"/>
      <c r="F4" s="5"/>
      <c r="G4" s="112"/>
    </row>
    <row r="5" spans="1:7" x14ac:dyDescent="0.2">
      <c r="A5" s="6" t="s">
        <v>7</v>
      </c>
      <c r="B5" s="7"/>
      <c r="C5" s="7"/>
      <c r="D5" s="7"/>
      <c r="E5" s="7"/>
      <c r="F5" s="7"/>
      <c r="G5" s="62"/>
    </row>
    <row r="6" spans="1:7" x14ac:dyDescent="0.2">
      <c r="A6" s="6" t="s">
        <v>8</v>
      </c>
      <c r="B6" s="7"/>
      <c r="C6" s="7"/>
      <c r="D6" s="7"/>
      <c r="E6" s="7"/>
      <c r="F6" s="7"/>
      <c r="G6" s="62"/>
    </row>
    <row r="7" spans="1:7" x14ac:dyDescent="0.2">
      <c r="A7" s="6"/>
      <c r="B7" s="7"/>
      <c r="C7" s="7"/>
      <c r="D7" s="7"/>
      <c r="E7" s="7"/>
      <c r="F7" s="7"/>
      <c r="G7" s="62"/>
    </row>
    <row r="8" spans="1:7" x14ac:dyDescent="0.2">
      <c r="A8" s="7" t="s">
        <v>364</v>
      </c>
      <c r="B8" s="7" t="s">
        <v>365</v>
      </c>
      <c r="C8" s="7" t="s">
        <v>122</v>
      </c>
      <c r="D8" s="65">
        <v>157500</v>
      </c>
      <c r="E8" s="63">
        <v>1836.84375</v>
      </c>
      <c r="F8" s="63">
        <f t="shared" ref="F8:F39" si="0">E8/$E$87*100</f>
        <v>6.2613969911388327</v>
      </c>
      <c r="G8" s="71">
        <v>-6.253075305963042E-2</v>
      </c>
    </row>
    <row r="9" spans="1:7" x14ac:dyDescent="0.2">
      <c r="A9" s="7" t="s">
        <v>118</v>
      </c>
      <c r="B9" s="7" t="s">
        <v>119</v>
      </c>
      <c r="C9" s="7" t="s">
        <v>11</v>
      </c>
      <c r="D9" s="65">
        <v>220200</v>
      </c>
      <c r="E9" s="63">
        <v>1484.3681999999999</v>
      </c>
      <c r="F9" s="63">
        <f t="shared" si="0"/>
        <v>5.0598852413125313</v>
      </c>
      <c r="G9" s="71">
        <v>-2.2469378308272857E-2</v>
      </c>
    </row>
    <row r="10" spans="1:7" x14ac:dyDescent="0.2">
      <c r="A10" s="7" t="s">
        <v>366</v>
      </c>
      <c r="B10" s="7" t="s">
        <v>367</v>
      </c>
      <c r="C10" s="7" t="s">
        <v>36</v>
      </c>
      <c r="D10" s="65">
        <v>56100</v>
      </c>
      <c r="E10" s="63">
        <v>968.65065000000004</v>
      </c>
      <c r="F10" s="63">
        <f t="shared" si="0"/>
        <v>3.3019173598051954</v>
      </c>
      <c r="G10" s="71">
        <v>-3.3120526865980993E-2</v>
      </c>
    </row>
    <row r="11" spans="1:7" x14ac:dyDescent="0.2">
      <c r="A11" s="7" t="s">
        <v>9</v>
      </c>
      <c r="B11" s="7" t="s">
        <v>10</v>
      </c>
      <c r="C11" s="7" t="s">
        <v>11</v>
      </c>
      <c r="D11" s="65">
        <v>35799</v>
      </c>
      <c r="E11" s="63">
        <v>806.06818350000003</v>
      </c>
      <c r="F11" s="63">
        <f t="shared" si="0"/>
        <v>2.7477094329986667</v>
      </c>
      <c r="G11" s="71"/>
    </row>
    <row r="12" spans="1:7" x14ac:dyDescent="0.2">
      <c r="A12" s="7" t="s">
        <v>206</v>
      </c>
      <c r="B12" s="7" t="s">
        <v>207</v>
      </c>
      <c r="C12" s="7" t="s">
        <v>11</v>
      </c>
      <c r="D12" s="65">
        <v>853600</v>
      </c>
      <c r="E12" s="63">
        <v>778.48320000000001</v>
      </c>
      <c r="F12" s="63">
        <f t="shared" si="0"/>
        <v>2.6536782816350768</v>
      </c>
      <c r="G12" s="71">
        <v>-2.6609526190299094E-2</v>
      </c>
    </row>
    <row r="13" spans="1:7" x14ac:dyDescent="0.2">
      <c r="A13" s="7" t="s">
        <v>20</v>
      </c>
      <c r="B13" s="7" t="s">
        <v>21</v>
      </c>
      <c r="C13" s="7" t="s">
        <v>11</v>
      </c>
      <c r="D13" s="65">
        <v>42087</v>
      </c>
      <c r="E13" s="63">
        <v>639.53300850000005</v>
      </c>
      <c r="F13" s="63">
        <f t="shared" si="0"/>
        <v>2.1800275908910955</v>
      </c>
      <c r="G13" s="71"/>
    </row>
    <row r="14" spans="1:7" x14ac:dyDescent="0.2">
      <c r="A14" s="7" t="s">
        <v>368</v>
      </c>
      <c r="B14" s="7" t="s">
        <v>369</v>
      </c>
      <c r="C14" s="7" t="s">
        <v>93</v>
      </c>
      <c r="D14" s="65">
        <v>58500</v>
      </c>
      <c r="E14" s="63">
        <v>617.96474999999998</v>
      </c>
      <c r="F14" s="63">
        <f t="shared" si="0"/>
        <v>2.1065061338395608</v>
      </c>
      <c r="G14" s="71">
        <v>-2.1159782824037087E-2</v>
      </c>
    </row>
    <row r="15" spans="1:7" x14ac:dyDescent="0.2">
      <c r="A15" s="7" t="s">
        <v>170</v>
      </c>
      <c r="B15" s="7" t="s">
        <v>171</v>
      </c>
      <c r="C15" s="7" t="s">
        <v>11</v>
      </c>
      <c r="D15" s="65">
        <v>784000</v>
      </c>
      <c r="E15" s="63">
        <v>542.52800000000002</v>
      </c>
      <c r="F15" s="63">
        <f t="shared" si="0"/>
        <v>1.8493588182492762</v>
      </c>
      <c r="G15" s="71">
        <v>-1.8600487536148784E-2</v>
      </c>
    </row>
    <row r="16" spans="1:7" x14ac:dyDescent="0.2">
      <c r="A16" s="7" t="s">
        <v>370</v>
      </c>
      <c r="B16" s="7" t="s">
        <v>371</v>
      </c>
      <c r="C16" s="7" t="s">
        <v>33</v>
      </c>
      <c r="D16" s="65">
        <v>15750</v>
      </c>
      <c r="E16" s="63">
        <v>512.19787499999995</v>
      </c>
      <c r="F16" s="63">
        <f t="shared" si="0"/>
        <v>1.7459700823179454</v>
      </c>
      <c r="G16" s="71">
        <v>-1.7526542746043063E-2</v>
      </c>
    </row>
    <row r="17" spans="1:7" x14ac:dyDescent="0.2">
      <c r="A17" s="7" t="s">
        <v>196</v>
      </c>
      <c r="B17" s="7" t="s">
        <v>197</v>
      </c>
      <c r="C17" s="7" t="s">
        <v>57</v>
      </c>
      <c r="D17" s="65">
        <v>63712</v>
      </c>
      <c r="E17" s="63">
        <v>502.273552</v>
      </c>
      <c r="F17" s="63">
        <f t="shared" si="0"/>
        <v>1.7121402444935307</v>
      </c>
      <c r="G17" s="71"/>
    </row>
    <row r="18" spans="1:7" x14ac:dyDescent="0.2">
      <c r="A18" s="7" t="s">
        <v>372</v>
      </c>
      <c r="B18" s="7" t="s">
        <v>373</v>
      </c>
      <c r="C18" s="7" t="s">
        <v>33</v>
      </c>
      <c r="D18" s="65">
        <v>23500</v>
      </c>
      <c r="E18" s="63">
        <v>498.62299999999999</v>
      </c>
      <c r="F18" s="63">
        <f t="shared" si="0"/>
        <v>1.6996963143504276</v>
      </c>
      <c r="G18" s="71">
        <v>-1.7057443429927811E-2</v>
      </c>
    </row>
    <row r="19" spans="1:7" x14ac:dyDescent="0.2">
      <c r="A19" s="7" t="s">
        <v>202</v>
      </c>
      <c r="B19" s="7" t="s">
        <v>203</v>
      </c>
      <c r="C19" s="7" t="s">
        <v>57</v>
      </c>
      <c r="D19" s="65">
        <v>215000</v>
      </c>
      <c r="E19" s="63">
        <v>434.08499999999998</v>
      </c>
      <c r="F19" s="63">
        <f t="shared" si="0"/>
        <v>1.4797004442530837</v>
      </c>
      <c r="G19" s="71">
        <v>-1.4881286538166847E-2</v>
      </c>
    </row>
    <row r="20" spans="1:7" x14ac:dyDescent="0.2">
      <c r="A20" s="7" t="s">
        <v>180</v>
      </c>
      <c r="B20" s="7" t="s">
        <v>181</v>
      </c>
      <c r="C20" s="7" t="s">
        <v>78</v>
      </c>
      <c r="D20" s="65">
        <v>52195</v>
      </c>
      <c r="E20" s="63">
        <v>414.24561749999998</v>
      </c>
      <c r="F20" s="63">
        <f t="shared" si="0"/>
        <v>1.4120723458415816</v>
      </c>
      <c r="G20" s="71"/>
    </row>
    <row r="21" spans="1:7" x14ac:dyDescent="0.2">
      <c r="A21" s="7" t="s">
        <v>109</v>
      </c>
      <c r="B21" s="7" t="s">
        <v>110</v>
      </c>
      <c r="C21" s="7" t="s">
        <v>11</v>
      </c>
      <c r="D21" s="65">
        <v>95061</v>
      </c>
      <c r="E21" s="63">
        <v>403.629006</v>
      </c>
      <c r="F21" s="63">
        <f t="shared" si="0"/>
        <v>1.3758826485403335</v>
      </c>
      <c r="G21" s="71"/>
    </row>
    <row r="22" spans="1:7" x14ac:dyDescent="0.2">
      <c r="A22" s="7" t="s">
        <v>211</v>
      </c>
      <c r="B22" s="7" t="s">
        <v>212</v>
      </c>
      <c r="C22" s="7" t="s">
        <v>33</v>
      </c>
      <c r="D22" s="65">
        <v>86040</v>
      </c>
      <c r="E22" s="63">
        <v>391.82616000000002</v>
      </c>
      <c r="F22" s="63">
        <f t="shared" si="0"/>
        <v>1.3356493383138783</v>
      </c>
      <c r="G22" s="71"/>
    </row>
    <row r="23" spans="1:7" x14ac:dyDescent="0.2">
      <c r="A23" s="7" t="s">
        <v>113</v>
      </c>
      <c r="B23" s="7" t="s">
        <v>114</v>
      </c>
      <c r="C23" s="7" t="s">
        <v>42</v>
      </c>
      <c r="D23" s="65">
        <v>108461</v>
      </c>
      <c r="E23" s="63">
        <v>366.16433599999999</v>
      </c>
      <c r="F23" s="63">
        <f t="shared" si="0"/>
        <v>1.2481738153790971</v>
      </c>
      <c r="G23" s="71">
        <v>-2.1332935233740907E-3</v>
      </c>
    </row>
    <row r="24" spans="1:7" x14ac:dyDescent="0.2">
      <c r="A24" s="7" t="s">
        <v>708</v>
      </c>
      <c r="B24" s="7" t="s">
        <v>707</v>
      </c>
      <c r="C24" s="7" t="s">
        <v>11</v>
      </c>
      <c r="D24" s="65">
        <v>342000</v>
      </c>
      <c r="E24" s="63">
        <v>364.91399999999999</v>
      </c>
      <c r="F24" s="63">
        <f t="shared" si="0"/>
        <v>1.2439116945164421</v>
      </c>
      <c r="G24" s="71">
        <v>-1.250323610467558E-2</v>
      </c>
    </row>
    <row r="25" spans="1:7" x14ac:dyDescent="0.2">
      <c r="A25" s="7" t="s">
        <v>335</v>
      </c>
      <c r="B25" s="7" t="s">
        <v>336</v>
      </c>
      <c r="C25" s="7" t="s">
        <v>39</v>
      </c>
      <c r="D25" s="65">
        <v>516000</v>
      </c>
      <c r="E25" s="63">
        <v>360.42599999999999</v>
      </c>
      <c r="F25" s="63">
        <f t="shared" si="0"/>
        <v>1.2286130880365871</v>
      </c>
      <c r="G25" s="71">
        <v>-1.2330104147654224E-2</v>
      </c>
    </row>
    <row r="26" spans="1:7" x14ac:dyDescent="0.2">
      <c r="A26" s="7" t="s">
        <v>204</v>
      </c>
      <c r="B26" s="7" t="s">
        <v>205</v>
      </c>
      <c r="C26" s="7" t="s">
        <v>188</v>
      </c>
      <c r="D26" s="65">
        <v>148800</v>
      </c>
      <c r="E26" s="63">
        <v>338.96640000000002</v>
      </c>
      <c r="F26" s="63">
        <f t="shared" si="0"/>
        <v>1.1554620239512272</v>
      </c>
      <c r="G26" s="71">
        <v>-1.1579981565762298E-2</v>
      </c>
    </row>
    <row r="27" spans="1:7" x14ac:dyDescent="0.2">
      <c r="A27" s="7" t="s">
        <v>111</v>
      </c>
      <c r="B27" s="7" t="s">
        <v>112</v>
      </c>
      <c r="C27" s="7" t="s">
        <v>11</v>
      </c>
      <c r="D27" s="65">
        <v>97218</v>
      </c>
      <c r="E27" s="63">
        <v>322.95819599999999</v>
      </c>
      <c r="F27" s="63">
        <f t="shared" si="0"/>
        <v>1.1008935717575461</v>
      </c>
      <c r="G27" s="71"/>
    </row>
    <row r="28" spans="1:7" x14ac:dyDescent="0.2">
      <c r="A28" s="7" t="s">
        <v>374</v>
      </c>
      <c r="B28" s="7" t="s">
        <v>375</v>
      </c>
      <c r="C28" s="7" t="s">
        <v>36</v>
      </c>
      <c r="D28" s="65">
        <v>20400</v>
      </c>
      <c r="E28" s="63">
        <v>310.30439999999999</v>
      </c>
      <c r="F28" s="63">
        <f t="shared" si="0"/>
        <v>1.0577595598412444</v>
      </c>
      <c r="G28" s="71">
        <v>-1.0609235898177598E-2</v>
      </c>
    </row>
    <row r="29" spans="1:7" x14ac:dyDescent="0.2">
      <c r="A29" s="7" t="s">
        <v>157</v>
      </c>
      <c r="B29" s="7" t="s">
        <v>158</v>
      </c>
      <c r="C29" s="7" t="s">
        <v>117</v>
      </c>
      <c r="D29" s="65">
        <v>145523</v>
      </c>
      <c r="E29" s="63">
        <v>306.76248399999997</v>
      </c>
      <c r="F29" s="63">
        <f t="shared" si="0"/>
        <v>1.0456859459667562</v>
      </c>
      <c r="G29" s="71" t="s">
        <v>704</v>
      </c>
    </row>
    <row r="30" spans="1:7" x14ac:dyDescent="0.2">
      <c r="A30" s="7" t="s">
        <v>217</v>
      </c>
      <c r="B30" s="7" t="s">
        <v>218</v>
      </c>
      <c r="C30" s="7" t="s">
        <v>36</v>
      </c>
      <c r="D30" s="65">
        <v>25287</v>
      </c>
      <c r="E30" s="63">
        <v>300.85208249999999</v>
      </c>
      <c r="F30" s="63">
        <f t="shared" si="0"/>
        <v>1.0255386851186183</v>
      </c>
      <c r="G30" s="71" t="s">
        <v>704</v>
      </c>
    </row>
    <row r="31" spans="1:7" x14ac:dyDescent="0.2">
      <c r="A31" s="7" t="s">
        <v>234</v>
      </c>
      <c r="B31" s="7" t="s">
        <v>235</v>
      </c>
      <c r="C31" s="7" t="s">
        <v>122</v>
      </c>
      <c r="D31" s="65">
        <v>110000</v>
      </c>
      <c r="E31" s="63">
        <v>292.65499999999997</v>
      </c>
      <c r="F31" s="63">
        <f t="shared" si="0"/>
        <v>0.99759663087387529</v>
      </c>
      <c r="G31" s="71" t="s">
        <v>704</v>
      </c>
    </row>
    <row r="32" spans="1:7" x14ac:dyDescent="0.2">
      <c r="A32" s="7" t="s">
        <v>129</v>
      </c>
      <c r="B32" s="7" t="s">
        <v>130</v>
      </c>
      <c r="C32" s="7" t="s">
        <v>131</v>
      </c>
      <c r="D32" s="65">
        <v>123156</v>
      </c>
      <c r="E32" s="63">
        <v>291.20236199999999</v>
      </c>
      <c r="F32" s="63">
        <f t="shared" si="0"/>
        <v>0.99264490691672658</v>
      </c>
      <c r="G32" s="71"/>
    </row>
    <row r="33" spans="1:7" x14ac:dyDescent="0.2">
      <c r="A33" s="7" t="s">
        <v>25</v>
      </c>
      <c r="B33" s="7" t="s">
        <v>26</v>
      </c>
      <c r="C33" s="7" t="s">
        <v>27</v>
      </c>
      <c r="D33" s="65">
        <v>150335</v>
      </c>
      <c r="E33" s="63">
        <v>286.46334250000001</v>
      </c>
      <c r="F33" s="63">
        <f t="shared" si="0"/>
        <v>0.97649063008275627</v>
      </c>
      <c r="G33" s="71"/>
    </row>
    <row r="34" spans="1:7" x14ac:dyDescent="0.2">
      <c r="A34" s="7" t="s">
        <v>376</v>
      </c>
      <c r="B34" s="7" t="s">
        <v>377</v>
      </c>
      <c r="C34" s="7" t="s">
        <v>36</v>
      </c>
      <c r="D34" s="65">
        <v>105600</v>
      </c>
      <c r="E34" s="63">
        <v>285.33120000000002</v>
      </c>
      <c r="F34" s="63">
        <f t="shared" si="0"/>
        <v>0.97263140490748468</v>
      </c>
      <c r="G34" s="71">
        <v>-9.7515117538651951E-3</v>
      </c>
    </row>
    <row r="35" spans="1:7" x14ac:dyDescent="0.2">
      <c r="A35" s="7" t="s">
        <v>213</v>
      </c>
      <c r="B35" s="7" t="s">
        <v>214</v>
      </c>
      <c r="C35" s="7" t="s">
        <v>131</v>
      </c>
      <c r="D35" s="65">
        <v>132933</v>
      </c>
      <c r="E35" s="63">
        <v>281.75149349999998</v>
      </c>
      <c r="F35" s="63">
        <f t="shared" si="0"/>
        <v>0.96042897151691442</v>
      </c>
      <c r="G35" s="71"/>
    </row>
    <row r="36" spans="1:7" x14ac:dyDescent="0.2">
      <c r="A36" s="7" t="s">
        <v>200</v>
      </c>
      <c r="B36" s="7" t="s">
        <v>201</v>
      </c>
      <c r="C36" s="7" t="s">
        <v>36</v>
      </c>
      <c r="D36" s="65">
        <v>18456</v>
      </c>
      <c r="E36" s="63">
        <v>261.23545200000001</v>
      </c>
      <c r="F36" s="63">
        <f t="shared" si="0"/>
        <v>0.8904942911619963</v>
      </c>
      <c r="G36" s="71"/>
    </row>
    <row r="37" spans="1:7" x14ac:dyDescent="0.2">
      <c r="A37" s="7" t="s">
        <v>378</v>
      </c>
      <c r="B37" s="7" t="s">
        <v>379</v>
      </c>
      <c r="C37" s="7" t="s">
        <v>39</v>
      </c>
      <c r="D37" s="65">
        <v>4425</v>
      </c>
      <c r="E37" s="63">
        <v>242.03422499999999</v>
      </c>
      <c r="F37" s="63">
        <f t="shared" si="0"/>
        <v>0.82504152471739589</v>
      </c>
      <c r="G37" s="71">
        <v>-8.1727334026067151E-3</v>
      </c>
    </row>
    <row r="38" spans="1:7" x14ac:dyDescent="0.2">
      <c r="A38" s="7" t="s">
        <v>115</v>
      </c>
      <c r="B38" s="7" t="s">
        <v>116</v>
      </c>
      <c r="C38" s="7" t="s">
        <v>117</v>
      </c>
      <c r="D38" s="65">
        <v>183537</v>
      </c>
      <c r="E38" s="63">
        <v>232.2660735</v>
      </c>
      <c r="F38" s="63">
        <f t="shared" si="0"/>
        <v>0.79174404124277353</v>
      </c>
      <c r="G38" s="71"/>
    </row>
    <row r="39" spans="1:7" x14ac:dyDescent="0.2">
      <c r="A39" s="7" t="s">
        <v>706</v>
      </c>
      <c r="B39" s="7" t="s">
        <v>705</v>
      </c>
      <c r="C39" s="7" t="s">
        <v>188</v>
      </c>
      <c r="D39" s="65">
        <v>40000</v>
      </c>
      <c r="E39" s="63">
        <v>228.5</v>
      </c>
      <c r="F39" s="63">
        <f t="shared" si="0"/>
        <v>0.7789063236735424</v>
      </c>
      <c r="G39" s="71">
        <v>-7.7938355293093523E-3</v>
      </c>
    </row>
    <row r="40" spans="1:7" x14ac:dyDescent="0.2">
      <c r="A40" s="7" t="s">
        <v>182</v>
      </c>
      <c r="B40" s="7" t="s">
        <v>183</v>
      </c>
      <c r="C40" s="7" t="s">
        <v>39</v>
      </c>
      <c r="D40" s="65">
        <v>40438</v>
      </c>
      <c r="E40" s="63">
        <v>222.40899999999999</v>
      </c>
      <c r="F40" s="63">
        <f t="shared" ref="F40:F59" si="1">E40/$E$87*100</f>
        <v>0.75814344219653773</v>
      </c>
      <c r="G40" s="71"/>
    </row>
    <row r="41" spans="1:7" x14ac:dyDescent="0.2">
      <c r="A41" s="7" t="s">
        <v>249</v>
      </c>
      <c r="B41" s="7" t="s">
        <v>250</v>
      </c>
      <c r="C41" s="7" t="s">
        <v>36</v>
      </c>
      <c r="D41" s="65">
        <v>1902</v>
      </c>
      <c r="E41" s="63">
        <v>222.07561799999999</v>
      </c>
      <c r="F41" s="63">
        <f t="shared" si="1"/>
        <v>0.75700701616590782</v>
      </c>
      <c r="G41" s="71"/>
    </row>
    <row r="42" spans="1:7" x14ac:dyDescent="0.2">
      <c r="A42" s="7" t="s">
        <v>186</v>
      </c>
      <c r="B42" s="7" t="s">
        <v>187</v>
      </c>
      <c r="C42" s="7" t="s">
        <v>188</v>
      </c>
      <c r="D42" s="65">
        <v>7942</v>
      </c>
      <c r="E42" s="63">
        <v>204.47473199999999</v>
      </c>
      <c r="F42" s="63">
        <f t="shared" si="1"/>
        <v>0.69700946077134707</v>
      </c>
      <c r="G42" s="71" t="s">
        <v>704</v>
      </c>
    </row>
    <row r="43" spans="1:7" x14ac:dyDescent="0.2">
      <c r="A43" s="7" t="s">
        <v>219</v>
      </c>
      <c r="B43" s="7" t="s">
        <v>220</v>
      </c>
      <c r="C43" s="7" t="s">
        <v>117</v>
      </c>
      <c r="D43" s="65">
        <v>317938</v>
      </c>
      <c r="E43" s="63">
        <v>192.511459</v>
      </c>
      <c r="F43" s="63">
        <f t="shared" si="1"/>
        <v>0.65622929013006515</v>
      </c>
      <c r="G43" s="71" t="s">
        <v>704</v>
      </c>
    </row>
    <row r="44" spans="1:7" x14ac:dyDescent="0.2">
      <c r="A44" s="7" t="s">
        <v>266</v>
      </c>
      <c r="B44" s="7" t="s">
        <v>267</v>
      </c>
      <c r="C44" s="7" t="s">
        <v>78</v>
      </c>
      <c r="D44" s="65">
        <v>29733</v>
      </c>
      <c r="E44" s="63">
        <v>189.17621249999999</v>
      </c>
      <c r="F44" s="63">
        <f t="shared" si="1"/>
        <v>0.64486016719851125</v>
      </c>
      <c r="G44" s="71"/>
    </row>
    <row r="45" spans="1:7" x14ac:dyDescent="0.2">
      <c r="A45" s="7" t="s">
        <v>251</v>
      </c>
      <c r="B45" s="7" t="s">
        <v>252</v>
      </c>
      <c r="C45" s="7" t="s">
        <v>11</v>
      </c>
      <c r="D45" s="65">
        <v>100633</v>
      </c>
      <c r="E45" s="63">
        <v>187.78117800000001</v>
      </c>
      <c r="F45" s="63">
        <f t="shared" si="1"/>
        <v>0.64010480092370714</v>
      </c>
      <c r="G45" s="71"/>
    </row>
    <row r="46" spans="1:7" x14ac:dyDescent="0.2">
      <c r="A46" s="7" t="s">
        <v>277</v>
      </c>
      <c r="B46" s="7" t="s">
        <v>278</v>
      </c>
      <c r="C46" s="7" t="s">
        <v>36</v>
      </c>
      <c r="D46" s="65">
        <v>41250</v>
      </c>
      <c r="E46" s="63">
        <v>175.91062500000001</v>
      </c>
      <c r="F46" s="63">
        <f t="shared" si="1"/>
        <v>0.59964069240203566</v>
      </c>
      <c r="G46" s="71">
        <v>-6.011171204170951E-3</v>
      </c>
    </row>
    <row r="47" spans="1:7" x14ac:dyDescent="0.2">
      <c r="A47" s="7" t="s">
        <v>15</v>
      </c>
      <c r="B47" s="7" t="s">
        <v>16</v>
      </c>
      <c r="C47" s="7" t="s">
        <v>87</v>
      </c>
      <c r="D47" s="65">
        <v>122059</v>
      </c>
      <c r="E47" s="63">
        <v>174.91054700000001</v>
      </c>
      <c r="F47" s="63">
        <f t="shared" si="1"/>
        <v>0.5962316461072138</v>
      </c>
      <c r="G47" s="71" t="s">
        <v>704</v>
      </c>
    </row>
    <row r="48" spans="1:7" x14ac:dyDescent="0.2">
      <c r="A48" s="7" t="s">
        <v>123</v>
      </c>
      <c r="B48" s="7" t="s">
        <v>124</v>
      </c>
      <c r="C48" s="7" t="s">
        <v>122</v>
      </c>
      <c r="D48" s="65">
        <v>121901</v>
      </c>
      <c r="E48" s="63">
        <v>169.80809300000001</v>
      </c>
      <c r="F48" s="63">
        <f t="shared" si="1"/>
        <v>0.57883850086934352</v>
      </c>
      <c r="G48" s="71" t="s">
        <v>704</v>
      </c>
    </row>
    <row r="49" spans="1:7" x14ac:dyDescent="0.2">
      <c r="A49" s="7" t="s">
        <v>259</v>
      </c>
      <c r="B49" s="7" t="s">
        <v>260</v>
      </c>
      <c r="C49" s="7" t="s">
        <v>261</v>
      </c>
      <c r="D49" s="65">
        <v>38144</v>
      </c>
      <c r="E49" s="63">
        <v>164.801152</v>
      </c>
      <c r="F49" s="63">
        <f t="shared" si="1"/>
        <v>0.56177093847476867</v>
      </c>
      <c r="G49" s="71"/>
    </row>
    <row r="50" spans="1:7" x14ac:dyDescent="0.2">
      <c r="A50" s="7" t="s">
        <v>221</v>
      </c>
      <c r="B50" s="7" t="s">
        <v>222</v>
      </c>
      <c r="C50" s="7" t="s">
        <v>33</v>
      </c>
      <c r="D50" s="65">
        <v>21957</v>
      </c>
      <c r="E50" s="63">
        <v>155.77393649999999</v>
      </c>
      <c r="F50" s="63">
        <f t="shared" si="1"/>
        <v>0.53099914312197294</v>
      </c>
      <c r="G50" s="71"/>
    </row>
    <row r="51" spans="1:7" x14ac:dyDescent="0.2">
      <c r="A51" s="7" t="s">
        <v>241</v>
      </c>
      <c r="B51" s="7" t="s">
        <v>242</v>
      </c>
      <c r="C51" s="7" t="s">
        <v>243</v>
      </c>
      <c r="D51" s="65">
        <v>92685</v>
      </c>
      <c r="E51" s="63">
        <v>145.97887499999999</v>
      </c>
      <c r="F51" s="63">
        <f t="shared" si="1"/>
        <v>0.49760992936651888</v>
      </c>
      <c r="G51" s="71"/>
    </row>
    <row r="52" spans="1:7" x14ac:dyDescent="0.2">
      <c r="A52" s="7" t="s">
        <v>380</v>
      </c>
      <c r="B52" s="7" t="s">
        <v>381</v>
      </c>
      <c r="C52" s="7" t="s">
        <v>36</v>
      </c>
      <c r="D52" s="65">
        <v>41800</v>
      </c>
      <c r="E52" s="63">
        <v>138.27440000000001</v>
      </c>
      <c r="F52" s="63">
        <f t="shared" si="1"/>
        <v>0.47134706591757053</v>
      </c>
      <c r="G52" s="71">
        <v>-4.7255820559722571E-3</v>
      </c>
    </row>
    <row r="53" spans="1:7" x14ac:dyDescent="0.2">
      <c r="A53" s="7" t="s">
        <v>37</v>
      </c>
      <c r="B53" s="7" t="s">
        <v>38</v>
      </c>
      <c r="C53" s="7" t="s">
        <v>39</v>
      </c>
      <c r="D53" s="65">
        <v>96169</v>
      </c>
      <c r="E53" s="63">
        <v>130.40516400000001</v>
      </c>
      <c r="F53" s="63">
        <f t="shared" si="1"/>
        <v>0.44452256839949839</v>
      </c>
      <c r="G53" s="71"/>
    </row>
    <row r="54" spans="1:7" x14ac:dyDescent="0.2">
      <c r="A54" s="7" t="s">
        <v>228</v>
      </c>
      <c r="B54" s="7" t="s">
        <v>229</v>
      </c>
      <c r="C54" s="7" t="s">
        <v>24</v>
      </c>
      <c r="D54" s="65">
        <v>64953</v>
      </c>
      <c r="E54" s="63">
        <v>116.23339350000001</v>
      </c>
      <c r="F54" s="63">
        <f t="shared" si="1"/>
        <v>0.39621411474479301</v>
      </c>
      <c r="G54" s="71"/>
    </row>
    <row r="55" spans="1:7" x14ac:dyDescent="0.2">
      <c r="A55" s="7" t="s">
        <v>268</v>
      </c>
      <c r="B55" s="7" t="s">
        <v>269</v>
      </c>
      <c r="C55" s="7" t="s">
        <v>270</v>
      </c>
      <c r="D55" s="65">
        <v>76471</v>
      </c>
      <c r="E55" s="63">
        <v>101.782901</v>
      </c>
      <c r="F55" s="63">
        <f t="shared" si="1"/>
        <v>0.34695555899666569</v>
      </c>
      <c r="G55" s="71" t="s">
        <v>704</v>
      </c>
    </row>
    <row r="56" spans="1:7" x14ac:dyDescent="0.2">
      <c r="A56" s="7" t="s">
        <v>333</v>
      </c>
      <c r="B56" s="7" t="s">
        <v>334</v>
      </c>
      <c r="C56" s="7" t="s">
        <v>39</v>
      </c>
      <c r="D56" s="65">
        <v>3091</v>
      </c>
      <c r="E56" s="63">
        <v>77.785015000000001</v>
      </c>
      <c r="F56" s="63">
        <f t="shared" si="1"/>
        <v>0.26515203531965581</v>
      </c>
      <c r="G56" s="71"/>
    </row>
    <row r="57" spans="1:7" x14ac:dyDescent="0.2">
      <c r="A57" s="7" t="s">
        <v>145</v>
      </c>
      <c r="B57" s="7" t="s">
        <v>146</v>
      </c>
      <c r="C57" s="7" t="s">
        <v>131</v>
      </c>
      <c r="D57" s="65">
        <v>47372</v>
      </c>
      <c r="E57" s="63">
        <v>61.038822000000003</v>
      </c>
      <c r="F57" s="63">
        <f t="shared" si="1"/>
        <v>0.20806794068001636</v>
      </c>
      <c r="G57" s="71" t="s">
        <v>704</v>
      </c>
    </row>
    <row r="58" spans="1:7" x14ac:dyDescent="0.2">
      <c r="A58" s="7" t="s">
        <v>382</v>
      </c>
      <c r="B58" s="7" t="s">
        <v>383</v>
      </c>
      <c r="C58" s="7" t="s">
        <v>33</v>
      </c>
      <c r="D58" s="65">
        <v>500</v>
      </c>
      <c r="E58" s="63">
        <v>35.489249999999998</v>
      </c>
      <c r="F58" s="63">
        <f t="shared" si="1"/>
        <v>0.12097506016381296</v>
      </c>
      <c r="G58" s="71">
        <v>-1.2130997283909054E-3</v>
      </c>
    </row>
    <row r="59" spans="1:7" x14ac:dyDescent="0.2">
      <c r="A59" s="7" t="s">
        <v>149</v>
      </c>
      <c r="B59" s="7" t="s">
        <v>150</v>
      </c>
      <c r="C59" s="7" t="s">
        <v>33</v>
      </c>
      <c r="D59" s="65">
        <v>2500</v>
      </c>
      <c r="E59" s="63">
        <v>7.62</v>
      </c>
      <c r="F59" s="63">
        <f t="shared" si="1"/>
        <v>2.5974906723817907E-2</v>
      </c>
      <c r="G59" s="71">
        <v>-2.6030299405479596E-4</v>
      </c>
    </row>
    <row r="60" spans="1:7" x14ac:dyDescent="0.2">
      <c r="A60" s="6" t="s">
        <v>43</v>
      </c>
      <c r="B60" s="7"/>
      <c r="C60" s="7"/>
      <c r="D60" s="7"/>
      <c r="E60" s="64">
        <f xml:space="preserve"> SUM(E8:E59)</f>
        <v>18778.347372999997</v>
      </c>
      <c r="F60" s="64">
        <f>SUM(F8:F59)</f>
        <v>64.011262656315765</v>
      </c>
      <c r="G60" s="70">
        <f>SUM(G8:G59)</f>
        <v>-0.32103981540652082</v>
      </c>
    </row>
    <row r="61" spans="1:7" x14ac:dyDescent="0.2">
      <c r="A61" s="6"/>
      <c r="B61" s="7"/>
      <c r="C61" s="7"/>
      <c r="D61" s="7"/>
      <c r="E61" s="64"/>
      <c r="F61" s="64"/>
      <c r="G61" s="62"/>
    </row>
    <row r="62" spans="1:7" x14ac:dyDescent="0.2">
      <c r="A62" s="37" t="s">
        <v>703</v>
      </c>
      <c r="B62" s="38"/>
      <c r="C62" s="68"/>
      <c r="D62" s="67"/>
      <c r="E62" s="66"/>
      <c r="F62" s="66"/>
      <c r="G62" s="62"/>
    </row>
    <row r="63" spans="1:7" x14ac:dyDescent="0.2">
      <c r="A63" s="38" t="s">
        <v>652</v>
      </c>
      <c r="B63" s="38" t="s">
        <v>653</v>
      </c>
      <c r="C63" s="68"/>
      <c r="D63" s="38">
        <v>62000</v>
      </c>
      <c r="E63" s="69">
        <v>232.0412</v>
      </c>
      <c r="F63" s="63">
        <f>E63/$E$87*100</f>
        <v>0.79097749686125685</v>
      </c>
      <c r="G63" s="62"/>
    </row>
    <row r="64" spans="1:7" x14ac:dyDescent="0.2">
      <c r="A64" s="37" t="s">
        <v>43</v>
      </c>
      <c r="B64" s="38"/>
      <c r="C64" s="68"/>
      <c r="D64" s="67"/>
      <c r="E64" s="66">
        <f>E63</f>
        <v>232.0412</v>
      </c>
      <c r="F64" s="66">
        <f>F63</f>
        <v>0.79097749686125685</v>
      </c>
      <c r="G64" s="62"/>
    </row>
    <row r="65" spans="1:7" x14ac:dyDescent="0.2">
      <c r="A65" s="7"/>
      <c r="B65" s="7"/>
      <c r="C65" s="7"/>
      <c r="D65" s="7"/>
      <c r="E65" s="63"/>
      <c r="F65" s="63"/>
      <c r="G65" s="62"/>
    </row>
    <row r="66" spans="1:7" x14ac:dyDescent="0.2">
      <c r="A66" s="6" t="s">
        <v>702</v>
      </c>
      <c r="B66" s="7"/>
      <c r="C66" s="7"/>
      <c r="D66" s="7"/>
      <c r="E66" s="63"/>
      <c r="F66" s="63"/>
      <c r="G66" s="62"/>
    </row>
    <row r="67" spans="1:7" x14ac:dyDescent="0.2">
      <c r="A67" s="6" t="s">
        <v>8</v>
      </c>
      <c r="B67" s="7"/>
      <c r="C67" s="7"/>
      <c r="D67" s="7"/>
      <c r="E67" s="63"/>
      <c r="F67" s="63"/>
      <c r="G67" s="62"/>
    </row>
    <row r="68" spans="1:7" x14ac:dyDescent="0.2">
      <c r="A68" s="6"/>
      <c r="B68" s="7"/>
      <c r="C68" s="7"/>
      <c r="D68" s="7"/>
      <c r="E68" s="63"/>
      <c r="F68" s="63"/>
      <c r="G68" s="62"/>
    </row>
    <row r="69" spans="1:7" x14ac:dyDescent="0.2">
      <c r="A69" s="7" t="s">
        <v>701</v>
      </c>
      <c r="B69" s="38" t="s">
        <v>1423</v>
      </c>
      <c r="C69" s="7" t="s">
        <v>700</v>
      </c>
      <c r="D69" s="65">
        <v>100</v>
      </c>
      <c r="E69" s="63">
        <v>1007.976</v>
      </c>
      <c r="F69" s="63">
        <f t="shared" ref="F69:F75" si="2">E69/$E$87*100</f>
        <v>3.4359688424996171</v>
      </c>
      <c r="G69" s="62"/>
    </row>
    <row r="70" spans="1:7" x14ac:dyDescent="0.2">
      <c r="A70" s="7" t="s">
        <v>699</v>
      </c>
      <c r="B70" s="38" t="s">
        <v>1424</v>
      </c>
      <c r="C70" s="7" t="s">
        <v>693</v>
      </c>
      <c r="D70" s="65">
        <v>100</v>
      </c>
      <c r="E70" s="63">
        <v>1007.729</v>
      </c>
      <c r="F70" s="63">
        <f t="shared" si="2"/>
        <v>3.4351268737383598</v>
      </c>
      <c r="G70" s="62"/>
    </row>
    <row r="71" spans="1:7" x14ac:dyDescent="0.2">
      <c r="A71" s="7" t="s">
        <v>698</v>
      </c>
      <c r="B71" s="38" t="s">
        <v>1425</v>
      </c>
      <c r="C71" s="7" t="s">
        <v>693</v>
      </c>
      <c r="D71" s="65">
        <v>100</v>
      </c>
      <c r="E71" s="63">
        <v>1005.337</v>
      </c>
      <c r="F71" s="63">
        <f t="shared" si="2"/>
        <v>3.4269730709977595</v>
      </c>
      <c r="G71" s="62"/>
    </row>
    <row r="72" spans="1:7" x14ac:dyDescent="0.2">
      <c r="A72" s="7" t="s">
        <v>697</v>
      </c>
      <c r="B72" s="38" t="s">
        <v>1426</v>
      </c>
      <c r="C72" s="7" t="s">
        <v>693</v>
      </c>
      <c r="D72" s="65">
        <v>100</v>
      </c>
      <c r="E72" s="63">
        <v>999.24699999999996</v>
      </c>
      <c r="F72" s="63">
        <f t="shared" si="2"/>
        <v>3.4062135983011643</v>
      </c>
      <c r="G72" s="62"/>
    </row>
    <row r="73" spans="1:7" x14ac:dyDescent="0.2">
      <c r="A73" s="7" t="s">
        <v>696</v>
      </c>
      <c r="B73" s="38" t="s">
        <v>1427</v>
      </c>
      <c r="C73" s="7" t="s">
        <v>695</v>
      </c>
      <c r="D73" s="65">
        <v>80</v>
      </c>
      <c r="E73" s="63">
        <v>775.97760000000005</v>
      </c>
      <c r="F73" s="63">
        <f t="shared" si="2"/>
        <v>2.6451372414399064</v>
      </c>
      <c r="G73" s="62"/>
    </row>
    <row r="74" spans="1:7" x14ac:dyDescent="0.2">
      <c r="A74" s="7" t="s">
        <v>694</v>
      </c>
      <c r="B74" s="38" t="s">
        <v>1917</v>
      </c>
      <c r="C74" s="7" t="s">
        <v>693</v>
      </c>
      <c r="D74" s="65">
        <v>50</v>
      </c>
      <c r="E74" s="63">
        <v>509.96300000000002</v>
      </c>
      <c r="F74" s="63">
        <f t="shared" si="2"/>
        <v>1.7383518841992591</v>
      </c>
      <c r="G74" s="62"/>
    </row>
    <row r="75" spans="1:7" x14ac:dyDescent="0.2">
      <c r="A75" s="7" t="s">
        <v>692</v>
      </c>
      <c r="B75" s="38" t="s">
        <v>1428</v>
      </c>
      <c r="C75" s="7" t="s">
        <v>691</v>
      </c>
      <c r="D75" s="65">
        <v>40</v>
      </c>
      <c r="E75" s="63">
        <v>399.03680000000003</v>
      </c>
      <c r="F75" s="63">
        <f t="shared" si="2"/>
        <v>1.3602288266890792</v>
      </c>
      <c r="G75" s="62"/>
    </row>
    <row r="76" spans="1:7" x14ac:dyDescent="0.2">
      <c r="A76" s="6" t="s">
        <v>43</v>
      </c>
      <c r="B76" s="7"/>
      <c r="C76" s="7"/>
      <c r="D76" s="7"/>
      <c r="E76" s="64">
        <f>SUM(E69:E75)</f>
        <v>5705.2663999999995</v>
      </c>
      <c r="F76" s="64">
        <f>SUM(F69:F75)</f>
        <v>19.448000337865146</v>
      </c>
      <c r="G76" s="62"/>
    </row>
    <row r="77" spans="1:7" x14ac:dyDescent="0.2">
      <c r="A77" s="6"/>
      <c r="B77" s="7"/>
      <c r="C77" s="7"/>
      <c r="D77" s="7"/>
      <c r="E77" s="64"/>
      <c r="F77" s="64"/>
      <c r="G77" s="62"/>
    </row>
    <row r="78" spans="1:7" x14ac:dyDescent="0.2">
      <c r="A78" s="37" t="s">
        <v>690</v>
      </c>
      <c r="B78" s="38"/>
      <c r="C78" s="38"/>
      <c r="D78" s="38"/>
      <c r="E78" s="63"/>
      <c r="F78" s="63"/>
      <c r="G78" s="62"/>
    </row>
    <row r="79" spans="1:7" x14ac:dyDescent="0.2">
      <c r="A79" s="38" t="s">
        <v>689</v>
      </c>
      <c r="B79" s="38" t="s">
        <v>1937</v>
      </c>
      <c r="C79" s="38" t="s">
        <v>688</v>
      </c>
      <c r="D79" s="38">
        <v>200</v>
      </c>
      <c r="E79" s="63">
        <v>943.76900000000001</v>
      </c>
      <c r="F79" s="63">
        <f>E79/$E$87*100</f>
        <v>3.2171012787179669</v>
      </c>
      <c r="G79" s="62"/>
    </row>
    <row r="80" spans="1:7" x14ac:dyDescent="0.2">
      <c r="A80" s="37" t="s">
        <v>43</v>
      </c>
      <c r="B80" s="38"/>
      <c r="C80" s="38"/>
      <c r="D80" s="38"/>
      <c r="E80" s="64">
        <f>SUM(E79:E79)</f>
        <v>943.76900000000001</v>
      </c>
      <c r="F80" s="64">
        <f>SUM(F79:F79)</f>
        <v>3.2171012787179669</v>
      </c>
      <c r="G80" s="62"/>
    </row>
    <row r="81" spans="1:7" x14ac:dyDescent="0.2">
      <c r="A81" s="7"/>
      <c r="B81" s="7"/>
      <c r="C81" s="7"/>
      <c r="D81" s="7"/>
      <c r="E81" s="63"/>
      <c r="F81" s="63"/>
      <c r="G81" s="62"/>
    </row>
    <row r="82" spans="1:7" x14ac:dyDescent="0.2">
      <c r="A82" s="6" t="s">
        <v>43</v>
      </c>
      <c r="B82" s="7"/>
      <c r="C82" s="7"/>
      <c r="D82" s="7"/>
      <c r="E82" s="64">
        <f>E60+E64+E76+E80</f>
        <v>25659.423972999997</v>
      </c>
      <c r="F82" s="64">
        <f>F60+F64+F76+F80</f>
        <v>87.467341769760139</v>
      </c>
      <c r="G82" s="62"/>
    </row>
    <row r="83" spans="1:7" x14ac:dyDescent="0.2">
      <c r="A83" s="7"/>
      <c r="B83" s="7"/>
      <c r="C83" s="7"/>
      <c r="D83" s="7"/>
      <c r="E83" s="63"/>
      <c r="F83" s="63"/>
      <c r="G83" s="62"/>
    </row>
    <row r="84" spans="1:7" x14ac:dyDescent="0.2">
      <c r="A84" s="6" t="s">
        <v>687</v>
      </c>
      <c r="B84" s="7"/>
      <c r="C84" s="7"/>
      <c r="D84" s="7"/>
      <c r="E84" s="64">
        <v>2624.7040563</v>
      </c>
      <c r="F84" s="64">
        <f>E84/$E$87*100</f>
        <v>8.9470397690313668</v>
      </c>
      <c r="G84" s="62"/>
    </row>
    <row r="85" spans="1:7" x14ac:dyDescent="0.2">
      <c r="A85" s="6" t="s">
        <v>101</v>
      </c>
      <c r="B85" s="7"/>
      <c r="C85" s="7"/>
      <c r="D85" s="7"/>
      <c r="E85" s="64">
        <v>1051.8772199999994</v>
      </c>
      <c r="F85" s="64">
        <f>E85/$E$87*100</f>
        <v>3.5856184612085138</v>
      </c>
      <c r="G85" s="62"/>
    </row>
    <row r="86" spans="1:7" x14ac:dyDescent="0.2">
      <c r="A86" s="7"/>
      <c r="B86" s="7"/>
      <c r="C86" s="7"/>
      <c r="D86" s="7"/>
      <c r="E86" s="63"/>
      <c r="F86" s="63"/>
      <c r="G86" s="62"/>
    </row>
    <row r="87" spans="1:7" x14ac:dyDescent="0.2">
      <c r="A87" s="8" t="s">
        <v>102</v>
      </c>
      <c r="B87" s="5"/>
      <c r="C87" s="5"/>
      <c r="D87" s="5"/>
      <c r="E87" s="61">
        <f>E82+E84+E85</f>
        <v>29336.005249299997</v>
      </c>
      <c r="F87" s="61">
        <f xml:space="preserve"> ROUND(SUM(F82:F86),2)</f>
        <v>100</v>
      </c>
      <c r="G87" s="60"/>
    </row>
    <row r="88" spans="1:7" x14ac:dyDescent="0.2">
      <c r="A88" s="4" t="s">
        <v>686</v>
      </c>
      <c r="B88" s="2"/>
      <c r="C88" s="2"/>
      <c r="D88" s="2"/>
    </row>
    <row r="89" spans="1:7" x14ac:dyDescent="0.2">
      <c r="A89" s="2"/>
      <c r="B89" s="2"/>
      <c r="C89" s="2"/>
      <c r="D89" s="2"/>
    </row>
    <row r="90" spans="1:7" x14ac:dyDescent="0.2">
      <c r="A90" s="4" t="s">
        <v>103</v>
      </c>
      <c r="B90" s="2"/>
      <c r="C90" s="2"/>
      <c r="D90" s="2"/>
    </row>
    <row r="91" spans="1:7" x14ac:dyDescent="0.2">
      <c r="A91" s="4" t="s">
        <v>685</v>
      </c>
      <c r="B91" s="2"/>
      <c r="C91" s="2"/>
      <c r="D91" s="2"/>
    </row>
    <row r="92" spans="1:7" x14ac:dyDescent="0.2">
      <c r="A92" s="4" t="s">
        <v>608</v>
      </c>
      <c r="B92" s="2"/>
      <c r="C92" s="2"/>
      <c r="D92" s="2"/>
    </row>
    <row r="93" spans="1:7" x14ac:dyDescent="0.2">
      <c r="A93" s="2" t="s">
        <v>601</v>
      </c>
      <c r="B93" s="2"/>
      <c r="C93" s="2"/>
      <c r="D93" s="10">
        <v>9.9109999999999996</v>
      </c>
    </row>
    <row r="94" spans="1:7" x14ac:dyDescent="0.2">
      <c r="A94" s="2" t="s">
        <v>600</v>
      </c>
      <c r="B94" s="2"/>
      <c r="C94" s="2"/>
      <c r="D94" s="10">
        <v>9.9109999999999996</v>
      </c>
    </row>
    <row r="95" spans="1:7" x14ac:dyDescent="0.2">
      <c r="A95" s="2" t="s">
        <v>682</v>
      </c>
      <c r="B95" s="2"/>
      <c r="C95" s="2"/>
      <c r="D95" s="10">
        <v>9.9109999999999996</v>
      </c>
    </row>
    <row r="96" spans="1:7" x14ac:dyDescent="0.2">
      <c r="A96" s="2" t="s">
        <v>684</v>
      </c>
      <c r="B96" s="2"/>
      <c r="C96" s="2"/>
      <c r="D96" s="10">
        <v>9.9109999999999996</v>
      </c>
    </row>
    <row r="97" spans="1:4" x14ac:dyDescent="0.2">
      <c r="A97" s="2" t="s">
        <v>603</v>
      </c>
      <c r="B97" s="2"/>
      <c r="C97" s="2"/>
      <c r="D97" s="10">
        <v>9.9888999999999992</v>
      </c>
    </row>
    <row r="98" spans="1:4" x14ac:dyDescent="0.2">
      <c r="A98" s="2" t="s">
        <v>602</v>
      </c>
      <c r="B98" s="2"/>
      <c r="C98" s="2"/>
      <c r="D98" s="10">
        <v>9.9888999999999992</v>
      </c>
    </row>
    <row r="99" spans="1:4" x14ac:dyDescent="0.2">
      <c r="A99" s="2" t="s">
        <v>681</v>
      </c>
      <c r="B99" s="2"/>
      <c r="C99" s="2"/>
      <c r="D99" s="10">
        <v>9.9888999999999992</v>
      </c>
    </row>
    <row r="100" spans="1:4" x14ac:dyDescent="0.2">
      <c r="A100" s="2" t="s">
        <v>683</v>
      </c>
      <c r="B100" s="2"/>
      <c r="C100" s="2"/>
      <c r="D100" s="10">
        <v>9.9888999999999992</v>
      </c>
    </row>
    <row r="101" spans="1:4" x14ac:dyDescent="0.2">
      <c r="A101" s="2"/>
      <c r="B101" s="2"/>
      <c r="C101" s="2"/>
      <c r="D101" s="2"/>
    </row>
    <row r="102" spans="1:4" x14ac:dyDescent="0.2">
      <c r="A102" s="4" t="s">
        <v>105</v>
      </c>
      <c r="B102" s="2"/>
      <c r="C102" s="2"/>
      <c r="D102" s="2"/>
    </row>
    <row r="103" spans="1:4" x14ac:dyDescent="0.2">
      <c r="A103" s="2" t="s">
        <v>601</v>
      </c>
      <c r="B103" s="2"/>
      <c r="C103" s="2"/>
      <c r="D103" s="10">
        <v>10.0943</v>
      </c>
    </row>
    <row r="104" spans="1:4" x14ac:dyDescent="0.2">
      <c r="A104" s="2" t="s">
        <v>600</v>
      </c>
      <c r="B104" s="2"/>
      <c r="C104" s="2"/>
      <c r="D104" s="10">
        <v>10.0943</v>
      </c>
    </row>
    <row r="105" spans="1:4" x14ac:dyDescent="0.2">
      <c r="A105" s="2" t="s">
        <v>682</v>
      </c>
      <c r="B105" s="2"/>
      <c r="C105" s="2"/>
      <c r="D105" s="10">
        <v>10.0352</v>
      </c>
    </row>
    <row r="106" spans="1:4" x14ac:dyDescent="0.2">
      <c r="A106" s="2" t="s">
        <v>684</v>
      </c>
      <c r="B106" s="2"/>
      <c r="C106" s="2"/>
      <c r="D106" s="10">
        <v>10.0943</v>
      </c>
    </row>
    <row r="107" spans="1:4" x14ac:dyDescent="0.2">
      <c r="A107" s="2" t="s">
        <v>603</v>
      </c>
      <c r="B107" s="2"/>
      <c r="C107" s="2"/>
      <c r="D107" s="10">
        <v>10.262700000000001</v>
      </c>
    </row>
    <row r="108" spans="1:4" x14ac:dyDescent="0.2">
      <c r="A108" s="2" t="s">
        <v>602</v>
      </c>
      <c r="B108" s="2"/>
      <c r="C108" s="2"/>
      <c r="D108" s="10">
        <v>10.262700000000001</v>
      </c>
    </row>
    <row r="109" spans="1:4" x14ac:dyDescent="0.2">
      <c r="A109" s="2" t="s">
        <v>681</v>
      </c>
      <c r="B109" s="2"/>
      <c r="C109" s="2"/>
      <c r="D109" s="10">
        <v>10.202999999999999</v>
      </c>
    </row>
    <row r="110" spans="1:4" x14ac:dyDescent="0.2">
      <c r="A110" s="2" t="s">
        <v>683</v>
      </c>
      <c r="B110" s="2"/>
      <c r="C110" s="2"/>
      <c r="D110" s="10">
        <v>10.262700000000001</v>
      </c>
    </row>
    <row r="111" spans="1:4" x14ac:dyDescent="0.2">
      <c r="A111" s="2"/>
      <c r="B111" s="2"/>
      <c r="C111" s="2"/>
      <c r="D111" s="2"/>
    </row>
    <row r="112" spans="1:4" x14ac:dyDescent="0.2">
      <c r="A112" s="4" t="s">
        <v>106</v>
      </c>
      <c r="B112" s="2"/>
      <c r="C112" s="2"/>
      <c r="D112" s="20" t="s">
        <v>311</v>
      </c>
    </row>
    <row r="113" spans="1:5" x14ac:dyDescent="0.2">
      <c r="A113" s="107" t="s">
        <v>604</v>
      </c>
      <c r="B113" s="108"/>
      <c r="C113" s="103" t="s">
        <v>605</v>
      </c>
      <c r="D113" s="104"/>
    </row>
    <row r="114" spans="1:5" x14ac:dyDescent="0.2">
      <c r="A114" s="109"/>
      <c r="B114" s="110"/>
      <c r="C114" s="23" t="s">
        <v>606</v>
      </c>
      <c r="D114" s="23" t="s">
        <v>607</v>
      </c>
    </row>
    <row r="115" spans="1:5" x14ac:dyDescent="0.2">
      <c r="A115" s="24" t="s">
        <v>682</v>
      </c>
      <c r="B115" s="25"/>
      <c r="C115" s="59">
        <v>5.3124508200000004E-2</v>
      </c>
      <c r="D115" s="59">
        <v>5.3124508200000004E-2</v>
      </c>
    </row>
    <row r="116" spans="1:5" x14ac:dyDescent="0.2">
      <c r="A116" s="24" t="s">
        <v>681</v>
      </c>
      <c r="B116" s="25"/>
      <c r="C116" s="59">
        <v>5.3124508200000004E-2</v>
      </c>
      <c r="D116" s="59">
        <v>5.3124508200000004E-2</v>
      </c>
    </row>
    <row r="117" spans="1:5" x14ac:dyDescent="0.2">
      <c r="A117" s="4"/>
      <c r="B117" s="2"/>
      <c r="C117" s="2"/>
      <c r="D117" s="20"/>
    </row>
    <row r="118" spans="1:5" x14ac:dyDescent="0.2">
      <c r="A118" s="4" t="s">
        <v>680</v>
      </c>
      <c r="B118" s="2"/>
      <c r="C118" s="2"/>
      <c r="D118" s="15">
        <v>2.1221549675295619</v>
      </c>
      <c r="E118" s="1" t="s">
        <v>679</v>
      </c>
    </row>
    <row r="119" spans="1:5" x14ac:dyDescent="0.2">
      <c r="A119" s="2"/>
      <c r="B119" s="2"/>
      <c r="C119" s="2"/>
      <c r="D119" s="2"/>
    </row>
    <row r="120" spans="1:5" x14ac:dyDescent="0.2">
      <c r="A120" s="4" t="s">
        <v>678</v>
      </c>
      <c r="B120" s="2"/>
      <c r="C120" s="2"/>
      <c r="D120" s="27">
        <v>2.812138199918051</v>
      </c>
    </row>
  </sheetData>
  <mergeCells count="5">
    <mergeCell ref="A113:B113"/>
    <mergeCell ref="A114:B114"/>
    <mergeCell ref="C113:D113"/>
    <mergeCell ref="G3:G4"/>
    <mergeCell ref="A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9A2F-5C1F-4ECD-8668-16AB6CFF4A4A}">
  <dimension ref="A1:F11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35.7109375" style="2" bestFit="1" customWidth="1"/>
    <col min="4" max="4" width="10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738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710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8" t="s">
        <v>118</v>
      </c>
      <c r="B7" s="38" t="s">
        <v>119</v>
      </c>
      <c r="C7" s="38" t="s">
        <v>11</v>
      </c>
      <c r="D7" s="38">
        <v>2000862</v>
      </c>
      <c r="E7" s="63">
        <v>13487.810742</v>
      </c>
      <c r="F7" s="69">
        <f t="shared" ref="F7:F43" si="0">IF((E7/$E$91*100)&lt;0.01,"*",E7/$E$91*100)</f>
        <v>7.3366274720152083</v>
      </c>
    </row>
    <row r="8" spans="1:6" x14ac:dyDescent="0.2">
      <c r="A8" s="38" t="s">
        <v>9</v>
      </c>
      <c r="B8" s="38" t="s">
        <v>10</v>
      </c>
      <c r="C8" s="38" t="s">
        <v>11</v>
      </c>
      <c r="D8" s="38">
        <v>494434</v>
      </c>
      <c r="E8" s="63">
        <v>11132.923161000001</v>
      </c>
      <c r="F8" s="69">
        <f t="shared" si="0"/>
        <v>6.0556981017303046</v>
      </c>
    </row>
    <row r="9" spans="1:6" x14ac:dyDescent="0.2">
      <c r="A9" s="38" t="s">
        <v>109</v>
      </c>
      <c r="B9" s="38" t="s">
        <v>110</v>
      </c>
      <c r="C9" s="38" t="s">
        <v>11</v>
      </c>
      <c r="D9" s="38">
        <v>1656302</v>
      </c>
      <c r="E9" s="63">
        <v>7032.6582920000001</v>
      </c>
      <c r="F9" s="69">
        <f t="shared" si="0"/>
        <v>3.8253794491434276</v>
      </c>
    </row>
    <row r="10" spans="1:6" x14ac:dyDescent="0.2">
      <c r="A10" s="38" t="s">
        <v>20</v>
      </c>
      <c r="B10" s="38" t="s">
        <v>21</v>
      </c>
      <c r="C10" s="38" t="s">
        <v>11</v>
      </c>
      <c r="D10" s="38">
        <v>459760</v>
      </c>
      <c r="E10" s="63">
        <v>6986.2830800000002</v>
      </c>
      <c r="F10" s="69">
        <f t="shared" si="0"/>
        <v>3.8001538835651485</v>
      </c>
    </row>
    <row r="11" spans="1:6" x14ac:dyDescent="0.2">
      <c r="A11" s="38" t="s">
        <v>180</v>
      </c>
      <c r="B11" s="38" t="s">
        <v>181</v>
      </c>
      <c r="C11" s="38" t="s">
        <v>78</v>
      </c>
      <c r="D11" s="38">
        <v>763784</v>
      </c>
      <c r="E11" s="63">
        <v>6061.7717160000002</v>
      </c>
      <c r="F11" s="69">
        <f t="shared" si="0"/>
        <v>3.2972705319926394</v>
      </c>
    </row>
    <row r="12" spans="1:6" x14ac:dyDescent="0.2">
      <c r="A12" s="38" t="s">
        <v>25</v>
      </c>
      <c r="B12" s="38" t="s">
        <v>26</v>
      </c>
      <c r="C12" s="38" t="s">
        <v>27</v>
      </c>
      <c r="D12" s="38">
        <v>3044188</v>
      </c>
      <c r="E12" s="63">
        <v>5800.7002339999999</v>
      </c>
      <c r="F12" s="69">
        <f t="shared" si="0"/>
        <v>3.1552619997230873</v>
      </c>
    </row>
    <row r="13" spans="1:6" x14ac:dyDescent="0.2">
      <c r="A13" s="38" t="s">
        <v>157</v>
      </c>
      <c r="B13" s="38" t="s">
        <v>158</v>
      </c>
      <c r="C13" s="38" t="s">
        <v>117</v>
      </c>
      <c r="D13" s="38">
        <v>2508769</v>
      </c>
      <c r="E13" s="63">
        <v>5288.485052</v>
      </c>
      <c r="F13" s="69">
        <f t="shared" si="0"/>
        <v>2.8766451027538436</v>
      </c>
    </row>
    <row r="14" spans="1:6" x14ac:dyDescent="0.2">
      <c r="A14" s="38" t="s">
        <v>196</v>
      </c>
      <c r="B14" s="38" t="s">
        <v>197</v>
      </c>
      <c r="C14" s="38" t="s">
        <v>57</v>
      </c>
      <c r="D14" s="38">
        <v>600350</v>
      </c>
      <c r="E14" s="63">
        <v>4732.8592250000002</v>
      </c>
      <c r="F14" s="69">
        <f t="shared" si="0"/>
        <v>2.5744152016598347</v>
      </c>
    </row>
    <row r="15" spans="1:6" x14ac:dyDescent="0.2">
      <c r="A15" s="38" t="s">
        <v>182</v>
      </c>
      <c r="B15" s="38" t="s">
        <v>183</v>
      </c>
      <c r="C15" s="38" t="s">
        <v>39</v>
      </c>
      <c r="D15" s="38">
        <v>821320</v>
      </c>
      <c r="E15" s="63">
        <v>4517.26</v>
      </c>
      <c r="F15" s="69">
        <f t="shared" si="0"/>
        <v>2.4571410770938162</v>
      </c>
    </row>
    <row r="16" spans="1:6" x14ac:dyDescent="0.2">
      <c r="A16" s="38" t="s">
        <v>113</v>
      </c>
      <c r="B16" s="38" t="s">
        <v>114</v>
      </c>
      <c r="C16" s="38" t="s">
        <v>42</v>
      </c>
      <c r="D16" s="38">
        <v>1264520</v>
      </c>
      <c r="E16" s="63">
        <v>4269.0195199999998</v>
      </c>
      <c r="F16" s="69">
        <f t="shared" si="0"/>
        <v>2.3221119044525498</v>
      </c>
    </row>
    <row r="17" spans="1:6" x14ac:dyDescent="0.2">
      <c r="A17" s="38" t="s">
        <v>186</v>
      </c>
      <c r="B17" s="38" t="s">
        <v>187</v>
      </c>
      <c r="C17" s="38" t="s">
        <v>188</v>
      </c>
      <c r="D17" s="38">
        <v>154688</v>
      </c>
      <c r="E17" s="63">
        <v>3982.597248</v>
      </c>
      <c r="F17" s="69">
        <f t="shared" si="0"/>
        <v>2.1663139362316066</v>
      </c>
    </row>
    <row r="18" spans="1:6" x14ac:dyDescent="0.2">
      <c r="A18" s="38" t="s">
        <v>123</v>
      </c>
      <c r="B18" s="38" t="s">
        <v>124</v>
      </c>
      <c r="C18" s="38" t="s">
        <v>122</v>
      </c>
      <c r="D18" s="38">
        <v>2568360</v>
      </c>
      <c r="E18" s="63">
        <v>3577.7254800000001</v>
      </c>
      <c r="F18" s="69">
        <f t="shared" si="0"/>
        <v>1.9460859546435652</v>
      </c>
    </row>
    <row r="19" spans="1:6" x14ac:dyDescent="0.2">
      <c r="A19" s="38" t="s">
        <v>129</v>
      </c>
      <c r="B19" s="38" t="s">
        <v>130</v>
      </c>
      <c r="C19" s="38" t="s">
        <v>131</v>
      </c>
      <c r="D19" s="38">
        <v>1446976</v>
      </c>
      <c r="E19" s="63">
        <v>3421.3747520000002</v>
      </c>
      <c r="F19" s="69">
        <f t="shared" si="0"/>
        <v>1.8610397549113553</v>
      </c>
    </row>
    <row r="20" spans="1:6" x14ac:dyDescent="0.2">
      <c r="A20" s="38" t="s">
        <v>249</v>
      </c>
      <c r="B20" s="38" t="s">
        <v>250</v>
      </c>
      <c r="C20" s="38" t="s">
        <v>36</v>
      </c>
      <c r="D20" s="38">
        <v>28764</v>
      </c>
      <c r="E20" s="63">
        <v>3358.455876</v>
      </c>
      <c r="F20" s="69">
        <f t="shared" si="0"/>
        <v>1.8268153457021947</v>
      </c>
    </row>
    <row r="21" spans="1:6" x14ac:dyDescent="0.2">
      <c r="A21" s="38" t="s">
        <v>217</v>
      </c>
      <c r="B21" s="38" t="s">
        <v>218</v>
      </c>
      <c r="C21" s="38" t="s">
        <v>36</v>
      </c>
      <c r="D21" s="38">
        <v>276850</v>
      </c>
      <c r="E21" s="63">
        <v>3293.8228749999998</v>
      </c>
      <c r="F21" s="69">
        <f t="shared" si="0"/>
        <v>1.7916585467371262</v>
      </c>
    </row>
    <row r="22" spans="1:6" x14ac:dyDescent="0.2">
      <c r="A22" s="38" t="s">
        <v>213</v>
      </c>
      <c r="B22" s="38" t="s">
        <v>214</v>
      </c>
      <c r="C22" s="38" t="s">
        <v>131</v>
      </c>
      <c r="D22" s="38">
        <v>1516102</v>
      </c>
      <c r="E22" s="63">
        <v>3213.378189</v>
      </c>
      <c r="F22" s="69">
        <f t="shared" si="0"/>
        <v>1.74790106047233</v>
      </c>
    </row>
    <row r="23" spans="1:6" x14ac:dyDescent="0.2">
      <c r="A23" s="38" t="s">
        <v>115</v>
      </c>
      <c r="B23" s="38" t="s">
        <v>116</v>
      </c>
      <c r="C23" s="38" t="s">
        <v>117</v>
      </c>
      <c r="D23" s="38">
        <v>2512015</v>
      </c>
      <c r="E23" s="63">
        <v>3178.9549824999999</v>
      </c>
      <c r="F23" s="69">
        <f t="shared" si="0"/>
        <v>1.7291767287543343</v>
      </c>
    </row>
    <row r="24" spans="1:6" x14ac:dyDescent="0.2">
      <c r="A24" s="38" t="s">
        <v>266</v>
      </c>
      <c r="B24" s="38" t="s">
        <v>267</v>
      </c>
      <c r="C24" s="38" t="s">
        <v>78</v>
      </c>
      <c r="D24" s="38">
        <v>429717</v>
      </c>
      <c r="E24" s="63">
        <v>2734.0744125000001</v>
      </c>
      <c r="F24" s="69">
        <f t="shared" si="0"/>
        <v>1.4871861585972233</v>
      </c>
    </row>
    <row r="25" spans="1:6" x14ac:dyDescent="0.2">
      <c r="A25" s="38" t="s">
        <v>234</v>
      </c>
      <c r="B25" s="38" t="s">
        <v>235</v>
      </c>
      <c r="C25" s="38" t="s">
        <v>122</v>
      </c>
      <c r="D25" s="38">
        <v>998372</v>
      </c>
      <c r="E25" s="63">
        <v>2656.1687059999999</v>
      </c>
      <c r="F25" s="69">
        <f t="shared" si="0"/>
        <v>1.4448097375851132</v>
      </c>
    </row>
    <row r="26" spans="1:6" x14ac:dyDescent="0.2">
      <c r="A26" s="38" t="s">
        <v>200</v>
      </c>
      <c r="B26" s="38" t="s">
        <v>201</v>
      </c>
      <c r="C26" s="38" t="s">
        <v>36</v>
      </c>
      <c r="D26" s="38">
        <v>178251</v>
      </c>
      <c r="E26" s="63">
        <v>2523.0537795</v>
      </c>
      <c r="F26" s="69">
        <f t="shared" si="0"/>
        <v>1.3724025363442118</v>
      </c>
    </row>
    <row r="27" spans="1:6" x14ac:dyDescent="0.2">
      <c r="A27" s="38" t="s">
        <v>221</v>
      </c>
      <c r="B27" s="38" t="s">
        <v>222</v>
      </c>
      <c r="C27" s="38" t="s">
        <v>33</v>
      </c>
      <c r="D27" s="38">
        <v>336933</v>
      </c>
      <c r="E27" s="63">
        <v>2390.3711684999998</v>
      </c>
      <c r="F27" s="69">
        <f t="shared" si="0"/>
        <v>1.3002304909662259</v>
      </c>
    </row>
    <row r="28" spans="1:6" x14ac:dyDescent="0.2">
      <c r="A28" s="38" t="s">
        <v>15</v>
      </c>
      <c r="B28" s="38" t="s">
        <v>16</v>
      </c>
      <c r="C28" s="38" t="s">
        <v>87</v>
      </c>
      <c r="D28" s="38">
        <v>1583382</v>
      </c>
      <c r="E28" s="63">
        <v>2268.986406</v>
      </c>
      <c r="F28" s="69">
        <f t="shared" si="0"/>
        <v>1.2342038540066471</v>
      </c>
    </row>
    <row r="29" spans="1:6" x14ac:dyDescent="0.2">
      <c r="A29" s="38" t="s">
        <v>111</v>
      </c>
      <c r="B29" s="38" t="s">
        <v>112</v>
      </c>
      <c r="C29" s="38" t="s">
        <v>11</v>
      </c>
      <c r="D29" s="38">
        <v>615662</v>
      </c>
      <c r="E29" s="63">
        <v>2045.2291640000001</v>
      </c>
      <c r="F29" s="69">
        <f t="shared" si="0"/>
        <v>1.1124922167275395</v>
      </c>
    </row>
    <row r="30" spans="1:6" x14ac:dyDescent="0.2">
      <c r="A30" s="38" t="s">
        <v>259</v>
      </c>
      <c r="B30" s="38" t="s">
        <v>260</v>
      </c>
      <c r="C30" s="38" t="s">
        <v>261</v>
      </c>
      <c r="D30" s="38">
        <v>385077</v>
      </c>
      <c r="E30" s="63">
        <v>1663.7251785000001</v>
      </c>
      <c r="F30" s="69">
        <f t="shared" si="0"/>
        <v>0.90497502403837549</v>
      </c>
    </row>
    <row r="31" spans="1:6" x14ac:dyDescent="0.2">
      <c r="A31" s="38" t="s">
        <v>275</v>
      </c>
      <c r="B31" s="38" t="s">
        <v>276</v>
      </c>
      <c r="C31" s="38" t="s">
        <v>93</v>
      </c>
      <c r="D31" s="38">
        <v>274626</v>
      </c>
      <c r="E31" s="63">
        <v>1601.0695800000001</v>
      </c>
      <c r="F31" s="69">
        <f t="shared" si="0"/>
        <v>0.87089382331398768</v>
      </c>
    </row>
    <row r="32" spans="1:6" x14ac:dyDescent="0.2">
      <c r="A32" s="38" t="s">
        <v>368</v>
      </c>
      <c r="B32" s="38" t="s">
        <v>369</v>
      </c>
      <c r="C32" s="38" t="s">
        <v>93</v>
      </c>
      <c r="D32" s="38">
        <v>147561</v>
      </c>
      <c r="E32" s="63">
        <v>1558.7606235000001</v>
      </c>
      <c r="F32" s="69">
        <f t="shared" si="0"/>
        <v>0.84788007716142499</v>
      </c>
    </row>
    <row r="33" spans="1:6" x14ac:dyDescent="0.2">
      <c r="A33" s="38" t="s">
        <v>37</v>
      </c>
      <c r="B33" s="38" t="s">
        <v>38</v>
      </c>
      <c r="C33" s="38" t="s">
        <v>39</v>
      </c>
      <c r="D33" s="38">
        <v>1081483</v>
      </c>
      <c r="E33" s="63">
        <v>1466.4909479999999</v>
      </c>
      <c r="F33" s="69">
        <f t="shared" si="0"/>
        <v>0.79769044675689504</v>
      </c>
    </row>
    <row r="34" spans="1:6" x14ac:dyDescent="0.2">
      <c r="A34" s="38" t="s">
        <v>253</v>
      </c>
      <c r="B34" s="38" t="s">
        <v>254</v>
      </c>
      <c r="C34" s="38" t="s">
        <v>243</v>
      </c>
      <c r="D34" s="38">
        <v>205000</v>
      </c>
      <c r="E34" s="63">
        <v>1439.8175000000001</v>
      </c>
      <c r="F34" s="69">
        <f t="shared" si="0"/>
        <v>0.78318155757439822</v>
      </c>
    </row>
    <row r="35" spans="1:6" x14ac:dyDescent="0.2">
      <c r="A35" s="38" t="s">
        <v>268</v>
      </c>
      <c r="B35" s="38" t="s">
        <v>269</v>
      </c>
      <c r="C35" s="38" t="s">
        <v>270</v>
      </c>
      <c r="D35" s="38">
        <v>921918</v>
      </c>
      <c r="E35" s="63">
        <v>1227.072858</v>
      </c>
      <c r="F35" s="69">
        <f t="shared" si="0"/>
        <v>0.66746016921290952</v>
      </c>
    </row>
    <row r="36" spans="1:6" x14ac:dyDescent="0.2">
      <c r="A36" s="38" t="s">
        <v>257</v>
      </c>
      <c r="B36" s="38" t="s">
        <v>258</v>
      </c>
      <c r="C36" s="38" t="s">
        <v>14</v>
      </c>
      <c r="D36" s="38">
        <v>649104</v>
      </c>
      <c r="E36" s="63">
        <v>1221.9382800000001</v>
      </c>
      <c r="F36" s="69">
        <f t="shared" si="0"/>
        <v>0.66466724108449937</v>
      </c>
    </row>
    <row r="37" spans="1:6" x14ac:dyDescent="0.2">
      <c r="A37" s="38" t="s">
        <v>262</v>
      </c>
      <c r="B37" s="38" t="s">
        <v>263</v>
      </c>
      <c r="C37" s="38" t="s">
        <v>70</v>
      </c>
      <c r="D37" s="38">
        <v>1265151</v>
      </c>
      <c r="E37" s="63">
        <v>1062.0942645</v>
      </c>
      <c r="F37" s="69">
        <f t="shared" si="0"/>
        <v>0.57772088501629193</v>
      </c>
    </row>
    <row r="38" spans="1:6" x14ac:dyDescent="0.2">
      <c r="A38" s="38" t="s">
        <v>333</v>
      </c>
      <c r="B38" s="38" t="s">
        <v>334</v>
      </c>
      <c r="C38" s="38" t="s">
        <v>39</v>
      </c>
      <c r="D38" s="38">
        <v>36783</v>
      </c>
      <c r="E38" s="63">
        <v>925.64419499999997</v>
      </c>
      <c r="F38" s="69">
        <f t="shared" si="0"/>
        <v>0.50349954935246999</v>
      </c>
    </row>
    <row r="39" spans="1:6" x14ac:dyDescent="0.2">
      <c r="A39" s="38" t="s">
        <v>211</v>
      </c>
      <c r="B39" s="38" t="s">
        <v>212</v>
      </c>
      <c r="C39" s="38" t="s">
        <v>33</v>
      </c>
      <c r="D39" s="38">
        <v>195421</v>
      </c>
      <c r="E39" s="63">
        <v>889.94723399999998</v>
      </c>
      <c r="F39" s="69">
        <f t="shared" si="0"/>
        <v>0.48408236521861092</v>
      </c>
    </row>
    <row r="40" spans="1:6" x14ac:dyDescent="0.2">
      <c r="A40" s="38" t="s">
        <v>204</v>
      </c>
      <c r="B40" s="38" t="s">
        <v>205</v>
      </c>
      <c r="C40" s="38" t="s">
        <v>188</v>
      </c>
      <c r="D40" s="38">
        <v>374001</v>
      </c>
      <c r="E40" s="63">
        <v>851.97427800000003</v>
      </c>
      <c r="F40" s="69">
        <f t="shared" si="0"/>
        <v>0.46342716494094788</v>
      </c>
    </row>
    <row r="41" spans="1:6" x14ac:dyDescent="0.2">
      <c r="A41" s="38" t="s">
        <v>120</v>
      </c>
      <c r="B41" s="38" t="s">
        <v>121</v>
      </c>
      <c r="C41" s="38" t="s">
        <v>122</v>
      </c>
      <c r="D41" s="38">
        <v>198568</v>
      </c>
      <c r="E41" s="63">
        <v>686.05244000000005</v>
      </c>
      <c r="F41" s="69">
        <f t="shared" si="0"/>
        <v>0.37317480759673805</v>
      </c>
    </row>
    <row r="42" spans="1:6" x14ac:dyDescent="0.2">
      <c r="A42" s="38" t="s">
        <v>228</v>
      </c>
      <c r="B42" s="38" t="s">
        <v>229</v>
      </c>
      <c r="C42" s="38" t="s">
        <v>24</v>
      </c>
      <c r="D42" s="38">
        <v>377910</v>
      </c>
      <c r="E42" s="63">
        <v>676.26994500000001</v>
      </c>
      <c r="F42" s="69">
        <f t="shared" si="0"/>
        <v>0.36785366816687015</v>
      </c>
    </row>
    <row r="43" spans="1:6" x14ac:dyDescent="0.2">
      <c r="A43" s="38" t="s">
        <v>241</v>
      </c>
      <c r="B43" s="38" t="s">
        <v>242</v>
      </c>
      <c r="C43" s="38" t="s">
        <v>243</v>
      </c>
      <c r="D43" s="38">
        <v>414842</v>
      </c>
      <c r="E43" s="63">
        <v>653.37615000000005</v>
      </c>
      <c r="F43" s="69">
        <f t="shared" si="0"/>
        <v>0.35540070240774518</v>
      </c>
    </row>
    <row r="44" spans="1:6" x14ac:dyDescent="0.2">
      <c r="A44" s="37" t="s">
        <v>43</v>
      </c>
      <c r="B44" s="38"/>
      <c r="C44" s="38"/>
      <c r="D44" s="38"/>
      <c r="E44" s="64">
        <f>SUM(E7:E43)</f>
        <v>123878.19753550002</v>
      </c>
      <c r="F44" s="64">
        <f>SUM(F7:F43)</f>
        <v>67.382928527651501</v>
      </c>
    </row>
    <row r="45" spans="1:6" x14ac:dyDescent="0.2">
      <c r="A45" s="37"/>
      <c r="B45" s="38"/>
      <c r="C45" s="38"/>
      <c r="D45" s="38"/>
      <c r="E45" s="64"/>
      <c r="F45" s="64"/>
    </row>
    <row r="46" spans="1:6" x14ac:dyDescent="0.2">
      <c r="A46" s="37" t="s">
        <v>310</v>
      </c>
      <c r="B46" s="38"/>
      <c r="C46" s="38"/>
      <c r="D46" s="12"/>
      <c r="E46" s="63"/>
      <c r="F46" s="63"/>
    </row>
    <row r="47" spans="1:6" x14ac:dyDescent="0.2">
      <c r="A47" s="38" t="s">
        <v>589</v>
      </c>
      <c r="B47" s="38" t="s">
        <v>590</v>
      </c>
      <c r="C47" s="38" t="s">
        <v>78</v>
      </c>
      <c r="D47" s="38">
        <v>270000</v>
      </c>
      <c r="E47" s="63">
        <v>2.7E-2</v>
      </c>
      <c r="F47" s="69" t="str">
        <f>IF((E47/$E$91*100)&lt;0.01,"0.00*",E47/$E$91*100)</f>
        <v>0.00*</v>
      </c>
    </row>
    <row r="48" spans="1:6" x14ac:dyDescent="0.2">
      <c r="A48" s="38" t="s">
        <v>311</v>
      </c>
      <c r="B48" s="38" t="s">
        <v>312</v>
      </c>
      <c r="C48" s="38" t="s">
        <v>33</v>
      </c>
      <c r="D48" s="38">
        <v>27500</v>
      </c>
      <c r="E48" s="63">
        <v>2.7499999999999998E-3</v>
      </c>
      <c r="F48" s="69" t="str">
        <f>IF((E48/$E$91*100)&lt;0.01,"0.00*",E48/$E$91*100)</f>
        <v>0.00*</v>
      </c>
    </row>
    <row r="49" spans="1:6" x14ac:dyDescent="0.2">
      <c r="A49" s="37" t="s">
        <v>43</v>
      </c>
      <c r="B49" s="38"/>
      <c r="C49" s="38"/>
      <c r="D49" s="38"/>
      <c r="E49" s="64">
        <f>SUM(E47:E48)</f>
        <v>2.9749999999999999E-2</v>
      </c>
      <c r="F49" s="69" t="str">
        <f>IF((E49/$E$91*100)&lt;0.01,"0.00*",E49/$E$91*100)</f>
        <v>0.00*</v>
      </c>
    </row>
    <row r="50" spans="1:6" x14ac:dyDescent="0.2">
      <c r="A50" s="37"/>
      <c r="B50" s="38"/>
      <c r="C50" s="38"/>
      <c r="D50" s="38"/>
      <c r="E50" s="64"/>
      <c r="F50" s="66"/>
    </row>
    <row r="51" spans="1:6" x14ac:dyDescent="0.2">
      <c r="A51" s="37" t="s">
        <v>737</v>
      </c>
      <c r="B51" s="38"/>
      <c r="C51" s="68"/>
      <c r="D51" s="82"/>
      <c r="E51" s="66"/>
      <c r="F51" s="66"/>
    </row>
    <row r="52" spans="1:6" x14ac:dyDescent="0.2">
      <c r="A52" s="38" t="s">
        <v>652</v>
      </c>
      <c r="B52" s="38" t="s">
        <v>653</v>
      </c>
      <c r="C52" s="68"/>
      <c r="D52" s="38">
        <v>1039200</v>
      </c>
      <c r="E52" s="69">
        <v>3889.3099200000001</v>
      </c>
      <c r="F52" s="69">
        <f>IF((E52/$E$91*100)&lt;0.01,"*",E52/$E$91*100)</f>
        <v>2.1155707588185018</v>
      </c>
    </row>
    <row r="53" spans="1:6" x14ac:dyDescent="0.2">
      <c r="A53" s="37" t="s">
        <v>43</v>
      </c>
      <c r="B53" s="38"/>
      <c r="C53" s="68"/>
      <c r="D53" s="81"/>
      <c r="E53" s="66">
        <f>E52</f>
        <v>3889.3099200000001</v>
      </c>
      <c r="F53" s="66">
        <f>F52</f>
        <v>2.1155707588185018</v>
      </c>
    </row>
    <row r="54" spans="1:6" x14ac:dyDescent="0.2">
      <c r="A54" s="38"/>
      <c r="B54" s="38"/>
      <c r="C54" s="38"/>
      <c r="D54" s="38"/>
      <c r="E54" s="63"/>
      <c r="F54" s="63"/>
    </row>
    <row r="55" spans="1:6" x14ac:dyDescent="0.2">
      <c r="A55" s="37" t="s">
        <v>702</v>
      </c>
      <c r="B55" s="38"/>
      <c r="C55" s="38"/>
      <c r="D55" s="38"/>
      <c r="E55" s="63"/>
      <c r="F55" s="63"/>
    </row>
    <row r="56" spans="1:6" x14ac:dyDescent="0.2">
      <c r="A56" s="37" t="s">
        <v>8</v>
      </c>
      <c r="B56" s="38"/>
      <c r="C56" s="38"/>
      <c r="D56" s="38"/>
      <c r="E56" s="63"/>
      <c r="F56" s="63"/>
    </row>
    <row r="57" spans="1:6" x14ac:dyDescent="0.2">
      <c r="A57" s="37"/>
      <c r="B57" s="38"/>
      <c r="C57" s="38"/>
      <c r="D57" s="38"/>
      <c r="E57" s="63"/>
      <c r="F57" s="63"/>
    </row>
    <row r="58" spans="1:6" x14ac:dyDescent="0.2">
      <c r="A58" s="38" t="s">
        <v>736</v>
      </c>
      <c r="B58" s="38" t="s">
        <v>1431</v>
      </c>
      <c r="C58" s="38" t="s">
        <v>735</v>
      </c>
      <c r="D58" s="38">
        <v>900</v>
      </c>
      <c r="E58" s="63">
        <v>9077.7150000000001</v>
      </c>
      <c r="F58" s="69">
        <f t="shared" ref="F58:F75" si="1">IF((E58/$E$91*100)&lt;0.01,"*",E58/$E$91*100)</f>
        <v>4.9377778592887482</v>
      </c>
    </row>
    <row r="59" spans="1:6" x14ac:dyDescent="0.2">
      <c r="A59" s="38" t="s">
        <v>734</v>
      </c>
      <c r="B59" s="38" t="s">
        <v>1432</v>
      </c>
      <c r="C59" s="38" t="s">
        <v>733</v>
      </c>
      <c r="D59" s="38">
        <v>900</v>
      </c>
      <c r="E59" s="63">
        <v>9015.75</v>
      </c>
      <c r="F59" s="69">
        <f t="shared" si="1"/>
        <v>4.9040723061786515</v>
      </c>
    </row>
    <row r="60" spans="1:6" x14ac:dyDescent="0.2">
      <c r="A60" s="38" t="s">
        <v>701</v>
      </c>
      <c r="B60" s="38" t="s">
        <v>1423</v>
      </c>
      <c r="C60" s="38" t="s">
        <v>700</v>
      </c>
      <c r="D60" s="38">
        <v>700</v>
      </c>
      <c r="E60" s="63">
        <v>7055.8320000000003</v>
      </c>
      <c r="F60" s="69">
        <f t="shared" si="1"/>
        <v>3.8379846721846911</v>
      </c>
    </row>
    <row r="61" spans="1:6" x14ac:dyDescent="0.2">
      <c r="A61" s="38" t="s">
        <v>732</v>
      </c>
      <c r="B61" s="38" t="s">
        <v>1433</v>
      </c>
      <c r="C61" s="38" t="s">
        <v>715</v>
      </c>
      <c r="D61" s="38">
        <v>450</v>
      </c>
      <c r="E61" s="63">
        <v>4492.3590000000004</v>
      </c>
      <c r="F61" s="69">
        <f t="shared" si="1"/>
        <v>2.4435963021725784</v>
      </c>
    </row>
    <row r="62" spans="1:6" x14ac:dyDescent="0.2">
      <c r="A62" s="38" t="s">
        <v>731</v>
      </c>
      <c r="B62" s="38" t="s">
        <v>1434</v>
      </c>
      <c r="C62" s="38" t="s">
        <v>713</v>
      </c>
      <c r="D62" s="38">
        <v>350</v>
      </c>
      <c r="E62" s="63">
        <v>3535.1680000000001</v>
      </c>
      <c r="F62" s="69">
        <f t="shared" si="1"/>
        <v>1.9229370253710421</v>
      </c>
    </row>
    <row r="63" spans="1:6" x14ac:dyDescent="0.2">
      <c r="A63" s="38" t="s">
        <v>692</v>
      </c>
      <c r="B63" s="38" t="s">
        <v>1428</v>
      </c>
      <c r="C63" s="38" t="s">
        <v>691</v>
      </c>
      <c r="D63" s="38">
        <v>300</v>
      </c>
      <c r="E63" s="63">
        <v>2992.7759999999998</v>
      </c>
      <c r="F63" s="69">
        <f t="shared" si="1"/>
        <v>1.6279055985576483</v>
      </c>
    </row>
    <row r="64" spans="1:6" x14ac:dyDescent="0.2">
      <c r="A64" s="38" t="s">
        <v>730</v>
      </c>
      <c r="B64" s="38" t="s">
        <v>1918</v>
      </c>
      <c r="C64" s="38" t="s">
        <v>693</v>
      </c>
      <c r="D64" s="38">
        <v>250</v>
      </c>
      <c r="E64" s="63">
        <v>2596.4074999999998</v>
      </c>
      <c r="F64" s="69">
        <f t="shared" si="1"/>
        <v>1.4123029272444938</v>
      </c>
    </row>
    <row r="65" spans="1:6" x14ac:dyDescent="0.2">
      <c r="A65" s="38" t="s">
        <v>729</v>
      </c>
      <c r="B65" s="38" t="s">
        <v>1946</v>
      </c>
      <c r="C65" s="38" t="s">
        <v>728</v>
      </c>
      <c r="D65" s="38">
        <v>250</v>
      </c>
      <c r="E65" s="63">
        <v>2407.9</v>
      </c>
      <c r="F65" s="69">
        <f t="shared" si="1"/>
        <v>1.3097652115517371</v>
      </c>
    </row>
    <row r="66" spans="1:6" x14ac:dyDescent="0.2">
      <c r="A66" s="38" t="s">
        <v>727</v>
      </c>
      <c r="B66" s="38" t="s">
        <v>1435</v>
      </c>
      <c r="C66" s="38" t="s">
        <v>693</v>
      </c>
      <c r="D66" s="38">
        <v>210</v>
      </c>
      <c r="E66" s="63">
        <v>2083.4499000000001</v>
      </c>
      <c r="F66" s="69">
        <f t="shared" si="1"/>
        <v>1.1332821957020414</v>
      </c>
    </row>
    <row r="67" spans="1:6" x14ac:dyDescent="0.2">
      <c r="A67" s="38" t="s">
        <v>726</v>
      </c>
      <c r="B67" s="38" t="s">
        <v>1436</v>
      </c>
      <c r="C67" s="38" t="s">
        <v>718</v>
      </c>
      <c r="D67" s="38">
        <v>141</v>
      </c>
      <c r="E67" s="63">
        <v>1408.43631</v>
      </c>
      <c r="F67" s="69">
        <f t="shared" si="1"/>
        <v>0.76611191557967451</v>
      </c>
    </row>
    <row r="68" spans="1:6" x14ac:dyDescent="0.2">
      <c r="A68" s="38" t="s">
        <v>725</v>
      </c>
      <c r="B68" s="38" t="s">
        <v>1437</v>
      </c>
      <c r="C68" s="38" t="s">
        <v>693</v>
      </c>
      <c r="D68" s="38">
        <v>60</v>
      </c>
      <c r="E68" s="63">
        <v>614.29079999999999</v>
      </c>
      <c r="F68" s="69">
        <f t="shared" si="1"/>
        <v>0.33414042095447727</v>
      </c>
    </row>
    <row r="69" spans="1:6" x14ac:dyDescent="0.2">
      <c r="A69" s="38" t="s">
        <v>694</v>
      </c>
      <c r="B69" s="38" t="s">
        <v>1917</v>
      </c>
      <c r="C69" s="38" t="s">
        <v>693</v>
      </c>
      <c r="D69" s="38">
        <v>60</v>
      </c>
      <c r="E69" s="63">
        <v>611.9556</v>
      </c>
      <c r="F69" s="69">
        <f t="shared" si="1"/>
        <v>0.33287020054581595</v>
      </c>
    </row>
    <row r="70" spans="1:6" x14ac:dyDescent="0.2">
      <c r="A70" s="38" t="s">
        <v>724</v>
      </c>
      <c r="B70" s="38" t="s">
        <v>1438</v>
      </c>
      <c r="C70" s="38" t="s">
        <v>693</v>
      </c>
      <c r="D70" s="38">
        <v>50</v>
      </c>
      <c r="E70" s="63">
        <v>499.04700000000003</v>
      </c>
      <c r="F70" s="69">
        <f t="shared" si="1"/>
        <v>0.27145412995940854</v>
      </c>
    </row>
    <row r="71" spans="1:6" x14ac:dyDescent="0.2">
      <c r="A71" s="38" t="s">
        <v>723</v>
      </c>
      <c r="B71" s="38" t="s">
        <v>1439</v>
      </c>
      <c r="C71" s="38" t="s">
        <v>693</v>
      </c>
      <c r="D71" s="38">
        <v>50</v>
      </c>
      <c r="E71" s="63">
        <v>494.98649999999998</v>
      </c>
      <c r="F71" s="69">
        <f t="shared" si="1"/>
        <v>0.26924544120925031</v>
      </c>
    </row>
    <row r="72" spans="1:6" x14ac:dyDescent="0.2">
      <c r="A72" s="38" t="s">
        <v>722</v>
      </c>
      <c r="B72" s="38" t="s">
        <v>1919</v>
      </c>
      <c r="C72" s="38" t="s">
        <v>721</v>
      </c>
      <c r="D72" s="38">
        <v>30</v>
      </c>
      <c r="E72" s="63">
        <v>306.96719999999999</v>
      </c>
      <c r="F72" s="69">
        <f t="shared" si="1"/>
        <v>0.16697327947483051</v>
      </c>
    </row>
    <row r="73" spans="1:6" x14ac:dyDescent="0.2">
      <c r="A73" s="38" t="s">
        <v>720</v>
      </c>
      <c r="B73" s="38" t="s">
        <v>1920</v>
      </c>
      <c r="C73" s="38" t="s">
        <v>693</v>
      </c>
      <c r="D73" s="38">
        <v>30</v>
      </c>
      <c r="E73" s="63">
        <v>306.25799999999998</v>
      </c>
      <c r="F73" s="69">
        <f t="shared" si="1"/>
        <v>0.16658751366726687</v>
      </c>
    </row>
    <row r="74" spans="1:6" x14ac:dyDescent="0.2">
      <c r="A74" s="38" t="s">
        <v>696</v>
      </c>
      <c r="B74" s="38" t="s">
        <v>1427</v>
      </c>
      <c r="C74" s="38" t="s">
        <v>695</v>
      </c>
      <c r="D74" s="38">
        <v>20</v>
      </c>
      <c r="E74" s="63">
        <v>193.99440000000001</v>
      </c>
      <c r="F74" s="69">
        <f t="shared" si="1"/>
        <v>0.10552228761819525</v>
      </c>
    </row>
    <row r="75" spans="1:6" x14ac:dyDescent="0.2">
      <c r="A75" s="38" t="s">
        <v>719</v>
      </c>
      <c r="B75" s="38" t="s">
        <v>1440</v>
      </c>
      <c r="C75" s="38" t="s">
        <v>718</v>
      </c>
      <c r="D75" s="38">
        <v>8</v>
      </c>
      <c r="E75" s="63">
        <v>80.937039999999996</v>
      </c>
      <c r="F75" s="69">
        <f t="shared" si="1"/>
        <v>4.4025299770742723E-2</v>
      </c>
    </row>
    <row r="76" spans="1:6" x14ac:dyDescent="0.2">
      <c r="A76" s="37" t="s">
        <v>43</v>
      </c>
      <c r="B76" s="38"/>
      <c r="C76" s="38"/>
      <c r="D76" s="38"/>
      <c r="E76" s="64">
        <f>SUM(E58:E75)</f>
        <v>47774.230250000001</v>
      </c>
      <c r="F76" s="64">
        <f>SUM(F58:F75)</f>
        <v>25.986554587031293</v>
      </c>
    </row>
    <row r="77" spans="1:6" x14ac:dyDescent="0.2">
      <c r="A77" s="38"/>
      <c r="B77" s="38"/>
      <c r="C77" s="38"/>
      <c r="D77" s="38"/>
      <c r="E77" s="63"/>
      <c r="F77" s="63"/>
    </row>
    <row r="78" spans="1:6" x14ac:dyDescent="0.2">
      <c r="A78" s="37" t="s">
        <v>717</v>
      </c>
      <c r="B78" s="38"/>
      <c r="C78" s="38"/>
      <c r="D78" s="38"/>
      <c r="E78" s="63"/>
      <c r="F78" s="63"/>
    </row>
    <row r="79" spans="1:6" x14ac:dyDescent="0.2">
      <c r="A79" s="38" t="s">
        <v>716</v>
      </c>
      <c r="B79" s="38" t="s">
        <v>1429</v>
      </c>
      <c r="C79" s="38" t="s">
        <v>715</v>
      </c>
      <c r="D79" s="38">
        <v>250</v>
      </c>
      <c r="E79" s="63">
        <v>2505.1975000000002</v>
      </c>
      <c r="F79" s="69">
        <f>IF((E79/$E$91*100)&lt;0.01,"*",E79/$E$91*100)</f>
        <v>1.3626897020500783</v>
      </c>
    </row>
    <row r="80" spans="1:6" x14ac:dyDescent="0.2">
      <c r="A80" s="38" t="s">
        <v>714</v>
      </c>
      <c r="B80" s="38" t="s">
        <v>1430</v>
      </c>
      <c r="C80" s="38" t="s">
        <v>713</v>
      </c>
      <c r="D80" s="38">
        <v>14</v>
      </c>
      <c r="E80" s="63">
        <v>1721.8404</v>
      </c>
      <c r="F80" s="69">
        <f>IF((E80/$E$91*100)&lt;0.01,"*",E80/$E$91*100)</f>
        <v>0.93658650930866227</v>
      </c>
    </row>
    <row r="81" spans="1:6" x14ac:dyDescent="0.2">
      <c r="A81" s="37" t="s">
        <v>43</v>
      </c>
      <c r="B81" s="38"/>
      <c r="C81" s="38"/>
      <c r="D81" s="38"/>
      <c r="E81" s="64">
        <f>SUM(E79:E80)</f>
        <v>4227.0379000000003</v>
      </c>
      <c r="F81" s="64">
        <f>SUM(F79:F80)</f>
        <v>2.2992762113587406</v>
      </c>
    </row>
    <row r="82" spans="1:6" x14ac:dyDescent="0.2">
      <c r="A82" s="38"/>
      <c r="B82" s="38"/>
      <c r="C82" s="38"/>
      <c r="D82" s="38"/>
      <c r="E82" s="63"/>
      <c r="F82" s="63"/>
    </row>
    <row r="83" spans="1:6" x14ac:dyDescent="0.2">
      <c r="A83" s="37" t="s">
        <v>690</v>
      </c>
      <c r="B83" s="38"/>
      <c r="C83" s="38"/>
      <c r="D83" s="38"/>
      <c r="E83" s="63"/>
      <c r="F83" s="63"/>
    </row>
    <row r="84" spans="1:6" x14ac:dyDescent="0.2">
      <c r="A84" s="38" t="s">
        <v>689</v>
      </c>
      <c r="B84" s="38" t="s">
        <v>1937</v>
      </c>
      <c r="C84" s="38" t="s">
        <v>688</v>
      </c>
      <c r="D84" s="38">
        <v>340</v>
      </c>
      <c r="E84" s="63">
        <v>1604.4073000000001</v>
      </c>
      <c r="F84" s="69">
        <f>IF((E84/$E$91*100)&lt;0.01,"*",E84/$E$91*100)</f>
        <v>0.87270935948322248</v>
      </c>
    </row>
    <row r="85" spans="1:6" x14ac:dyDescent="0.2">
      <c r="A85" s="37" t="s">
        <v>43</v>
      </c>
      <c r="B85" s="38"/>
      <c r="C85" s="38"/>
      <c r="D85" s="38"/>
      <c r="E85" s="64">
        <f>SUM(E84:E84)</f>
        <v>1604.4073000000001</v>
      </c>
      <c r="F85" s="64">
        <f>SUM(F84:F84)</f>
        <v>0.87270935948322248</v>
      </c>
    </row>
    <row r="86" spans="1:6" x14ac:dyDescent="0.2">
      <c r="A86" s="38"/>
      <c r="B86" s="38"/>
      <c r="C86" s="38"/>
      <c r="D86" s="38"/>
      <c r="E86" s="63"/>
      <c r="F86" s="63"/>
    </row>
    <row r="87" spans="1:6" x14ac:dyDescent="0.2">
      <c r="A87" s="37" t="s">
        <v>43</v>
      </c>
      <c r="B87" s="38"/>
      <c r="C87" s="38"/>
      <c r="D87" s="38"/>
      <c r="E87" s="64">
        <f>E44+E49+E53+E76+E81+E85</f>
        <v>181373.21265550001</v>
      </c>
      <c r="F87" s="64">
        <f>F44+F53+F76+F81+F85</f>
        <v>98.657039444343269</v>
      </c>
    </row>
    <row r="88" spans="1:6" x14ac:dyDescent="0.2">
      <c r="A88" s="38"/>
      <c r="B88" s="38"/>
      <c r="C88" s="38"/>
      <c r="D88" s="38"/>
      <c r="E88" s="63"/>
      <c r="F88" s="63"/>
    </row>
    <row r="89" spans="1:6" x14ac:dyDescent="0.2">
      <c r="A89" s="37" t="s">
        <v>101</v>
      </c>
      <c r="B89" s="38"/>
      <c r="C89" s="38"/>
      <c r="D89" s="38"/>
      <c r="E89" s="64">
        <v>2468.8972709999998</v>
      </c>
      <c r="F89" s="66">
        <f>IF((E89/$E$91*100)&lt;0.01,"*",E89/$E$91*100)</f>
        <v>1.3429443732924213</v>
      </c>
    </row>
    <row r="90" spans="1:6" x14ac:dyDescent="0.2">
      <c r="A90" s="38"/>
      <c r="B90" s="38"/>
      <c r="C90" s="38"/>
      <c r="D90" s="38"/>
      <c r="E90" s="63"/>
      <c r="F90" s="63"/>
    </row>
    <row r="91" spans="1:6" x14ac:dyDescent="0.2">
      <c r="A91" s="80" t="s">
        <v>102</v>
      </c>
      <c r="B91" s="79"/>
      <c r="C91" s="79"/>
      <c r="D91" s="79"/>
      <c r="E91" s="61">
        <f>E87+E89</f>
        <v>183842.10992650001</v>
      </c>
      <c r="F91" s="61">
        <f xml:space="preserve"> ROUND(SUM(F87:F90),2)</f>
        <v>100</v>
      </c>
    </row>
    <row r="92" spans="1:6" x14ac:dyDescent="0.2">
      <c r="A92" s="4" t="s">
        <v>686</v>
      </c>
      <c r="F92" s="78" t="s">
        <v>712</v>
      </c>
    </row>
    <row r="94" spans="1:6" x14ac:dyDescent="0.2">
      <c r="A94" s="4" t="s">
        <v>103</v>
      </c>
    </row>
    <row r="95" spans="1:6" x14ac:dyDescent="0.2">
      <c r="A95" s="4" t="s">
        <v>685</v>
      </c>
    </row>
    <row r="96" spans="1:6" x14ac:dyDescent="0.2">
      <c r="A96" s="4" t="s">
        <v>608</v>
      </c>
    </row>
    <row r="97" spans="1:4" x14ac:dyDescent="0.2">
      <c r="A97" s="2" t="s">
        <v>600</v>
      </c>
      <c r="D97" s="10">
        <v>114.78660000000001</v>
      </c>
    </row>
    <row r="98" spans="1:4" x14ac:dyDescent="0.2">
      <c r="A98" s="2" t="s">
        <v>601</v>
      </c>
      <c r="D98" s="10">
        <v>21.288799999999998</v>
      </c>
    </row>
    <row r="99" spans="1:4" x14ac:dyDescent="0.2">
      <c r="A99" s="2" t="s">
        <v>602</v>
      </c>
      <c r="D99" s="10">
        <v>122.65900000000001</v>
      </c>
    </row>
    <row r="100" spans="1:4" x14ac:dyDescent="0.2">
      <c r="A100" s="2" t="s">
        <v>603</v>
      </c>
      <c r="D100" s="10">
        <v>23.087199999999999</v>
      </c>
    </row>
    <row r="102" spans="1:4" x14ac:dyDescent="0.2">
      <c r="A102" s="4" t="s">
        <v>105</v>
      </c>
    </row>
    <row r="103" spans="1:4" x14ac:dyDescent="0.2">
      <c r="A103" s="2" t="s">
        <v>600</v>
      </c>
      <c r="D103" s="10">
        <v>116.614</v>
      </c>
    </row>
    <row r="104" spans="1:4" x14ac:dyDescent="0.2">
      <c r="A104" s="2" t="s">
        <v>601</v>
      </c>
      <c r="D104" s="10">
        <v>19.930800000000001</v>
      </c>
    </row>
    <row r="105" spans="1:4" x14ac:dyDescent="0.2">
      <c r="A105" s="2" t="s">
        <v>602</v>
      </c>
      <c r="D105" s="10">
        <v>125.2974</v>
      </c>
    </row>
    <row r="106" spans="1:4" x14ac:dyDescent="0.2">
      <c r="A106" s="2" t="s">
        <v>603</v>
      </c>
      <c r="D106" s="10">
        <v>21.8828</v>
      </c>
    </row>
    <row r="108" spans="1:4" x14ac:dyDescent="0.2">
      <c r="A108" s="4" t="s">
        <v>106</v>
      </c>
      <c r="D108" s="20" t="s">
        <v>311</v>
      </c>
    </row>
    <row r="109" spans="1:4" x14ac:dyDescent="0.2">
      <c r="A109" s="77" t="s">
        <v>604</v>
      </c>
      <c r="B109" s="76"/>
      <c r="C109" s="114" t="s">
        <v>605</v>
      </c>
      <c r="D109" s="114"/>
    </row>
    <row r="110" spans="1:4" x14ac:dyDescent="0.2">
      <c r="A110" s="115"/>
      <c r="B110" s="115"/>
      <c r="C110" s="23" t="s">
        <v>606</v>
      </c>
      <c r="D110" s="23" t="s">
        <v>607</v>
      </c>
    </row>
    <row r="111" spans="1:4" x14ac:dyDescent="0.2">
      <c r="A111" s="24" t="s">
        <v>601</v>
      </c>
      <c r="B111" s="25"/>
      <c r="C111" s="59">
        <v>1.5494648225000001</v>
      </c>
      <c r="D111" s="59">
        <v>1.5494648225000001</v>
      </c>
    </row>
    <row r="112" spans="1:4" x14ac:dyDescent="0.2">
      <c r="A112" s="24" t="s">
        <v>603</v>
      </c>
      <c r="B112" s="25"/>
      <c r="C112" s="59">
        <v>1.5494648225000001</v>
      </c>
      <c r="D112" s="59">
        <v>1.5494648225000001</v>
      </c>
    </row>
    <row r="113" spans="1:5" x14ac:dyDescent="0.2">
      <c r="A113" s="75"/>
      <c r="B113" s="75"/>
      <c r="C113" s="74"/>
      <c r="D113" s="74"/>
    </row>
    <row r="114" spans="1:5" x14ac:dyDescent="0.2">
      <c r="A114" s="4" t="s">
        <v>680</v>
      </c>
      <c r="D114" s="15">
        <v>2.3040550078314874</v>
      </c>
      <c r="E114" s="72" t="s">
        <v>679</v>
      </c>
    </row>
    <row r="116" spans="1:5" x14ac:dyDescent="0.2">
      <c r="A116" s="9" t="s">
        <v>678</v>
      </c>
      <c r="B116" s="73"/>
      <c r="D116" s="73">
        <v>0.36750594919877555</v>
      </c>
    </row>
  </sheetData>
  <mergeCells count="3">
    <mergeCell ref="A1:F1"/>
    <mergeCell ref="C109:D109"/>
    <mergeCell ref="A110:B1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27C4-92B2-4397-BF86-899C6D707EE0}">
  <dimension ref="A1:F9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8" style="2" bestFit="1" customWidth="1"/>
    <col min="3" max="3" width="25.140625" style="2" bestFit="1" customWidth="1"/>
    <col min="4" max="4" width="7.42578125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748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710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8" t="s">
        <v>9</v>
      </c>
      <c r="B7" s="38" t="s">
        <v>10</v>
      </c>
      <c r="C7" s="38" t="s">
        <v>11</v>
      </c>
      <c r="D7" s="38">
        <v>29743</v>
      </c>
      <c r="E7" s="63">
        <v>669.70825950000005</v>
      </c>
      <c r="F7" s="69">
        <f t="shared" ref="F7:F32" si="0">IF((E7/$E$67*100)&lt;0.01,"*",E7/$E$67*100)</f>
        <v>2.1629889007657588</v>
      </c>
    </row>
    <row r="8" spans="1:6" x14ac:dyDescent="0.2">
      <c r="A8" s="38" t="s">
        <v>118</v>
      </c>
      <c r="B8" s="38" t="s">
        <v>119</v>
      </c>
      <c r="C8" s="38" t="s">
        <v>11</v>
      </c>
      <c r="D8" s="38">
        <v>95488</v>
      </c>
      <c r="E8" s="63">
        <v>643.68460800000003</v>
      </c>
      <c r="F8" s="69">
        <f t="shared" si="0"/>
        <v>2.0789390648059616</v>
      </c>
    </row>
    <row r="9" spans="1:6" x14ac:dyDescent="0.2">
      <c r="A9" s="38" t="s">
        <v>180</v>
      </c>
      <c r="B9" s="38" t="s">
        <v>181</v>
      </c>
      <c r="C9" s="38" t="s">
        <v>78</v>
      </c>
      <c r="D9" s="38">
        <v>63338</v>
      </c>
      <c r="E9" s="63">
        <v>502.68203699999998</v>
      </c>
      <c r="F9" s="69">
        <f t="shared" si="0"/>
        <v>1.6235362954267436</v>
      </c>
    </row>
    <row r="10" spans="1:6" x14ac:dyDescent="0.2">
      <c r="A10" s="38" t="s">
        <v>20</v>
      </c>
      <c r="B10" s="38" t="s">
        <v>21</v>
      </c>
      <c r="C10" s="38" t="s">
        <v>11</v>
      </c>
      <c r="D10" s="38">
        <v>30909</v>
      </c>
      <c r="E10" s="63">
        <v>469.67770949999999</v>
      </c>
      <c r="F10" s="69">
        <f t="shared" si="0"/>
        <v>1.5169406352313088</v>
      </c>
    </row>
    <row r="11" spans="1:6" x14ac:dyDescent="0.2">
      <c r="A11" s="38" t="s">
        <v>213</v>
      </c>
      <c r="B11" s="38" t="s">
        <v>214</v>
      </c>
      <c r="C11" s="38" t="s">
        <v>131</v>
      </c>
      <c r="D11" s="38">
        <v>170586</v>
      </c>
      <c r="E11" s="63">
        <v>361.55702700000001</v>
      </c>
      <c r="F11" s="69">
        <f t="shared" si="0"/>
        <v>1.1677380789341538</v>
      </c>
    </row>
    <row r="12" spans="1:6" x14ac:dyDescent="0.2">
      <c r="A12" s="38" t="s">
        <v>157</v>
      </c>
      <c r="B12" s="38" t="s">
        <v>158</v>
      </c>
      <c r="C12" s="38" t="s">
        <v>117</v>
      </c>
      <c r="D12" s="38">
        <v>138926</v>
      </c>
      <c r="E12" s="63">
        <v>292.85600799999997</v>
      </c>
      <c r="F12" s="69">
        <f t="shared" si="0"/>
        <v>0.94585110134298434</v>
      </c>
    </row>
    <row r="13" spans="1:6" x14ac:dyDescent="0.2">
      <c r="A13" s="38" t="s">
        <v>215</v>
      </c>
      <c r="B13" s="38" t="s">
        <v>216</v>
      </c>
      <c r="C13" s="38" t="s">
        <v>36</v>
      </c>
      <c r="D13" s="38">
        <v>67697</v>
      </c>
      <c r="E13" s="63">
        <v>289.16773549999999</v>
      </c>
      <c r="F13" s="69">
        <f t="shared" si="0"/>
        <v>0.93393891067289225</v>
      </c>
    </row>
    <row r="14" spans="1:6" x14ac:dyDescent="0.2">
      <c r="A14" s="38" t="s">
        <v>196</v>
      </c>
      <c r="B14" s="38" t="s">
        <v>197</v>
      </c>
      <c r="C14" s="38" t="s">
        <v>57</v>
      </c>
      <c r="D14" s="38">
        <v>34754</v>
      </c>
      <c r="E14" s="63">
        <v>273.983159</v>
      </c>
      <c r="F14" s="69">
        <f t="shared" si="0"/>
        <v>0.88489655533916867</v>
      </c>
    </row>
    <row r="15" spans="1:6" x14ac:dyDescent="0.2">
      <c r="A15" s="38" t="s">
        <v>186</v>
      </c>
      <c r="B15" s="38" t="s">
        <v>187</v>
      </c>
      <c r="C15" s="38" t="s">
        <v>188</v>
      </c>
      <c r="D15" s="38">
        <v>10300</v>
      </c>
      <c r="E15" s="63">
        <v>265.18380000000002</v>
      </c>
      <c r="F15" s="69">
        <f t="shared" si="0"/>
        <v>0.8564768433513501</v>
      </c>
    </row>
    <row r="16" spans="1:6" x14ac:dyDescent="0.2">
      <c r="A16" s="38" t="s">
        <v>182</v>
      </c>
      <c r="B16" s="38" t="s">
        <v>183</v>
      </c>
      <c r="C16" s="38" t="s">
        <v>39</v>
      </c>
      <c r="D16" s="38">
        <v>47341</v>
      </c>
      <c r="E16" s="63">
        <v>260.37549999999999</v>
      </c>
      <c r="F16" s="69">
        <f t="shared" si="0"/>
        <v>0.84094724612148042</v>
      </c>
    </row>
    <row r="17" spans="1:6" x14ac:dyDescent="0.2">
      <c r="A17" s="38" t="s">
        <v>113</v>
      </c>
      <c r="B17" s="38" t="s">
        <v>114</v>
      </c>
      <c r="C17" s="38" t="s">
        <v>42</v>
      </c>
      <c r="D17" s="38">
        <v>76153</v>
      </c>
      <c r="E17" s="63">
        <v>257.09252800000002</v>
      </c>
      <c r="F17" s="69">
        <f t="shared" si="0"/>
        <v>0.83034407392404286</v>
      </c>
    </row>
    <row r="18" spans="1:6" x14ac:dyDescent="0.2">
      <c r="A18" s="38" t="s">
        <v>109</v>
      </c>
      <c r="B18" s="38" t="s">
        <v>110</v>
      </c>
      <c r="C18" s="38" t="s">
        <v>11</v>
      </c>
      <c r="D18" s="38">
        <v>60374</v>
      </c>
      <c r="E18" s="63">
        <v>256.348004</v>
      </c>
      <c r="F18" s="69">
        <f t="shared" si="0"/>
        <v>0.8279394490362505</v>
      </c>
    </row>
    <row r="19" spans="1:6" x14ac:dyDescent="0.2">
      <c r="A19" s="38" t="s">
        <v>275</v>
      </c>
      <c r="B19" s="38" t="s">
        <v>276</v>
      </c>
      <c r="C19" s="38" t="s">
        <v>93</v>
      </c>
      <c r="D19" s="38">
        <v>40000</v>
      </c>
      <c r="E19" s="63">
        <v>233.2</v>
      </c>
      <c r="F19" s="69">
        <f t="shared" si="0"/>
        <v>0.75317722979131763</v>
      </c>
    </row>
    <row r="20" spans="1:6" x14ac:dyDescent="0.2">
      <c r="A20" s="38" t="s">
        <v>120</v>
      </c>
      <c r="B20" s="38" t="s">
        <v>121</v>
      </c>
      <c r="C20" s="38" t="s">
        <v>122</v>
      </c>
      <c r="D20" s="38">
        <v>60000</v>
      </c>
      <c r="E20" s="63">
        <v>207.3</v>
      </c>
      <c r="F20" s="69">
        <f t="shared" si="0"/>
        <v>0.66952675701432318</v>
      </c>
    </row>
    <row r="21" spans="1:6" x14ac:dyDescent="0.2">
      <c r="A21" s="38" t="s">
        <v>25</v>
      </c>
      <c r="B21" s="38" t="s">
        <v>26</v>
      </c>
      <c r="C21" s="38" t="s">
        <v>27</v>
      </c>
      <c r="D21" s="38">
        <v>96457</v>
      </c>
      <c r="E21" s="63">
        <v>183.79881349999999</v>
      </c>
      <c r="F21" s="69">
        <f t="shared" si="0"/>
        <v>0.59362384730214846</v>
      </c>
    </row>
    <row r="22" spans="1:6" x14ac:dyDescent="0.2">
      <c r="A22" s="38" t="s">
        <v>253</v>
      </c>
      <c r="B22" s="38" t="s">
        <v>254</v>
      </c>
      <c r="C22" s="38" t="s">
        <v>243</v>
      </c>
      <c r="D22" s="38">
        <v>26000</v>
      </c>
      <c r="E22" s="63">
        <v>182.61099999999999</v>
      </c>
      <c r="F22" s="69">
        <f t="shared" si="0"/>
        <v>0.58978750904555022</v>
      </c>
    </row>
    <row r="23" spans="1:6" x14ac:dyDescent="0.2">
      <c r="A23" s="38" t="s">
        <v>22</v>
      </c>
      <c r="B23" s="38" t="s">
        <v>23</v>
      </c>
      <c r="C23" s="38" t="s">
        <v>24</v>
      </c>
      <c r="D23" s="38">
        <v>20015</v>
      </c>
      <c r="E23" s="63">
        <v>141.90635</v>
      </c>
      <c r="F23" s="69">
        <f t="shared" si="0"/>
        <v>0.45832174778214901</v>
      </c>
    </row>
    <row r="24" spans="1:6" x14ac:dyDescent="0.2">
      <c r="A24" s="38" t="s">
        <v>200</v>
      </c>
      <c r="B24" s="38" t="s">
        <v>201</v>
      </c>
      <c r="C24" s="38" t="s">
        <v>36</v>
      </c>
      <c r="D24" s="38">
        <v>10000</v>
      </c>
      <c r="E24" s="63">
        <v>141.54499999999999</v>
      </c>
      <c r="F24" s="69">
        <f t="shared" si="0"/>
        <v>0.45715467834825063</v>
      </c>
    </row>
    <row r="25" spans="1:6" x14ac:dyDescent="0.2">
      <c r="A25" s="38" t="s">
        <v>217</v>
      </c>
      <c r="B25" s="38" t="s">
        <v>218</v>
      </c>
      <c r="C25" s="38" t="s">
        <v>36</v>
      </c>
      <c r="D25" s="38">
        <v>9526</v>
      </c>
      <c r="E25" s="63">
        <v>113.33558499999999</v>
      </c>
      <c r="F25" s="69">
        <f t="shared" si="0"/>
        <v>0.36604537713155405</v>
      </c>
    </row>
    <row r="26" spans="1:6" x14ac:dyDescent="0.2">
      <c r="A26" s="38" t="s">
        <v>204</v>
      </c>
      <c r="B26" s="38" t="s">
        <v>205</v>
      </c>
      <c r="C26" s="38" t="s">
        <v>188</v>
      </c>
      <c r="D26" s="38">
        <v>45000</v>
      </c>
      <c r="E26" s="63">
        <v>102.51</v>
      </c>
      <c r="F26" s="69">
        <f t="shared" si="0"/>
        <v>0.33108146580578035</v>
      </c>
    </row>
    <row r="27" spans="1:6" x14ac:dyDescent="0.2">
      <c r="A27" s="38" t="s">
        <v>111</v>
      </c>
      <c r="B27" s="38" t="s">
        <v>112</v>
      </c>
      <c r="C27" s="38" t="s">
        <v>11</v>
      </c>
      <c r="D27" s="38">
        <v>29755</v>
      </c>
      <c r="E27" s="63">
        <v>98.846109999999996</v>
      </c>
      <c r="F27" s="69">
        <f t="shared" si="0"/>
        <v>0.31924802446589989</v>
      </c>
    </row>
    <row r="28" spans="1:6" x14ac:dyDescent="0.2">
      <c r="A28" s="38" t="s">
        <v>283</v>
      </c>
      <c r="B28" s="38" t="s">
        <v>284</v>
      </c>
      <c r="C28" s="38" t="s">
        <v>39</v>
      </c>
      <c r="D28" s="38">
        <v>25761</v>
      </c>
      <c r="E28" s="63">
        <v>94.813360500000002</v>
      </c>
      <c r="F28" s="69">
        <f t="shared" si="0"/>
        <v>0.30622325989963783</v>
      </c>
    </row>
    <row r="29" spans="1:6" x14ac:dyDescent="0.2">
      <c r="A29" s="38" t="s">
        <v>262</v>
      </c>
      <c r="B29" s="38" t="s">
        <v>263</v>
      </c>
      <c r="C29" s="38" t="s">
        <v>70</v>
      </c>
      <c r="D29" s="38">
        <v>97694</v>
      </c>
      <c r="E29" s="63">
        <v>82.014112999999995</v>
      </c>
      <c r="F29" s="69">
        <f t="shared" si="0"/>
        <v>0.26488491609404841</v>
      </c>
    </row>
    <row r="30" spans="1:6" x14ac:dyDescent="0.2">
      <c r="A30" s="38" t="s">
        <v>257</v>
      </c>
      <c r="B30" s="38" t="s">
        <v>258</v>
      </c>
      <c r="C30" s="38" t="s">
        <v>14</v>
      </c>
      <c r="D30" s="38">
        <v>35367</v>
      </c>
      <c r="E30" s="63">
        <v>66.578377500000002</v>
      </c>
      <c r="F30" s="69">
        <f t="shared" si="0"/>
        <v>0.21503138048649481</v>
      </c>
    </row>
    <row r="31" spans="1:6" x14ac:dyDescent="0.2">
      <c r="A31" s="38" t="s">
        <v>37</v>
      </c>
      <c r="B31" s="38" t="s">
        <v>38</v>
      </c>
      <c r="C31" s="38" t="s">
        <v>39</v>
      </c>
      <c r="D31" s="38">
        <v>40000</v>
      </c>
      <c r="E31" s="63">
        <v>54.24</v>
      </c>
      <c r="F31" s="69">
        <f t="shared" si="0"/>
        <v>0.17518153063413838</v>
      </c>
    </row>
    <row r="32" spans="1:6" x14ac:dyDescent="0.2">
      <c r="A32" s="38" t="s">
        <v>299</v>
      </c>
      <c r="B32" s="38" t="s">
        <v>300</v>
      </c>
      <c r="C32" s="38" t="s">
        <v>11</v>
      </c>
      <c r="D32" s="38">
        <v>77000</v>
      </c>
      <c r="E32" s="63">
        <v>48.433</v>
      </c>
      <c r="F32" s="69">
        <f t="shared" si="0"/>
        <v>0.15642638409297979</v>
      </c>
    </row>
    <row r="33" spans="1:6" x14ac:dyDescent="0.2">
      <c r="A33" s="38" t="s">
        <v>320</v>
      </c>
      <c r="B33" s="38" t="s">
        <v>321</v>
      </c>
      <c r="C33" s="38" t="s">
        <v>322</v>
      </c>
      <c r="D33" s="38">
        <v>581</v>
      </c>
      <c r="E33" s="63">
        <v>1.1878545</v>
      </c>
      <c r="F33" s="69" t="str">
        <f>IF((E33/$E$67*100)&lt;0.01,"0.00*",E33/$E$67*100)</f>
        <v>0.00*</v>
      </c>
    </row>
    <row r="34" spans="1:6" x14ac:dyDescent="0.2">
      <c r="A34" s="37" t="s">
        <v>43</v>
      </c>
      <c r="B34" s="38"/>
      <c r="C34" s="38"/>
      <c r="D34" s="38"/>
      <c r="E34" s="64">
        <f>SUM(E7:E33)</f>
        <v>6294.6359395000009</v>
      </c>
      <c r="F34" s="64">
        <f>SUM(F7:F33)</f>
        <v>20.326251262846366</v>
      </c>
    </row>
    <row r="35" spans="1:6" x14ac:dyDescent="0.2">
      <c r="A35" s="38"/>
      <c r="B35" s="38"/>
      <c r="C35" s="38"/>
      <c r="D35" s="38"/>
      <c r="E35" s="63"/>
      <c r="F35" s="63"/>
    </row>
    <row r="36" spans="1:6" x14ac:dyDescent="0.2">
      <c r="A36" s="37" t="s">
        <v>702</v>
      </c>
      <c r="B36" s="38"/>
      <c r="C36" s="38"/>
      <c r="D36" s="38"/>
      <c r="E36" s="63"/>
      <c r="F36" s="63"/>
    </row>
    <row r="37" spans="1:6" x14ac:dyDescent="0.2">
      <c r="A37" s="37" t="s">
        <v>8</v>
      </c>
      <c r="B37" s="38"/>
      <c r="C37" s="38"/>
      <c r="D37" s="38"/>
      <c r="E37" s="63"/>
      <c r="F37" s="63"/>
    </row>
    <row r="38" spans="1:6" x14ac:dyDescent="0.2">
      <c r="A38" s="37"/>
      <c r="B38" s="38"/>
      <c r="C38" s="38"/>
      <c r="D38" s="38"/>
      <c r="E38" s="63"/>
      <c r="F38" s="63"/>
    </row>
    <row r="39" spans="1:6" x14ac:dyDescent="0.2">
      <c r="A39" s="38" t="s">
        <v>734</v>
      </c>
      <c r="B39" s="38" t="s">
        <v>1432</v>
      </c>
      <c r="C39" s="38" t="s">
        <v>733</v>
      </c>
      <c r="D39" s="38">
        <v>250</v>
      </c>
      <c r="E39" s="63">
        <v>2504.375</v>
      </c>
      <c r="F39" s="69">
        <f t="shared" ref="F39:F56" si="1">IF((E39/$E$67*100)&lt;0.01,"*",E39/$E$67*100)</f>
        <v>8.0885001065979036</v>
      </c>
    </row>
    <row r="40" spans="1:6" x14ac:dyDescent="0.2">
      <c r="A40" s="38" t="s">
        <v>731</v>
      </c>
      <c r="B40" s="38" t="s">
        <v>1434</v>
      </c>
      <c r="C40" s="38" t="s">
        <v>713</v>
      </c>
      <c r="D40" s="38">
        <v>200</v>
      </c>
      <c r="E40" s="63">
        <v>2020.096</v>
      </c>
      <c r="F40" s="69">
        <f t="shared" si="1"/>
        <v>6.5244009828152736</v>
      </c>
    </row>
    <row r="41" spans="1:6" x14ac:dyDescent="0.2">
      <c r="A41" s="38" t="s">
        <v>747</v>
      </c>
      <c r="B41" s="38" t="s">
        <v>1441</v>
      </c>
      <c r="C41" s="38" t="s">
        <v>691</v>
      </c>
      <c r="D41" s="38">
        <v>200</v>
      </c>
      <c r="E41" s="63">
        <v>1986.356</v>
      </c>
      <c r="F41" s="69">
        <f t="shared" si="1"/>
        <v>6.4154292858463231</v>
      </c>
    </row>
    <row r="42" spans="1:6" x14ac:dyDescent="0.2">
      <c r="A42" s="38" t="s">
        <v>746</v>
      </c>
      <c r="B42" s="38" t="s">
        <v>1442</v>
      </c>
      <c r="C42" s="38" t="s">
        <v>693</v>
      </c>
      <c r="D42" s="38">
        <v>190</v>
      </c>
      <c r="E42" s="63">
        <v>1963.7507000000001</v>
      </c>
      <c r="F42" s="69">
        <f t="shared" si="1"/>
        <v>6.3424198637511182</v>
      </c>
    </row>
    <row r="43" spans="1:6" x14ac:dyDescent="0.2">
      <c r="A43" s="38" t="s">
        <v>745</v>
      </c>
      <c r="B43" s="38" t="s">
        <v>1443</v>
      </c>
      <c r="C43" s="38" t="s">
        <v>728</v>
      </c>
      <c r="D43" s="38">
        <v>160</v>
      </c>
      <c r="E43" s="63">
        <v>1607.5968</v>
      </c>
      <c r="F43" s="69">
        <f t="shared" si="1"/>
        <v>5.1921325233507156</v>
      </c>
    </row>
    <row r="44" spans="1:6" x14ac:dyDescent="0.2">
      <c r="A44" s="38" t="s">
        <v>720</v>
      </c>
      <c r="B44" s="38" t="s">
        <v>1920</v>
      </c>
      <c r="C44" s="38" t="s">
        <v>693</v>
      </c>
      <c r="D44" s="38">
        <v>100</v>
      </c>
      <c r="E44" s="63">
        <v>1020.86</v>
      </c>
      <c r="F44" s="69">
        <f t="shared" si="1"/>
        <v>3.2971205266070522</v>
      </c>
    </row>
    <row r="45" spans="1:6" x14ac:dyDescent="0.2">
      <c r="A45" s="38" t="s">
        <v>701</v>
      </c>
      <c r="B45" s="38" t="s">
        <v>1423</v>
      </c>
      <c r="C45" s="38" t="s">
        <v>700</v>
      </c>
      <c r="D45" s="38">
        <v>100</v>
      </c>
      <c r="E45" s="63">
        <v>1007.976</v>
      </c>
      <c r="F45" s="69">
        <f t="shared" si="1"/>
        <v>3.255508453585477</v>
      </c>
    </row>
    <row r="46" spans="1:6" x14ac:dyDescent="0.2">
      <c r="A46" s="38" t="s">
        <v>744</v>
      </c>
      <c r="B46" s="38" t="s">
        <v>1444</v>
      </c>
      <c r="C46" s="38" t="s">
        <v>743</v>
      </c>
      <c r="D46" s="38">
        <v>100</v>
      </c>
      <c r="E46" s="63">
        <v>1005.987</v>
      </c>
      <c r="F46" s="69">
        <f t="shared" si="1"/>
        <v>3.2490844848459615</v>
      </c>
    </row>
    <row r="47" spans="1:6" x14ac:dyDescent="0.2">
      <c r="A47" s="38" t="s">
        <v>726</v>
      </c>
      <c r="B47" s="38" t="s">
        <v>1436</v>
      </c>
      <c r="C47" s="38" t="s">
        <v>718</v>
      </c>
      <c r="D47" s="38">
        <v>100</v>
      </c>
      <c r="E47" s="63">
        <v>998.89099999999996</v>
      </c>
      <c r="F47" s="69">
        <f t="shared" si="1"/>
        <v>3.2261661931538552</v>
      </c>
    </row>
    <row r="48" spans="1:6" x14ac:dyDescent="0.2">
      <c r="A48" s="38" t="s">
        <v>724</v>
      </c>
      <c r="B48" s="38" t="s">
        <v>1438</v>
      </c>
      <c r="C48" s="38" t="s">
        <v>693</v>
      </c>
      <c r="D48" s="38">
        <v>100</v>
      </c>
      <c r="E48" s="63">
        <v>998.09400000000005</v>
      </c>
      <c r="F48" s="69">
        <f t="shared" si="1"/>
        <v>3.2235920840108725</v>
      </c>
    </row>
    <row r="49" spans="1:6" x14ac:dyDescent="0.2">
      <c r="A49" s="38" t="s">
        <v>727</v>
      </c>
      <c r="B49" s="38" t="s">
        <v>1435</v>
      </c>
      <c r="C49" s="38" t="s">
        <v>693</v>
      </c>
      <c r="D49" s="38">
        <v>90</v>
      </c>
      <c r="E49" s="63">
        <v>892.90710000000001</v>
      </c>
      <c r="F49" s="69">
        <f t="shared" si="1"/>
        <v>2.8838649058276116</v>
      </c>
    </row>
    <row r="50" spans="1:6" x14ac:dyDescent="0.2">
      <c r="A50" s="38" t="s">
        <v>742</v>
      </c>
      <c r="B50" s="38" t="s">
        <v>1445</v>
      </c>
      <c r="C50" s="38" t="s">
        <v>741</v>
      </c>
      <c r="D50" s="38">
        <v>70</v>
      </c>
      <c r="E50" s="63">
        <v>725.27840000000003</v>
      </c>
      <c r="F50" s="69">
        <f t="shared" si="1"/>
        <v>2.342466449997767</v>
      </c>
    </row>
    <row r="51" spans="1:6" x14ac:dyDescent="0.2">
      <c r="A51" s="38" t="s">
        <v>725</v>
      </c>
      <c r="B51" s="38" t="s">
        <v>1437</v>
      </c>
      <c r="C51" s="38" t="s">
        <v>693</v>
      </c>
      <c r="D51" s="38">
        <v>65</v>
      </c>
      <c r="E51" s="63">
        <v>665.48170000000005</v>
      </c>
      <c r="F51" s="69">
        <f t="shared" si="1"/>
        <v>2.1493381787427821</v>
      </c>
    </row>
    <row r="52" spans="1:6" x14ac:dyDescent="0.2">
      <c r="A52" s="38" t="s">
        <v>694</v>
      </c>
      <c r="B52" s="38" t="s">
        <v>1917</v>
      </c>
      <c r="C52" s="38" t="s">
        <v>693</v>
      </c>
      <c r="D52" s="38">
        <v>60</v>
      </c>
      <c r="E52" s="63">
        <v>611.9556</v>
      </c>
      <c r="F52" s="69">
        <f t="shared" si="1"/>
        <v>1.9764623651941839</v>
      </c>
    </row>
    <row r="53" spans="1:6" x14ac:dyDescent="0.2">
      <c r="A53" s="38" t="s">
        <v>722</v>
      </c>
      <c r="B53" s="38" t="s">
        <v>1919</v>
      </c>
      <c r="C53" s="38" t="s">
        <v>721</v>
      </c>
      <c r="D53" s="38">
        <v>55</v>
      </c>
      <c r="E53" s="63">
        <v>562.77319999999997</v>
      </c>
      <c r="F53" s="69">
        <f t="shared" si="1"/>
        <v>1.8176156079622432</v>
      </c>
    </row>
    <row r="54" spans="1:6" x14ac:dyDescent="0.2">
      <c r="A54" s="38" t="s">
        <v>692</v>
      </c>
      <c r="B54" s="38" t="s">
        <v>1428</v>
      </c>
      <c r="C54" s="38" t="s">
        <v>691</v>
      </c>
      <c r="D54" s="38">
        <v>50</v>
      </c>
      <c r="E54" s="63">
        <v>498.79599999999999</v>
      </c>
      <c r="F54" s="69">
        <f t="shared" si="1"/>
        <v>1.6109853752615355</v>
      </c>
    </row>
    <row r="55" spans="1:6" x14ac:dyDescent="0.2">
      <c r="A55" s="38" t="s">
        <v>740</v>
      </c>
      <c r="B55" s="38" t="s">
        <v>1446</v>
      </c>
      <c r="C55" s="38" t="s">
        <v>739</v>
      </c>
      <c r="D55" s="38">
        <v>50</v>
      </c>
      <c r="E55" s="63">
        <v>494.01650000000001</v>
      </c>
      <c r="F55" s="69">
        <f t="shared" si="1"/>
        <v>1.5955487947735956</v>
      </c>
    </row>
    <row r="56" spans="1:6" x14ac:dyDescent="0.2">
      <c r="A56" s="38" t="s">
        <v>696</v>
      </c>
      <c r="B56" s="38" t="s">
        <v>1427</v>
      </c>
      <c r="C56" s="38" t="s">
        <v>695</v>
      </c>
      <c r="D56" s="38">
        <v>50</v>
      </c>
      <c r="E56" s="63">
        <v>484.98599999999999</v>
      </c>
      <c r="F56" s="69">
        <f t="shared" si="1"/>
        <v>1.5663825556070838</v>
      </c>
    </row>
    <row r="57" spans="1:6" x14ac:dyDescent="0.2">
      <c r="A57" s="37" t="s">
        <v>43</v>
      </c>
      <c r="B57" s="38"/>
      <c r="C57" s="38"/>
      <c r="D57" s="38"/>
      <c r="E57" s="64">
        <f>SUM(E39:E56)</f>
        <v>20050.177</v>
      </c>
      <c r="F57" s="64">
        <f>SUM(F39:F56)</f>
        <v>64.757018737931361</v>
      </c>
    </row>
    <row r="58" spans="1:6" x14ac:dyDescent="0.2">
      <c r="A58" s="38"/>
      <c r="B58" s="38"/>
      <c r="C58" s="38"/>
      <c r="D58" s="38"/>
      <c r="E58" s="63"/>
      <c r="F58" s="63"/>
    </row>
    <row r="59" spans="1:6" x14ac:dyDescent="0.2">
      <c r="A59" s="37" t="s">
        <v>690</v>
      </c>
      <c r="B59" s="38"/>
      <c r="C59" s="38"/>
      <c r="D59" s="38"/>
      <c r="E59" s="63"/>
      <c r="F59" s="63"/>
    </row>
    <row r="60" spans="1:6" x14ac:dyDescent="0.2">
      <c r="A60" s="38" t="s">
        <v>689</v>
      </c>
      <c r="B60" s="38" t="s">
        <v>1937</v>
      </c>
      <c r="C60" s="38" t="s">
        <v>688</v>
      </c>
      <c r="D60" s="38">
        <v>600</v>
      </c>
      <c r="E60" s="63">
        <v>2831.3069999999998</v>
      </c>
      <c r="F60" s="69">
        <f>IF((E60/$E$67*100)&lt;0.01,"*",E60/$E$67*100)</f>
        <v>9.1444080743943648</v>
      </c>
    </row>
    <row r="61" spans="1:6" x14ac:dyDescent="0.2">
      <c r="A61" s="37" t="s">
        <v>43</v>
      </c>
      <c r="B61" s="38"/>
      <c r="C61" s="38"/>
      <c r="D61" s="38"/>
      <c r="E61" s="64">
        <f>SUM(E60:E60)</f>
        <v>2831.3069999999998</v>
      </c>
      <c r="F61" s="64">
        <f>SUM(F60:F60)</f>
        <v>9.1444080743943648</v>
      </c>
    </row>
    <row r="62" spans="1:6" x14ac:dyDescent="0.2">
      <c r="A62" s="38"/>
      <c r="B62" s="38"/>
      <c r="C62" s="38"/>
      <c r="D62" s="38"/>
      <c r="E62" s="63"/>
      <c r="F62" s="63"/>
    </row>
    <row r="63" spans="1:6" x14ac:dyDescent="0.2">
      <c r="A63" s="37" t="s">
        <v>43</v>
      </c>
      <c r="B63" s="38"/>
      <c r="C63" s="38"/>
      <c r="D63" s="38"/>
      <c r="E63" s="64">
        <v>29176.1199395</v>
      </c>
      <c r="F63" s="64">
        <v>94.231514545848341</v>
      </c>
    </row>
    <row r="64" spans="1:6" x14ac:dyDescent="0.2">
      <c r="A64" s="38"/>
      <c r="B64" s="38"/>
      <c r="C64" s="38"/>
      <c r="D64" s="38"/>
      <c r="E64" s="63"/>
      <c r="F64" s="63"/>
    </row>
    <row r="65" spans="1:6" x14ac:dyDescent="0.2">
      <c r="A65" s="37" t="s">
        <v>101</v>
      </c>
      <c r="B65" s="38"/>
      <c r="C65" s="38"/>
      <c r="D65" s="38"/>
      <c r="E65" s="64">
        <v>1786.0481027999999</v>
      </c>
      <c r="F65" s="64">
        <v>5.77</v>
      </c>
    </row>
    <row r="66" spans="1:6" x14ac:dyDescent="0.2">
      <c r="A66" s="38"/>
      <c r="B66" s="38"/>
      <c r="C66" s="38"/>
      <c r="D66" s="38"/>
      <c r="E66" s="63"/>
      <c r="F66" s="63"/>
    </row>
    <row r="67" spans="1:6" x14ac:dyDescent="0.2">
      <c r="A67" s="80" t="s">
        <v>102</v>
      </c>
      <c r="B67" s="79"/>
      <c r="C67" s="79"/>
      <c r="D67" s="79"/>
      <c r="E67" s="61">
        <v>30962.168102799998</v>
      </c>
      <c r="F67" s="61">
        <f xml:space="preserve"> ROUND(SUM(F63:F66),2)</f>
        <v>100</v>
      </c>
    </row>
    <row r="68" spans="1:6" x14ac:dyDescent="0.2">
      <c r="A68" s="4" t="s">
        <v>686</v>
      </c>
      <c r="F68" s="78" t="s">
        <v>712</v>
      </c>
    </row>
    <row r="70" spans="1:6" x14ac:dyDescent="0.2">
      <c r="A70" s="4" t="s">
        <v>103</v>
      </c>
    </row>
    <row r="71" spans="1:6" x14ac:dyDescent="0.2">
      <c r="A71" s="4" t="s">
        <v>685</v>
      </c>
    </row>
    <row r="72" spans="1:6" x14ac:dyDescent="0.2">
      <c r="A72" s="4" t="s">
        <v>608</v>
      </c>
    </row>
    <row r="73" spans="1:6" x14ac:dyDescent="0.2">
      <c r="A73" s="2" t="s">
        <v>600</v>
      </c>
      <c r="D73" s="10">
        <v>54.192100000000003</v>
      </c>
    </row>
    <row r="74" spans="1:6" x14ac:dyDescent="0.2">
      <c r="A74" s="2" t="s">
        <v>682</v>
      </c>
      <c r="D74" s="10">
        <v>13.1586</v>
      </c>
    </row>
    <row r="75" spans="1:6" x14ac:dyDescent="0.2">
      <c r="A75" s="2" t="s">
        <v>684</v>
      </c>
      <c r="D75" s="10">
        <v>12.7128</v>
      </c>
    </row>
    <row r="76" spans="1:6" x14ac:dyDescent="0.2">
      <c r="A76" s="2" t="s">
        <v>602</v>
      </c>
      <c r="D76" s="10">
        <v>56.699199999999998</v>
      </c>
    </row>
    <row r="77" spans="1:6" x14ac:dyDescent="0.2">
      <c r="A77" s="2" t="s">
        <v>681</v>
      </c>
      <c r="D77" s="10">
        <v>13.911099999999999</v>
      </c>
    </row>
    <row r="78" spans="1:6" x14ac:dyDescent="0.2">
      <c r="A78" s="2" t="s">
        <v>683</v>
      </c>
      <c r="D78" s="10">
        <v>13.4383</v>
      </c>
    </row>
    <row r="80" spans="1:6" x14ac:dyDescent="0.2">
      <c r="A80" s="4" t="s">
        <v>105</v>
      </c>
    </row>
    <row r="81" spans="1:5" x14ac:dyDescent="0.2">
      <c r="A81" s="2" t="s">
        <v>600</v>
      </c>
      <c r="D81" s="10">
        <v>56.240200000000002</v>
      </c>
    </row>
    <row r="82" spans="1:5" x14ac:dyDescent="0.2">
      <c r="A82" s="2" t="s">
        <v>682</v>
      </c>
      <c r="D82" s="10">
        <v>13.138999999999999</v>
      </c>
    </row>
    <row r="83" spans="1:5" x14ac:dyDescent="0.2">
      <c r="A83" s="2" t="s">
        <v>684</v>
      </c>
      <c r="D83" s="10">
        <v>12.667400000000001</v>
      </c>
    </row>
    <row r="84" spans="1:5" x14ac:dyDescent="0.2">
      <c r="A84" s="2" t="s">
        <v>602</v>
      </c>
      <c r="D84" s="10">
        <v>59.035200000000003</v>
      </c>
    </row>
    <row r="85" spans="1:5" x14ac:dyDescent="0.2">
      <c r="A85" s="2" t="s">
        <v>681</v>
      </c>
      <c r="D85" s="10">
        <v>13.958399999999999</v>
      </c>
    </row>
    <row r="86" spans="1:5" x14ac:dyDescent="0.2">
      <c r="A86" s="2" t="s">
        <v>683</v>
      </c>
      <c r="D86" s="10">
        <v>13.457700000000001</v>
      </c>
    </row>
    <row r="88" spans="1:5" x14ac:dyDescent="0.2">
      <c r="A88" s="4" t="s">
        <v>106</v>
      </c>
      <c r="D88" s="20" t="s">
        <v>311</v>
      </c>
    </row>
    <row r="89" spans="1:5" x14ac:dyDescent="0.2">
      <c r="A89" s="77" t="s">
        <v>604</v>
      </c>
      <c r="B89" s="76"/>
      <c r="C89" s="114" t="s">
        <v>605</v>
      </c>
      <c r="D89" s="114"/>
    </row>
    <row r="90" spans="1:5" x14ac:dyDescent="0.2">
      <c r="A90" s="115"/>
      <c r="B90" s="115"/>
      <c r="C90" s="23" t="s">
        <v>606</v>
      </c>
      <c r="D90" s="23" t="s">
        <v>607</v>
      </c>
    </row>
    <row r="91" spans="1:5" x14ac:dyDescent="0.2">
      <c r="A91" s="24" t="s">
        <v>682</v>
      </c>
      <c r="B91" s="25"/>
      <c r="C91" s="59">
        <v>0.36736457699999997</v>
      </c>
      <c r="D91" s="59">
        <v>0.34018142940000001</v>
      </c>
    </row>
    <row r="92" spans="1:5" x14ac:dyDescent="0.2">
      <c r="A92" s="24" t="s">
        <v>684</v>
      </c>
      <c r="B92" s="25"/>
      <c r="C92" s="59">
        <v>0.374567804</v>
      </c>
      <c r="D92" s="59">
        <v>0.3468516532</v>
      </c>
    </row>
    <row r="93" spans="1:5" x14ac:dyDescent="0.2">
      <c r="A93" s="24" t="s">
        <v>681</v>
      </c>
      <c r="B93" s="25"/>
      <c r="C93" s="59">
        <v>0.36736457699999997</v>
      </c>
      <c r="D93" s="59">
        <v>0.34018142940000001</v>
      </c>
    </row>
    <row r="94" spans="1:5" x14ac:dyDescent="0.2">
      <c r="A94" s="24" t="s">
        <v>683</v>
      </c>
      <c r="B94" s="25"/>
      <c r="C94" s="59">
        <v>0.374567804</v>
      </c>
      <c r="D94" s="59">
        <v>0.3468516532</v>
      </c>
    </row>
    <row r="95" spans="1:5" x14ac:dyDescent="0.2">
      <c r="A95" s="4"/>
      <c r="D95" s="20"/>
    </row>
    <row r="96" spans="1:5" x14ac:dyDescent="0.2">
      <c r="A96" s="4" t="s">
        <v>680</v>
      </c>
      <c r="D96" s="15">
        <v>3.0865121949644965</v>
      </c>
      <c r="E96" s="72" t="s">
        <v>679</v>
      </c>
    </row>
    <row r="98" spans="1:4" x14ac:dyDescent="0.2">
      <c r="A98" s="9" t="s">
        <v>678</v>
      </c>
      <c r="D98" s="73">
        <v>1.885035503027449</v>
      </c>
    </row>
  </sheetData>
  <mergeCells count="3">
    <mergeCell ref="A1:F1"/>
    <mergeCell ref="C89:D89"/>
    <mergeCell ref="A90:B9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E4ED-AAE8-42F4-98BF-A7F4FD136FAE}">
  <dimension ref="A1:F9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25.140625" style="2" bestFit="1" customWidth="1"/>
    <col min="4" max="4" width="7.42578125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750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3" t="s">
        <v>710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8" t="s">
        <v>9</v>
      </c>
      <c r="B7" s="38" t="s">
        <v>10</v>
      </c>
      <c r="C7" s="38" t="s">
        <v>11</v>
      </c>
      <c r="D7" s="38">
        <v>79000</v>
      </c>
      <c r="E7" s="63">
        <v>1778.8035</v>
      </c>
      <c r="F7" s="69">
        <f t="shared" ref="F7:F38" si="0">IF((E7/$E$75*100)&lt;0.01,"*",E7/$E$75*100)</f>
        <v>4.0778665232856603</v>
      </c>
    </row>
    <row r="8" spans="1:6" x14ac:dyDescent="0.2">
      <c r="A8" s="38" t="s">
        <v>118</v>
      </c>
      <c r="B8" s="38" t="s">
        <v>119</v>
      </c>
      <c r="C8" s="38" t="s">
        <v>11</v>
      </c>
      <c r="D8" s="38">
        <v>206475</v>
      </c>
      <c r="E8" s="63">
        <v>1391.8479749999999</v>
      </c>
      <c r="F8" s="69">
        <f t="shared" si="0"/>
        <v>3.1907797925714876</v>
      </c>
    </row>
    <row r="9" spans="1:6" x14ac:dyDescent="0.2">
      <c r="A9" s="38" t="s">
        <v>109</v>
      </c>
      <c r="B9" s="38" t="s">
        <v>110</v>
      </c>
      <c r="C9" s="38" t="s">
        <v>11</v>
      </c>
      <c r="D9" s="38">
        <v>206474</v>
      </c>
      <c r="E9" s="63">
        <v>876.68860400000005</v>
      </c>
      <c r="F9" s="69">
        <f t="shared" si="0"/>
        <v>2.0097886638954998</v>
      </c>
    </row>
    <row r="10" spans="1:6" x14ac:dyDescent="0.2">
      <c r="A10" s="38" t="s">
        <v>180</v>
      </c>
      <c r="B10" s="38" t="s">
        <v>181</v>
      </c>
      <c r="C10" s="38" t="s">
        <v>78</v>
      </c>
      <c r="D10" s="38">
        <v>109904</v>
      </c>
      <c r="E10" s="63">
        <v>872.25309600000003</v>
      </c>
      <c r="F10" s="69">
        <f t="shared" si="0"/>
        <v>1.9996203627948073</v>
      </c>
    </row>
    <row r="11" spans="1:6" x14ac:dyDescent="0.2">
      <c r="A11" s="38" t="s">
        <v>20</v>
      </c>
      <c r="B11" s="38" t="s">
        <v>21</v>
      </c>
      <c r="C11" s="38" t="s">
        <v>11</v>
      </c>
      <c r="D11" s="38">
        <v>53853</v>
      </c>
      <c r="E11" s="63">
        <v>818.32326149999994</v>
      </c>
      <c r="F11" s="69">
        <f t="shared" si="0"/>
        <v>1.8759874450982286</v>
      </c>
    </row>
    <row r="12" spans="1:6" x14ac:dyDescent="0.2">
      <c r="A12" s="38" t="s">
        <v>113</v>
      </c>
      <c r="B12" s="38" t="s">
        <v>114</v>
      </c>
      <c r="C12" s="38" t="s">
        <v>42</v>
      </c>
      <c r="D12" s="38">
        <v>205373</v>
      </c>
      <c r="E12" s="63">
        <v>693.339248</v>
      </c>
      <c r="F12" s="69">
        <f t="shared" si="0"/>
        <v>1.589464439832311</v>
      </c>
    </row>
    <row r="13" spans="1:6" x14ac:dyDescent="0.2">
      <c r="A13" s="38" t="s">
        <v>186</v>
      </c>
      <c r="B13" s="38" t="s">
        <v>187</v>
      </c>
      <c r="C13" s="38" t="s">
        <v>188</v>
      </c>
      <c r="D13" s="38">
        <v>25367</v>
      </c>
      <c r="E13" s="63">
        <v>653.09878200000003</v>
      </c>
      <c r="F13" s="69">
        <f t="shared" si="0"/>
        <v>1.497214087737313</v>
      </c>
    </row>
    <row r="14" spans="1:6" x14ac:dyDescent="0.2">
      <c r="A14" s="38" t="s">
        <v>196</v>
      </c>
      <c r="B14" s="38" t="s">
        <v>197</v>
      </c>
      <c r="C14" s="38" t="s">
        <v>57</v>
      </c>
      <c r="D14" s="38">
        <v>79950</v>
      </c>
      <c r="E14" s="63">
        <v>630.28582500000005</v>
      </c>
      <c r="F14" s="69">
        <f t="shared" si="0"/>
        <v>1.4449159032287626</v>
      </c>
    </row>
    <row r="15" spans="1:6" x14ac:dyDescent="0.2">
      <c r="A15" s="38" t="s">
        <v>234</v>
      </c>
      <c r="B15" s="38" t="s">
        <v>235</v>
      </c>
      <c r="C15" s="38" t="s">
        <v>122</v>
      </c>
      <c r="D15" s="38">
        <v>203475</v>
      </c>
      <c r="E15" s="63">
        <v>541.34523750000005</v>
      </c>
      <c r="F15" s="69">
        <f t="shared" si="0"/>
        <v>1.2410216314176215</v>
      </c>
    </row>
    <row r="16" spans="1:6" x14ac:dyDescent="0.2">
      <c r="A16" s="38" t="s">
        <v>25</v>
      </c>
      <c r="B16" s="38" t="s">
        <v>26</v>
      </c>
      <c r="C16" s="38" t="s">
        <v>27</v>
      </c>
      <c r="D16" s="38">
        <v>254936</v>
      </c>
      <c r="E16" s="63">
        <v>485.78054800000001</v>
      </c>
      <c r="F16" s="69">
        <f t="shared" si="0"/>
        <v>1.1136408458565337</v>
      </c>
    </row>
    <row r="17" spans="1:6" x14ac:dyDescent="0.2">
      <c r="A17" s="38" t="s">
        <v>129</v>
      </c>
      <c r="B17" s="38" t="s">
        <v>130</v>
      </c>
      <c r="C17" s="38" t="s">
        <v>131</v>
      </c>
      <c r="D17" s="38">
        <v>190244</v>
      </c>
      <c r="E17" s="63">
        <v>449.83193799999998</v>
      </c>
      <c r="F17" s="69">
        <f t="shared" si="0"/>
        <v>1.0312294759229508</v>
      </c>
    </row>
    <row r="18" spans="1:6" x14ac:dyDescent="0.2">
      <c r="A18" s="38" t="s">
        <v>182</v>
      </c>
      <c r="B18" s="38" t="s">
        <v>183</v>
      </c>
      <c r="C18" s="38" t="s">
        <v>39</v>
      </c>
      <c r="D18" s="38">
        <v>66526</v>
      </c>
      <c r="E18" s="63">
        <v>365.89299999999997</v>
      </c>
      <c r="F18" s="69">
        <f t="shared" si="0"/>
        <v>0.83880137171113045</v>
      </c>
    </row>
    <row r="19" spans="1:6" x14ac:dyDescent="0.2">
      <c r="A19" s="38" t="s">
        <v>213</v>
      </c>
      <c r="B19" s="38" t="s">
        <v>214</v>
      </c>
      <c r="C19" s="38" t="s">
        <v>131</v>
      </c>
      <c r="D19" s="38">
        <v>168573</v>
      </c>
      <c r="E19" s="63">
        <v>357.29047350000002</v>
      </c>
      <c r="F19" s="69">
        <f t="shared" si="0"/>
        <v>0.81908027557542595</v>
      </c>
    </row>
    <row r="20" spans="1:6" x14ac:dyDescent="0.2">
      <c r="A20" s="38" t="s">
        <v>275</v>
      </c>
      <c r="B20" s="38" t="s">
        <v>276</v>
      </c>
      <c r="C20" s="38" t="s">
        <v>93</v>
      </c>
      <c r="D20" s="38">
        <v>60000</v>
      </c>
      <c r="E20" s="63">
        <v>349.8</v>
      </c>
      <c r="F20" s="69">
        <f t="shared" si="0"/>
        <v>0.80190853562258213</v>
      </c>
    </row>
    <row r="21" spans="1:6" x14ac:dyDescent="0.2">
      <c r="A21" s="38" t="s">
        <v>120</v>
      </c>
      <c r="B21" s="38" t="s">
        <v>121</v>
      </c>
      <c r="C21" s="38" t="s">
        <v>122</v>
      </c>
      <c r="D21" s="38">
        <v>93000</v>
      </c>
      <c r="E21" s="63">
        <v>321.315</v>
      </c>
      <c r="F21" s="69">
        <f t="shared" si="0"/>
        <v>0.73660732167973131</v>
      </c>
    </row>
    <row r="22" spans="1:6" x14ac:dyDescent="0.2">
      <c r="A22" s="38" t="s">
        <v>259</v>
      </c>
      <c r="B22" s="38" t="s">
        <v>260</v>
      </c>
      <c r="C22" s="38" t="s">
        <v>261</v>
      </c>
      <c r="D22" s="38">
        <v>74355</v>
      </c>
      <c r="E22" s="63">
        <v>321.25077750000003</v>
      </c>
      <c r="F22" s="69">
        <f t="shared" si="0"/>
        <v>0.73646009306072324</v>
      </c>
    </row>
    <row r="23" spans="1:6" x14ac:dyDescent="0.2">
      <c r="A23" s="38" t="s">
        <v>217</v>
      </c>
      <c r="B23" s="38" t="s">
        <v>218</v>
      </c>
      <c r="C23" s="38" t="s">
        <v>36</v>
      </c>
      <c r="D23" s="38">
        <v>26468</v>
      </c>
      <c r="E23" s="63">
        <v>314.90303</v>
      </c>
      <c r="F23" s="69">
        <f t="shared" si="0"/>
        <v>0.72190802644486585</v>
      </c>
    </row>
    <row r="24" spans="1:6" x14ac:dyDescent="0.2">
      <c r="A24" s="38" t="s">
        <v>111</v>
      </c>
      <c r="B24" s="38" t="s">
        <v>112</v>
      </c>
      <c r="C24" s="38" t="s">
        <v>11</v>
      </c>
      <c r="D24" s="38">
        <v>88509</v>
      </c>
      <c r="E24" s="63">
        <v>294.02689800000002</v>
      </c>
      <c r="F24" s="69">
        <f t="shared" si="0"/>
        <v>0.67404996915045845</v>
      </c>
    </row>
    <row r="25" spans="1:6" x14ac:dyDescent="0.2">
      <c r="A25" s="38" t="s">
        <v>253</v>
      </c>
      <c r="B25" s="38" t="s">
        <v>254</v>
      </c>
      <c r="C25" s="38" t="s">
        <v>243</v>
      </c>
      <c r="D25" s="38">
        <v>40000</v>
      </c>
      <c r="E25" s="63">
        <v>280.94</v>
      </c>
      <c r="F25" s="69">
        <f t="shared" si="0"/>
        <v>0.64404855345285372</v>
      </c>
    </row>
    <row r="26" spans="1:6" x14ac:dyDescent="0.2">
      <c r="A26" s="38" t="s">
        <v>115</v>
      </c>
      <c r="B26" s="38" t="s">
        <v>116</v>
      </c>
      <c r="C26" s="38" t="s">
        <v>117</v>
      </c>
      <c r="D26" s="38">
        <v>221251</v>
      </c>
      <c r="E26" s="63">
        <v>279.99314049999998</v>
      </c>
      <c r="F26" s="69">
        <f t="shared" si="0"/>
        <v>0.64187789960755548</v>
      </c>
    </row>
    <row r="27" spans="1:6" x14ac:dyDescent="0.2">
      <c r="A27" s="38" t="s">
        <v>157</v>
      </c>
      <c r="B27" s="38" t="s">
        <v>158</v>
      </c>
      <c r="C27" s="38" t="s">
        <v>117</v>
      </c>
      <c r="D27" s="38">
        <v>130625</v>
      </c>
      <c r="E27" s="63">
        <v>275.35750000000002</v>
      </c>
      <c r="F27" s="69">
        <f t="shared" si="0"/>
        <v>0.63125079930730466</v>
      </c>
    </row>
    <row r="28" spans="1:6" x14ac:dyDescent="0.2">
      <c r="A28" s="38" t="s">
        <v>215</v>
      </c>
      <c r="B28" s="38" t="s">
        <v>216</v>
      </c>
      <c r="C28" s="38" t="s">
        <v>36</v>
      </c>
      <c r="D28" s="38">
        <v>57182</v>
      </c>
      <c r="E28" s="63">
        <v>244.25291300000001</v>
      </c>
      <c r="F28" s="69">
        <f t="shared" si="0"/>
        <v>0.5599442418106918</v>
      </c>
    </row>
    <row r="29" spans="1:6" x14ac:dyDescent="0.2">
      <c r="A29" s="38" t="s">
        <v>22</v>
      </c>
      <c r="B29" s="38" t="s">
        <v>23</v>
      </c>
      <c r="C29" s="38" t="s">
        <v>24</v>
      </c>
      <c r="D29" s="38">
        <v>32100</v>
      </c>
      <c r="E29" s="63">
        <v>227.589</v>
      </c>
      <c r="F29" s="69">
        <f t="shared" si="0"/>
        <v>0.52174260066840439</v>
      </c>
    </row>
    <row r="30" spans="1:6" x14ac:dyDescent="0.2">
      <c r="A30" s="38" t="s">
        <v>200</v>
      </c>
      <c r="B30" s="38" t="s">
        <v>201</v>
      </c>
      <c r="C30" s="38" t="s">
        <v>36</v>
      </c>
      <c r="D30" s="38">
        <v>15000</v>
      </c>
      <c r="E30" s="63">
        <v>212.3175</v>
      </c>
      <c r="F30" s="69">
        <f t="shared" si="0"/>
        <v>0.48673303462563633</v>
      </c>
    </row>
    <row r="31" spans="1:6" x14ac:dyDescent="0.2">
      <c r="A31" s="38" t="s">
        <v>299</v>
      </c>
      <c r="B31" s="38" t="s">
        <v>300</v>
      </c>
      <c r="C31" s="38" t="s">
        <v>11</v>
      </c>
      <c r="D31" s="38">
        <v>301582</v>
      </c>
      <c r="E31" s="63">
        <v>189.695078</v>
      </c>
      <c r="F31" s="69">
        <f t="shared" si="0"/>
        <v>0.4348716472664137</v>
      </c>
    </row>
    <row r="32" spans="1:6" x14ac:dyDescent="0.2">
      <c r="A32" s="38" t="s">
        <v>204</v>
      </c>
      <c r="B32" s="38" t="s">
        <v>205</v>
      </c>
      <c r="C32" s="38" t="s">
        <v>188</v>
      </c>
      <c r="D32" s="38">
        <v>72000</v>
      </c>
      <c r="E32" s="63">
        <v>164.01599999999999</v>
      </c>
      <c r="F32" s="69">
        <f t="shared" si="0"/>
        <v>0.37600294562227965</v>
      </c>
    </row>
    <row r="33" spans="1:6" x14ac:dyDescent="0.2">
      <c r="A33" s="38" t="s">
        <v>262</v>
      </c>
      <c r="B33" s="38" t="s">
        <v>263</v>
      </c>
      <c r="C33" s="38" t="s">
        <v>70</v>
      </c>
      <c r="D33" s="38">
        <v>153047</v>
      </c>
      <c r="E33" s="63">
        <v>128.4829565</v>
      </c>
      <c r="F33" s="69">
        <f t="shared" si="0"/>
        <v>0.29454425242817306</v>
      </c>
    </row>
    <row r="34" spans="1:6" x14ac:dyDescent="0.2">
      <c r="A34" s="38" t="s">
        <v>257</v>
      </c>
      <c r="B34" s="38" t="s">
        <v>258</v>
      </c>
      <c r="C34" s="38" t="s">
        <v>14</v>
      </c>
      <c r="D34" s="38">
        <v>65910</v>
      </c>
      <c r="E34" s="63">
        <v>124.075575</v>
      </c>
      <c r="F34" s="69">
        <f t="shared" si="0"/>
        <v>0.2844404306883358</v>
      </c>
    </row>
    <row r="35" spans="1:6" x14ac:dyDescent="0.2">
      <c r="A35" s="38" t="s">
        <v>333</v>
      </c>
      <c r="B35" s="38" t="s">
        <v>334</v>
      </c>
      <c r="C35" s="38" t="s">
        <v>39</v>
      </c>
      <c r="D35" s="38">
        <v>4923</v>
      </c>
      <c r="E35" s="63">
        <v>123.88729499999999</v>
      </c>
      <c r="F35" s="69">
        <f t="shared" si="0"/>
        <v>0.28400880307516535</v>
      </c>
    </row>
    <row r="36" spans="1:6" x14ac:dyDescent="0.2">
      <c r="A36" s="38" t="s">
        <v>486</v>
      </c>
      <c r="B36" s="38" t="s">
        <v>487</v>
      </c>
      <c r="C36" s="38" t="s">
        <v>188</v>
      </c>
      <c r="D36" s="38">
        <v>7072</v>
      </c>
      <c r="E36" s="63">
        <v>118.16251200000001</v>
      </c>
      <c r="F36" s="69">
        <f t="shared" si="0"/>
        <v>0.27088486839166898</v>
      </c>
    </row>
    <row r="37" spans="1:6" x14ac:dyDescent="0.2">
      <c r="A37" s="38" t="s">
        <v>37</v>
      </c>
      <c r="B37" s="38" t="s">
        <v>38</v>
      </c>
      <c r="C37" s="38" t="s">
        <v>39</v>
      </c>
      <c r="D37" s="38">
        <v>74940</v>
      </c>
      <c r="E37" s="63">
        <v>101.61864</v>
      </c>
      <c r="F37" s="69">
        <f t="shared" si="0"/>
        <v>0.23295841850874316</v>
      </c>
    </row>
    <row r="38" spans="1:6" x14ac:dyDescent="0.2">
      <c r="A38" s="38" t="s">
        <v>283</v>
      </c>
      <c r="B38" s="38" t="s">
        <v>284</v>
      </c>
      <c r="C38" s="38" t="s">
        <v>39</v>
      </c>
      <c r="D38" s="38">
        <v>23121</v>
      </c>
      <c r="E38" s="63">
        <v>85.096840499999999</v>
      </c>
      <c r="F38" s="69">
        <f t="shared" si="0"/>
        <v>0.19508256932951243</v>
      </c>
    </row>
    <row r="39" spans="1:6" x14ac:dyDescent="0.2">
      <c r="A39" s="38" t="s">
        <v>320</v>
      </c>
      <c r="B39" s="38" t="s">
        <v>321</v>
      </c>
      <c r="C39" s="38" t="s">
        <v>322</v>
      </c>
      <c r="D39" s="38">
        <v>984</v>
      </c>
      <c r="E39" s="63">
        <v>2.0117880000000001</v>
      </c>
      <c r="F39" s="69" t="str">
        <f>IF((E39/$E$75*100)&lt;0.01,"0.00*",E39/$E$75*100)</f>
        <v>0.00*</v>
      </c>
    </row>
    <row r="40" spans="1:6" x14ac:dyDescent="0.2">
      <c r="A40" s="37" t="s">
        <v>43</v>
      </c>
      <c r="B40" s="38"/>
      <c r="C40" s="38"/>
      <c r="D40" s="38"/>
      <c r="E40" s="64">
        <f>SUM(E7:E39)</f>
        <v>14073.573932500001</v>
      </c>
      <c r="F40" s="64">
        <f>SUM(F7:F39)</f>
        <v>32.258735829668829</v>
      </c>
    </row>
    <row r="41" spans="1:6" x14ac:dyDescent="0.2">
      <c r="A41" s="38"/>
      <c r="B41" s="38"/>
      <c r="C41" s="38"/>
      <c r="D41" s="38"/>
      <c r="E41" s="63"/>
      <c r="F41" s="63"/>
    </row>
    <row r="42" spans="1:6" x14ac:dyDescent="0.2">
      <c r="A42" s="37" t="s">
        <v>702</v>
      </c>
      <c r="B42" s="38"/>
      <c r="C42" s="38"/>
      <c r="D42" s="38"/>
      <c r="E42" s="63"/>
      <c r="F42" s="63"/>
    </row>
    <row r="43" spans="1:6" x14ac:dyDescent="0.2">
      <c r="A43" s="37" t="s">
        <v>8</v>
      </c>
      <c r="B43" s="38"/>
      <c r="C43" s="38"/>
      <c r="D43" s="38"/>
      <c r="E43" s="63"/>
      <c r="F43" s="63"/>
    </row>
    <row r="44" spans="1:6" x14ac:dyDescent="0.2">
      <c r="A44" s="37"/>
      <c r="B44" s="38"/>
      <c r="C44" s="38"/>
      <c r="D44" s="38"/>
      <c r="E44" s="63"/>
      <c r="F44" s="63"/>
    </row>
    <row r="45" spans="1:6" x14ac:dyDescent="0.2">
      <c r="A45" s="38" t="s">
        <v>724</v>
      </c>
      <c r="B45" s="38" t="s">
        <v>1438</v>
      </c>
      <c r="C45" s="38" t="s">
        <v>693</v>
      </c>
      <c r="D45" s="38">
        <v>350</v>
      </c>
      <c r="E45" s="63">
        <v>3493.3290000000002</v>
      </c>
      <c r="F45" s="69">
        <f t="shared" ref="F45:F60" si="1">IF((E45/$E$75*100)&lt;0.01,"*",E45/$E$75*100)</f>
        <v>8.0083771950768998</v>
      </c>
    </row>
    <row r="46" spans="1:6" x14ac:dyDescent="0.2">
      <c r="A46" s="38" t="s">
        <v>731</v>
      </c>
      <c r="B46" s="38" t="s">
        <v>1434</v>
      </c>
      <c r="C46" s="38" t="s">
        <v>713</v>
      </c>
      <c r="D46" s="38">
        <v>250</v>
      </c>
      <c r="E46" s="63">
        <v>2525.12</v>
      </c>
      <c r="F46" s="69">
        <f t="shared" si="1"/>
        <v>5.7887801071220544</v>
      </c>
    </row>
    <row r="47" spans="1:6" x14ac:dyDescent="0.2">
      <c r="A47" s="38" t="s">
        <v>692</v>
      </c>
      <c r="B47" s="38" t="s">
        <v>1428</v>
      </c>
      <c r="C47" s="38" t="s">
        <v>691</v>
      </c>
      <c r="D47" s="38">
        <v>210</v>
      </c>
      <c r="E47" s="63">
        <v>2094.9432000000002</v>
      </c>
      <c r="F47" s="69">
        <f t="shared" si="1"/>
        <v>4.8026095875485604</v>
      </c>
    </row>
    <row r="48" spans="1:6" x14ac:dyDescent="0.2">
      <c r="A48" s="38" t="s">
        <v>736</v>
      </c>
      <c r="B48" s="38" t="s">
        <v>1431</v>
      </c>
      <c r="C48" s="38" t="s">
        <v>735</v>
      </c>
      <c r="D48" s="38">
        <v>200</v>
      </c>
      <c r="E48" s="63">
        <v>2017.27</v>
      </c>
      <c r="F48" s="69">
        <f t="shared" si="1"/>
        <v>4.6245455450410695</v>
      </c>
    </row>
    <row r="49" spans="1:6" x14ac:dyDescent="0.2">
      <c r="A49" s="38" t="s">
        <v>747</v>
      </c>
      <c r="B49" s="38" t="s">
        <v>1441</v>
      </c>
      <c r="C49" s="38" t="s">
        <v>691</v>
      </c>
      <c r="D49" s="38">
        <v>200</v>
      </c>
      <c r="E49" s="63">
        <v>1986.356</v>
      </c>
      <c r="F49" s="69">
        <f t="shared" si="1"/>
        <v>4.5536759039026009</v>
      </c>
    </row>
    <row r="50" spans="1:6" x14ac:dyDescent="0.2">
      <c r="A50" s="38" t="s">
        <v>720</v>
      </c>
      <c r="B50" s="38" t="s">
        <v>1920</v>
      </c>
      <c r="C50" s="38" t="s">
        <v>693</v>
      </c>
      <c r="D50" s="38">
        <v>150</v>
      </c>
      <c r="E50" s="63">
        <v>1531.29</v>
      </c>
      <c r="F50" s="69">
        <f t="shared" si="1"/>
        <v>3.5104474600157345</v>
      </c>
    </row>
    <row r="51" spans="1:6" x14ac:dyDescent="0.2">
      <c r="A51" s="38" t="s">
        <v>744</v>
      </c>
      <c r="B51" s="38" t="s">
        <v>1444</v>
      </c>
      <c r="C51" s="38" t="s">
        <v>743</v>
      </c>
      <c r="D51" s="38">
        <v>150</v>
      </c>
      <c r="E51" s="63">
        <v>1508.9804999999999</v>
      </c>
      <c r="F51" s="69">
        <f t="shared" si="1"/>
        <v>3.4593034392167863</v>
      </c>
    </row>
    <row r="52" spans="1:6" x14ac:dyDescent="0.2">
      <c r="A52" s="38" t="s">
        <v>734</v>
      </c>
      <c r="B52" s="38" t="s">
        <v>1432</v>
      </c>
      <c r="C52" s="38" t="s">
        <v>733</v>
      </c>
      <c r="D52" s="38">
        <v>150</v>
      </c>
      <c r="E52" s="63">
        <v>1502.625</v>
      </c>
      <c r="F52" s="69">
        <f t="shared" si="1"/>
        <v>3.4447336001711912</v>
      </c>
    </row>
    <row r="53" spans="1:6" x14ac:dyDescent="0.2">
      <c r="A53" s="38" t="s">
        <v>701</v>
      </c>
      <c r="B53" s="38" t="s">
        <v>1423</v>
      </c>
      <c r="C53" s="38" t="s">
        <v>700</v>
      </c>
      <c r="D53" s="38">
        <v>100</v>
      </c>
      <c r="E53" s="63">
        <v>1007.976</v>
      </c>
      <c r="F53" s="69">
        <f t="shared" si="1"/>
        <v>2.3107620300248941</v>
      </c>
    </row>
    <row r="54" spans="1:6" x14ac:dyDescent="0.2">
      <c r="A54" s="38" t="s">
        <v>727</v>
      </c>
      <c r="B54" s="38" t="s">
        <v>1435</v>
      </c>
      <c r="C54" s="38" t="s">
        <v>693</v>
      </c>
      <c r="D54" s="38">
        <v>100</v>
      </c>
      <c r="E54" s="63">
        <v>992.11900000000003</v>
      </c>
      <c r="F54" s="69">
        <f t="shared" si="1"/>
        <v>2.2744102185630095</v>
      </c>
    </row>
    <row r="55" spans="1:6" x14ac:dyDescent="0.2">
      <c r="A55" s="38" t="s">
        <v>745</v>
      </c>
      <c r="B55" s="38" t="s">
        <v>1443</v>
      </c>
      <c r="C55" s="38" t="s">
        <v>728</v>
      </c>
      <c r="D55" s="38">
        <v>90</v>
      </c>
      <c r="E55" s="63">
        <v>904.27319999999997</v>
      </c>
      <c r="F55" s="69">
        <f t="shared" si="1"/>
        <v>2.0730257221690862</v>
      </c>
    </row>
    <row r="56" spans="1:6" x14ac:dyDescent="0.2">
      <c r="A56" s="38" t="s">
        <v>722</v>
      </c>
      <c r="B56" s="38" t="s">
        <v>1919</v>
      </c>
      <c r="C56" s="38" t="s">
        <v>721</v>
      </c>
      <c r="D56" s="38">
        <v>85</v>
      </c>
      <c r="E56" s="63">
        <v>869.74040000000002</v>
      </c>
      <c r="F56" s="69">
        <f t="shared" si="1"/>
        <v>1.993860064424811</v>
      </c>
    </row>
    <row r="57" spans="1:6" x14ac:dyDescent="0.2">
      <c r="A57" s="38" t="s">
        <v>694</v>
      </c>
      <c r="B57" s="38" t="s">
        <v>1917</v>
      </c>
      <c r="C57" s="38" t="s">
        <v>693</v>
      </c>
      <c r="D57" s="38">
        <v>60</v>
      </c>
      <c r="E57" s="63">
        <v>611.9556</v>
      </c>
      <c r="F57" s="69">
        <f t="shared" si="1"/>
        <v>1.4028942797656909</v>
      </c>
    </row>
    <row r="58" spans="1:6" x14ac:dyDescent="0.2">
      <c r="A58" s="38" t="s">
        <v>732</v>
      </c>
      <c r="B58" s="38" t="s">
        <v>1433</v>
      </c>
      <c r="C58" s="38" t="s">
        <v>715</v>
      </c>
      <c r="D58" s="38">
        <v>50</v>
      </c>
      <c r="E58" s="63">
        <v>499.15100000000001</v>
      </c>
      <c r="F58" s="69">
        <f t="shared" si="1"/>
        <v>1.1442923026430747</v>
      </c>
    </row>
    <row r="59" spans="1:6" x14ac:dyDescent="0.2">
      <c r="A59" s="38" t="s">
        <v>696</v>
      </c>
      <c r="B59" s="38" t="s">
        <v>1427</v>
      </c>
      <c r="C59" s="38" t="s">
        <v>695</v>
      </c>
      <c r="D59" s="38">
        <v>50</v>
      </c>
      <c r="E59" s="63">
        <v>484.98599999999999</v>
      </c>
      <c r="F59" s="69">
        <f t="shared" si="1"/>
        <v>1.1118193626571002</v>
      </c>
    </row>
    <row r="60" spans="1:6" x14ac:dyDescent="0.2">
      <c r="A60" s="38" t="s">
        <v>725</v>
      </c>
      <c r="B60" s="38" t="s">
        <v>1437</v>
      </c>
      <c r="C60" s="38" t="s">
        <v>693</v>
      </c>
      <c r="D60" s="38">
        <v>5</v>
      </c>
      <c r="E60" s="63">
        <v>51.190899999999999</v>
      </c>
      <c r="F60" s="69">
        <f t="shared" si="1"/>
        <v>0.11735397271641522</v>
      </c>
    </row>
    <row r="61" spans="1:6" x14ac:dyDescent="0.2">
      <c r="A61" s="37" t="s">
        <v>43</v>
      </c>
      <c r="B61" s="38"/>
      <c r="C61" s="38"/>
      <c r="D61" s="38"/>
      <c r="E61" s="64">
        <f>SUM(E45:E60)</f>
        <v>22081.305799999998</v>
      </c>
      <c r="F61" s="64">
        <f>SUM(F45:F60)</f>
        <v>50.620890791058976</v>
      </c>
    </row>
    <row r="62" spans="1:6" x14ac:dyDescent="0.2">
      <c r="A62" s="38"/>
      <c r="B62" s="38"/>
      <c r="C62" s="38"/>
      <c r="D62" s="38"/>
      <c r="E62" s="63"/>
      <c r="F62" s="63"/>
    </row>
    <row r="63" spans="1:6" x14ac:dyDescent="0.2">
      <c r="A63" s="37" t="s">
        <v>717</v>
      </c>
      <c r="B63" s="38"/>
      <c r="C63" s="38"/>
      <c r="D63" s="38"/>
      <c r="E63" s="63"/>
      <c r="F63" s="63"/>
    </row>
    <row r="64" spans="1:6" x14ac:dyDescent="0.2">
      <c r="A64" s="38" t="s">
        <v>714</v>
      </c>
      <c r="B64" s="38" t="s">
        <v>1430</v>
      </c>
      <c r="C64" s="38" t="s">
        <v>713</v>
      </c>
      <c r="D64" s="38">
        <v>14</v>
      </c>
      <c r="E64" s="63">
        <v>1721.8404</v>
      </c>
      <c r="F64" s="69">
        <f>IF((E64/$E$75*100)&lt;0.01,"*",E64/$E$75*100)</f>
        <v>3.9472799134928565</v>
      </c>
    </row>
    <row r="65" spans="1:6" x14ac:dyDescent="0.2">
      <c r="A65" s="37" t="s">
        <v>43</v>
      </c>
      <c r="B65" s="38"/>
      <c r="C65" s="38"/>
      <c r="D65" s="38"/>
      <c r="E65" s="64">
        <f>SUM(E64:E64)</f>
        <v>1721.8404</v>
      </c>
      <c r="F65" s="64">
        <f>SUM(F64:F64)</f>
        <v>3.9472799134928565</v>
      </c>
    </row>
    <row r="66" spans="1:6" x14ac:dyDescent="0.2">
      <c r="A66" s="38"/>
      <c r="B66" s="38"/>
      <c r="C66" s="38"/>
      <c r="D66" s="38"/>
      <c r="E66" s="63"/>
      <c r="F66" s="63"/>
    </row>
    <row r="67" spans="1:6" x14ac:dyDescent="0.2">
      <c r="A67" s="37" t="s">
        <v>690</v>
      </c>
      <c r="B67" s="38"/>
      <c r="C67" s="38"/>
      <c r="D67" s="38"/>
      <c r="E67" s="63"/>
      <c r="F67" s="63"/>
    </row>
    <row r="68" spans="1:6" x14ac:dyDescent="0.2">
      <c r="A68" s="38" t="s">
        <v>689</v>
      </c>
      <c r="B68" s="38" t="s">
        <v>1937</v>
      </c>
      <c r="C68" s="38" t="s">
        <v>688</v>
      </c>
      <c r="D68" s="38">
        <v>860</v>
      </c>
      <c r="E68" s="63">
        <v>4058.2067000000002</v>
      </c>
      <c r="F68" s="69">
        <f>IF((E68/$E$75*100)&lt;0.01,"*",E68/$E$75*100)</f>
        <v>9.3033464609798511</v>
      </c>
    </row>
    <row r="69" spans="1:6" x14ac:dyDescent="0.2">
      <c r="A69" s="37" t="s">
        <v>43</v>
      </c>
      <c r="B69" s="38"/>
      <c r="C69" s="38"/>
      <c r="D69" s="38"/>
      <c r="E69" s="64">
        <f>SUM(E68:E68)</f>
        <v>4058.2067000000002</v>
      </c>
      <c r="F69" s="64">
        <f>SUM(F68:F68)</f>
        <v>9.3033464609798511</v>
      </c>
    </row>
    <row r="70" spans="1:6" x14ac:dyDescent="0.2">
      <c r="A70" s="38"/>
      <c r="B70" s="38"/>
      <c r="C70" s="38"/>
      <c r="D70" s="38"/>
      <c r="E70" s="63"/>
      <c r="F70" s="63"/>
    </row>
    <row r="71" spans="1:6" x14ac:dyDescent="0.2">
      <c r="A71" s="37" t="s">
        <v>43</v>
      </c>
      <c r="B71" s="38"/>
      <c r="C71" s="38"/>
      <c r="D71" s="38"/>
      <c r="E71" s="64">
        <v>41934.926832500001</v>
      </c>
      <c r="F71" s="64">
        <v>96.134864973385362</v>
      </c>
    </row>
    <row r="72" spans="1:6" x14ac:dyDescent="0.2">
      <c r="A72" s="38"/>
      <c r="B72" s="38"/>
      <c r="C72" s="38"/>
      <c r="D72" s="38"/>
      <c r="E72" s="63"/>
      <c r="F72" s="63"/>
    </row>
    <row r="73" spans="1:6" x14ac:dyDescent="0.2">
      <c r="A73" s="37" t="s">
        <v>101</v>
      </c>
      <c r="B73" s="38"/>
      <c r="C73" s="38"/>
      <c r="D73" s="38"/>
      <c r="E73" s="64">
        <v>1686.0048649</v>
      </c>
      <c r="F73" s="64">
        <v>3.87</v>
      </c>
    </row>
    <row r="74" spans="1:6" x14ac:dyDescent="0.2">
      <c r="A74" s="38"/>
      <c r="B74" s="38"/>
      <c r="C74" s="38"/>
      <c r="D74" s="38"/>
      <c r="E74" s="63"/>
      <c r="F74" s="63"/>
    </row>
    <row r="75" spans="1:6" x14ac:dyDescent="0.2">
      <c r="A75" s="80" t="s">
        <v>102</v>
      </c>
      <c r="B75" s="79"/>
      <c r="C75" s="79"/>
      <c r="D75" s="79"/>
      <c r="E75" s="61">
        <v>43620.934864900002</v>
      </c>
      <c r="F75" s="61">
        <f xml:space="preserve"> ROUND(SUM(F71:F74),2)</f>
        <v>100</v>
      </c>
    </row>
    <row r="76" spans="1:6" x14ac:dyDescent="0.2">
      <c r="A76" s="4" t="s">
        <v>686</v>
      </c>
      <c r="F76" s="78" t="s">
        <v>712</v>
      </c>
    </row>
    <row r="78" spans="1:6" x14ac:dyDescent="0.2">
      <c r="A78" s="4" t="s">
        <v>103</v>
      </c>
    </row>
    <row r="79" spans="1:6" x14ac:dyDescent="0.2">
      <c r="A79" s="4" t="s">
        <v>685</v>
      </c>
    </row>
    <row r="80" spans="1:6" x14ac:dyDescent="0.2">
      <c r="A80" s="4" t="s">
        <v>608</v>
      </c>
    </row>
    <row r="81" spans="1:5" x14ac:dyDescent="0.2">
      <c r="A81" s="2" t="s">
        <v>600</v>
      </c>
      <c r="D81" s="10">
        <v>123.0958</v>
      </c>
    </row>
    <row r="82" spans="1:5" x14ac:dyDescent="0.2">
      <c r="A82" s="2" t="s">
        <v>601</v>
      </c>
      <c r="D82" s="10">
        <v>16.562200000000001</v>
      </c>
    </row>
    <row r="83" spans="1:5" x14ac:dyDescent="0.2">
      <c r="A83" s="2" t="s">
        <v>602</v>
      </c>
      <c r="D83" s="10">
        <v>128.40479999999999</v>
      </c>
    </row>
    <row r="84" spans="1:5" x14ac:dyDescent="0.2">
      <c r="A84" s="2" t="s">
        <v>603</v>
      </c>
      <c r="D84" s="10">
        <v>17.427800000000001</v>
      </c>
    </row>
    <row r="86" spans="1:5" x14ac:dyDescent="0.2">
      <c r="A86" s="4" t="s">
        <v>105</v>
      </c>
    </row>
    <row r="87" spans="1:5" x14ac:dyDescent="0.2">
      <c r="A87" s="2" t="s">
        <v>600</v>
      </c>
      <c r="D87" s="10">
        <v>127.20050000000001</v>
      </c>
    </row>
    <row r="88" spans="1:5" x14ac:dyDescent="0.2">
      <c r="A88" s="2" t="s">
        <v>601</v>
      </c>
      <c r="D88" s="10">
        <v>17.113600000000002</v>
      </c>
    </row>
    <row r="89" spans="1:5" x14ac:dyDescent="0.2">
      <c r="A89" s="2" t="s">
        <v>602</v>
      </c>
      <c r="D89" s="10">
        <v>133.1593</v>
      </c>
    </row>
    <row r="90" spans="1:5" x14ac:dyDescent="0.2">
      <c r="A90" s="2" t="s">
        <v>603</v>
      </c>
      <c r="D90" s="10">
        <v>18.069400000000002</v>
      </c>
    </row>
    <row r="92" spans="1:5" x14ac:dyDescent="0.2">
      <c r="A92" s="4" t="s">
        <v>106</v>
      </c>
      <c r="D92" s="20" t="s">
        <v>107</v>
      </c>
    </row>
    <row r="93" spans="1:5" x14ac:dyDescent="0.2">
      <c r="A93" s="75"/>
      <c r="B93" s="75"/>
      <c r="C93" s="74"/>
      <c r="D93" s="74"/>
    </row>
    <row r="94" spans="1:5" x14ac:dyDescent="0.2">
      <c r="A94" s="4" t="s">
        <v>749</v>
      </c>
      <c r="D94" s="15">
        <v>2.8007343882654547</v>
      </c>
      <c r="E94" s="72" t="s">
        <v>679</v>
      </c>
    </row>
    <row r="96" spans="1:5" x14ac:dyDescent="0.2">
      <c r="A96" s="9" t="s">
        <v>678</v>
      </c>
      <c r="B96" s="73"/>
      <c r="D96" s="73">
        <v>2.0569866362308269</v>
      </c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220F-FD11-4A9B-8602-C13C1D45946A}">
  <dimension ref="A1:F10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831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829</v>
      </c>
      <c r="B8" s="38" t="s">
        <v>1471</v>
      </c>
      <c r="C8" s="38" t="s">
        <v>791</v>
      </c>
      <c r="D8" s="38">
        <v>2797</v>
      </c>
      <c r="E8" s="63">
        <v>23321.106299999999</v>
      </c>
      <c r="F8" s="63">
        <v>6.4533271660610598</v>
      </c>
    </row>
    <row r="9" spans="1:6" x14ac:dyDescent="0.2">
      <c r="A9" s="38" t="s">
        <v>828</v>
      </c>
      <c r="B9" s="38" t="s">
        <v>1472</v>
      </c>
      <c r="C9" s="38" t="s">
        <v>693</v>
      </c>
      <c r="D9" s="38">
        <v>1890</v>
      </c>
      <c r="E9" s="63">
        <v>19482.762599999998</v>
      </c>
      <c r="F9" s="63">
        <v>5.3911954063902296</v>
      </c>
    </row>
    <row r="10" spans="1:6" x14ac:dyDescent="0.2">
      <c r="A10" s="38" t="s">
        <v>827</v>
      </c>
      <c r="B10" s="38" t="s">
        <v>1473</v>
      </c>
      <c r="C10" s="38" t="s">
        <v>700</v>
      </c>
      <c r="D10" s="38">
        <v>1910</v>
      </c>
      <c r="E10" s="63">
        <v>19470.177100000001</v>
      </c>
      <c r="F10" s="63">
        <v>5.3877127950593797</v>
      </c>
    </row>
    <row r="11" spans="1:6" x14ac:dyDescent="0.2">
      <c r="A11" s="38" t="s">
        <v>826</v>
      </c>
      <c r="B11" s="38" t="s">
        <v>1474</v>
      </c>
      <c r="C11" s="38" t="s">
        <v>754</v>
      </c>
      <c r="D11" s="38">
        <v>1450</v>
      </c>
      <c r="E11" s="63">
        <v>14188.279</v>
      </c>
      <c r="F11" s="63">
        <v>3.9261261936940599</v>
      </c>
    </row>
    <row r="12" spans="1:6" x14ac:dyDescent="0.2">
      <c r="A12" s="38" t="s">
        <v>825</v>
      </c>
      <c r="B12" s="38" t="s">
        <v>1475</v>
      </c>
      <c r="C12" s="38" t="s">
        <v>713</v>
      </c>
      <c r="D12" s="38">
        <v>1550</v>
      </c>
      <c r="E12" s="63">
        <v>14142.8665</v>
      </c>
      <c r="F12" s="63">
        <v>3.9135598207202098</v>
      </c>
    </row>
    <row r="13" spans="1:6" x14ac:dyDescent="0.2">
      <c r="A13" s="38" t="s">
        <v>824</v>
      </c>
      <c r="B13" s="38" t="s">
        <v>1476</v>
      </c>
      <c r="C13" s="38" t="s">
        <v>798</v>
      </c>
      <c r="D13" s="38">
        <v>5858</v>
      </c>
      <c r="E13" s="63">
        <v>12105.826467999999</v>
      </c>
      <c r="F13" s="63">
        <v>3.3498779092467599</v>
      </c>
    </row>
    <row r="14" spans="1:6" x14ac:dyDescent="0.2">
      <c r="A14" s="38" t="s">
        <v>823</v>
      </c>
      <c r="B14" s="38" t="s">
        <v>1477</v>
      </c>
      <c r="C14" s="38" t="s">
        <v>718</v>
      </c>
      <c r="D14" s="38">
        <v>12100</v>
      </c>
      <c r="E14" s="63">
        <v>11850.5101</v>
      </c>
      <c r="F14" s="63">
        <v>3.27922774229673</v>
      </c>
    </row>
    <row r="15" spans="1:6" x14ac:dyDescent="0.2">
      <c r="A15" s="38" t="s">
        <v>822</v>
      </c>
      <c r="B15" s="38" t="s">
        <v>1478</v>
      </c>
      <c r="C15" s="38" t="s">
        <v>715</v>
      </c>
      <c r="D15" s="38">
        <v>1000</v>
      </c>
      <c r="E15" s="63">
        <v>9318.0400000000009</v>
      </c>
      <c r="F15" s="63">
        <v>2.5784523209537298</v>
      </c>
    </row>
    <row r="16" spans="1:6" x14ac:dyDescent="0.2">
      <c r="A16" s="38" t="s">
        <v>821</v>
      </c>
      <c r="B16" s="38" t="s">
        <v>1479</v>
      </c>
      <c r="C16" s="38" t="s">
        <v>718</v>
      </c>
      <c r="D16" s="38">
        <v>750</v>
      </c>
      <c r="E16" s="63">
        <v>7259.3024999999998</v>
      </c>
      <c r="F16" s="63">
        <v>2.0087663692826201</v>
      </c>
    </row>
    <row r="17" spans="1:6" x14ac:dyDescent="0.2">
      <c r="A17" s="38" t="s">
        <v>820</v>
      </c>
      <c r="B17" s="38" t="s">
        <v>1480</v>
      </c>
      <c r="C17" s="38" t="s">
        <v>798</v>
      </c>
      <c r="D17" s="38">
        <v>646</v>
      </c>
      <c r="E17" s="63">
        <v>6287.6472000000003</v>
      </c>
      <c r="F17" s="63">
        <v>1.7398936381662</v>
      </c>
    </row>
    <row r="18" spans="1:6" x14ac:dyDescent="0.2">
      <c r="A18" s="38" t="s">
        <v>722</v>
      </c>
      <c r="B18" s="38" t="s">
        <v>1919</v>
      </c>
      <c r="C18" s="38" t="s">
        <v>721</v>
      </c>
      <c r="D18" s="38">
        <v>610</v>
      </c>
      <c r="E18" s="63">
        <v>6241.6664000000001</v>
      </c>
      <c r="F18" s="63">
        <v>1.7271700073941401</v>
      </c>
    </row>
    <row r="19" spans="1:6" x14ac:dyDescent="0.2">
      <c r="A19" s="38" t="s">
        <v>819</v>
      </c>
      <c r="B19" s="38" t="s">
        <v>1481</v>
      </c>
      <c r="C19" s="38" t="s">
        <v>713</v>
      </c>
      <c r="D19" s="38">
        <v>620</v>
      </c>
      <c r="E19" s="63">
        <v>5805.8411999999998</v>
      </c>
      <c r="F19" s="63">
        <v>1.6065701281845499</v>
      </c>
    </row>
    <row r="20" spans="1:6" x14ac:dyDescent="0.2">
      <c r="A20" s="38" t="s">
        <v>818</v>
      </c>
      <c r="B20" s="38" t="s">
        <v>1482</v>
      </c>
      <c r="C20" s="38" t="s">
        <v>718</v>
      </c>
      <c r="D20" s="38">
        <v>554</v>
      </c>
      <c r="E20" s="63">
        <v>5717.8450800000001</v>
      </c>
      <c r="F20" s="63">
        <v>1.58222017906983</v>
      </c>
    </row>
    <row r="21" spans="1:6" x14ac:dyDescent="0.2">
      <c r="A21" s="38" t="s">
        <v>694</v>
      </c>
      <c r="B21" s="38" t="s">
        <v>1917</v>
      </c>
      <c r="C21" s="38" t="s">
        <v>693</v>
      </c>
      <c r="D21" s="38">
        <v>550</v>
      </c>
      <c r="E21" s="63">
        <v>5609.5929999999998</v>
      </c>
      <c r="F21" s="63">
        <v>1.5522650783271801</v>
      </c>
    </row>
    <row r="22" spans="1:6" x14ac:dyDescent="0.2">
      <c r="A22" s="38" t="s">
        <v>817</v>
      </c>
      <c r="B22" s="38" t="s">
        <v>1483</v>
      </c>
      <c r="C22" s="38" t="s">
        <v>752</v>
      </c>
      <c r="D22" s="38">
        <v>11</v>
      </c>
      <c r="E22" s="63">
        <v>5583.1049999999996</v>
      </c>
      <c r="F22" s="63">
        <v>1.54493542047237</v>
      </c>
    </row>
    <row r="23" spans="1:6" x14ac:dyDescent="0.2">
      <c r="A23" s="38" t="s">
        <v>816</v>
      </c>
      <c r="B23" s="38" t="s">
        <v>1484</v>
      </c>
      <c r="C23" s="38" t="s">
        <v>693</v>
      </c>
      <c r="D23" s="38">
        <v>550</v>
      </c>
      <c r="E23" s="63">
        <v>5509.5754999999999</v>
      </c>
      <c r="F23" s="63">
        <v>1.5245886190062301</v>
      </c>
    </row>
    <row r="24" spans="1:6" x14ac:dyDescent="0.2">
      <c r="A24" s="38" t="s">
        <v>815</v>
      </c>
      <c r="B24" s="38" t="s">
        <v>1485</v>
      </c>
      <c r="C24" s="38" t="s">
        <v>814</v>
      </c>
      <c r="D24" s="38">
        <v>550</v>
      </c>
      <c r="E24" s="63">
        <v>5497.4369999999999</v>
      </c>
      <c r="F24" s="63">
        <v>1.52122969980241</v>
      </c>
    </row>
    <row r="25" spans="1:6" x14ac:dyDescent="0.2">
      <c r="A25" s="38" t="s">
        <v>813</v>
      </c>
      <c r="B25" s="38" t="s">
        <v>1486</v>
      </c>
      <c r="C25" s="38" t="s">
        <v>801</v>
      </c>
      <c r="D25" s="38">
        <v>500</v>
      </c>
      <c r="E25" s="63">
        <v>5007.1099999999997</v>
      </c>
      <c r="F25" s="63">
        <v>1.3855482913542601</v>
      </c>
    </row>
    <row r="26" spans="1:6" x14ac:dyDescent="0.2">
      <c r="A26" s="38" t="s">
        <v>812</v>
      </c>
      <c r="B26" s="38" t="s">
        <v>1487</v>
      </c>
      <c r="C26" s="38" t="s">
        <v>798</v>
      </c>
      <c r="D26" s="38">
        <v>501</v>
      </c>
      <c r="E26" s="63">
        <v>4959.4891799999996</v>
      </c>
      <c r="F26" s="63">
        <v>1.3723708405325501</v>
      </c>
    </row>
    <row r="27" spans="1:6" x14ac:dyDescent="0.2">
      <c r="A27" s="38" t="s">
        <v>811</v>
      </c>
      <c r="B27" s="38" t="s">
        <v>1488</v>
      </c>
      <c r="C27" s="38" t="s">
        <v>801</v>
      </c>
      <c r="D27" s="38">
        <v>400</v>
      </c>
      <c r="E27" s="63">
        <v>4294.1279999999997</v>
      </c>
      <c r="F27" s="63">
        <v>1.1882546445467499</v>
      </c>
    </row>
    <row r="28" spans="1:6" x14ac:dyDescent="0.2">
      <c r="A28" s="38" t="s">
        <v>810</v>
      </c>
      <c r="B28" s="38" t="s">
        <v>1489</v>
      </c>
      <c r="C28" s="38" t="s">
        <v>693</v>
      </c>
      <c r="D28" s="38">
        <v>400</v>
      </c>
      <c r="E28" s="63">
        <v>4108.9279999999999</v>
      </c>
      <c r="F28" s="63">
        <v>1.1370068102553501</v>
      </c>
    </row>
    <row r="29" spans="1:6" x14ac:dyDescent="0.2">
      <c r="A29" s="38" t="s">
        <v>809</v>
      </c>
      <c r="B29" s="38" t="s">
        <v>1490</v>
      </c>
      <c r="C29" s="38" t="s">
        <v>752</v>
      </c>
      <c r="D29" s="38">
        <v>8</v>
      </c>
      <c r="E29" s="63">
        <v>4060.44</v>
      </c>
      <c r="F29" s="63">
        <v>1.1235893967071799</v>
      </c>
    </row>
    <row r="30" spans="1:6" x14ac:dyDescent="0.2">
      <c r="A30" s="38" t="s">
        <v>808</v>
      </c>
      <c r="B30" s="38" t="s">
        <v>1491</v>
      </c>
      <c r="C30" s="38" t="s">
        <v>801</v>
      </c>
      <c r="D30" s="38">
        <v>4000</v>
      </c>
      <c r="E30" s="63">
        <v>3922.88</v>
      </c>
      <c r="F30" s="63">
        <v>1.0855243206535901</v>
      </c>
    </row>
    <row r="31" spans="1:6" x14ac:dyDescent="0.2">
      <c r="A31" s="38" t="s">
        <v>807</v>
      </c>
      <c r="B31" s="38" t="s">
        <v>1492</v>
      </c>
      <c r="C31" s="38" t="s">
        <v>700</v>
      </c>
      <c r="D31" s="38">
        <v>400</v>
      </c>
      <c r="E31" s="63">
        <v>3919.9679999999998</v>
      </c>
      <c r="F31" s="63">
        <v>1.0847185231727201</v>
      </c>
    </row>
    <row r="32" spans="1:6" x14ac:dyDescent="0.2">
      <c r="A32" s="38" t="s">
        <v>806</v>
      </c>
      <c r="B32" s="38" t="s">
        <v>1493</v>
      </c>
      <c r="C32" s="38" t="s">
        <v>793</v>
      </c>
      <c r="D32" s="38">
        <v>400</v>
      </c>
      <c r="E32" s="63">
        <v>3890.94</v>
      </c>
      <c r="F32" s="63">
        <v>1.0766860062515</v>
      </c>
    </row>
    <row r="33" spans="1:6" x14ac:dyDescent="0.2">
      <c r="A33" s="38" t="s">
        <v>805</v>
      </c>
      <c r="B33" s="38" t="s">
        <v>1494</v>
      </c>
      <c r="C33" s="38" t="s">
        <v>798</v>
      </c>
      <c r="D33" s="38">
        <v>350</v>
      </c>
      <c r="E33" s="63">
        <v>3414.3339999999998</v>
      </c>
      <c r="F33" s="63">
        <v>0.944801420342821</v>
      </c>
    </row>
    <row r="34" spans="1:6" x14ac:dyDescent="0.2">
      <c r="A34" s="38" t="s">
        <v>804</v>
      </c>
      <c r="B34" s="38" t="s">
        <v>1495</v>
      </c>
      <c r="C34" s="38" t="s">
        <v>798</v>
      </c>
      <c r="D34" s="38">
        <v>240</v>
      </c>
      <c r="E34" s="63">
        <v>2386.0464000000002</v>
      </c>
      <c r="F34" s="63">
        <v>0.66025761619217005</v>
      </c>
    </row>
    <row r="35" spans="1:6" x14ac:dyDescent="0.2">
      <c r="A35" s="38" t="s">
        <v>803</v>
      </c>
      <c r="B35" s="38" t="s">
        <v>1496</v>
      </c>
      <c r="C35" s="38" t="s">
        <v>715</v>
      </c>
      <c r="D35" s="38">
        <v>200</v>
      </c>
      <c r="E35" s="63">
        <v>1988.146</v>
      </c>
      <c r="F35" s="63">
        <v>0.55015214230620002</v>
      </c>
    </row>
    <row r="36" spans="1:6" x14ac:dyDescent="0.2">
      <c r="A36" s="38" t="s">
        <v>802</v>
      </c>
      <c r="B36" s="38" t="s">
        <v>1497</v>
      </c>
      <c r="C36" s="38" t="s">
        <v>801</v>
      </c>
      <c r="D36" s="38">
        <v>2000</v>
      </c>
      <c r="E36" s="63">
        <v>1965.0740000000001</v>
      </c>
      <c r="F36" s="63">
        <v>0.54376774688087004</v>
      </c>
    </row>
    <row r="37" spans="1:6" x14ac:dyDescent="0.2">
      <c r="A37" s="38" t="s">
        <v>725</v>
      </c>
      <c r="B37" s="38" t="s">
        <v>1437</v>
      </c>
      <c r="C37" s="38" t="s">
        <v>693</v>
      </c>
      <c r="D37" s="38">
        <v>190</v>
      </c>
      <c r="E37" s="63">
        <v>1945.2542000000001</v>
      </c>
      <c r="F37" s="63">
        <v>0.53828328777671997</v>
      </c>
    </row>
    <row r="38" spans="1:6" x14ac:dyDescent="0.2">
      <c r="A38" s="38" t="s">
        <v>800</v>
      </c>
      <c r="B38" s="38" t="s">
        <v>1498</v>
      </c>
      <c r="C38" s="38" t="s">
        <v>791</v>
      </c>
      <c r="D38" s="38">
        <v>250</v>
      </c>
      <c r="E38" s="63">
        <v>1894.7075</v>
      </c>
      <c r="F38" s="63">
        <v>0.524296198653733</v>
      </c>
    </row>
    <row r="39" spans="1:6" x14ac:dyDescent="0.2">
      <c r="A39" s="38" t="s">
        <v>799</v>
      </c>
      <c r="B39" s="38" t="s">
        <v>1499</v>
      </c>
      <c r="C39" s="38" t="s">
        <v>798</v>
      </c>
      <c r="D39" s="38">
        <v>150</v>
      </c>
      <c r="E39" s="63">
        <v>1472.3655000000001</v>
      </c>
      <c r="F39" s="63">
        <v>0.40742733887890498</v>
      </c>
    </row>
    <row r="40" spans="1:6" x14ac:dyDescent="0.2">
      <c r="A40" s="38" t="s">
        <v>797</v>
      </c>
      <c r="B40" s="38" t="s">
        <v>1493</v>
      </c>
      <c r="C40" s="38" t="s">
        <v>793</v>
      </c>
      <c r="D40" s="38">
        <v>150</v>
      </c>
      <c r="E40" s="63">
        <v>1459.1025</v>
      </c>
      <c r="F40" s="63">
        <v>0.40375725234431098</v>
      </c>
    </row>
    <row r="41" spans="1:6" x14ac:dyDescent="0.2">
      <c r="A41" s="38" t="s">
        <v>796</v>
      </c>
      <c r="B41" s="38" t="s">
        <v>1500</v>
      </c>
      <c r="C41" s="38" t="s">
        <v>715</v>
      </c>
      <c r="D41" s="38">
        <v>150</v>
      </c>
      <c r="E41" s="63">
        <v>1353.6869999999999</v>
      </c>
      <c r="F41" s="63">
        <v>0.37458707914914402</v>
      </c>
    </row>
    <row r="42" spans="1:6" x14ac:dyDescent="0.2">
      <c r="A42" s="38" t="s">
        <v>795</v>
      </c>
      <c r="B42" s="38" t="s">
        <v>1921</v>
      </c>
      <c r="C42" s="38" t="s">
        <v>693</v>
      </c>
      <c r="D42" s="38">
        <v>60</v>
      </c>
      <c r="E42" s="63">
        <v>593.21100000000001</v>
      </c>
      <c r="F42" s="63">
        <v>0.16415107466433701</v>
      </c>
    </row>
    <row r="43" spans="1:6" x14ac:dyDescent="0.2">
      <c r="A43" s="38" t="s">
        <v>794</v>
      </c>
      <c r="B43" s="38" t="s">
        <v>1493</v>
      </c>
      <c r="C43" s="38" t="s">
        <v>793</v>
      </c>
      <c r="D43" s="38">
        <v>40</v>
      </c>
      <c r="E43" s="63">
        <v>389.09399999999999</v>
      </c>
      <c r="F43" s="63">
        <v>0.10766860062515</v>
      </c>
    </row>
    <row r="44" spans="1:6" x14ac:dyDescent="0.2">
      <c r="A44" s="38" t="s">
        <v>742</v>
      </c>
      <c r="B44" s="38" t="s">
        <v>1445</v>
      </c>
      <c r="C44" s="38" t="s">
        <v>741</v>
      </c>
      <c r="D44" s="38">
        <v>30</v>
      </c>
      <c r="E44" s="63">
        <v>310.83359999999999</v>
      </c>
      <c r="F44" s="63">
        <v>8.6012682640383795E-2</v>
      </c>
    </row>
    <row r="45" spans="1:6" x14ac:dyDescent="0.2">
      <c r="A45" s="38" t="s">
        <v>792</v>
      </c>
      <c r="B45" s="38" t="s">
        <v>1501</v>
      </c>
      <c r="C45" s="38" t="s">
        <v>791</v>
      </c>
      <c r="D45" s="38">
        <v>30</v>
      </c>
      <c r="E45" s="63">
        <v>309.52050000000003</v>
      </c>
      <c r="F45" s="63">
        <v>8.5649326640340501E-2</v>
      </c>
    </row>
    <row r="46" spans="1:6" x14ac:dyDescent="0.2">
      <c r="A46" s="38" t="s">
        <v>790</v>
      </c>
      <c r="B46" s="38" t="s">
        <v>1502</v>
      </c>
      <c r="C46" s="38" t="s">
        <v>741</v>
      </c>
      <c r="D46" s="38">
        <v>25</v>
      </c>
      <c r="E46" s="63">
        <v>249.62475000000001</v>
      </c>
      <c r="F46" s="63">
        <v>6.9075204228034398E-2</v>
      </c>
    </row>
    <row r="47" spans="1:6" x14ac:dyDescent="0.2">
      <c r="A47" s="37" t="s">
        <v>43</v>
      </c>
      <c r="B47" s="38"/>
      <c r="C47" s="38"/>
      <c r="D47" s="38"/>
      <c r="E47" s="64">
        <f>SUM(E8:E46)</f>
        <v>231286.46507800001</v>
      </c>
      <c r="F47" s="64">
        <f>SUM(F8:F46)</f>
        <v>64.000704298924717</v>
      </c>
    </row>
    <row r="48" spans="1:6" x14ac:dyDescent="0.2">
      <c r="A48" s="38"/>
      <c r="B48" s="38"/>
      <c r="C48" s="38"/>
      <c r="D48" s="38"/>
      <c r="E48" s="63"/>
      <c r="F48" s="63"/>
    </row>
    <row r="49" spans="1:6" x14ac:dyDescent="0.2">
      <c r="A49" s="37" t="s">
        <v>717</v>
      </c>
      <c r="B49" s="38"/>
      <c r="C49" s="38"/>
      <c r="D49" s="38"/>
      <c r="E49" s="63"/>
      <c r="F49" s="63"/>
    </row>
    <row r="50" spans="1:6" x14ac:dyDescent="0.2">
      <c r="A50" s="38" t="s">
        <v>789</v>
      </c>
      <c r="B50" s="38" t="s">
        <v>1447</v>
      </c>
      <c r="C50" s="38" t="s">
        <v>785</v>
      </c>
      <c r="D50" s="38">
        <v>1400</v>
      </c>
      <c r="E50" s="63">
        <v>13853.518</v>
      </c>
      <c r="F50" s="63">
        <v>3.8334924126183401</v>
      </c>
    </row>
    <row r="51" spans="1:6" x14ac:dyDescent="0.2">
      <c r="A51" s="38" t="s">
        <v>788</v>
      </c>
      <c r="B51" s="38" t="s">
        <v>1448</v>
      </c>
      <c r="C51" s="38" t="s">
        <v>787</v>
      </c>
      <c r="D51" s="38">
        <v>1000</v>
      </c>
      <c r="E51" s="63">
        <v>11141.77</v>
      </c>
      <c r="F51" s="63">
        <v>3.0831078978017499</v>
      </c>
    </row>
    <row r="52" spans="1:6" x14ac:dyDescent="0.2">
      <c r="A52" s="38" t="s">
        <v>786</v>
      </c>
      <c r="B52" s="38" t="s">
        <v>1449</v>
      </c>
      <c r="C52" s="38" t="s">
        <v>785</v>
      </c>
      <c r="D52" s="38">
        <v>100</v>
      </c>
      <c r="E52" s="63">
        <v>11080.42</v>
      </c>
      <c r="F52" s="63">
        <v>3.0661313609023</v>
      </c>
    </row>
    <row r="53" spans="1:6" x14ac:dyDescent="0.2">
      <c r="A53" s="38" t="s">
        <v>784</v>
      </c>
      <c r="B53" s="38" t="s">
        <v>1450</v>
      </c>
      <c r="C53" s="38" t="s">
        <v>754</v>
      </c>
      <c r="D53" s="38">
        <v>1000</v>
      </c>
      <c r="E53" s="63">
        <v>10103.049999999999</v>
      </c>
      <c r="F53" s="63">
        <v>2.7956772799012999</v>
      </c>
    </row>
    <row r="54" spans="1:6" x14ac:dyDescent="0.2">
      <c r="A54" s="38" t="s">
        <v>783</v>
      </c>
      <c r="B54" s="38" t="s">
        <v>1451</v>
      </c>
      <c r="C54" s="38" t="s">
        <v>700</v>
      </c>
      <c r="D54" s="38">
        <v>1000</v>
      </c>
      <c r="E54" s="63">
        <v>10013.68</v>
      </c>
      <c r="F54" s="63">
        <v>2.77094715597786</v>
      </c>
    </row>
    <row r="55" spans="1:6" x14ac:dyDescent="0.2">
      <c r="A55" s="38" t="s">
        <v>782</v>
      </c>
      <c r="B55" s="38" t="s">
        <v>1452</v>
      </c>
      <c r="C55" s="38" t="s">
        <v>758</v>
      </c>
      <c r="D55" s="38">
        <v>770</v>
      </c>
      <c r="E55" s="63">
        <v>7001.4944999999998</v>
      </c>
      <c r="F55" s="63">
        <v>1.93742672747378</v>
      </c>
    </row>
    <row r="56" spans="1:6" x14ac:dyDescent="0.2">
      <c r="A56" s="38" t="s">
        <v>781</v>
      </c>
      <c r="B56" s="38" t="s">
        <v>1453</v>
      </c>
      <c r="C56" s="38" t="s">
        <v>775</v>
      </c>
      <c r="D56" s="38">
        <v>688</v>
      </c>
      <c r="E56" s="63">
        <v>6751.7911999999997</v>
      </c>
      <c r="F56" s="63">
        <v>1.86832978719076</v>
      </c>
    </row>
    <row r="57" spans="1:6" x14ac:dyDescent="0.2">
      <c r="A57" s="38" t="s">
        <v>780</v>
      </c>
      <c r="B57" s="38" t="s">
        <v>1454</v>
      </c>
      <c r="C57" s="38" t="s">
        <v>779</v>
      </c>
      <c r="D57" s="38">
        <v>44</v>
      </c>
      <c r="E57" s="63">
        <v>6331.0060000000003</v>
      </c>
      <c r="F57" s="63">
        <v>1.7518917191460801</v>
      </c>
    </row>
    <row r="58" spans="1:6" x14ac:dyDescent="0.2">
      <c r="A58" s="38" t="s">
        <v>778</v>
      </c>
      <c r="B58" s="38" t="s">
        <v>1455</v>
      </c>
      <c r="C58" s="38" t="s">
        <v>777</v>
      </c>
      <c r="D58" s="38">
        <v>470</v>
      </c>
      <c r="E58" s="63">
        <v>4555.9684999999999</v>
      </c>
      <c r="F58" s="63">
        <v>1.2607101443025599</v>
      </c>
    </row>
    <row r="59" spans="1:6" x14ac:dyDescent="0.2">
      <c r="A59" s="38" t="s">
        <v>776</v>
      </c>
      <c r="B59" s="38" t="s">
        <v>1456</v>
      </c>
      <c r="C59" s="38" t="s">
        <v>775</v>
      </c>
      <c r="D59" s="38">
        <v>400</v>
      </c>
      <c r="E59" s="63">
        <v>3971.2640000000001</v>
      </c>
      <c r="F59" s="63">
        <v>1.0989129557202999</v>
      </c>
    </row>
    <row r="60" spans="1:6" x14ac:dyDescent="0.2">
      <c r="A60" s="38" t="s">
        <v>774</v>
      </c>
      <c r="B60" s="38" t="s">
        <v>1457</v>
      </c>
      <c r="C60" s="38" t="s">
        <v>760</v>
      </c>
      <c r="D60" s="38">
        <v>370</v>
      </c>
      <c r="E60" s="63">
        <v>3550.8456000000001</v>
      </c>
      <c r="F60" s="63">
        <v>0.98257638716600604</v>
      </c>
    </row>
    <row r="61" spans="1:6" x14ac:dyDescent="0.2">
      <c r="A61" s="38" t="s">
        <v>773</v>
      </c>
      <c r="B61" s="38" t="s">
        <v>1458</v>
      </c>
      <c r="C61" s="38" t="s">
        <v>772</v>
      </c>
      <c r="D61" s="38">
        <v>350</v>
      </c>
      <c r="E61" s="63">
        <v>3458.0104999999999</v>
      </c>
      <c r="F61" s="63">
        <v>0.95688741404923705</v>
      </c>
    </row>
    <row r="62" spans="1:6" x14ac:dyDescent="0.2">
      <c r="A62" s="38" t="s">
        <v>771</v>
      </c>
      <c r="B62" s="38" t="s">
        <v>1459</v>
      </c>
      <c r="C62" s="38" t="s">
        <v>767</v>
      </c>
      <c r="D62" s="38">
        <v>3559</v>
      </c>
      <c r="E62" s="63">
        <v>3431.8974330000001</v>
      </c>
      <c r="F62" s="63">
        <v>0.94966150621740097</v>
      </c>
    </row>
    <row r="63" spans="1:6" x14ac:dyDescent="0.2">
      <c r="A63" s="38" t="s">
        <v>770</v>
      </c>
      <c r="B63" s="38" t="s">
        <v>1460</v>
      </c>
      <c r="C63" s="38" t="s">
        <v>769</v>
      </c>
      <c r="D63" s="38">
        <v>677</v>
      </c>
      <c r="E63" s="63">
        <v>3385</v>
      </c>
      <c r="F63" s="63">
        <v>0.93668422827422504</v>
      </c>
    </row>
    <row r="64" spans="1:6" x14ac:dyDescent="0.2">
      <c r="A64" s="38" t="s">
        <v>768</v>
      </c>
      <c r="B64" s="38" t="s">
        <v>1461</v>
      </c>
      <c r="C64" s="38" t="s">
        <v>767</v>
      </c>
      <c r="D64" s="38">
        <v>3473</v>
      </c>
      <c r="E64" s="63">
        <v>3348.9687509999999</v>
      </c>
      <c r="F64" s="63">
        <v>0.92671379912701102</v>
      </c>
    </row>
    <row r="65" spans="1:6" x14ac:dyDescent="0.2">
      <c r="A65" s="38" t="s">
        <v>766</v>
      </c>
      <c r="B65" s="38" t="s">
        <v>1462</v>
      </c>
      <c r="C65" s="38" t="s">
        <v>765</v>
      </c>
      <c r="D65" s="38">
        <v>300</v>
      </c>
      <c r="E65" s="63">
        <v>2969.6849999999999</v>
      </c>
      <c r="F65" s="63">
        <v>0.821759853011091</v>
      </c>
    </row>
    <row r="66" spans="1:6" x14ac:dyDescent="0.2">
      <c r="A66" s="38" t="s">
        <v>764</v>
      </c>
      <c r="B66" s="38" t="s">
        <v>1463</v>
      </c>
      <c r="C66" s="38" t="s">
        <v>758</v>
      </c>
      <c r="D66" s="38">
        <v>250</v>
      </c>
      <c r="E66" s="63">
        <v>2358.7950000000001</v>
      </c>
      <c r="F66" s="63">
        <v>0.65271671321480096</v>
      </c>
    </row>
    <row r="67" spans="1:6" x14ac:dyDescent="0.2">
      <c r="A67" s="38" t="s">
        <v>763</v>
      </c>
      <c r="B67" s="38" t="s">
        <v>1464</v>
      </c>
      <c r="C67" s="38" t="s">
        <v>752</v>
      </c>
      <c r="D67" s="38">
        <v>4</v>
      </c>
      <c r="E67" s="63">
        <v>1997.5360000000001</v>
      </c>
      <c r="F67" s="63">
        <v>0.55275050712259499</v>
      </c>
    </row>
    <row r="68" spans="1:6" x14ac:dyDescent="0.2">
      <c r="A68" s="38" t="s">
        <v>762</v>
      </c>
      <c r="B68" s="38" t="s">
        <v>1465</v>
      </c>
      <c r="C68" s="38" t="s">
        <v>758</v>
      </c>
      <c r="D68" s="38">
        <v>110</v>
      </c>
      <c r="E68" s="63">
        <v>1047.6344999999999</v>
      </c>
      <c r="F68" s="63">
        <v>0.289897404179012</v>
      </c>
    </row>
    <row r="69" spans="1:6" x14ac:dyDescent="0.2">
      <c r="A69" s="38" t="s">
        <v>761</v>
      </c>
      <c r="B69" s="38" t="s">
        <v>1466</v>
      </c>
      <c r="C69" s="38" t="s">
        <v>760</v>
      </c>
      <c r="D69" s="38">
        <v>10</v>
      </c>
      <c r="E69" s="63">
        <v>1007.585</v>
      </c>
      <c r="F69" s="63">
        <v>0.27881506001349599</v>
      </c>
    </row>
    <row r="70" spans="1:6" x14ac:dyDescent="0.2">
      <c r="A70" s="38" t="s">
        <v>759</v>
      </c>
      <c r="B70" s="38" t="s">
        <v>1467</v>
      </c>
      <c r="C70" s="38" t="s">
        <v>758</v>
      </c>
      <c r="D70" s="38">
        <v>100</v>
      </c>
      <c r="E70" s="63">
        <v>1003.543</v>
      </c>
      <c r="F70" s="63">
        <v>0.27769657326292502</v>
      </c>
    </row>
    <row r="71" spans="1:6" x14ac:dyDescent="0.2">
      <c r="A71" s="38" t="s">
        <v>757</v>
      </c>
      <c r="B71" s="38" t="s">
        <v>1468</v>
      </c>
      <c r="C71" s="38" t="s">
        <v>756</v>
      </c>
      <c r="D71" s="38">
        <v>100</v>
      </c>
      <c r="E71" s="63">
        <v>1000.783</v>
      </c>
      <c r="F71" s="63">
        <v>0.27693283663957602</v>
      </c>
    </row>
    <row r="72" spans="1:6" x14ac:dyDescent="0.2">
      <c r="A72" s="38" t="s">
        <v>755</v>
      </c>
      <c r="B72" s="38" t="s">
        <v>1469</v>
      </c>
      <c r="C72" s="38" t="s">
        <v>754</v>
      </c>
      <c r="D72" s="38">
        <v>50</v>
      </c>
      <c r="E72" s="63">
        <v>480.41649999999998</v>
      </c>
      <c r="F72" s="63">
        <v>0.13293901286638199</v>
      </c>
    </row>
    <row r="73" spans="1:6" x14ac:dyDescent="0.2">
      <c r="A73" s="38" t="s">
        <v>753</v>
      </c>
      <c r="B73" s="38" t="s">
        <v>1470</v>
      </c>
      <c r="C73" s="38" t="s">
        <v>752</v>
      </c>
      <c r="D73" s="38">
        <v>40</v>
      </c>
      <c r="E73" s="63">
        <v>401.46480000000003</v>
      </c>
      <c r="F73" s="63">
        <v>0.111091800994761</v>
      </c>
    </row>
    <row r="74" spans="1:6" x14ac:dyDescent="0.2">
      <c r="A74" s="37" t="s">
        <v>43</v>
      </c>
      <c r="B74" s="38"/>
      <c r="C74" s="38"/>
      <c r="D74" s="38"/>
      <c r="E74" s="64">
        <f>SUM(E50:E73)</f>
        <v>114246.12728400002</v>
      </c>
      <c r="F74" s="64">
        <f>SUM(F50:F73)</f>
        <v>31.613750537173551</v>
      </c>
    </row>
    <row r="75" spans="1:6" x14ac:dyDescent="0.2">
      <c r="A75" s="38"/>
      <c r="B75" s="38"/>
      <c r="C75" s="38"/>
      <c r="D75" s="38"/>
      <c r="E75" s="63"/>
      <c r="F75" s="63"/>
    </row>
    <row r="76" spans="1:6" x14ac:dyDescent="0.2">
      <c r="A76" s="37" t="s">
        <v>43</v>
      </c>
      <c r="B76" s="38"/>
      <c r="C76" s="38"/>
      <c r="D76" s="38"/>
      <c r="E76" s="64">
        <v>345532.59236200002</v>
      </c>
      <c r="F76" s="64">
        <v>95.61445483609829</v>
      </c>
    </row>
    <row r="77" spans="1:6" x14ac:dyDescent="0.2">
      <c r="A77" s="38"/>
      <c r="B77" s="38"/>
      <c r="C77" s="38"/>
      <c r="D77" s="38"/>
      <c r="E77" s="63"/>
      <c r="F77" s="63"/>
    </row>
    <row r="78" spans="1:6" x14ac:dyDescent="0.2">
      <c r="A78" s="37" t="s">
        <v>101</v>
      </c>
      <c r="B78" s="38"/>
      <c r="C78" s="38"/>
      <c r="D78" s="38"/>
      <c r="E78" s="64">
        <v>15848.5348041</v>
      </c>
      <c r="F78" s="64">
        <v>4.3899999999999997</v>
      </c>
    </row>
    <row r="79" spans="1:6" x14ac:dyDescent="0.2">
      <c r="A79" s="38"/>
      <c r="B79" s="38"/>
      <c r="C79" s="38"/>
      <c r="D79" s="38"/>
      <c r="E79" s="63"/>
      <c r="F79" s="63"/>
    </row>
    <row r="80" spans="1:6" x14ac:dyDescent="0.2">
      <c r="A80" s="80" t="s">
        <v>102</v>
      </c>
      <c r="B80" s="79"/>
      <c r="C80" s="79"/>
      <c r="D80" s="79"/>
      <c r="E80" s="61">
        <v>361381.12480410002</v>
      </c>
      <c r="F80" s="61">
        <f xml:space="preserve"> ROUND(SUM(F76:F79),2)</f>
        <v>100</v>
      </c>
    </row>
    <row r="81" spans="1:4" x14ac:dyDescent="0.2">
      <c r="A81" s="88" t="s">
        <v>686</v>
      </c>
    </row>
    <row r="83" spans="1:4" x14ac:dyDescent="0.2">
      <c r="A83" s="4" t="s">
        <v>103</v>
      </c>
    </row>
    <row r="84" spans="1:4" x14ac:dyDescent="0.2">
      <c r="A84" s="4" t="s">
        <v>685</v>
      </c>
    </row>
    <row r="85" spans="1:4" x14ac:dyDescent="0.2">
      <c r="A85" s="4" t="s">
        <v>608</v>
      </c>
    </row>
    <row r="86" spans="1:4" x14ac:dyDescent="0.2">
      <c r="A86" s="2" t="s">
        <v>600</v>
      </c>
      <c r="D86" s="10">
        <v>22.018999999999998</v>
      </c>
    </row>
    <row r="87" spans="1:4" x14ac:dyDescent="0.2">
      <c r="A87" s="2" t="s">
        <v>601</v>
      </c>
      <c r="D87" s="10">
        <v>11.065799999999999</v>
      </c>
    </row>
    <row r="88" spans="1:4" x14ac:dyDescent="0.2">
      <c r="A88" s="2" t="s">
        <v>602</v>
      </c>
      <c r="D88" s="10">
        <v>23.0929</v>
      </c>
    </row>
    <row r="89" spans="1:4" x14ac:dyDescent="0.2">
      <c r="A89" s="2" t="s">
        <v>603</v>
      </c>
      <c r="D89" s="10">
        <v>11.6972</v>
      </c>
    </row>
    <row r="90" spans="1:4" x14ac:dyDescent="0.2">
      <c r="D90" s="10"/>
    </row>
    <row r="91" spans="1:4" x14ac:dyDescent="0.2">
      <c r="A91" s="4" t="s">
        <v>105</v>
      </c>
    </row>
    <row r="92" spans="1:4" x14ac:dyDescent="0.2">
      <c r="A92" s="2" t="s">
        <v>600</v>
      </c>
      <c r="D92" s="10">
        <v>22.669699999999999</v>
      </c>
    </row>
    <row r="93" spans="1:4" x14ac:dyDescent="0.2">
      <c r="A93" s="2" t="s">
        <v>601</v>
      </c>
      <c r="D93" s="10">
        <v>10.947100000000001</v>
      </c>
    </row>
    <row r="94" spans="1:4" x14ac:dyDescent="0.2">
      <c r="A94" s="2" t="s">
        <v>602</v>
      </c>
      <c r="D94" s="10">
        <v>23.872199999999999</v>
      </c>
    </row>
    <row r="95" spans="1:4" x14ac:dyDescent="0.2">
      <c r="A95" s="2" t="s">
        <v>603</v>
      </c>
      <c r="D95" s="10">
        <v>11.6462</v>
      </c>
    </row>
    <row r="97" spans="1:5" x14ac:dyDescent="0.2">
      <c r="A97" s="4" t="s">
        <v>106</v>
      </c>
      <c r="D97" s="20" t="s">
        <v>311</v>
      </c>
    </row>
    <row r="98" spans="1:5" x14ac:dyDescent="0.2">
      <c r="A98" s="21" t="s">
        <v>604</v>
      </c>
      <c r="B98" s="22"/>
      <c r="C98" s="103" t="s">
        <v>605</v>
      </c>
      <c r="D98" s="104"/>
    </row>
    <row r="99" spans="1:5" x14ac:dyDescent="0.2">
      <c r="A99" s="87"/>
      <c r="B99" s="86"/>
      <c r="C99" s="23" t="s">
        <v>606</v>
      </c>
      <c r="D99" s="23" t="s">
        <v>607</v>
      </c>
    </row>
    <row r="100" spans="1:5" x14ac:dyDescent="0.2">
      <c r="A100" s="24" t="s">
        <v>601</v>
      </c>
      <c r="B100" s="25"/>
      <c r="C100" s="26">
        <v>0.31694198800000001</v>
      </c>
      <c r="D100" s="26">
        <v>0.29348986040000002</v>
      </c>
    </row>
    <row r="101" spans="1:5" x14ac:dyDescent="0.2">
      <c r="A101" s="24" t="s">
        <v>603</v>
      </c>
      <c r="B101" s="25"/>
      <c r="C101" s="26">
        <v>0.31694198800000001</v>
      </c>
      <c r="D101" s="26">
        <v>0.29348986040000002</v>
      </c>
    </row>
    <row r="102" spans="1:5" x14ac:dyDescent="0.2">
      <c r="A102" s="4"/>
      <c r="D102" s="20"/>
    </row>
    <row r="103" spans="1:5" x14ac:dyDescent="0.2">
      <c r="A103" s="4" t="s">
        <v>680</v>
      </c>
      <c r="D103" s="15">
        <v>4.5287178667037766</v>
      </c>
      <c r="E103" s="72" t="s">
        <v>751</v>
      </c>
    </row>
  </sheetData>
  <mergeCells count="2">
    <mergeCell ref="A1:F1"/>
    <mergeCell ref="C98:D9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B125-1D97-490E-AF30-154C5ED2A3A2}">
  <dimension ref="A1:F13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884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819</v>
      </c>
      <c r="B8" s="38" t="s">
        <v>1481</v>
      </c>
      <c r="C8" s="38" t="s">
        <v>713</v>
      </c>
      <c r="D8" s="38">
        <v>2750</v>
      </c>
      <c r="E8" s="63">
        <v>25751.715</v>
      </c>
      <c r="F8" s="63">
        <v>6.5028242742067901</v>
      </c>
    </row>
    <row r="9" spans="1:6" x14ac:dyDescent="0.2">
      <c r="A9" s="38" t="s">
        <v>812</v>
      </c>
      <c r="B9" s="38" t="s">
        <v>1487</v>
      </c>
      <c r="C9" s="38" t="s">
        <v>798</v>
      </c>
      <c r="D9" s="38">
        <v>1112</v>
      </c>
      <c r="E9" s="63">
        <v>11007.88816</v>
      </c>
      <c r="F9" s="63">
        <v>2.7797124321468099</v>
      </c>
    </row>
    <row r="10" spans="1:6" x14ac:dyDescent="0.2">
      <c r="A10" s="38" t="s">
        <v>883</v>
      </c>
      <c r="B10" s="38" t="s">
        <v>1522</v>
      </c>
      <c r="C10" s="38" t="s">
        <v>695</v>
      </c>
      <c r="D10" s="38">
        <v>1000</v>
      </c>
      <c r="E10" s="63">
        <v>9992.93</v>
      </c>
      <c r="F10" s="63">
        <v>2.5234151501928799</v>
      </c>
    </row>
    <row r="11" spans="1:6" x14ac:dyDescent="0.2">
      <c r="A11" s="38" t="s">
        <v>882</v>
      </c>
      <c r="B11" s="38" t="s">
        <v>1523</v>
      </c>
      <c r="C11" s="38" t="s">
        <v>691</v>
      </c>
      <c r="D11" s="38">
        <v>1000</v>
      </c>
      <c r="E11" s="63">
        <v>9966.7099999999991</v>
      </c>
      <c r="F11" s="63">
        <v>2.5167940745686099</v>
      </c>
    </row>
    <row r="12" spans="1:6" x14ac:dyDescent="0.2">
      <c r="A12" s="38" t="s">
        <v>881</v>
      </c>
      <c r="B12" s="38" t="s">
        <v>1524</v>
      </c>
      <c r="C12" s="38" t="s">
        <v>798</v>
      </c>
      <c r="D12" s="38">
        <v>4810</v>
      </c>
      <c r="E12" s="63">
        <v>9915.2378000000008</v>
      </c>
      <c r="F12" s="63">
        <v>2.5037963122212501</v>
      </c>
    </row>
    <row r="13" spans="1:6" x14ac:dyDescent="0.2">
      <c r="A13" s="38" t="s">
        <v>816</v>
      </c>
      <c r="B13" s="38" t="s">
        <v>1484</v>
      </c>
      <c r="C13" s="38" t="s">
        <v>693</v>
      </c>
      <c r="D13" s="38">
        <v>950</v>
      </c>
      <c r="E13" s="63">
        <v>9516.5395000000008</v>
      </c>
      <c r="F13" s="63">
        <v>2.4031169988891099</v>
      </c>
    </row>
    <row r="14" spans="1:6" x14ac:dyDescent="0.2">
      <c r="A14" s="38" t="s">
        <v>828</v>
      </c>
      <c r="B14" s="38" t="s">
        <v>1472</v>
      </c>
      <c r="C14" s="38" t="s">
        <v>693</v>
      </c>
      <c r="D14" s="38">
        <v>915</v>
      </c>
      <c r="E14" s="63">
        <v>9432.1311000000005</v>
      </c>
      <c r="F14" s="63">
        <v>2.3818021857798901</v>
      </c>
    </row>
    <row r="15" spans="1:6" x14ac:dyDescent="0.2">
      <c r="A15" s="38" t="s">
        <v>826</v>
      </c>
      <c r="B15" s="38" t="s">
        <v>1474</v>
      </c>
      <c r="C15" s="38" t="s">
        <v>754</v>
      </c>
      <c r="D15" s="38">
        <v>940</v>
      </c>
      <c r="E15" s="63">
        <v>9197.9187999999995</v>
      </c>
      <c r="F15" s="63">
        <v>2.3226588848479799</v>
      </c>
    </row>
    <row r="16" spans="1:6" x14ac:dyDescent="0.2">
      <c r="A16" s="38" t="s">
        <v>724</v>
      </c>
      <c r="B16" s="38" t="s">
        <v>1438</v>
      </c>
      <c r="C16" s="38" t="s">
        <v>693</v>
      </c>
      <c r="D16" s="38">
        <v>900</v>
      </c>
      <c r="E16" s="63">
        <v>8982.8459999999995</v>
      </c>
      <c r="F16" s="63">
        <v>2.2683486913497402</v>
      </c>
    </row>
    <row r="17" spans="1:6" x14ac:dyDescent="0.2">
      <c r="A17" s="38" t="s">
        <v>800</v>
      </c>
      <c r="B17" s="38" t="s">
        <v>1498</v>
      </c>
      <c r="C17" s="38" t="s">
        <v>791</v>
      </c>
      <c r="D17" s="38">
        <v>937</v>
      </c>
      <c r="E17" s="63">
        <v>7101.3637099999996</v>
      </c>
      <c r="F17" s="63">
        <v>1.7932366956282</v>
      </c>
    </row>
    <row r="18" spans="1:6" x14ac:dyDescent="0.2">
      <c r="A18" s="38" t="s">
        <v>815</v>
      </c>
      <c r="B18" s="38" t="s">
        <v>1485</v>
      </c>
      <c r="C18" s="38" t="s">
        <v>814</v>
      </c>
      <c r="D18" s="38">
        <v>650</v>
      </c>
      <c r="E18" s="63">
        <v>6496.9709999999995</v>
      </c>
      <c r="F18" s="63">
        <v>1.6406154202785199</v>
      </c>
    </row>
    <row r="19" spans="1:6" x14ac:dyDescent="0.2">
      <c r="A19" s="38" t="s">
        <v>880</v>
      </c>
      <c r="B19" s="38" t="s">
        <v>1525</v>
      </c>
      <c r="C19" s="38" t="s">
        <v>739</v>
      </c>
      <c r="D19" s="38">
        <v>682</v>
      </c>
      <c r="E19" s="63">
        <v>6200.4371000000001</v>
      </c>
      <c r="F19" s="63">
        <v>1.56573466600467</v>
      </c>
    </row>
    <row r="20" spans="1:6" x14ac:dyDescent="0.2">
      <c r="A20" s="38" t="s">
        <v>879</v>
      </c>
      <c r="B20" s="38" t="s">
        <v>1526</v>
      </c>
      <c r="C20" s="38" t="s">
        <v>801</v>
      </c>
      <c r="D20" s="38">
        <v>560</v>
      </c>
      <c r="E20" s="63">
        <v>5607.9912000000004</v>
      </c>
      <c r="F20" s="63">
        <v>1.4161301996740101</v>
      </c>
    </row>
    <row r="21" spans="1:6" x14ac:dyDescent="0.2">
      <c r="A21" s="38" t="s">
        <v>809</v>
      </c>
      <c r="B21" s="38" t="s">
        <v>1490</v>
      </c>
      <c r="C21" s="38" t="s">
        <v>752</v>
      </c>
      <c r="D21" s="38">
        <v>11</v>
      </c>
      <c r="E21" s="63">
        <v>5583.1049999999996</v>
      </c>
      <c r="F21" s="63">
        <v>1.4098459352880099</v>
      </c>
    </row>
    <row r="22" spans="1:6" x14ac:dyDescent="0.2">
      <c r="A22" s="38" t="s">
        <v>794</v>
      </c>
      <c r="B22" s="38" t="s">
        <v>1493</v>
      </c>
      <c r="C22" s="38" t="s">
        <v>793</v>
      </c>
      <c r="D22" s="38">
        <v>560</v>
      </c>
      <c r="E22" s="63">
        <v>5447.3159999999998</v>
      </c>
      <c r="F22" s="63">
        <v>1.37555649066771</v>
      </c>
    </row>
    <row r="23" spans="1:6" x14ac:dyDescent="0.2">
      <c r="A23" s="38" t="s">
        <v>878</v>
      </c>
      <c r="B23" s="38" t="s">
        <v>1527</v>
      </c>
      <c r="C23" s="38" t="s">
        <v>793</v>
      </c>
      <c r="D23" s="38">
        <v>500</v>
      </c>
      <c r="E23" s="63">
        <v>4935.8</v>
      </c>
      <c r="F23" s="63">
        <v>1.2463884464638499</v>
      </c>
    </row>
    <row r="24" spans="1:6" x14ac:dyDescent="0.2">
      <c r="A24" s="38" t="s">
        <v>829</v>
      </c>
      <c r="B24" s="38" t="s">
        <v>1471</v>
      </c>
      <c r="C24" s="38" t="s">
        <v>791</v>
      </c>
      <c r="D24" s="38">
        <v>585</v>
      </c>
      <c r="E24" s="63">
        <v>4877.6715000000004</v>
      </c>
      <c r="F24" s="63">
        <v>1.2317098349297</v>
      </c>
    </row>
    <row r="25" spans="1:6" x14ac:dyDescent="0.2">
      <c r="A25" s="38" t="s">
        <v>694</v>
      </c>
      <c r="B25" s="38" t="s">
        <v>1917</v>
      </c>
      <c r="C25" s="38" t="s">
        <v>693</v>
      </c>
      <c r="D25" s="38">
        <v>445</v>
      </c>
      <c r="E25" s="63">
        <v>4538.6706999999997</v>
      </c>
      <c r="F25" s="63">
        <v>1.1461053370849701</v>
      </c>
    </row>
    <row r="26" spans="1:6" x14ac:dyDescent="0.2">
      <c r="A26" s="38" t="s">
        <v>877</v>
      </c>
      <c r="B26" s="38" t="s">
        <v>1528</v>
      </c>
      <c r="C26" s="38" t="s">
        <v>728</v>
      </c>
      <c r="D26" s="38">
        <v>450</v>
      </c>
      <c r="E26" s="63">
        <v>4365.9629999999997</v>
      </c>
      <c r="F26" s="63">
        <v>1.1024931806168501</v>
      </c>
    </row>
    <row r="27" spans="1:6" x14ac:dyDescent="0.2">
      <c r="A27" s="38" t="s">
        <v>817</v>
      </c>
      <c r="B27" s="38" t="s">
        <v>1483</v>
      </c>
      <c r="C27" s="38" t="s">
        <v>752</v>
      </c>
      <c r="D27" s="38">
        <v>8</v>
      </c>
      <c r="E27" s="63">
        <v>4060.44</v>
      </c>
      <c r="F27" s="63">
        <v>1.02534249839128</v>
      </c>
    </row>
    <row r="28" spans="1:6" x14ac:dyDescent="0.2">
      <c r="A28" s="38" t="s">
        <v>876</v>
      </c>
      <c r="B28" s="38" t="s">
        <v>1529</v>
      </c>
      <c r="C28" s="38" t="s">
        <v>791</v>
      </c>
      <c r="D28" s="38">
        <v>475</v>
      </c>
      <c r="E28" s="63">
        <v>3598.9135000000001</v>
      </c>
      <c r="F28" s="63">
        <v>0.90879780506154695</v>
      </c>
    </row>
    <row r="29" spans="1:6" x14ac:dyDescent="0.2">
      <c r="A29" s="38" t="s">
        <v>875</v>
      </c>
      <c r="B29" s="38" t="s">
        <v>1530</v>
      </c>
      <c r="C29" s="38" t="s">
        <v>735</v>
      </c>
      <c r="D29" s="38">
        <v>300</v>
      </c>
      <c r="E29" s="63">
        <v>3043.683</v>
      </c>
      <c r="F29" s="63">
        <v>0.76859097327655801</v>
      </c>
    </row>
    <row r="30" spans="1:6" x14ac:dyDescent="0.2">
      <c r="A30" s="38" t="s">
        <v>799</v>
      </c>
      <c r="B30" s="38" t="s">
        <v>1499</v>
      </c>
      <c r="C30" s="38" t="s">
        <v>798</v>
      </c>
      <c r="D30" s="38">
        <v>300</v>
      </c>
      <c r="E30" s="63">
        <v>2944.7310000000002</v>
      </c>
      <c r="F30" s="63">
        <v>0.74360360961626204</v>
      </c>
    </row>
    <row r="31" spans="1:6" x14ac:dyDescent="0.2">
      <c r="A31" s="38" t="s">
        <v>874</v>
      </c>
      <c r="B31" s="38" t="s">
        <v>1531</v>
      </c>
      <c r="C31" s="38" t="s">
        <v>752</v>
      </c>
      <c r="D31" s="38">
        <v>300</v>
      </c>
      <c r="E31" s="63">
        <v>2941.0590000000002</v>
      </c>
      <c r="F31" s="63">
        <v>0.74267635600480797</v>
      </c>
    </row>
    <row r="32" spans="1:6" x14ac:dyDescent="0.2">
      <c r="A32" s="38" t="s">
        <v>873</v>
      </c>
      <c r="B32" s="38" t="s">
        <v>1532</v>
      </c>
      <c r="C32" s="38" t="s">
        <v>787</v>
      </c>
      <c r="D32" s="38">
        <v>250</v>
      </c>
      <c r="E32" s="63">
        <v>2819.15</v>
      </c>
      <c r="F32" s="63">
        <v>0.71189188963259598</v>
      </c>
    </row>
    <row r="33" spans="1:6" x14ac:dyDescent="0.2">
      <c r="A33" s="38" t="s">
        <v>872</v>
      </c>
      <c r="B33" s="38" t="s">
        <v>1533</v>
      </c>
      <c r="C33" s="38" t="s">
        <v>728</v>
      </c>
      <c r="D33" s="38">
        <v>280</v>
      </c>
      <c r="E33" s="63">
        <v>2793.9744000000001</v>
      </c>
      <c r="F33" s="63">
        <v>0.70553454594509002</v>
      </c>
    </row>
    <row r="34" spans="1:6" x14ac:dyDescent="0.2">
      <c r="A34" s="38" t="s">
        <v>871</v>
      </c>
      <c r="B34" s="38" t="s">
        <v>1534</v>
      </c>
      <c r="C34" s="38" t="s">
        <v>798</v>
      </c>
      <c r="D34" s="38">
        <v>270</v>
      </c>
      <c r="E34" s="63">
        <v>2633.6799000000001</v>
      </c>
      <c r="F34" s="63">
        <v>0.66505697132057096</v>
      </c>
    </row>
    <row r="35" spans="1:6" x14ac:dyDescent="0.2">
      <c r="A35" s="38" t="s">
        <v>870</v>
      </c>
      <c r="B35" s="38" t="s">
        <v>1535</v>
      </c>
      <c r="C35" s="38" t="s">
        <v>693</v>
      </c>
      <c r="D35" s="38">
        <v>250</v>
      </c>
      <c r="E35" s="63">
        <v>2605.3150000000001</v>
      </c>
      <c r="F35" s="63">
        <v>0.657894265448148</v>
      </c>
    </row>
    <row r="36" spans="1:6" x14ac:dyDescent="0.2">
      <c r="A36" s="38" t="s">
        <v>701</v>
      </c>
      <c r="B36" s="38" t="s">
        <v>1423</v>
      </c>
      <c r="C36" s="38" t="s">
        <v>700</v>
      </c>
      <c r="D36" s="38">
        <v>250</v>
      </c>
      <c r="E36" s="63">
        <v>2519.94</v>
      </c>
      <c r="F36" s="63">
        <v>0.63633536646179301</v>
      </c>
    </row>
    <row r="37" spans="1:6" x14ac:dyDescent="0.2">
      <c r="A37" s="38" t="s">
        <v>869</v>
      </c>
      <c r="B37" s="38" t="s">
        <v>1536</v>
      </c>
      <c r="C37" s="38" t="s">
        <v>801</v>
      </c>
      <c r="D37" s="38">
        <v>250</v>
      </c>
      <c r="E37" s="63">
        <v>2503.4349999999999</v>
      </c>
      <c r="F37" s="63">
        <v>0.632167523091137</v>
      </c>
    </row>
    <row r="38" spans="1:6" x14ac:dyDescent="0.2">
      <c r="A38" s="38" t="s">
        <v>868</v>
      </c>
      <c r="B38" s="38" t="s">
        <v>1537</v>
      </c>
      <c r="C38" s="38" t="s">
        <v>793</v>
      </c>
      <c r="D38" s="38">
        <v>250</v>
      </c>
      <c r="E38" s="63">
        <v>2477.9875000000002</v>
      </c>
      <c r="F38" s="63">
        <v>0.62574151920293497</v>
      </c>
    </row>
    <row r="39" spans="1:6" x14ac:dyDescent="0.2">
      <c r="A39" s="38" t="s">
        <v>867</v>
      </c>
      <c r="B39" s="38" t="s">
        <v>1538</v>
      </c>
      <c r="C39" s="38" t="s">
        <v>752</v>
      </c>
      <c r="D39" s="38">
        <v>250</v>
      </c>
      <c r="E39" s="63">
        <v>2473.1149999999998</v>
      </c>
      <c r="F39" s="63">
        <v>0.62451111527542602</v>
      </c>
    </row>
    <row r="40" spans="1:6" x14ac:dyDescent="0.2">
      <c r="A40" s="38" t="s">
        <v>866</v>
      </c>
      <c r="B40" s="38" t="s">
        <v>1528</v>
      </c>
      <c r="C40" s="38" t="s">
        <v>728</v>
      </c>
      <c r="D40" s="38">
        <v>250</v>
      </c>
      <c r="E40" s="63">
        <v>2422.8200000000002</v>
      </c>
      <c r="F40" s="63">
        <v>0.61181061952703697</v>
      </c>
    </row>
    <row r="41" spans="1:6" x14ac:dyDescent="0.2">
      <c r="A41" s="38" t="s">
        <v>865</v>
      </c>
      <c r="B41" s="38" t="s">
        <v>1539</v>
      </c>
      <c r="C41" s="38" t="s">
        <v>715</v>
      </c>
      <c r="D41" s="38">
        <v>250</v>
      </c>
      <c r="E41" s="63">
        <v>2282.0475000000001</v>
      </c>
      <c r="F41" s="63">
        <v>0.57626274125404597</v>
      </c>
    </row>
    <row r="42" spans="1:6" x14ac:dyDescent="0.2">
      <c r="A42" s="38" t="s">
        <v>864</v>
      </c>
      <c r="B42" s="38" t="s">
        <v>1540</v>
      </c>
      <c r="C42" s="38" t="s">
        <v>728</v>
      </c>
      <c r="D42" s="38">
        <v>211</v>
      </c>
      <c r="E42" s="63">
        <v>2188.2683400000001</v>
      </c>
      <c r="F42" s="63">
        <v>0.55258162339208095</v>
      </c>
    </row>
    <row r="43" spans="1:6" x14ac:dyDescent="0.2">
      <c r="A43" s="38" t="s">
        <v>863</v>
      </c>
      <c r="B43" s="38" t="s">
        <v>1541</v>
      </c>
      <c r="C43" s="38" t="s">
        <v>715</v>
      </c>
      <c r="D43" s="38">
        <v>200</v>
      </c>
      <c r="E43" s="63">
        <v>1980.806</v>
      </c>
      <c r="F43" s="63">
        <v>0.50019322360838703</v>
      </c>
    </row>
    <row r="44" spans="1:6" x14ac:dyDescent="0.2">
      <c r="A44" s="38" t="s">
        <v>862</v>
      </c>
      <c r="B44" s="38" t="s">
        <v>1542</v>
      </c>
      <c r="C44" s="38" t="s">
        <v>765</v>
      </c>
      <c r="D44" s="38">
        <v>200</v>
      </c>
      <c r="E44" s="63">
        <v>1974.954</v>
      </c>
      <c r="F44" s="63">
        <v>0.49871547629514401</v>
      </c>
    </row>
    <row r="45" spans="1:6" x14ac:dyDescent="0.2">
      <c r="A45" s="38" t="s">
        <v>861</v>
      </c>
      <c r="B45" s="38" t="s">
        <v>1543</v>
      </c>
      <c r="C45" s="38" t="s">
        <v>752</v>
      </c>
      <c r="D45" s="38">
        <v>200</v>
      </c>
      <c r="E45" s="63">
        <v>1960.0319999999999</v>
      </c>
      <c r="F45" s="63">
        <v>0.49494737215840101</v>
      </c>
    </row>
    <row r="46" spans="1:6" x14ac:dyDescent="0.2">
      <c r="A46" s="38" t="s">
        <v>725</v>
      </c>
      <c r="B46" s="38" t="s">
        <v>1437</v>
      </c>
      <c r="C46" s="38" t="s">
        <v>693</v>
      </c>
      <c r="D46" s="38">
        <v>190</v>
      </c>
      <c r="E46" s="63">
        <v>1945.2542000000001</v>
      </c>
      <c r="F46" s="63">
        <v>0.49121568141239202</v>
      </c>
    </row>
    <row r="47" spans="1:6" x14ac:dyDescent="0.2">
      <c r="A47" s="38" t="s">
        <v>795</v>
      </c>
      <c r="B47" s="38" t="s">
        <v>1921</v>
      </c>
      <c r="C47" s="38" t="s">
        <v>693</v>
      </c>
      <c r="D47" s="38">
        <v>180</v>
      </c>
      <c r="E47" s="63">
        <v>1779.633</v>
      </c>
      <c r="F47" s="63">
        <v>0.44939300825515699</v>
      </c>
    </row>
    <row r="48" spans="1:6" x14ac:dyDescent="0.2">
      <c r="A48" s="38" t="s">
        <v>860</v>
      </c>
      <c r="B48" s="38" t="s">
        <v>1544</v>
      </c>
      <c r="C48" s="38" t="s">
        <v>715</v>
      </c>
      <c r="D48" s="38">
        <v>170</v>
      </c>
      <c r="E48" s="63">
        <v>1768.1275000000001</v>
      </c>
      <c r="F48" s="63">
        <v>0.44648763885793902</v>
      </c>
    </row>
    <row r="49" spans="1:6" x14ac:dyDescent="0.2">
      <c r="A49" s="38" t="s">
        <v>722</v>
      </c>
      <c r="B49" s="38" t="s">
        <v>1919</v>
      </c>
      <c r="C49" s="38" t="s">
        <v>721</v>
      </c>
      <c r="D49" s="38">
        <v>170</v>
      </c>
      <c r="E49" s="63">
        <v>1739.4808</v>
      </c>
      <c r="F49" s="63">
        <v>0.43925377283635902</v>
      </c>
    </row>
    <row r="50" spans="1:6" x14ac:dyDescent="0.2">
      <c r="A50" s="38" t="s">
        <v>827</v>
      </c>
      <c r="B50" s="38" t="s">
        <v>1473</v>
      </c>
      <c r="C50" s="38" t="s">
        <v>700</v>
      </c>
      <c r="D50" s="38">
        <v>170</v>
      </c>
      <c r="E50" s="63">
        <v>1732.9476999999999</v>
      </c>
      <c r="F50" s="63">
        <v>0.43760403411931298</v>
      </c>
    </row>
    <row r="51" spans="1:6" x14ac:dyDescent="0.2">
      <c r="A51" s="38" t="s">
        <v>804</v>
      </c>
      <c r="B51" s="38" t="s">
        <v>1495</v>
      </c>
      <c r="C51" s="38" t="s">
        <v>798</v>
      </c>
      <c r="D51" s="38">
        <v>160</v>
      </c>
      <c r="E51" s="63">
        <v>1590.6976</v>
      </c>
      <c r="F51" s="63">
        <v>0.40168303222532897</v>
      </c>
    </row>
    <row r="52" spans="1:6" x14ac:dyDescent="0.2">
      <c r="A52" s="38" t="s">
        <v>859</v>
      </c>
      <c r="B52" s="38" t="s">
        <v>1545</v>
      </c>
      <c r="C52" s="38" t="s">
        <v>728</v>
      </c>
      <c r="D52" s="38">
        <v>140</v>
      </c>
      <c r="E52" s="63">
        <v>1401.7598</v>
      </c>
      <c r="F52" s="63">
        <v>0.35397245014738898</v>
      </c>
    </row>
    <row r="53" spans="1:6" x14ac:dyDescent="0.2">
      <c r="A53" s="38" t="s">
        <v>858</v>
      </c>
      <c r="B53" s="38" t="s">
        <v>1546</v>
      </c>
      <c r="C53" s="38" t="s">
        <v>752</v>
      </c>
      <c r="D53" s="38">
        <v>100</v>
      </c>
      <c r="E53" s="63">
        <v>999.99779999999998</v>
      </c>
      <c r="F53" s="63">
        <v>0.252519491148197</v>
      </c>
    </row>
    <row r="54" spans="1:6" x14ac:dyDescent="0.2">
      <c r="A54" s="38" t="s">
        <v>803</v>
      </c>
      <c r="B54" s="38" t="s">
        <v>1496</v>
      </c>
      <c r="C54" s="38" t="s">
        <v>715</v>
      </c>
      <c r="D54" s="38">
        <v>100</v>
      </c>
      <c r="E54" s="63">
        <v>994.07299999999998</v>
      </c>
      <c r="F54" s="63">
        <v>0.25102336037555401</v>
      </c>
    </row>
    <row r="55" spans="1:6" x14ac:dyDescent="0.2">
      <c r="A55" s="38" t="s">
        <v>719</v>
      </c>
      <c r="B55" s="38" t="s">
        <v>1440</v>
      </c>
      <c r="C55" s="38" t="s">
        <v>718</v>
      </c>
      <c r="D55" s="38">
        <v>58</v>
      </c>
      <c r="E55" s="63">
        <v>586.79354000000001</v>
      </c>
      <c r="F55" s="63">
        <v>0.14817713211954001</v>
      </c>
    </row>
    <row r="56" spans="1:6" x14ac:dyDescent="0.2">
      <c r="A56" s="38" t="s">
        <v>857</v>
      </c>
      <c r="B56" s="38" t="s">
        <v>1547</v>
      </c>
      <c r="C56" s="38" t="s">
        <v>791</v>
      </c>
      <c r="D56" s="38">
        <v>50</v>
      </c>
      <c r="E56" s="63">
        <v>506.0385</v>
      </c>
      <c r="F56" s="63">
        <v>0.12778486564810099</v>
      </c>
    </row>
    <row r="57" spans="1:6" x14ac:dyDescent="0.2">
      <c r="A57" s="38" t="s">
        <v>856</v>
      </c>
      <c r="B57" s="38" t="s">
        <v>1548</v>
      </c>
      <c r="C57" s="38" t="s">
        <v>718</v>
      </c>
      <c r="D57" s="38">
        <v>50</v>
      </c>
      <c r="E57" s="63">
        <v>502.91449999999998</v>
      </c>
      <c r="F57" s="63">
        <v>0.12699599302223399</v>
      </c>
    </row>
    <row r="58" spans="1:6" x14ac:dyDescent="0.2">
      <c r="A58" s="38" t="s">
        <v>818</v>
      </c>
      <c r="B58" s="38" t="s">
        <v>1482</v>
      </c>
      <c r="C58" s="38" t="s">
        <v>718</v>
      </c>
      <c r="D58" s="38">
        <v>40</v>
      </c>
      <c r="E58" s="63">
        <v>412.8408</v>
      </c>
      <c r="F58" s="63">
        <v>0.104250578092486</v>
      </c>
    </row>
    <row r="59" spans="1:6" x14ac:dyDescent="0.2">
      <c r="A59" s="38" t="s">
        <v>855</v>
      </c>
      <c r="B59" s="38" t="s">
        <v>1549</v>
      </c>
      <c r="C59" s="38" t="s">
        <v>754</v>
      </c>
      <c r="D59" s="38">
        <v>40</v>
      </c>
      <c r="E59" s="63">
        <v>393.142</v>
      </c>
      <c r="F59" s="63">
        <v>9.9276236196704004E-2</v>
      </c>
    </row>
    <row r="60" spans="1:6" x14ac:dyDescent="0.2">
      <c r="A60" s="38" t="s">
        <v>792</v>
      </c>
      <c r="B60" s="38" t="s">
        <v>1501</v>
      </c>
      <c r="C60" s="38" t="s">
        <v>791</v>
      </c>
      <c r="D60" s="38">
        <v>20</v>
      </c>
      <c r="E60" s="63">
        <v>206.34700000000001</v>
      </c>
      <c r="F60" s="63">
        <v>5.2106754074815902E-2</v>
      </c>
    </row>
    <row r="61" spans="1:6" x14ac:dyDescent="0.2">
      <c r="A61" s="37" t="s">
        <v>43</v>
      </c>
      <c r="B61" s="38"/>
      <c r="C61" s="38"/>
      <c r="D61" s="38"/>
      <c r="E61" s="64">
        <f>SUM(E8:E60)</f>
        <v>225703.60444999998</v>
      </c>
      <c r="F61" s="64">
        <f>SUM(F8:F60)</f>
        <v>56.994684734334299</v>
      </c>
    </row>
    <row r="62" spans="1:6" x14ac:dyDescent="0.2">
      <c r="A62" s="38"/>
      <c r="B62" s="38"/>
      <c r="C62" s="38"/>
      <c r="D62" s="38"/>
      <c r="E62" s="63"/>
      <c r="F62" s="63"/>
    </row>
    <row r="63" spans="1:6" x14ac:dyDescent="0.2">
      <c r="A63" s="37" t="s">
        <v>717</v>
      </c>
      <c r="B63" s="38"/>
      <c r="C63" s="38"/>
      <c r="D63" s="38"/>
      <c r="E63" s="63"/>
      <c r="F63" s="63"/>
    </row>
    <row r="64" spans="1:6" x14ac:dyDescent="0.2">
      <c r="A64" s="38" t="s">
        <v>786</v>
      </c>
      <c r="B64" s="38" t="s">
        <v>1449</v>
      </c>
      <c r="C64" s="38" t="s">
        <v>785</v>
      </c>
      <c r="D64" s="38">
        <v>120</v>
      </c>
      <c r="E64" s="63">
        <v>13296.504000000001</v>
      </c>
      <c r="F64" s="63">
        <v>3.3576338109243502</v>
      </c>
    </row>
    <row r="65" spans="1:6" x14ac:dyDescent="0.2">
      <c r="A65" s="38" t="s">
        <v>854</v>
      </c>
      <c r="B65" s="38" t="s">
        <v>1503</v>
      </c>
      <c r="C65" s="38" t="s">
        <v>752</v>
      </c>
      <c r="D65" s="38">
        <v>1000</v>
      </c>
      <c r="E65" s="63">
        <v>10036.620000000001</v>
      </c>
      <c r="F65" s="63">
        <v>2.5344477510328698</v>
      </c>
    </row>
    <row r="66" spans="1:6" x14ac:dyDescent="0.2">
      <c r="A66" s="38" t="s">
        <v>853</v>
      </c>
      <c r="B66" s="38" t="s">
        <v>1504</v>
      </c>
      <c r="C66" s="38" t="s">
        <v>775</v>
      </c>
      <c r="D66" s="38">
        <v>1000</v>
      </c>
      <c r="E66" s="63">
        <v>9812.07</v>
      </c>
      <c r="F66" s="63">
        <v>2.4777443745481098</v>
      </c>
    </row>
    <row r="67" spans="1:6" x14ac:dyDescent="0.2">
      <c r="A67" s="38" t="s">
        <v>778</v>
      </c>
      <c r="B67" s="38" t="s">
        <v>1455</v>
      </c>
      <c r="C67" s="38" t="s">
        <v>777</v>
      </c>
      <c r="D67" s="38">
        <v>950</v>
      </c>
      <c r="E67" s="63">
        <v>9208.8724999999995</v>
      </c>
      <c r="F67" s="63">
        <v>2.3254249136834302</v>
      </c>
    </row>
    <row r="68" spans="1:6" x14ac:dyDescent="0.2">
      <c r="A68" s="38" t="s">
        <v>852</v>
      </c>
      <c r="B68" s="38" t="s">
        <v>1505</v>
      </c>
      <c r="C68" s="38" t="s">
        <v>758</v>
      </c>
      <c r="D68" s="38">
        <v>9000</v>
      </c>
      <c r="E68" s="63">
        <v>9077.0759999999991</v>
      </c>
      <c r="F68" s="63">
        <v>2.29214365534955</v>
      </c>
    </row>
    <row r="69" spans="1:6" x14ac:dyDescent="0.2">
      <c r="A69" s="38" t="s">
        <v>763</v>
      </c>
      <c r="B69" s="38" t="s">
        <v>1464</v>
      </c>
      <c r="C69" s="38" t="s">
        <v>752</v>
      </c>
      <c r="D69" s="38">
        <v>14</v>
      </c>
      <c r="E69" s="63">
        <v>6991.3760000000002</v>
      </c>
      <c r="F69" s="63">
        <v>1.7654625939634201</v>
      </c>
    </row>
    <row r="70" spans="1:6" x14ac:dyDescent="0.2">
      <c r="A70" s="38" t="s">
        <v>768</v>
      </c>
      <c r="B70" s="38" t="s">
        <v>1461</v>
      </c>
      <c r="C70" s="38" t="s">
        <v>767</v>
      </c>
      <c r="D70" s="38">
        <v>6878</v>
      </c>
      <c r="E70" s="63">
        <v>6632.3659859999998</v>
      </c>
      <c r="F70" s="63">
        <v>1.6748053684651401</v>
      </c>
    </row>
    <row r="71" spans="1:6" x14ac:dyDescent="0.2">
      <c r="A71" s="38" t="s">
        <v>789</v>
      </c>
      <c r="B71" s="38" t="s">
        <v>1447</v>
      </c>
      <c r="C71" s="38" t="s">
        <v>785</v>
      </c>
      <c r="D71" s="38">
        <v>600</v>
      </c>
      <c r="E71" s="63">
        <v>5937.2219999999998</v>
      </c>
      <c r="F71" s="63">
        <v>1.4992675766625501</v>
      </c>
    </row>
    <row r="72" spans="1:6" x14ac:dyDescent="0.2">
      <c r="A72" s="38" t="s">
        <v>788</v>
      </c>
      <c r="B72" s="38" t="s">
        <v>1448</v>
      </c>
      <c r="C72" s="38" t="s">
        <v>787</v>
      </c>
      <c r="D72" s="38">
        <v>500</v>
      </c>
      <c r="E72" s="63">
        <v>5570.8850000000002</v>
      </c>
      <c r="F72" s="63">
        <v>1.4067601403174299</v>
      </c>
    </row>
    <row r="73" spans="1:6" x14ac:dyDescent="0.2">
      <c r="A73" s="38" t="s">
        <v>783</v>
      </c>
      <c r="B73" s="38" t="s">
        <v>1451</v>
      </c>
      <c r="C73" s="38" t="s">
        <v>700</v>
      </c>
      <c r="D73" s="38">
        <v>550</v>
      </c>
      <c r="E73" s="63">
        <v>5507.5240000000003</v>
      </c>
      <c r="F73" s="63">
        <v>1.39076021763896</v>
      </c>
    </row>
    <row r="74" spans="1:6" x14ac:dyDescent="0.2">
      <c r="A74" s="38" t="s">
        <v>851</v>
      </c>
      <c r="B74" s="38" t="s">
        <v>1506</v>
      </c>
      <c r="C74" s="38" t="s">
        <v>775</v>
      </c>
      <c r="D74" s="38">
        <v>500</v>
      </c>
      <c r="E74" s="63">
        <v>4967.2650000000003</v>
      </c>
      <c r="F74" s="63">
        <v>1.2543339897330299</v>
      </c>
    </row>
    <row r="75" spans="1:6" x14ac:dyDescent="0.2">
      <c r="A75" s="38" t="s">
        <v>850</v>
      </c>
      <c r="B75" s="38" t="s">
        <v>1957</v>
      </c>
      <c r="C75" s="38" t="s">
        <v>849</v>
      </c>
      <c r="D75" s="38">
        <v>470</v>
      </c>
      <c r="E75" s="63">
        <v>4666.1553000000004</v>
      </c>
      <c r="F75" s="63">
        <v>1.1782977542295201</v>
      </c>
    </row>
    <row r="76" spans="1:6" x14ac:dyDescent="0.2">
      <c r="A76" s="38" t="s">
        <v>848</v>
      </c>
      <c r="B76" s="38" t="s">
        <v>1451</v>
      </c>
      <c r="C76" s="38" t="s">
        <v>700</v>
      </c>
      <c r="D76" s="38">
        <v>450</v>
      </c>
      <c r="E76" s="63">
        <v>4514.1075000000001</v>
      </c>
      <c r="F76" s="63">
        <v>1.1399026366740601</v>
      </c>
    </row>
    <row r="77" spans="1:6" x14ac:dyDescent="0.2">
      <c r="A77" s="38" t="s">
        <v>762</v>
      </c>
      <c r="B77" s="38" t="s">
        <v>1465</v>
      </c>
      <c r="C77" s="38" t="s">
        <v>758</v>
      </c>
      <c r="D77" s="38">
        <v>440</v>
      </c>
      <c r="E77" s="63">
        <v>4190.5379999999996</v>
      </c>
      <c r="F77" s="63">
        <v>1.0581948514258599</v>
      </c>
    </row>
    <row r="78" spans="1:6" x14ac:dyDescent="0.2">
      <c r="A78" s="38" t="s">
        <v>782</v>
      </c>
      <c r="B78" s="38" t="s">
        <v>1452</v>
      </c>
      <c r="C78" s="38" t="s">
        <v>758</v>
      </c>
      <c r="D78" s="38">
        <v>450</v>
      </c>
      <c r="E78" s="63">
        <v>4091.7824999999998</v>
      </c>
      <c r="F78" s="63">
        <v>1.0332571079547299</v>
      </c>
    </row>
    <row r="79" spans="1:6" x14ac:dyDescent="0.2">
      <c r="A79" s="38" t="s">
        <v>755</v>
      </c>
      <c r="B79" s="38" t="s">
        <v>1469</v>
      </c>
      <c r="C79" s="38" t="s">
        <v>754</v>
      </c>
      <c r="D79" s="38">
        <v>400</v>
      </c>
      <c r="E79" s="63">
        <v>3843.3319999999999</v>
      </c>
      <c r="F79" s="63">
        <v>0.97051837609400904</v>
      </c>
    </row>
    <row r="80" spans="1:6" x14ac:dyDescent="0.2">
      <c r="A80" s="38" t="s">
        <v>847</v>
      </c>
      <c r="B80" s="38" t="s">
        <v>1507</v>
      </c>
      <c r="C80" s="38" t="s">
        <v>760</v>
      </c>
      <c r="D80" s="38">
        <v>390</v>
      </c>
      <c r="E80" s="63">
        <v>3732.4715999999999</v>
      </c>
      <c r="F80" s="63">
        <v>0.942523902709682</v>
      </c>
    </row>
    <row r="81" spans="1:6" x14ac:dyDescent="0.2">
      <c r="A81" s="38" t="s">
        <v>846</v>
      </c>
      <c r="B81" s="38" t="s">
        <v>1508</v>
      </c>
      <c r="C81" s="38" t="s">
        <v>758</v>
      </c>
      <c r="D81" s="38">
        <v>400</v>
      </c>
      <c r="E81" s="63">
        <v>3241.1439999999998</v>
      </c>
      <c r="F81" s="63">
        <v>0.818453834216466</v>
      </c>
    </row>
    <row r="82" spans="1:6" x14ac:dyDescent="0.2">
      <c r="A82" s="38" t="s">
        <v>845</v>
      </c>
      <c r="B82" s="38" t="s">
        <v>1509</v>
      </c>
      <c r="C82" s="38" t="s">
        <v>772</v>
      </c>
      <c r="D82" s="38">
        <v>338</v>
      </c>
      <c r="E82" s="63">
        <v>3204.7469999999998</v>
      </c>
      <c r="F82" s="63">
        <v>0.80926286207700704</v>
      </c>
    </row>
    <row r="83" spans="1:6" x14ac:dyDescent="0.2">
      <c r="A83" s="38" t="s">
        <v>780</v>
      </c>
      <c r="B83" s="38" t="s">
        <v>1454</v>
      </c>
      <c r="C83" s="38" t="s">
        <v>779</v>
      </c>
      <c r="D83" s="38">
        <v>22</v>
      </c>
      <c r="E83" s="63">
        <v>3165.5030000000002</v>
      </c>
      <c r="F83" s="63">
        <v>0.79935296536461398</v>
      </c>
    </row>
    <row r="84" spans="1:6" x14ac:dyDescent="0.2">
      <c r="A84" s="38" t="s">
        <v>844</v>
      </c>
      <c r="B84" s="38" t="s">
        <v>1510</v>
      </c>
      <c r="C84" s="38" t="s">
        <v>785</v>
      </c>
      <c r="D84" s="38">
        <v>250</v>
      </c>
      <c r="E84" s="63">
        <v>2532.0675000000001</v>
      </c>
      <c r="F84" s="63">
        <v>0.63939780332805396</v>
      </c>
    </row>
    <row r="85" spans="1:6" x14ac:dyDescent="0.2">
      <c r="A85" s="38" t="s">
        <v>843</v>
      </c>
      <c r="B85" s="38" t="s">
        <v>1511</v>
      </c>
      <c r="C85" s="38" t="s">
        <v>775</v>
      </c>
      <c r="D85" s="38">
        <v>250</v>
      </c>
      <c r="E85" s="63">
        <v>2507.7275</v>
      </c>
      <c r="F85" s="63">
        <v>0.63325146539156396</v>
      </c>
    </row>
    <row r="86" spans="1:6" x14ac:dyDescent="0.2">
      <c r="A86" s="38" t="s">
        <v>842</v>
      </c>
      <c r="B86" s="38" t="s">
        <v>1512</v>
      </c>
      <c r="C86" s="38" t="s">
        <v>841</v>
      </c>
      <c r="D86" s="38">
        <v>17</v>
      </c>
      <c r="E86" s="63">
        <v>2484.3119999999999</v>
      </c>
      <c r="F86" s="63">
        <v>0.62733858223824002</v>
      </c>
    </row>
    <row r="87" spans="1:6" x14ac:dyDescent="0.2">
      <c r="A87" s="38" t="s">
        <v>781</v>
      </c>
      <c r="B87" s="38" t="s">
        <v>1453</v>
      </c>
      <c r="C87" s="38" t="s">
        <v>775</v>
      </c>
      <c r="D87" s="38">
        <v>250</v>
      </c>
      <c r="E87" s="63">
        <v>2453.4124999999999</v>
      </c>
      <c r="F87" s="63">
        <v>0.61953583905547105</v>
      </c>
    </row>
    <row r="88" spans="1:6" x14ac:dyDescent="0.2">
      <c r="A88" s="38" t="s">
        <v>840</v>
      </c>
      <c r="B88" s="38" t="s">
        <v>1513</v>
      </c>
      <c r="C88" s="38" t="s">
        <v>775</v>
      </c>
      <c r="D88" s="38">
        <v>230</v>
      </c>
      <c r="E88" s="63">
        <v>2294.9652999999998</v>
      </c>
      <c r="F88" s="63">
        <v>0.57952474471320703</v>
      </c>
    </row>
    <row r="89" spans="1:6" x14ac:dyDescent="0.2">
      <c r="A89" s="38" t="s">
        <v>839</v>
      </c>
      <c r="B89" s="38" t="s">
        <v>1514</v>
      </c>
      <c r="C89" s="38" t="s">
        <v>775</v>
      </c>
      <c r="D89" s="38">
        <v>230</v>
      </c>
      <c r="E89" s="63">
        <v>2290.0041999999999</v>
      </c>
      <c r="F89" s="63">
        <v>0.578271967509562</v>
      </c>
    </row>
    <row r="90" spans="1:6" x14ac:dyDescent="0.2">
      <c r="A90" s="38" t="s">
        <v>838</v>
      </c>
      <c r="B90" s="38" t="s">
        <v>1515</v>
      </c>
      <c r="C90" s="38" t="s">
        <v>758</v>
      </c>
      <c r="D90" s="38">
        <v>200</v>
      </c>
      <c r="E90" s="63">
        <v>2011.6880000000001</v>
      </c>
      <c r="F90" s="63">
        <v>0.50799154769033905</v>
      </c>
    </row>
    <row r="91" spans="1:6" x14ac:dyDescent="0.2">
      <c r="A91" s="38" t="s">
        <v>837</v>
      </c>
      <c r="B91" s="38" t="s">
        <v>1516</v>
      </c>
      <c r="C91" s="38" t="s">
        <v>801</v>
      </c>
      <c r="D91" s="38">
        <v>2500</v>
      </c>
      <c r="E91" s="63">
        <v>1944.7375</v>
      </c>
      <c r="F91" s="63">
        <v>0.491085204304266</v>
      </c>
    </row>
    <row r="92" spans="1:6" x14ac:dyDescent="0.2">
      <c r="A92" s="38" t="s">
        <v>770</v>
      </c>
      <c r="B92" s="38" t="s">
        <v>1460</v>
      </c>
      <c r="C92" s="38" t="s">
        <v>769</v>
      </c>
      <c r="D92" s="38">
        <v>359</v>
      </c>
      <c r="E92" s="63">
        <v>1795</v>
      </c>
      <c r="F92" s="63">
        <v>0.45327348381267801</v>
      </c>
    </row>
    <row r="93" spans="1:6" x14ac:dyDescent="0.2">
      <c r="A93" s="38" t="s">
        <v>836</v>
      </c>
      <c r="B93" s="38" t="s">
        <v>1517</v>
      </c>
      <c r="C93" s="38" t="s">
        <v>754</v>
      </c>
      <c r="D93" s="38">
        <v>160</v>
      </c>
      <c r="E93" s="63">
        <v>1619.616</v>
      </c>
      <c r="F93" s="63">
        <v>0.40898550794359501</v>
      </c>
    </row>
    <row r="94" spans="1:6" x14ac:dyDescent="0.2">
      <c r="A94" s="38" t="s">
        <v>835</v>
      </c>
      <c r="B94" s="38" t="s">
        <v>1518</v>
      </c>
      <c r="C94" s="38" t="s">
        <v>756</v>
      </c>
      <c r="D94" s="38">
        <v>150</v>
      </c>
      <c r="E94" s="63">
        <v>1499.9760000000001</v>
      </c>
      <c r="F94" s="63">
        <v>0.37877400955732898</v>
      </c>
    </row>
    <row r="95" spans="1:6" x14ac:dyDescent="0.2">
      <c r="A95" s="38" t="s">
        <v>834</v>
      </c>
      <c r="B95" s="38" t="s">
        <v>1519</v>
      </c>
      <c r="C95" s="38" t="s">
        <v>695</v>
      </c>
      <c r="D95" s="38">
        <v>150</v>
      </c>
      <c r="E95" s="63">
        <v>1497.0045</v>
      </c>
      <c r="F95" s="63">
        <v>0.37802364623858298</v>
      </c>
    </row>
    <row r="96" spans="1:6" x14ac:dyDescent="0.2">
      <c r="A96" s="38" t="s">
        <v>761</v>
      </c>
      <c r="B96" s="38" t="s">
        <v>1466</v>
      </c>
      <c r="C96" s="38" t="s">
        <v>760</v>
      </c>
      <c r="D96" s="38">
        <v>10</v>
      </c>
      <c r="E96" s="63">
        <v>1007.585</v>
      </c>
      <c r="F96" s="63">
        <v>0.25443541124646102</v>
      </c>
    </row>
    <row r="97" spans="1:6" x14ac:dyDescent="0.2">
      <c r="A97" s="38" t="s">
        <v>759</v>
      </c>
      <c r="B97" s="38" t="s">
        <v>1467</v>
      </c>
      <c r="C97" s="38" t="s">
        <v>758</v>
      </c>
      <c r="D97" s="38">
        <v>100</v>
      </c>
      <c r="E97" s="63">
        <v>1003.543</v>
      </c>
      <c r="F97" s="63">
        <v>0.25341472521773001</v>
      </c>
    </row>
    <row r="98" spans="1:6" x14ac:dyDescent="0.2">
      <c r="A98" s="38" t="s">
        <v>774</v>
      </c>
      <c r="B98" s="38" t="s">
        <v>1457</v>
      </c>
      <c r="C98" s="38" t="s">
        <v>760</v>
      </c>
      <c r="D98" s="38">
        <v>100</v>
      </c>
      <c r="E98" s="63">
        <v>959.68799999999999</v>
      </c>
      <c r="F98" s="63">
        <v>0.24234045857004</v>
      </c>
    </row>
    <row r="99" spans="1:6" x14ac:dyDescent="0.2">
      <c r="A99" s="38" t="s">
        <v>833</v>
      </c>
      <c r="B99" s="38" t="s">
        <v>1520</v>
      </c>
      <c r="C99" s="38" t="s">
        <v>752</v>
      </c>
      <c r="D99" s="38">
        <v>50</v>
      </c>
      <c r="E99" s="63">
        <v>640.00599999999997</v>
      </c>
      <c r="F99" s="63">
        <v>0.16161434500335201</v>
      </c>
    </row>
    <row r="100" spans="1:6" x14ac:dyDescent="0.2">
      <c r="A100" s="38" t="s">
        <v>764</v>
      </c>
      <c r="B100" s="38" t="s">
        <v>1463</v>
      </c>
      <c r="C100" s="38" t="s">
        <v>758</v>
      </c>
      <c r="D100" s="38">
        <v>50</v>
      </c>
      <c r="E100" s="63">
        <v>471.75900000000001</v>
      </c>
      <c r="F100" s="63">
        <v>0.11912860470751301</v>
      </c>
    </row>
    <row r="101" spans="1:6" x14ac:dyDescent="0.2">
      <c r="A101" s="38" t="s">
        <v>832</v>
      </c>
      <c r="B101" s="38" t="s">
        <v>1521</v>
      </c>
      <c r="C101" s="38" t="s">
        <v>754</v>
      </c>
      <c r="D101" s="38">
        <v>40</v>
      </c>
      <c r="E101" s="63">
        <v>395.38400000000001</v>
      </c>
      <c r="F101" s="63">
        <v>9.9842386141388198E-2</v>
      </c>
    </row>
    <row r="102" spans="1:6" x14ac:dyDescent="0.2">
      <c r="A102" s="37" t="s">
        <v>43</v>
      </c>
      <c r="B102" s="38"/>
      <c r="C102" s="38"/>
      <c r="D102" s="38"/>
      <c r="E102" s="64">
        <f>SUM(E64:E101)</f>
        <v>151096.03738599998</v>
      </c>
      <c r="F102" s="64">
        <f>SUM(F64:F101)</f>
        <v>38.154778415734164</v>
      </c>
    </row>
    <row r="103" spans="1:6" x14ac:dyDescent="0.2">
      <c r="A103" s="38"/>
      <c r="B103" s="38"/>
      <c r="C103" s="38"/>
      <c r="D103" s="38"/>
      <c r="E103" s="63"/>
      <c r="F103" s="63"/>
    </row>
    <row r="104" spans="1:6" x14ac:dyDescent="0.2">
      <c r="A104" s="37" t="s">
        <v>43</v>
      </c>
      <c r="B104" s="38"/>
      <c r="C104" s="38"/>
      <c r="D104" s="38"/>
      <c r="E104" s="64">
        <v>376799.64183599997</v>
      </c>
      <c r="F104" s="64">
        <v>95.149463150068499</v>
      </c>
    </row>
    <row r="105" spans="1:6" x14ac:dyDescent="0.2">
      <c r="A105" s="38"/>
      <c r="B105" s="38"/>
      <c r="C105" s="38"/>
      <c r="D105" s="38"/>
      <c r="E105" s="63"/>
      <c r="F105" s="63"/>
    </row>
    <row r="106" spans="1:6" x14ac:dyDescent="0.2">
      <c r="A106" s="37" t="s">
        <v>101</v>
      </c>
      <c r="B106" s="38"/>
      <c r="C106" s="38"/>
      <c r="D106" s="38"/>
      <c r="E106" s="64">
        <v>19208.523747300002</v>
      </c>
      <c r="F106" s="64">
        <v>4.8499999999999996</v>
      </c>
    </row>
    <row r="107" spans="1:6" x14ac:dyDescent="0.2">
      <c r="A107" s="38"/>
      <c r="B107" s="38"/>
      <c r="C107" s="38"/>
      <c r="D107" s="38"/>
      <c r="E107" s="63"/>
      <c r="F107" s="63"/>
    </row>
    <row r="108" spans="1:6" x14ac:dyDescent="0.2">
      <c r="A108" s="80" t="s">
        <v>102</v>
      </c>
      <c r="B108" s="79"/>
      <c r="C108" s="79"/>
      <c r="D108" s="79"/>
      <c r="E108" s="61">
        <v>396008.16374729999</v>
      </c>
      <c r="F108" s="61">
        <f xml:space="preserve"> ROUND(SUM(F104:F107),2)</f>
        <v>100</v>
      </c>
    </row>
    <row r="109" spans="1:6" x14ac:dyDescent="0.2">
      <c r="A109" s="4" t="s">
        <v>686</v>
      </c>
    </row>
    <row r="111" spans="1:6" x14ac:dyDescent="0.2">
      <c r="A111" s="4" t="s">
        <v>103</v>
      </c>
    </row>
    <row r="112" spans="1:6" x14ac:dyDescent="0.2">
      <c r="A112" s="4" t="s">
        <v>685</v>
      </c>
    </row>
    <row r="113" spans="1:4" x14ac:dyDescent="0.2">
      <c r="A113" s="4" t="s">
        <v>608</v>
      </c>
    </row>
    <row r="114" spans="1:4" x14ac:dyDescent="0.2">
      <c r="A114" s="2" t="s">
        <v>600</v>
      </c>
      <c r="D114" s="10">
        <v>65.665700000000001</v>
      </c>
    </row>
    <row r="115" spans="1:4" x14ac:dyDescent="0.2">
      <c r="A115" s="2" t="s">
        <v>601</v>
      </c>
      <c r="D115" s="10">
        <v>11.9459</v>
      </c>
    </row>
    <row r="116" spans="1:4" x14ac:dyDescent="0.2">
      <c r="A116" s="2" t="s">
        <v>602</v>
      </c>
      <c r="D116" s="10">
        <v>68.952399999999997</v>
      </c>
    </row>
    <row r="117" spans="1:4" x14ac:dyDescent="0.2">
      <c r="A117" s="2" t="s">
        <v>603</v>
      </c>
      <c r="D117" s="10">
        <v>12.7073</v>
      </c>
    </row>
    <row r="119" spans="1:4" x14ac:dyDescent="0.2">
      <c r="A119" s="4" t="s">
        <v>105</v>
      </c>
    </row>
    <row r="120" spans="1:4" x14ac:dyDescent="0.2">
      <c r="A120" s="2" t="s">
        <v>600</v>
      </c>
      <c r="D120" s="10">
        <v>67.894900000000007</v>
      </c>
    </row>
    <row r="121" spans="1:4" x14ac:dyDescent="0.2">
      <c r="A121" s="2" t="s">
        <v>601</v>
      </c>
      <c r="D121" s="10">
        <v>11.895300000000001</v>
      </c>
    </row>
    <row r="122" spans="1:4" x14ac:dyDescent="0.2">
      <c r="A122" s="2" t="s">
        <v>602</v>
      </c>
      <c r="D122" s="10">
        <v>71.610200000000006</v>
      </c>
    </row>
    <row r="123" spans="1:4" x14ac:dyDescent="0.2">
      <c r="A123" s="2" t="s">
        <v>603</v>
      </c>
      <c r="D123" s="10">
        <v>12.7403</v>
      </c>
    </row>
    <row r="125" spans="1:4" x14ac:dyDescent="0.2">
      <c r="A125" s="4" t="s">
        <v>106</v>
      </c>
      <c r="D125" s="20" t="s">
        <v>311</v>
      </c>
    </row>
    <row r="126" spans="1:4" x14ac:dyDescent="0.2">
      <c r="A126" s="77" t="s">
        <v>604</v>
      </c>
      <c r="B126" s="76"/>
      <c r="C126" s="114" t="s">
        <v>605</v>
      </c>
      <c r="D126" s="114"/>
    </row>
    <row r="127" spans="1:4" x14ac:dyDescent="0.2">
      <c r="A127" s="115"/>
      <c r="B127" s="115"/>
      <c r="C127" s="23" t="s">
        <v>606</v>
      </c>
      <c r="D127" s="23" t="s">
        <v>607</v>
      </c>
    </row>
    <row r="128" spans="1:4" x14ac:dyDescent="0.2">
      <c r="A128" s="24" t="s">
        <v>601</v>
      </c>
      <c r="B128" s="25"/>
      <c r="C128" s="59">
        <v>0.32414521499999999</v>
      </c>
      <c r="D128" s="59">
        <v>0.30016008459999999</v>
      </c>
    </row>
    <row r="129" spans="1:5" x14ac:dyDescent="0.2">
      <c r="A129" s="24" t="s">
        <v>603</v>
      </c>
      <c r="B129" s="25"/>
      <c r="C129" s="59">
        <v>0.32414521499999999</v>
      </c>
      <c r="D129" s="59">
        <v>0.30016008459999999</v>
      </c>
    </row>
    <row r="131" spans="1:5" x14ac:dyDescent="0.2">
      <c r="A131" s="4" t="s">
        <v>680</v>
      </c>
      <c r="D131" s="15">
        <v>2.823881556972812</v>
      </c>
      <c r="E131" s="72" t="s">
        <v>679</v>
      </c>
    </row>
  </sheetData>
  <mergeCells count="3">
    <mergeCell ref="A1:F1"/>
    <mergeCell ref="C126:D126"/>
    <mergeCell ref="A127:B12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9375-DAC9-45EC-9FBB-508CE3F2A3F5}">
  <dimension ref="A1:F14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42578125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920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819</v>
      </c>
      <c r="B8" s="38" t="s">
        <v>1481</v>
      </c>
      <c r="C8" s="38" t="s">
        <v>713</v>
      </c>
      <c r="D8" s="38">
        <v>3930</v>
      </c>
      <c r="E8" s="63">
        <v>36801.541799999999</v>
      </c>
      <c r="F8" s="63">
        <f t="shared" ref="F8:F39" si="0">IF((E8/$E$119*100)&lt;0.01,"*",E8/$E$119*100)</f>
        <v>5.3593926770053475</v>
      </c>
    </row>
    <row r="9" spans="1:6" x14ac:dyDescent="0.2">
      <c r="A9" s="38" t="s">
        <v>826</v>
      </c>
      <c r="B9" s="38" t="s">
        <v>1474</v>
      </c>
      <c r="C9" s="38" t="s">
        <v>754</v>
      </c>
      <c r="D9" s="38">
        <v>3370</v>
      </c>
      <c r="E9" s="63">
        <v>32975.517399999997</v>
      </c>
      <c r="F9" s="63">
        <f t="shared" si="0"/>
        <v>4.8022103920119568</v>
      </c>
    </row>
    <row r="10" spans="1:6" x14ac:dyDescent="0.2">
      <c r="A10" s="38" t="s">
        <v>919</v>
      </c>
      <c r="B10" s="38" t="s">
        <v>1559</v>
      </c>
      <c r="C10" s="38" t="s">
        <v>695</v>
      </c>
      <c r="D10" s="38">
        <v>2300</v>
      </c>
      <c r="E10" s="63">
        <v>22983.739000000001</v>
      </c>
      <c r="F10" s="63">
        <f t="shared" si="0"/>
        <v>3.3471120084105341</v>
      </c>
    </row>
    <row r="11" spans="1:6" x14ac:dyDescent="0.2">
      <c r="A11" s="38" t="s">
        <v>918</v>
      </c>
      <c r="B11" s="38" t="s">
        <v>1560</v>
      </c>
      <c r="C11" s="38" t="s">
        <v>798</v>
      </c>
      <c r="D11" s="38">
        <v>10140</v>
      </c>
      <c r="E11" s="63">
        <v>20844.27072</v>
      </c>
      <c r="F11" s="63">
        <f t="shared" si="0"/>
        <v>3.0355421645482528</v>
      </c>
    </row>
    <row r="12" spans="1:6" x14ac:dyDescent="0.2">
      <c r="A12" s="38" t="s">
        <v>816</v>
      </c>
      <c r="B12" s="38" t="s">
        <v>1484</v>
      </c>
      <c r="C12" s="38" t="s">
        <v>693</v>
      </c>
      <c r="D12" s="38">
        <v>1900</v>
      </c>
      <c r="E12" s="63">
        <v>19033.079000000002</v>
      </c>
      <c r="F12" s="63">
        <f t="shared" si="0"/>
        <v>2.7717790946863068</v>
      </c>
    </row>
    <row r="13" spans="1:6" x14ac:dyDescent="0.2">
      <c r="A13" s="38" t="s">
        <v>828</v>
      </c>
      <c r="B13" s="38" t="s">
        <v>1472</v>
      </c>
      <c r="C13" s="38" t="s">
        <v>693</v>
      </c>
      <c r="D13" s="38">
        <v>1660</v>
      </c>
      <c r="E13" s="63">
        <v>17111.844400000002</v>
      </c>
      <c r="F13" s="63">
        <f t="shared" si="0"/>
        <v>2.4919905276200951</v>
      </c>
    </row>
    <row r="14" spans="1:6" x14ac:dyDescent="0.2">
      <c r="A14" s="38" t="s">
        <v>800</v>
      </c>
      <c r="B14" s="38" t="s">
        <v>1498</v>
      </c>
      <c r="C14" s="38" t="s">
        <v>791</v>
      </c>
      <c r="D14" s="38">
        <v>2125</v>
      </c>
      <c r="E14" s="63">
        <v>16105.01375</v>
      </c>
      <c r="F14" s="63">
        <f t="shared" si="0"/>
        <v>2.3453662138367375</v>
      </c>
    </row>
    <row r="15" spans="1:6" x14ac:dyDescent="0.2">
      <c r="A15" s="38" t="s">
        <v>880</v>
      </c>
      <c r="B15" s="38" t="s">
        <v>1525</v>
      </c>
      <c r="C15" s="38" t="s">
        <v>739</v>
      </c>
      <c r="D15" s="38">
        <v>1695</v>
      </c>
      <c r="E15" s="63">
        <v>15410.177250000001</v>
      </c>
      <c r="F15" s="63">
        <f t="shared" si="0"/>
        <v>2.2441774737004203</v>
      </c>
    </row>
    <row r="16" spans="1:6" x14ac:dyDescent="0.2">
      <c r="A16" s="38" t="s">
        <v>724</v>
      </c>
      <c r="B16" s="38" t="s">
        <v>1438</v>
      </c>
      <c r="C16" s="38" t="s">
        <v>693</v>
      </c>
      <c r="D16" s="38">
        <v>1450</v>
      </c>
      <c r="E16" s="63">
        <v>14472.362999999999</v>
      </c>
      <c r="F16" s="63">
        <f t="shared" si="0"/>
        <v>2.1076039885145015</v>
      </c>
    </row>
    <row r="17" spans="1:6" x14ac:dyDescent="0.2">
      <c r="A17" s="38" t="s">
        <v>827</v>
      </c>
      <c r="B17" s="38" t="s">
        <v>1473</v>
      </c>
      <c r="C17" s="38" t="s">
        <v>700</v>
      </c>
      <c r="D17" s="38">
        <v>1150</v>
      </c>
      <c r="E17" s="63">
        <v>11722.8815</v>
      </c>
      <c r="F17" s="63">
        <f t="shared" si="0"/>
        <v>1.7071981822376112</v>
      </c>
    </row>
    <row r="18" spans="1:6" x14ac:dyDescent="0.2">
      <c r="A18" s="38" t="s">
        <v>881</v>
      </c>
      <c r="B18" s="38" t="s">
        <v>1524</v>
      </c>
      <c r="C18" s="38" t="s">
        <v>798</v>
      </c>
      <c r="D18" s="38">
        <v>5580</v>
      </c>
      <c r="E18" s="63">
        <v>11502.500400000001</v>
      </c>
      <c r="F18" s="63">
        <f t="shared" si="0"/>
        <v>1.6751041775921218</v>
      </c>
    </row>
    <row r="19" spans="1:6" x14ac:dyDescent="0.2">
      <c r="A19" s="38" t="s">
        <v>883</v>
      </c>
      <c r="B19" s="38" t="s">
        <v>1522</v>
      </c>
      <c r="C19" s="38" t="s">
        <v>695</v>
      </c>
      <c r="D19" s="38">
        <v>1150</v>
      </c>
      <c r="E19" s="63">
        <v>11491.869500000001</v>
      </c>
      <c r="F19" s="63">
        <f t="shared" si="0"/>
        <v>1.6735560042052671</v>
      </c>
    </row>
    <row r="20" spans="1:6" x14ac:dyDescent="0.2">
      <c r="A20" s="38" t="s">
        <v>818</v>
      </c>
      <c r="B20" s="38" t="s">
        <v>1482</v>
      </c>
      <c r="C20" s="38" t="s">
        <v>718</v>
      </c>
      <c r="D20" s="38">
        <v>1060</v>
      </c>
      <c r="E20" s="63">
        <v>10940.281199999999</v>
      </c>
      <c r="F20" s="63">
        <f t="shared" si="0"/>
        <v>1.5932284377188588</v>
      </c>
    </row>
    <row r="21" spans="1:6" x14ac:dyDescent="0.2">
      <c r="A21" s="38" t="s">
        <v>722</v>
      </c>
      <c r="B21" s="38" t="s">
        <v>1919</v>
      </c>
      <c r="C21" s="38" t="s">
        <v>721</v>
      </c>
      <c r="D21" s="38">
        <v>1050</v>
      </c>
      <c r="E21" s="63">
        <v>10743.852000000001</v>
      </c>
      <c r="F21" s="63">
        <f t="shared" si="0"/>
        <v>1.5646225379510941</v>
      </c>
    </row>
    <row r="22" spans="1:6" x14ac:dyDescent="0.2">
      <c r="A22" s="38" t="s">
        <v>873</v>
      </c>
      <c r="B22" s="38" t="s">
        <v>1532</v>
      </c>
      <c r="C22" s="38" t="s">
        <v>787</v>
      </c>
      <c r="D22" s="38">
        <v>850</v>
      </c>
      <c r="E22" s="63">
        <v>9585.11</v>
      </c>
      <c r="F22" s="63">
        <f t="shared" si="0"/>
        <v>1.3958754397157005</v>
      </c>
    </row>
    <row r="23" spans="1:6" x14ac:dyDescent="0.2">
      <c r="A23" s="38" t="s">
        <v>825</v>
      </c>
      <c r="B23" s="38" t="s">
        <v>1475</v>
      </c>
      <c r="C23" s="38" t="s">
        <v>713</v>
      </c>
      <c r="D23" s="38">
        <v>1000</v>
      </c>
      <c r="E23" s="63">
        <v>9124.43</v>
      </c>
      <c r="F23" s="63">
        <f t="shared" si="0"/>
        <v>1.3287868097919719</v>
      </c>
    </row>
    <row r="24" spans="1:6" x14ac:dyDescent="0.2">
      <c r="A24" s="38" t="s">
        <v>796</v>
      </c>
      <c r="B24" s="38" t="s">
        <v>1500</v>
      </c>
      <c r="C24" s="38" t="s">
        <v>715</v>
      </c>
      <c r="D24" s="38">
        <v>850</v>
      </c>
      <c r="E24" s="63">
        <v>7670.893</v>
      </c>
      <c r="F24" s="63">
        <f t="shared" si="0"/>
        <v>1.117108842714073</v>
      </c>
    </row>
    <row r="25" spans="1:6" x14ac:dyDescent="0.2">
      <c r="A25" s="38" t="s">
        <v>815</v>
      </c>
      <c r="B25" s="38" t="s">
        <v>1485</v>
      </c>
      <c r="C25" s="38" t="s">
        <v>814</v>
      </c>
      <c r="D25" s="38">
        <v>750</v>
      </c>
      <c r="E25" s="63">
        <v>7496.5050000000001</v>
      </c>
      <c r="F25" s="63">
        <f t="shared" si="0"/>
        <v>1.0917127934062256</v>
      </c>
    </row>
    <row r="26" spans="1:6" x14ac:dyDescent="0.2">
      <c r="A26" s="38" t="s">
        <v>701</v>
      </c>
      <c r="B26" s="38" t="s">
        <v>1423</v>
      </c>
      <c r="C26" s="38" t="s">
        <v>700</v>
      </c>
      <c r="D26" s="38">
        <v>720</v>
      </c>
      <c r="E26" s="63">
        <v>7257.4272000000001</v>
      </c>
      <c r="F26" s="63">
        <f t="shared" si="0"/>
        <v>1.0568959963948963</v>
      </c>
    </row>
    <row r="27" spans="1:6" x14ac:dyDescent="0.2">
      <c r="A27" s="38" t="s">
        <v>811</v>
      </c>
      <c r="B27" s="38" t="s">
        <v>1488</v>
      </c>
      <c r="C27" s="38" t="s">
        <v>801</v>
      </c>
      <c r="D27" s="38">
        <v>600</v>
      </c>
      <c r="E27" s="63">
        <v>6441.192</v>
      </c>
      <c r="F27" s="63">
        <f t="shared" si="0"/>
        <v>0.93802801588017781</v>
      </c>
    </row>
    <row r="28" spans="1:6" x14ac:dyDescent="0.2">
      <c r="A28" s="38" t="s">
        <v>917</v>
      </c>
      <c r="B28" s="38" t="s">
        <v>1561</v>
      </c>
      <c r="C28" s="38" t="s">
        <v>765</v>
      </c>
      <c r="D28" s="38">
        <v>650</v>
      </c>
      <c r="E28" s="63">
        <v>6409.8125</v>
      </c>
      <c r="F28" s="63">
        <f t="shared" si="0"/>
        <v>0.93345823281451057</v>
      </c>
    </row>
    <row r="29" spans="1:6" x14ac:dyDescent="0.2">
      <c r="A29" s="38" t="s">
        <v>916</v>
      </c>
      <c r="B29" s="38" t="s">
        <v>1562</v>
      </c>
      <c r="C29" s="38" t="s">
        <v>765</v>
      </c>
      <c r="D29" s="38">
        <v>650</v>
      </c>
      <c r="E29" s="63">
        <v>6348.6279999999997</v>
      </c>
      <c r="F29" s="63">
        <f t="shared" si="0"/>
        <v>0.92454796043982879</v>
      </c>
    </row>
    <row r="30" spans="1:6" x14ac:dyDescent="0.2">
      <c r="A30" s="38" t="s">
        <v>805</v>
      </c>
      <c r="B30" s="38" t="s">
        <v>1494</v>
      </c>
      <c r="C30" s="38" t="s">
        <v>798</v>
      </c>
      <c r="D30" s="38">
        <v>648</v>
      </c>
      <c r="E30" s="63">
        <v>6321.39552</v>
      </c>
      <c r="F30" s="63">
        <f t="shared" si="0"/>
        <v>0.92058210611008739</v>
      </c>
    </row>
    <row r="31" spans="1:6" x14ac:dyDescent="0.2">
      <c r="A31" s="38" t="s">
        <v>915</v>
      </c>
      <c r="B31" s="38" t="s">
        <v>1563</v>
      </c>
      <c r="C31" s="38" t="s">
        <v>905</v>
      </c>
      <c r="D31" s="38">
        <v>650</v>
      </c>
      <c r="E31" s="63">
        <v>6053.45</v>
      </c>
      <c r="F31" s="63">
        <f t="shared" si="0"/>
        <v>0.8815613154723323</v>
      </c>
    </row>
    <row r="32" spans="1:6" x14ac:dyDescent="0.2">
      <c r="A32" s="38" t="s">
        <v>914</v>
      </c>
      <c r="B32" s="38" t="s">
        <v>1563</v>
      </c>
      <c r="C32" s="38" t="s">
        <v>905</v>
      </c>
      <c r="D32" s="38">
        <v>650</v>
      </c>
      <c r="E32" s="63">
        <v>6053.45</v>
      </c>
      <c r="F32" s="63">
        <f t="shared" si="0"/>
        <v>0.8815613154723323</v>
      </c>
    </row>
    <row r="33" spans="1:6" x14ac:dyDescent="0.2">
      <c r="A33" s="38" t="s">
        <v>813</v>
      </c>
      <c r="B33" s="38" t="s">
        <v>1486</v>
      </c>
      <c r="C33" s="38" t="s">
        <v>801</v>
      </c>
      <c r="D33" s="38">
        <v>600</v>
      </c>
      <c r="E33" s="63">
        <v>6008.5320000000002</v>
      </c>
      <c r="F33" s="63">
        <f t="shared" si="0"/>
        <v>0.87501992648450122</v>
      </c>
    </row>
    <row r="34" spans="1:6" x14ac:dyDescent="0.2">
      <c r="A34" s="38" t="s">
        <v>812</v>
      </c>
      <c r="B34" s="38" t="s">
        <v>1487</v>
      </c>
      <c r="C34" s="38" t="s">
        <v>798</v>
      </c>
      <c r="D34" s="38">
        <v>606</v>
      </c>
      <c r="E34" s="63">
        <v>5998.90308</v>
      </c>
      <c r="F34" s="63">
        <f t="shared" si="0"/>
        <v>0.8736176710133603</v>
      </c>
    </row>
    <row r="35" spans="1:6" x14ac:dyDescent="0.2">
      <c r="A35" s="38" t="s">
        <v>694</v>
      </c>
      <c r="B35" s="38" t="s">
        <v>1917</v>
      </c>
      <c r="C35" s="38" t="s">
        <v>693</v>
      </c>
      <c r="D35" s="38">
        <v>570</v>
      </c>
      <c r="E35" s="63">
        <v>5813.5781999999999</v>
      </c>
      <c r="F35" s="63">
        <f t="shared" si="0"/>
        <v>0.84662888858308472</v>
      </c>
    </row>
    <row r="36" spans="1:6" x14ac:dyDescent="0.2">
      <c r="A36" s="38" t="s">
        <v>882</v>
      </c>
      <c r="B36" s="38" t="s">
        <v>1523</v>
      </c>
      <c r="C36" s="38" t="s">
        <v>691</v>
      </c>
      <c r="D36" s="38">
        <v>550</v>
      </c>
      <c r="E36" s="63">
        <v>5481.6904999999997</v>
      </c>
      <c r="F36" s="63">
        <f t="shared" si="0"/>
        <v>0.79829622582034809</v>
      </c>
    </row>
    <row r="37" spans="1:6" x14ac:dyDescent="0.2">
      <c r="A37" s="38" t="s">
        <v>913</v>
      </c>
      <c r="B37" s="38" t="s">
        <v>1564</v>
      </c>
      <c r="C37" s="38" t="s">
        <v>801</v>
      </c>
      <c r="D37" s="38">
        <v>5500</v>
      </c>
      <c r="E37" s="63">
        <v>5416.1689999999999</v>
      </c>
      <c r="F37" s="63">
        <f t="shared" si="0"/>
        <v>0.78875435800419036</v>
      </c>
    </row>
    <row r="38" spans="1:6" x14ac:dyDescent="0.2">
      <c r="A38" s="38" t="s">
        <v>799</v>
      </c>
      <c r="B38" s="38" t="s">
        <v>1499</v>
      </c>
      <c r="C38" s="38" t="s">
        <v>798</v>
      </c>
      <c r="D38" s="38">
        <v>550</v>
      </c>
      <c r="E38" s="63">
        <v>5398.6734999999999</v>
      </c>
      <c r="F38" s="63">
        <f t="shared" si="0"/>
        <v>0.78620649587683389</v>
      </c>
    </row>
    <row r="39" spans="1:6" x14ac:dyDescent="0.2">
      <c r="A39" s="38" t="s">
        <v>877</v>
      </c>
      <c r="B39" s="38" t="s">
        <v>1528</v>
      </c>
      <c r="C39" s="38" t="s">
        <v>728</v>
      </c>
      <c r="D39" s="38">
        <v>550</v>
      </c>
      <c r="E39" s="63">
        <v>5336.1769999999997</v>
      </c>
      <c r="F39" s="63">
        <f t="shared" si="0"/>
        <v>0.7771051575074055</v>
      </c>
    </row>
    <row r="40" spans="1:6" x14ac:dyDescent="0.2">
      <c r="A40" s="38" t="s">
        <v>865</v>
      </c>
      <c r="B40" s="38" t="s">
        <v>1539</v>
      </c>
      <c r="C40" s="38" t="s">
        <v>715</v>
      </c>
      <c r="D40" s="38">
        <v>550</v>
      </c>
      <c r="E40" s="63">
        <v>5020.5045</v>
      </c>
      <c r="F40" s="63">
        <f t="shared" ref="F40:F71" si="1">IF((E40/$E$119*100)&lt;0.01,"*",E40/$E$119*100)</f>
        <v>0.73113390733462136</v>
      </c>
    </row>
    <row r="41" spans="1:6" x14ac:dyDescent="0.2">
      <c r="A41" s="38" t="s">
        <v>912</v>
      </c>
      <c r="B41" s="38" t="s">
        <v>1565</v>
      </c>
      <c r="C41" s="38" t="s">
        <v>801</v>
      </c>
      <c r="D41" s="38">
        <v>5000</v>
      </c>
      <c r="E41" s="63">
        <v>4905.2</v>
      </c>
      <c r="F41" s="63">
        <f t="shared" si="1"/>
        <v>0.71434216267663631</v>
      </c>
    </row>
    <row r="42" spans="1:6" x14ac:dyDescent="0.2">
      <c r="A42" s="38" t="s">
        <v>911</v>
      </c>
      <c r="B42" s="38" t="s">
        <v>1566</v>
      </c>
      <c r="C42" s="38" t="s">
        <v>905</v>
      </c>
      <c r="D42" s="38">
        <v>450</v>
      </c>
      <c r="E42" s="63">
        <v>4404.9735000000001</v>
      </c>
      <c r="F42" s="63">
        <f t="shared" si="1"/>
        <v>0.64149439299585587</v>
      </c>
    </row>
    <row r="43" spans="1:6" x14ac:dyDescent="0.2">
      <c r="A43" s="38" t="s">
        <v>862</v>
      </c>
      <c r="B43" s="38" t="s">
        <v>1542</v>
      </c>
      <c r="C43" s="38" t="s">
        <v>765</v>
      </c>
      <c r="D43" s="38">
        <v>400</v>
      </c>
      <c r="E43" s="63">
        <v>3949.9079999999999</v>
      </c>
      <c r="F43" s="63">
        <f t="shared" si="1"/>
        <v>0.57522340028821395</v>
      </c>
    </row>
    <row r="44" spans="1:6" x14ac:dyDescent="0.2">
      <c r="A44" s="38" t="s">
        <v>866</v>
      </c>
      <c r="B44" s="38" t="s">
        <v>1528</v>
      </c>
      <c r="C44" s="38" t="s">
        <v>728</v>
      </c>
      <c r="D44" s="38">
        <v>380</v>
      </c>
      <c r="E44" s="63">
        <v>3682.6864</v>
      </c>
      <c r="F44" s="63">
        <f t="shared" si="1"/>
        <v>0.53630803380817016</v>
      </c>
    </row>
    <row r="45" spans="1:6" x14ac:dyDescent="0.2">
      <c r="A45" s="38" t="s">
        <v>804</v>
      </c>
      <c r="B45" s="38" t="s">
        <v>1495</v>
      </c>
      <c r="C45" s="38" t="s">
        <v>798</v>
      </c>
      <c r="D45" s="38">
        <v>351</v>
      </c>
      <c r="E45" s="63">
        <v>3489.5928600000002</v>
      </c>
      <c r="F45" s="63">
        <f t="shared" si="1"/>
        <v>0.5081879047690917</v>
      </c>
    </row>
    <row r="46" spans="1:6" x14ac:dyDescent="0.2">
      <c r="A46" s="38" t="s">
        <v>725</v>
      </c>
      <c r="B46" s="38" t="s">
        <v>1437</v>
      </c>
      <c r="C46" s="38" t="s">
        <v>693</v>
      </c>
      <c r="D46" s="38">
        <v>340</v>
      </c>
      <c r="E46" s="63">
        <v>3480.9812000000002</v>
      </c>
      <c r="F46" s="63">
        <f t="shared" si="1"/>
        <v>0.50693379243348136</v>
      </c>
    </row>
    <row r="47" spans="1:6" x14ac:dyDescent="0.2">
      <c r="A47" s="38" t="s">
        <v>910</v>
      </c>
      <c r="B47" s="38" t="s">
        <v>1567</v>
      </c>
      <c r="C47" s="38" t="s">
        <v>798</v>
      </c>
      <c r="D47" s="38">
        <v>350</v>
      </c>
      <c r="E47" s="63">
        <v>3460.5549999999998</v>
      </c>
      <c r="F47" s="63">
        <f t="shared" si="1"/>
        <v>0.50395913372776791</v>
      </c>
    </row>
    <row r="48" spans="1:6" x14ac:dyDescent="0.2">
      <c r="A48" s="38" t="s">
        <v>820</v>
      </c>
      <c r="B48" s="38" t="s">
        <v>1480</v>
      </c>
      <c r="C48" s="38" t="s">
        <v>798</v>
      </c>
      <c r="D48" s="38">
        <v>352</v>
      </c>
      <c r="E48" s="63">
        <v>3426.0864000000001</v>
      </c>
      <c r="F48" s="63">
        <f t="shared" si="1"/>
        <v>0.49893948635998769</v>
      </c>
    </row>
    <row r="49" spans="1:6" x14ac:dyDescent="0.2">
      <c r="A49" s="38" t="s">
        <v>909</v>
      </c>
      <c r="B49" s="38" t="s">
        <v>1568</v>
      </c>
      <c r="C49" s="38" t="s">
        <v>798</v>
      </c>
      <c r="D49" s="38">
        <v>306</v>
      </c>
      <c r="E49" s="63">
        <v>2992.6035000000002</v>
      </c>
      <c r="F49" s="63">
        <f t="shared" si="1"/>
        <v>0.4358115583918436</v>
      </c>
    </row>
    <row r="50" spans="1:6" x14ac:dyDescent="0.2">
      <c r="A50" s="38" t="s">
        <v>872</v>
      </c>
      <c r="B50" s="38" t="s">
        <v>1533</v>
      </c>
      <c r="C50" s="38" t="s">
        <v>728</v>
      </c>
      <c r="D50" s="38">
        <v>270</v>
      </c>
      <c r="E50" s="63">
        <v>2694.1896000000002</v>
      </c>
      <c r="F50" s="63">
        <f t="shared" si="1"/>
        <v>0.39235367070148042</v>
      </c>
    </row>
    <row r="51" spans="1:6" x14ac:dyDescent="0.2">
      <c r="A51" s="38" t="s">
        <v>863</v>
      </c>
      <c r="B51" s="38" t="s">
        <v>1541</v>
      </c>
      <c r="C51" s="38" t="s">
        <v>715</v>
      </c>
      <c r="D51" s="38">
        <v>250</v>
      </c>
      <c r="E51" s="63">
        <v>2476.0075000000002</v>
      </c>
      <c r="F51" s="63">
        <f t="shared" si="1"/>
        <v>0.36057990547858843</v>
      </c>
    </row>
    <row r="52" spans="1:6" x14ac:dyDescent="0.2">
      <c r="A52" s="38" t="s">
        <v>908</v>
      </c>
      <c r="B52" s="38" t="s">
        <v>1537</v>
      </c>
      <c r="C52" s="38" t="s">
        <v>793</v>
      </c>
      <c r="D52" s="38">
        <v>250</v>
      </c>
      <c r="E52" s="63">
        <v>2467.9</v>
      </c>
      <c r="F52" s="63">
        <f t="shared" si="1"/>
        <v>0.35939921374656913</v>
      </c>
    </row>
    <row r="53" spans="1:6" x14ac:dyDescent="0.2">
      <c r="A53" s="38" t="s">
        <v>907</v>
      </c>
      <c r="B53" s="38" t="s">
        <v>1569</v>
      </c>
      <c r="C53" s="38" t="s">
        <v>791</v>
      </c>
      <c r="D53" s="38">
        <v>252</v>
      </c>
      <c r="E53" s="63">
        <v>2462.8690799999999</v>
      </c>
      <c r="F53" s="63">
        <f t="shared" si="1"/>
        <v>0.35866656303445682</v>
      </c>
    </row>
    <row r="54" spans="1:6" x14ac:dyDescent="0.2">
      <c r="A54" s="38" t="s">
        <v>906</v>
      </c>
      <c r="B54" s="38" t="s">
        <v>1563</v>
      </c>
      <c r="C54" s="38" t="s">
        <v>905</v>
      </c>
      <c r="D54" s="38">
        <v>260</v>
      </c>
      <c r="E54" s="63">
        <v>2421.38</v>
      </c>
      <c r="F54" s="63">
        <f t="shared" si="1"/>
        <v>0.35262452618893292</v>
      </c>
    </row>
    <row r="55" spans="1:6" x14ac:dyDescent="0.2">
      <c r="A55" s="38" t="s">
        <v>864</v>
      </c>
      <c r="B55" s="38" t="s">
        <v>1540</v>
      </c>
      <c r="C55" s="38" t="s">
        <v>728</v>
      </c>
      <c r="D55" s="38">
        <v>219</v>
      </c>
      <c r="E55" s="63">
        <v>2271.2358599999998</v>
      </c>
      <c r="F55" s="63">
        <f t="shared" si="1"/>
        <v>0.33075909976782392</v>
      </c>
    </row>
    <row r="56" spans="1:6" x14ac:dyDescent="0.2">
      <c r="A56" s="38" t="s">
        <v>904</v>
      </c>
      <c r="B56" s="38" t="s">
        <v>1570</v>
      </c>
      <c r="C56" s="38" t="s">
        <v>801</v>
      </c>
      <c r="D56" s="38">
        <v>2000</v>
      </c>
      <c r="E56" s="63">
        <v>1965.7919999999999</v>
      </c>
      <c r="F56" s="63">
        <f t="shared" si="1"/>
        <v>0.28627744203140143</v>
      </c>
    </row>
    <row r="57" spans="1:6" x14ac:dyDescent="0.2">
      <c r="A57" s="38" t="s">
        <v>879</v>
      </c>
      <c r="B57" s="38" t="s">
        <v>1526</v>
      </c>
      <c r="C57" s="38" t="s">
        <v>801</v>
      </c>
      <c r="D57" s="38">
        <v>190</v>
      </c>
      <c r="E57" s="63">
        <v>1902.7112999999999</v>
      </c>
      <c r="F57" s="63">
        <f t="shared" si="1"/>
        <v>0.27709102686766579</v>
      </c>
    </row>
    <row r="58" spans="1:6" x14ac:dyDescent="0.2">
      <c r="A58" s="38" t="s">
        <v>719</v>
      </c>
      <c r="B58" s="38" t="s">
        <v>1440</v>
      </c>
      <c r="C58" s="38" t="s">
        <v>718</v>
      </c>
      <c r="D58" s="38">
        <v>179</v>
      </c>
      <c r="E58" s="63">
        <v>1810.9662699999999</v>
      </c>
      <c r="F58" s="63">
        <f t="shared" si="1"/>
        <v>0.26373023767557724</v>
      </c>
    </row>
    <row r="59" spans="1:6" x14ac:dyDescent="0.2">
      <c r="A59" s="38" t="s">
        <v>903</v>
      </c>
      <c r="B59" s="38" t="s">
        <v>1571</v>
      </c>
      <c r="C59" s="38" t="s">
        <v>798</v>
      </c>
      <c r="D59" s="38">
        <v>176</v>
      </c>
      <c r="E59" s="63">
        <v>1735.2491199999999</v>
      </c>
      <c r="F59" s="63">
        <f t="shared" si="1"/>
        <v>0.25270358174254465</v>
      </c>
    </row>
    <row r="60" spans="1:6" x14ac:dyDescent="0.2">
      <c r="A60" s="38" t="s">
        <v>902</v>
      </c>
      <c r="B60" s="38" t="s">
        <v>1572</v>
      </c>
      <c r="C60" s="38" t="s">
        <v>798</v>
      </c>
      <c r="D60" s="38">
        <v>176</v>
      </c>
      <c r="E60" s="63">
        <v>1727.5068799999999</v>
      </c>
      <c r="F60" s="63">
        <f t="shared" si="1"/>
        <v>0.25157608266695924</v>
      </c>
    </row>
    <row r="61" spans="1:6" x14ac:dyDescent="0.2">
      <c r="A61" s="38" t="s">
        <v>901</v>
      </c>
      <c r="B61" s="38" t="s">
        <v>1573</v>
      </c>
      <c r="C61" s="38" t="s">
        <v>791</v>
      </c>
      <c r="D61" s="38">
        <v>160</v>
      </c>
      <c r="E61" s="63">
        <v>1617.4079999999999</v>
      </c>
      <c r="F61" s="63">
        <f t="shared" si="1"/>
        <v>0.23554243020681992</v>
      </c>
    </row>
    <row r="62" spans="1:6" x14ac:dyDescent="0.2">
      <c r="A62" s="38" t="s">
        <v>803</v>
      </c>
      <c r="B62" s="38" t="s">
        <v>1496</v>
      </c>
      <c r="C62" s="38" t="s">
        <v>715</v>
      </c>
      <c r="D62" s="38">
        <v>150</v>
      </c>
      <c r="E62" s="63">
        <v>1491.1095</v>
      </c>
      <c r="F62" s="63">
        <f t="shared" si="1"/>
        <v>0.21714963406541588</v>
      </c>
    </row>
    <row r="63" spans="1:6" x14ac:dyDescent="0.2">
      <c r="A63" s="38" t="s">
        <v>900</v>
      </c>
      <c r="B63" s="38" t="s">
        <v>1574</v>
      </c>
      <c r="C63" s="38" t="s">
        <v>754</v>
      </c>
      <c r="D63" s="38">
        <v>110</v>
      </c>
      <c r="E63" s="63">
        <v>1113.4694999999999</v>
      </c>
      <c r="F63" s="63">
        <f t="shared" si="1"/>
        <v>0.16215408356529251</v>
      </c>
    </row>
    <row r="64" spans="1:6" x14ac:dyDescent="0.2">
      <c r="A64" s="38" t="s">
        <v>860</v>
      </c>
      <c r="B64" s="38" t="s">
        <v>1544</v>
      </c>
      <c r="C64" s="38" t="s">
        <v>715</v>
      </c>
      <c r="D64" s="38">
        <v>100</v>
      </c>
      <c r="E64" s="63">
        <v>1040.075</v>
      </c>
      <c r="F64" s="63">
        <f t="shared" si="1"/>
        <v>0.15146567415108508</v>
      </c>
    </row>
    <row r="65" spans="1:6" x14ac:dyDescent="0.2">
      <c r="A65" s="38" t="s">
        <v>899</v>
      </c>
      <c r="B65" s="38" t="s">
        <v>1575</v>
      </c>
      <c r="C65" s="38" t="s">
        <v>693</v>
      </c>
      <c r="D65" s="38">
        <v>100</v>
      </c>
      <c r="E65" s="63">
        <v>1024.835</v>
      </c>
      <c r="F65" s="63">
        <f t="shared" si="1"/>
        <v>0.14924627951698413</v>
      </c>
    </row>
    <row r="66" spans="1:6" x14ac:dyDescent="0.2">
      <c r="A66" s="38" t="s">
        <v>869</v>
      </c>
      <c r="B66" s="38" t="s">
        <v>1536</v>
      </c>
      <c r="C66" s="38" t="s">
        <v>801</v>
      </c>
      <c r="D66" s="38">
        <v>100</v>
      </c>
      <c r="E66" s="63">
        <v>1001.374</v>
      </c>
      <c r="F66" s="63">
        <f t="shared" si="1"/>
        <v>0.14582966419476351</v>
      </c>
    </row>
    <row r="67" spans="1:6" x14ac:dyDescent="0.2">
      <c r="A67" s="38" t="s">
        <v>859</v>
      </c>
      <c r="B67" s="38" t="s">
        <v>1545</v>
      </c>
      <c r="C67" s="38" t="s">
        <v>728</v>
      </c>
      <c r="D67" s="38">
        <v>90</v>
      </c>
      <c r="E67" s="63">
        <v>901.13130000000001</v>
      </c>
      <c r="F67" s="63">
        <f t="shared" si="1"/>
        <v>0.13123136298165392</v>
      </c>
    </row>
    <row r="68" spans="1:6" x14ac:dyDescent="0.2">
      <c r="A68" s="38" t="s">
        <v>829</v>
      </c>
      <c r="B68" s="38" t="s">
        <v>1471</v>
      </c>
      <c r="C68" s="38" t="s">
        <v>791</v>
      </c>
      <c r="D68" s="38">
        <v>95</v>
      </c>
      <c r="E68" s="63">
        <v>792.10050000000001</v>
      </c>
      <c r="F68" s="63">
        <f t="shared" si="1"/>
        <v>0.11535325455175019</v>
      </c>
    </row>
    <row r="69" spans="1:6" x14ac:dyDescent="0.2">
      <c r="A69" s="38" t="s">
        <v>898</v>
      </c>
      <c r="B69" s="38" t="s">
        <v>1576</v>
      </c>
      <c r="C69" s="38" t="s">
        <v>721</v>
      </c>
      <c r="D69" s="38">
        <v>74</v>
      </c>
      <c r="E69" s="63">
        <v>749.58299999999997</v>
      </c>
      <c r="F69" s="63">
        <f t="shared" si="1"/>
        <v>0.10916144934470381</v>
      </c>
    </row>
    <row r="70" spans="1:6" x14ac:dyDescent="0.2">
      <c r="A70" s="38" t="s">
        <v>897</v>
      </c>
      <c r="B70" s="38" t="s">
        <v>1577</v>
      </c>
      <c r="C70" s="38" t="s">
        <v>693</v>
      </c>
      <c r="D70" s="38">
        <v>6</v>
      </c>
      <c r="E70" s="63">
        <v>609.29700000000003</v>
      </c>
      <c r="F70" s="63">
        <f t="shared" si="1"/>
        <v>8.873165960458014E-2</v>
      </c>
    </row>
    <row r="71" spans="1:6" x14ac:dyDescent="0.2">
      <c r="A71" s="38" t="s">
        <v>896</v>
      </c>
      <c r="B71" s="38" t="s">
        <v>1578</v>
      </c>
      <c r="C71" s="38" t="s">
        <v>741</v>
      </c>
      <c r="D71" s="38">
        <v>55</v>
      </c>
      <c r="E71" s="63">
        <v>550.34979999999996</v>
      </c>
      <c r="F71" s="63">
        <f t="shared" si="1"/>
        <v>8.0147204264995164E-2</v>
      </c>
    </row>
    <row r="72" spans="1:6" x14ac:dyDescent="0.2">
      <c r="A72" s="38" t="s">
        <v>857</v>
      </c>
      <c r="B72" s="38" t="s">
        <v>1547</v>
      </c>
      <c r="C72" s="38" t="s">
        <v>791</v>
      </c>
      <c r="D72" s="38">
        <v>50</v>
      </c>
      <c r="E72" s="63">
        <v>506.0385</v>
      </c>
      <c r="F72" s="63">
        <f t="shared" ref="F72:F75" si="2">IF((E72/$E$119*100)&lt;0.01,"*",E72/$E$119*100)</f>
        <v>7.3694168736777504E-2</v>
      </c>
    </row>
    <row r="73" spans="1:6" x14ac:dyDescent="0.2">
      <c r="A73" s="38" t="s">
        <v>795</v>
      </c>
      <c r="B73" s="38" t="s">
        <v>1921</v>
      </c>
      <c r="C73" s="38" t="s">
        <v>693</v>
      </c>
      <c r="D73" s="38">
        <v>50</v>
      </c>
      <c r="E73" s="63">
        <v>494.34249999999997</v>
      </c>
      <c r="F73" s="63">
        <f t="shared" si="2"/>
        <v>7.1990885295803456E-2</v>
      </c>
    </row>
    <row r="74" spans="1:6" x14ac:dyDescent="0.2">
      <c r="A74" s="38" t="s">
        <v>792</v>
      </c>
      <c r="B74" s="38" t="s">
        <v>1501</v>
      </c>
      <c r="C74" s="38" t="s">
        <v>791</v>
      </c>
      <c r="D74" s="38">
        <v>40</v>
      </c>
      <c r="E74" s="63">
        <v>412.69400000000002</v>
      </c>
      <c r="F74" s="63">
        <f t="shared" si="2"/>
        <v>6.0100449417693831E-2</v>
      </c>
    </row>
    <row r="75" spans="1:6" x14ac:dyDescent="0.2">
      <c r="A75" s="38" t="s">
        <v>823</v>
      </c>
      <c r="B75" s="38" t="s">
        <v>1477</v>
      </c>
      <c r="C75" s="38" t="s">
        <v>718</v>
      </c>
      <c r="D75" s="38">
        <v>400</v>
      </c>
      <c r="E75" s="63">
        <v>391.75240000000002</v>
      </c>
      <c r="F75" s="63">
        <f t="shared" si="2"/>
        <v>5.7050733232031865E-2</v>
      </c>
    </row>
    <row r="76" spans="1:6" x14ac:dyDescent="0.2">
      <c r="A76" s="38" t="s">
        <v>895</v>
      </c>
      <c r="B76" s="38" t="s">
        <v>1579</v>
      </c>
      <c r="C76" s="38" t="s">
        <v>693</v>
      </c>
      <c r="D76" s="38">
        <v>1</v>
      </c>
      <c r="E76" s="63">
        <v>10.10652</v>
      </c>
      <c r="F76" s="69" t="str">
        <f>IF((E76/$E$119*100)&lt;0.01,"0.00*",E76/$E$119*100)</f>
        <v>0.00*</v>
      </c>
    </row>
    <row r="77" spans="1:6" x14ac:dyDescent="0.2">
      <c r="A77" s="37" t="s">
        <v>43</v>
      </c>
      <c r="B77" s="38"/>
      <c r="C77" s="38"/>
      <c r="D77" s="38"/>
      <c r="E77" s="64">
        <f>SUM(E8:E76)</f>
        <v>445809.51291000016</v>
      </c>
      <c r="F77" s="64">
        <f>SUM(F8:F76)</f>
        <v>64.921575487358965</v>
      </c>
    </row>
    <row r="78" spans="1:6" x14ac:dyDescent="0.2">
      <c r="A78" s="38"/>
      <c r="B78" s="38"/>
      <c r="C78" s="38"/>
      <c r="D78" s="38"/>
      <c r="E78" s="63"/>
      <c r="F78" s="63"/>
    </row>
    <row r="79" spans="1:6" x14ac:dyDescent="0.2">
      <c r="A79" s="37" t="s">
        <v>717</v>
      </c>
      <c r="B79" s="38"/>
      <c r="C79" s="38"/>
      <c r="D79" s="38"/>
      <c r="E79" s="63"/>
      <c r="F79" s="63"/>
    </row>
    <row r="80" spans="1:6" x14ac:dyDescent="0.2">
      <c r="A80" s="38" t="s">
        <v>786</v>
      </c>
      <c r="B80" s="38" t="s">
        <v>1449</v>
      </c>
      <c r="C80" s="38" t="s">
        <v>785</v>
      </c>
      <c r="D80" s="38">
        <v>300</v>
      </c>
      <c r="E80" s="63">
        <v>33241.26</v>
      </c>
      <c r="F80" s="63">
        <f t="shared" ref="F80:F112" si="3">IF((E80/$E$119*100)&lt;0.01,"*",E80/$E$119*100)</f>
        <v>4.840910372359204</v>
      </c>
    </row>
    <row r="81" spans="1:6" x14ac:dyDescent="0.2">
      <c r="A81" s="38" t="s">
        <v>832</v>
      </c>
      <c r="B81" s="38" t="s">
        <v>1521</v>
      </c>
      <c r="C81" s="38" t="s">
        <v>754</v>
      </c>
      <c r="D81" s="38">
        <v>2795</v>
      </c>
      <c r="E81" s="63">
        <v>27627.456999999999</v>
      </c>
      <c r="F81" s="63">
        <f t="shared" si="3"/>
        <v>4.0233746600823155</v>
      </c>
    </row>
    <row r="82" spans="1:6" x14ac:dyDescent="0.2">
      <c r="A82" s="38" t="s">
        <v>761</v>
      </c>
      <c r="B82" s="38" t="s">
        <v>1466</v>
      </c>
      <c r="C82" s="38" t="s">
        <v>760</v>
      </c>
      <c r="D82" s="38">
        <v>230</v>
      </c>
      <c r="E82" s="63">
        <v>23174.455000000002</v>
      </c>
      <c r="F82" s="63">
        <f t="shared" si="3"/>
        <v>3.3748858973237357</v>
      </c>
    </row>
    <row r="83" spans="1:6" x14ac:dyDescent="0.2">
      <c r="A83" s="38" t="s">
        <v>763</v>
      </c>
      <c r="B83" s="38" t="s">
        <v>1464</v>
      </c>
      <c r="C83" s="38" t="s">
        <v>752</v>
      </c>
      <c r="D83" s="38">
        <v>30</v>
      </c>
      <c r="E83" s="63">
        <v>14981.52</v>
      </c>
      <c r="F83" s="63">
        <f t="shared" si="3"/>
        <v>2.1817523030627255</v>
      </c>
    </row>
    <row r="84" spans="1:6" x14ac:dyDescent="0.2">
      <c r="A84" s="38" t="s">
        <v>894</v>
      </c>
      <c r="B84" s="38" t="s">
        <v>1451</v>
      </c>
      <c r="C84" s="38" t="s">
        <v>700</v>
      </c>
      <c r="D84" s="38">
        <v>1250</v>
      </c>
      <c r="E84" s="63">
        <v>12536.9125</v>
      </c>
      <c r="F84" s="63">
        <f t="shared" si="3"/>
        <v>1.8257451660559725</v>
      </c>
    </row>
    <row r="85" spans="1:6" x14ac:dyDescent="0.2">
      <c r="A85" s="38" t="s">
        <v>846</v>
      </c>
      <c r="B85" s="38" t="s">
        <v>1508</v>
      </c>
      <c r="C85" s="38" t="s">
        <v>758</v>
      </c>
      <c r="D85" s="38">
        <v>1000</v>
      </c>
      <c r="E85" s="63">
        <v>8102.86</v>
      </c>
      <c r="F85" s="63">
        <f t="shared" si="3"/>
        <v>1.1800160108183171</v>
      </c>
    </row>
    <row r="86" spans="1:6" x14ac:dyDescent="0.2">
      <c r="A86" s="38" t="s">
        <v>893</v>
      </c>
      <c r="B86" s="38" t="s">
        <v>1550</v>
      </c>
      <c r="C86" s="38" t="s">
        <v>775</v>
      </c>
      <c r="D86" s="38">
        <v>750</v>
      </c>
      <c r="E86" s="63">
        <v>7400.6475</v>
      </c>
      <c r="F86" s="63">
        <f t="shared" si="3"/>
        <v>1.0777531069798258</v>
      </c>
    </row>
    <row r="87" spans="1:6" x14ac:dyDescent="0.2">
      <c r="A87" s="38" t="s">
        <v>892</v>
      </c>
      <c r="B87" s="38" t="s">
        <v>1551</v>
      </c>
      <c r="C87" s="38" t="s">
        <v>775</v>
      </c>
      <c r="D87" s="38">
        <v>644</v>
      </c>
      <c r="E87" s="63">
        <v>6467.0673200000001</v>
      </c>
      <c r="F87" s="63">
        <f t="shared" si="3"/>
        <v>0.94179622758382919</v>
      </c>
    </row>
    <row r="88" spans="1:6" x14ac:dyDescent="0.2">
      <c r="A88" s="38" t="s">
        <v>850</v>
      </c>
      <c r="B88" s="38" t="s">
        <v>1957</v>
      </c>
      <c r="C88" s="38" t="s">
        <v>849</v>
      </c>
      <c r="D88" s="38">
        <v>580</v>
      </c>
      <c r="E88" s="63">
        <v>5758.2341999999999</v>
      </c>
      <c r="F88" s="63">
        <f t="shared" si="3"/>
        <v>0.83856916570712126</v>
      </c>
    </row>
    <row r="89" spans="1:6" x14ac:dyDescent="0.2">
      <c r="A89" s="38" t="s">
        <v>762</v>
      </c>
      <c r="B89" s="38" t="s">
        <v>1465</v>
      </c>
      <c r="C89" s="38" t="s">
        <v>758</v>
      </c>
      <c r="D89" s="38">
        <v>580</v>
      </c>
      <c r="E89" s="63">
        <v>5523.8909999999996</v>
      </c>
      <c r="F89" s="63">
        <f t="shared" si="3"/>
        <v>0.80444186645396865</v>
      </c>
    </row>
    <row r="90" spans="1:6" x14ac:dyDescent="0.2">
      <c r="A90" s="38" t="s">
        <v>783</v>
      </c>
      <c r="B90" s="38" t="s">
        <v>1451</v>
      </c>
      <c r="C90" s="38" t="s">
        <v>700</v>
      </c>
      <c r="D90" s="38">
        <v>550</v>
      </c>
      <c r="E90" s="63">
        <v>5507.5240000000003</v>
      </c>
      <c r="F90" s="63">
        <f t="shared" si="3"/>
        <v>0.80205834729541703</v>
      </c>
    </row>
    <row r="91" spans="1:6" x14ac:dyDescent="0.2">
      <c r="A91" s="38" t="s">
        <v>891</v>
      </c>
      <c r="B91" s="38" t="s">
        <v>1552</v>
      </c>
      <c r="C91" s="38" t="s">
        <v>769</v>
      </c>
      <c r="D91" s="38">
        <v>1093</v>
      </c>
      <c r="E91" s="63">
        <v>5465</v>
      </c>
      <c r="F91" s="63">
        <f t="shared" si="3"/>
        <v>0.79586559549617086</v>
      </c>
    </row>
    <row r="92" spans="1:6" x14ac:dyDescent="0.2">
      <c r="A92" s="38" t="s">
        <v>842</v>
      </c>
      <c r="B92" s="38" t="s">
        <v>1512</v>
      </c>
      <c r="C92" s="38" t="s">
        <v>841</v>
      </c>
      <c r="D92" s="38">
        <v>37</v>
      </c>
      <c r="E92" s="63">
        <v>5407.0320000000002</v>
      </c>
      <c r="F92" s="63">
        <f t="shared" si="3"/>
        <v>0.78742374063071396</v>
      </c>
    </row>
    <row r="93" spans="1:6" x14ac:dyDescent="0.2">
      <c r="A93" s="38" t="s">
        <v>890</v>
      </c>
      <c r="B93" s="38" t="s">
        <v>1553</v>
      </c>
      <c r="C93" s="38" t="s">
        <v>841</v>
      </c>
      <c r="D93" s="38">
        <v>34</v>
      </c>
      <c r="E93" s="63">
        <v>5019.7939999999999</v>
      </c>
      <c r="F93" s="63">
        <f t="shared" si="3"/>
        <v>0.73103043752572838</v>
      </c>
    </row>
    <row r="94" spans="1:6" x14ac:dyDescent="0.2">
      <c r="A94" s="38" t="s">
        <v>889</v>
      </c>
      <c r="B94" s="38" t="s">
        <v>1554</v>
      </c>
      <c r="C94" s="38" t="s">
        <v>775</v>
      </c>
      <c r="D94" s="38">
        <v>750</v>
      </c>
      <c r="E94" s="63">
        <v>5003.1750000000002</v>
      </c>
      <c r="F94" s="63">
        <f t="shared" si="3"/>
        <v>0.72861021971574658</v>
      </c>
    </row>
    <row r="95" spans="1:6" x14ac:dyDescent="0.2">
      <c r="A95" s="38" t="s">
        <v>770</v>
      </c>
      <c r="B95" s="38" t="s">
        <v>1460</v>
      </c>
      <c r="C95" s="38" t="s">
        <v>769</v>
      </c>
      <c r="D95" s="38">
        <v>955</v>
      </c>
      <c r="E95" s="63">
        <v>4775</v>
      </c>
      <c r="F95" s="63">
        <f t="shared" si="3"/>
        <v>0.69538119277112831</v>
      </c>
    </row>
    <row r="96" spans="1:6" x14ac:dyDescent="0.2">
      <c r="A96" s="38" t="s">
        <v>838</v>
      </c>
      <c r="B96" s="38" t="s">
        <v>1515</v>
      </c>
      <c r="C96" s="38" t="s">
        <v>758</v>
      </c>
      <c r="D96" s="38">
        <v>422</v>
      </c>
      <c r="E96" s="63">
        <v>4244.6616800000002</v>
      </c>
      <c r="F96" s="63">
        <f t="shared" si="3"/>
        <v>0.61814825171692178</v>
      </c>
    </row>
    <row r="97" spans="1:6" x14ac:dyDescent="0.2">
      <c r="A97" s="38" t="s">
        <v>840</v>
      </c>
      <c r="B97" s="38" t="s">
        <v>1513</v>
      </c>
      <c r="C97" s="38" t="s">
        <v>775</v>
      </c>
      <c r="D97" s="38">
        <v>370</v>
      </c>
      <c r="E97" s="63">
        <v>3691.9007000000001</v>
      </c>
      <c r="F97" s="63">
        <f t="shared" si="3"/>
        <v>0.53764990834734316</v>
      </c>
    </row>
    <row r="98" spans="1:6" x14ac:dyDescent="0.2">
      <c r="A98" s="38" t="s">
        <v>888</v>
      </c>
      <c r="B98" s="38" t="s">
        <v>1555</v>
      </c>
      <c r="C98" s="38" t="s">
        <v>769</v>
      </c>
      <c r="D98" s="38">
        <v>716</v>
      </c>
      <c r="E98" s="63">
        <v>3580</v>
      </c>
      <c r="F98" s="63">
        <f t="shared" si="3"/>
        <v>0.52135385761688779</v>
      </c>
    </row>
    <row r="99" spans="1:6" x14ac:dyDescent="0.2">
      <c r="A99" s="38" t="s">
        <v>839</v>
      </c>
      <c r="B99" s="38" t="s">
        <v>1514</v>
      </c>
      <c r="C99" s="38" t="s">
        <v>775</v>
      </c>
      <c r="D99" s="38">
        <v>320</v>
      </c>
      <c r="E99" s="63">
        <v>3186.0927999999999</v>
      </c>
      <c r="F99" s="63">
        <f t="shared" si="3"/>
        <v>0.46398932178921548</v>
      </c>
    </row>
    <row r="100" spans="1:6" x14ac:dyDescent="0.2">
      <c r="A100" s="38" t="s">
        <v>757</v>
      </c>
      <c r="B100" s="38" t="s">
        <v>1468</v>
      </c>
      <c r="C100" s="38" t="s">
        <v>756</v>
      </c>
      <c r="D100" s="38">
        <v>300</v>
      </c>
      <c r="E100" s="63">
        <v>3002.3490000000002</v>
      </c>
      <c r="F100" s="63">
        <f t="shared" si="3"/>
        <v>0.43723079135815801</v>
      </c>
    </row>
    <row r="101" spans="1:6" x14ac:dyDescent="0.2">
      <c r="A101" s="38" t="s">
        <v>887</v>
      </c>
      <c r="B101" s="38" t="s">
        <v>1556</v>
      </c>
      <c r="C101" s="38" t="s">
        <v>758</v>
      </c>
      <c r="D101" s="38">
        <v>323</v>
      </c>
      <c r="E101" s="63">
        <v>2160.22723</v>
      </c>
      <c r="F101" s="63">
        <f t="shared" si="3"/>
        <v>0.31459296080713517</v>
      </c>
    </row>
    <row r="102" spans="1:6" x14ac:dyDescent="0.2">
      <c r="A102" s="38" t="s">
        <v>780</v>
      </c>
      <c r="B102" s="38" t="s">
        <v>1454</v>
      </c>
      <c r="C102" s="38" t="s">
        <v>779</v>
      </c>
      <c r="D102" s="38">
        <v>15</v>
      </c>
      <c r="E102" s="63">
        <v>2158.2975000000001</v>
      </c>
      <c r="F102" s="63">
        <f t="shared" si="3"/>
        <v>0.31431193505862709</v>
      </c>
    </row>
    <row r="103" spans="1:6" x14ac:dyDescent="0.2">
      <c r="A103" s="38" t="s">
        <v>778</v>
      </c>
      <c r="B103" s="38" t="s">
        <v>1455</v>
      </c>
      <c r="C103" s="38" t="s">
        <v>777</v>
      </c>
      <c r="D103" s="38">
        <v>220</v>
      </c>
      <c r="E103" s="63">
        <v>2132.5810000000001</v>
      </c>
      <c r="F103" s="63">
        <f t="shared" si="3"/>
        <v>0.31056685224315095</v>
      </c>
    </row>
    <row r="104" spans="1:6" x14ac:dyDescent="0.2">
      <c r="A104" s="38" t="s">
        <v>753</v>
      </c>
      <c r="B104" s="38" t="s">
        <v>1470</v>
      </c>
      <c r="C104" s="38" t="s">
        <v>752</v>
      </c>
      <c r="D104" s="38">
        <v>200</v>
      </c>
      <c r="E104" s="63">
        <v>2007.3240000000001</v>
      </c>
      <c r="F104" s="63">
        <f t="shared" si="3"/>
        <v>0.29232572929803402</v>
      </c>
    </row>
    <row r="105" spans="1:6" x14ac:dyDescent="0.2">
      <c r="A105" s="38" t="s">
        <v>759</v>
      </c>
      <c r="B105" s="38" t="s">
        <v>1467</v>
      </c>
      <c r="C105" s="38" t="s">
        <v>758</v>
      </c>
      <c r="D105" s="38">
        <v>200</v>
      </c>
      <c r="E105" s="63">
        <v>2007.086</v>
      </c>
      <c r="F105" s="63">
        <f t="shared" si="3"/>
        <v>0.29229106946057232</v>
      </c>
    </row>
    <row r="106" spans="1:6" x14ac:dyDescent="0.2">
      <c r="A106" s="38" t="s">
        <v>886</v>
      </c>
      <c r="B106" s="38" t="s">
        <v>1557</v>
      </c>
      <c r="C106" s="38" t="s">
        <v>775</v>
      </c>
      <c r="D106" s="38">
        <v>200</v>
      </c>
      <c r="E106" s="63">
        <v>1989.586</v>
      </c>
      <c r="F106" s="63">
        <f t="shared" si="3"/>
        <v>0.28974255200015459</v>
      </c>
    </row>
    <row r="107" spans="1:6" x14ac:dyDescent="0.2">
      <c r="A107" s="38" t="s">
        <v>755</v>
      </c>
      <c r="B107" s="38" t="s">
        <v>1469</v>
      </c>
      <c r="C107" s="38" t="s">
        <v>754</v>
      </c>
      <c r="D107" s="38">
        <v>200</v>
      </c>
      <c r="E107" s="63">
        <v>1921.6659999999999</v>
      </c>
      <c r="F107" s="63">
        <f t="shared" si="3"/>
        <v>0.27985139166235035</v>
      </c>
    </row>
    <row r="108" spans="1:6" x14ac:dyDescent="0.2">
      <c r="A108" s="38" t="s">
        <v>885</v>
      </c>
      <c r="B108" s="38" t="s">
        <v>1558</v>
      </c>
      <c r="C108" s="38" t="s">
        <v>785</v>
      </c>
      <c r="D108" s="38">
        <v>150</v>
      </c>
      <c r="E108" s="63">
        <v>1516.2329999999999</v>
      </c>
      <c r="F108" s="63">
        <f t="shared" si="3"/>
        <v>0.22080835854637618</v>
      </c>
    </row>
    <row r="109" spans="1:6" x14ac:dyDescent="0.2">
      <c r="A109" s="38" t="s">
        <v>764</v>
      </c>
      <c r="B109" s="38" t="s">
        <v>1463</v>
      </c>
      <c r="C109" s="38" t="s">
        <v>758</v>
      </c>
      <c r="D109" s="38">
        <v>130</v>
      </c>
      <c r="E109" s="63">
        <v>1226.5734</v>
      </c>
      <c r="F109" s="63">
        <f t="shared" si="3"/>
        <v>0.17862535579336927</v>
      </c>
    </row>
    <row r="110" spans="1:6" x14ac:dyDescent="0.2">
      <c r="A110" s="38" t="s">
        <v>847</v>
      </c>
      <c r="B110" s="38" t="s">
        <v>1507</v>
      </c>
      <c r="C110" s="38" t="s">
        <v>760</v>
      </c>
      <c r="D110" s="38">
        <v>110</v>
      </c>
      <c r="E110" s="63">
        <v>1052.7483999999999</v>
      </c>
      <c r="F110" s="63">
        <f t="shared" si="3"/>
        <v>0.15331129593296269</v>
      </c>
    </row>
    <row r="111" spans="1:6" x14ac:dyDescent="0.2">
      <c r="A111" s="38" t="s">
        <v>836</v>
      </c>
      <c r="B111" s="38" t="s">
        <v>1517</v>
      </c>
      <c r="C111" s="38" t="s">
        <v>754</v>
      </c>
      <c r="D111" s="38">
        <v>90</v>
      </c>
      <c r="E111" s="63">
        <v>911.03399999999999</v>
      </c>
      <c r="F111" s="63">
        <f t="shared" si="3"/>
        <v>0.13267348891624128</v>
      </c>
    </row>
    <row r="112" spans="1:6" x14ac:dyDescent="0.2">
      <c r="A112" s="38" t="s">
        <v>774</v>
      </c>
      <c r="B112" s="38" t="s">
        <v>1457</v>
      </c>
      <c r="C112" s="38" t="s">
        <v>760</v>
      </c>
      <c r="D112" s="38">
        <v>50</v>
      </c>
      <c r="E112" s="63">
        <v>479.84399999999999</v>
      </c>
      <c r="F112" s="63">
        <f t="shared" si="3"/>
        <v>6.9879474987239648E-2</v>
      </c>
    </row>
    <row r="113" spans="1:6" x14ac:dyDescent="0.2">
      <c r="A113" s="37" t="s">
        <v>43</v>
      </c>
      <c r="B113" s="38"/>
      <c r="C113" s="38"/>
      <c r="D113" s="38"/>
      <c r="E113" s="64">
        <f>SUM(E80:E112)</f>
        <v>213260.03423000005</v>
      </c>
      <c r="F113" s="64">
        <f>SUM(F80:F112)</f>
        <v>31.056966905396663</v>
      </c>
    </row>
    <row r="114" spans="1:6" x14ac:dyDescent="0.2">
      <c r="A114" s="38"/>
      <c r="B114" s="38"/>
      <c r="C114" s="38"/>
      <c r="D114" s="38"/>
      <c r="E114" s="63"/>
      <c r="F114" s="63"/>
    </row>
    <row r="115" spans="1:6" x14ac:dyDescent="0.2">
      <c r="A115" s="37" t="s">
        <v>43</v>
      </c>
      <c r="B115" s="38"/>
      <c r="C115" s="38"/>
      <c r="D115" s="38"/>
      <c r="E115" s="64">
        <f>E77+E113</f>
        <v>659069.54714000016</v>
      </c>
      <c r="F115" s="64">
        <f>F77+F113</f>
        <v>95.978542392755628</v>
      </c>
    </row>
    <row r="116" spans="1:6" x14ac:dyDescent="0.2">
      <c r="A116" s="38"/>
      <c r="B116" s="38"/>
      <c r="C116" s="38"/>
      <c r="D116" s="38"/>
      <c r="E116" s="63"/>
      <c r="F116" s="63"/>
    </row>
    <row r="117" spans="1:6" x14ac:dyDescent="0.2">
      <c r="A117" s="37" t="s">
        <v>101</v>
      </c>
      <c r="B117" s="38"/>
      <c r="C117" s="38"/>
      <c r="D117" s="38"/>
      <c r="E117" s="64">
        <v>27604.1865817</v>
      </c>
      <c r="F117" s="64">
        <f>IF((E117/$E$119*100)&lt;0.01,"*",E117/$E$119*100)</f>
        <v>4.0199857990909571</v>
      </c>
    </row>
    <row r="118" spans="1:6" x14ac:dyDescent="0.2">
      <c r="A118" s="38"/>
      <c r="B118" s="38"/>
      <c r="C118" s="38"/>
      <c r="D118" s="38"/>
      <c r="E118" s="63"/>
      <c r="F118" s="63"/>
    </row>
    <row r="119" spans="1:6" x14ac:dyDescent="0.2">
      <c r="A119" s="80" t="s">
        <v>102</v>
      </c>
      <c r="B119" s="79"/>
      <c r="C119" s="79"/>
      <c r="D119" s="79"/>
      <c r="E119" s="61">
        <f>E115+E117</f>
        <v>686673.73372170015</v>
      </c>
      <c r="F119" s="61">
        <f>F115+F117</f>
        <v>99.998528191846589</v>
      </c>
    </row>
    <row r="120" spans="1:6" x14ac:dyDescent="0.2">
      <c r="A120" s="4" t="s">
        <v>686</v>
      </c>
      <c r="F120" s="78" t="s">
        <v>712</v>
      </c>
    </row>
    <row r="122" spans="1:6" x14ac:dyDescent="0.2">
      <c r="A122" s="4" t="s">
        <v>103</v>
      </c>
    </row>
    <row r="123" spans="1:6" x14ac:dyDescent="0.2">
      <c r="A123" s="4" t="s">
        <v>685</v>
      </c>
    </row>
    <row r="124" spans="1:6" x14ac:dyDescent="0.2">
      <c r="A124" s="4" t="s">
        <v>608</v>
      </c>
    </row>
    <row r="125" spans="1:6" x14ac:dyDescent="0.2">
      <c r="A125" s="2" t="s">
        <v>600</v>
      </c>
      <c r="D125" s="10">
        <v>19.338000000000001</v>
      </c>
    </row>
    <row r="126" spans="1:6" x14ac:dyDescent="0.2">
      <c r="A126" s="2" t="s">
        <v>601</v>
      </c>
      <c r="D126" s="10">
        <v>11.2342</v>
      </c>
    </row>
    <row r="127" spans="1:6" x14ac:dyDescent="0.2">
      <c r="A127" s="2" t="s">
        <v>602</v>
      </c>
      <c r="D127" s="10">
        <v>20.3185</v>
      </c>
    </row>
    <row r="128" spans="1:6" x14ac:dyDescent="0.2">
      <c r="A128" s="2" t="s">
        <v>603</v>
      </c>
      <c r="D128" s="10">
        <v>11.994400000000001</v>
      </c>
    </row>
    <row r="130" spans="1:5" x14ac:dyDescent="0.2">
      <c r="A130" s="4" t="s">
        <v>105</v>
      </c>
    </row>
    <row r="131" spans="1:5" x14ac:dyDescent="0.2">
      <c r="A131" s="2" t="s">
        <v>600</v>
      </c>
      <c r="D131" s="10">
        <v>19.724399999999999</v>
      </c>
    </row>
    <row r="132" spans="1:5" x14ac:dyDescent="0.2">
      <c r="A132" s="2" t="s">
        <v>601</v>
      </c>
      <c r="D132" s="10">
        <v>11.014699999999999</v>
      </c>
    </row>
    <row r="133" spans="1:5" x14ac:dyDescent="0.2">
      <c r="A133" s="2" t="s">
        <v>602</v>
      </c>
      <c r="D133" s="10">
        <v>20.799199999999999</v>
      </c>
    </row>
    <row r="134" spans="1:5" x14ac:dyDescent="0.2">
      <c r="A134" s="2" t="s">
        <v>603</v>
      </c>
      <c r="D134" s="10">
        <v>11.834199999999999</v>
      </c>
    </row>
    <row r="136" spans="1:5" x14ac:dyDescent="0.2">
      <c r="A136" s="4" t="s">
        <v>106</v>
      </c>
      <c r="D136" s="20" t="s">
        <v>311</v>
      </c>
    </row>
    <row r="137" spans="1:5" x14ac:dyDescent="0.2">
      <c r="A137" s="77" t="s">
        <v>604</v>
      </c>
      <c r="B137" s="76"/>
      <c r="C137" s="114" t="s">
        <v>605</v>
      </c>
      <c r="D137" s="114"/>
    </row>
    <row r="138" spans="1:5" x14ac:dyDescent="0.2">
      <c r="A138" s="115"/>
      <c r="B138" s="115"/>
      <c r="C138" s="23" t="s">
        <v>606</v>
      </c>
      <c r="D138" s="23" t="s">
        <v>607</v>
      </c>
    </row>
    <row r="139" spans="1:5" x14ac:dyDescent="0.2">
      <c r="A139" s="24" t="s">
        <v>601</v>
      </c>
      <c r="B139" s="25"/>
      <c r="C139" s="59">
        <v>0.31694198800000001</v>
      </c>
      <c r="D139" s="59">
        <v>0.29348986040000002</v>
      </c>
    </row>
    <row r="140" spans="1:5" x14ac:dyDescent="0.2">
      <c r="A140" s="24" t="s">
        <v>603</v>
      </c>
      <c r="B140" s="25"/>
      <c r="C140" s="59">
        <v>0.31694198800000001</v>
      </c>
      <c r="D140" s="59">
        <v>0.29348986040000002</v>
      </c>
    </row>
    <row r="142" spans="1:5" x14ac:dyDescent="0.2">
      <c r="A142" s="4" t="s">
        <v>680</v>
      </c>
      <c r="D142" s="15">
        <v>3.2590308340767753</v>
      </c>
      <c r="E142" s="72" t="s">
        <v>679</v>
      </c>
    </row>
  </sheetData>
  <mergeCells count="3">
    <mergeCell ref="A1:F1"/>
    <mergeCell ref="C137:D137"/>
    <mergeCell ref="A138:B13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9ED0-4BEF-4E0E-8F6E-C8739993CDD2}">
  <dimension ref="A1:F11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968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722</v>
      </c>
      <c r="B8" s="38" t="s">
        <v>1919</v>
      </c>
      <c r="C8" s="38" t="s">
        <v>721</v>
      </c>
      <c r="D8" s="38">
        <v>660</v>
      </c>
      <c r="E8" s="63">
        <v>6753.2784000000001</v>
      </c>
      <c r="F8" s="63">
        <f t="shared" ref="F8:F39" si="0">IF((E8/$E$73*100)&lt;0.01,"*",E8/$E$73*100)</f>
        <v>7.0984541845108069</v>
      </c>
    </row>
    <row r="9" spans="1:6" x14ac:dyDescent="0.2">
      <c r="A9" s="38" t="s">
        <v>724</v>
      </c>
      <c r="B9" s="38" t="s">
        <v>1438</v>
      </c>
      <c r="C9" s="38" t="s">
        <v>693</v>
      </c>
      <c r="D9" s="38">
        <v>670</v>
      </c>
      <c r="E9" s="63">
        <v>6687.2298000000001</v>
      </c>
      <c r="F9" s="63">
        <f t="shared" si="0"/>
        <v>7.0290296867659654</v>
      </c>
    </row>
    <row r="10" spans="1:6" x14ac:dyDescent="0.2">
      <c r="A10" s="38" t="s">
        <v>746</v>
      </c>
      <c r="B10" s="38" t="s">
        <v>1442</v>
      </c>
      <c r="C10" s="38" t="s">
        <v>693</v>
      </c>
      <c r="D10" s="38">
        <v>560</v>
      </c>
      <c r="E10" s="63">
        <v>5787.8968000000004</v>
      </c>
      <c r="F10" s="63">
        <f t="shared" si="0"/>
        <v>6.0837296829754131</v>
      </c>
    </row>
    <row r="11" spans="1:6" x14ac:dyDescent="0.2">
      <c r="A11" s="38" t="s">
        <v>967</v>
      </c>
      <c r="B11" s="38" t="s">
        <v>1582</v>
      </c>
      <c r="C11" s="38" t="s">
        <v>693</v>
      </c>
      <c r="D11" s="38">
        <v>500</v>
      </c>
      <c r="E11" s="63">
        <v>5060.4799999999996</v>
      </c>
      <c r="F11" s="63">
        <f t="shared" si="0"/>
        <v>5.3191329164859011</v>
      </c>
    </row>
    <row r="12" spans="1:6" x14ac:dyDescent="0.2">
      <c r="A12" s="38" t="s">
        <v>966</v>
      </c>
      <c r="B12" s="38" t="s">
        <v>1583</v>
      </c>
      <c r="C12" s="38" t="s">
        <v>693</v>
      </c>
      <c r="D12" s="38">
        <v>467</v>
      </c>
      <c r="E12" s="63">
        <v>4824.8198400000001</v>
      </c>
      <c r="F12" s="63">
        <f t="shared" si="0"/>
        <v>5.0714276169569379</v>
      </c>
    </row>
    <row r="13" spans="1:6" x14ac:dyDescent="0.2">
      <c r="A13" s="38" t="s">
        <v>819</v>
      </c>
      <c r="B13" s="38" t="s">
        <v>1481</v>
      </c>
      <c r="C13" s="38" t="s">
        <v>713</v>
      </c>
      <c r="D13" s="38">
        <v>500</v>
      </c>
      <c r="E13" s="63">
        <v>4682.13</v>
      </c>
      <c r="F13" s="63">
        <f t="shared" si="0"/>
        <v>4.921444566971144</v>
      </c>
    </row>
    <row r="14" spans="1:6" x14ac:dyDescent="0.2">
      <c r="A14" s="38" t="s">
        <v>965</v>
      </c>
      <c r="B14" s="38" t="s">
        <v>1584</v>
      </c>
      <c r="C14" s="38" t="s">
        <v>713</v>
      </c>
      <c r="D14" s="38">
        <v>450</v>
      </c>
      <c r="E14" s="63">
        <v>4492.8360000000002</v>
      </c>
      <c r="F14" s="63">
        <f t="shared" si="0"/>
        <v>4.722475309846665</v>
      </c>
    </row>
    <row r="15" spans="1:6" x14ac:dyDescent="0.2">
      <c r="A15" s="38" t="s">
        <v>964</v>
      </c>
      <c r="B15" s="38" t="s">
        <v>1958</v>
      </c>
      <c r="C15" s="38" t="s">
        <v>963</v>
      </c>
      <c r="D15" s="38">
        <v>447</v>
      </c>
      <c r="E15" s="63">
        <v>4481.1615899999997</v>
      </c>
      <c r="F15" s="63">
        <f t="shared" si="0"/>
        <v>4.7102041935668746</v>
      </c>
    </row>
    <row r="16" spans="1:6" x14ac:dyDescent="0.2">
      <c r="A16" s="38" t="s">
        <v>816</v>
      </c>
      <c r="B16" s="38" t="s">
        <v>1484</v>
      </c>
      <c r="C16" s="38" t="s">
        <v>693</v>
      </c>
      <c r="D16" s="38">
        <v>400</v>
      </c>
      <c r="E16" s="63">
        <v>4006.9639999999999</v>
      </c>
      <c r="F16" s="63">
        <f t="shared" si="0"/>
        <v>4.2117692605393193</v>
      </c>
    </row>
    <row r="17" spans="1:6" x14ac:dyDescent="0.2">
      <c r="A17" s="38" t="s">
        <v>896</v>
      </c>
      <c r="B17" s="38" t="s">
        <v>1578</v>
      </c>
      <c r="C17" s="38" t="s">
        <v>741</v>
      </c>
      <c r="D17" s="38">
        <v>350</v>
      </c>
      <c r="E17" s="63">
        <v>3502.2260000000001</v>
      </c>
      <c r="F17" s="63">
        <f t="shared" si="0"/>
        <v>3.6812329260411571</v>
      </c>
    </row>
    <row r="18" spans="1:6" x14ac:dyDescent="0.2">
      <c r="A18" s="38" t="s">
        <v>829</v>
      </c>
      <c r="B18" s="38" t="s">
        <v>1471</v>
      </c>
      <c r="C18" s="38" t="s">
        <v>791</v>
      </c>
      <c r="D18" s="38">
        <v>405</v>
      </c>
      <c r="E18" s="63">
        <v>3376.8494999999998</v>
      </c>
      <c r="F18" s="63">
        <f t="shared" si="0"/>
        <v>3.5494481411781011</v>
      </c>
    </row>
    <row r="19" spans="1:6" x14ac:dyDescent="0.2">
      <c r="A19" s="38" t="s">
        <v>827</v>
      </c>
      <c r="B19" s="38" t="s">
        <v>1473</v>
      </c>
      <c r="C19" s="38" t="s">
        <v>700</v>
      </c>
      <c r="D19" s="38">
        <v>310</v>
      </c>
      <c r="E19" s="63">
        <v>3160.0810999999999</v>
      </c>
      <c r="F19" s="63">
        <f t="shared" si="0"/>
        <v>3.3216002034935377</v>
      </c>
    </row>
    <row r="20" spans="1:6" x14ac:dyDescent="0.2">
      <c r="A20" s="38" t="s">
        <v>790</v>
      </c>
      <c r="B20" s="38" t="s">
        <v>1502</v>
      </c>
      <c r="C20" s="38" t="s">
        <v>741</v>
      </c>
      <c r="D20" s="38">
        <v>315</v>
      </c>
      <c r="E20" s="63">
        <v>3145.2718500000001</v>
      </c>
      <c r="F20" s="63">
        <f t="shared" si="0"/>
        <v>3.3060340182416508</v>
      </c>
    </row>
    <row r="21" spans="1:6" x14ac:dyDescent="0.2">
      <c r="A21" s="38" t="s">
        <v>962</v>
      </c>
      <c r="B21" s="38" t="s">
        <v>1585</v>
      </c>
      <c r="C21" s="38" t="s">
        <v>713</v>
      </c>
      <c r="D21" s="38">
        <v>300</v>
      </c>
      <c r="E21" s="63">
        <v>2913.6570000000002</v>
      </c>
      <c r="F21" s="63">
        <f t="shared" si="0"/>
        <v>3.0625807939265766</v>
      </c>
    </row>
    <row r="22" spans="1:6" x14ac:dyDescent="0.2">
      <c r="A22" s="38" t="s">
        <v>961</v>
      </c>
      <c r="B22" s="38" t="s">
        <v>1959</v>
      </c>
      <c r="C22" s="38" t="s">
        <v>933</v>
      </c>
      <c r="D22" s="38">
        <v>238</v>
      </c>
      <c r="E22" s="63">
        <v>2397.9452000000001</v>
      </c>
      <c r="F22" s="63">
        <f t="shared" si="0"/>
        <v>2.5205097629571442</v>
      </c>
    </row>
    <row r="23" spans="1:6" x14ac:dyDescent="0.2">
      <c r="A23" s="38" t="s">
        <v>960</v>
      </c>
      <c r="B23" s="38" t="s">
        <v>1586</v>
      </c>
      <c r="C23" s="38" t="s">
        <v>693</v>
      </c>
      <c r="D23" s="38">
        <v>190</v>
      </c>
      <c r="E23" s="63">
        <v>1997.5972999999999</v>
      </c>
      <c r="F23" s="63">
        <f t="shared" si="0"/>
        <v>2.099699149549719</v>
      </c>
    </row>
    <row r="24" spans="1:6" x14ac:dyDescent="0.2">
      <c r="A24" s="38" t="s">
        <v>959</v>
      </c>
      <c r="B24" s="38" t="s">
        <v>1587</v>
      </c>
      <c r="C24" s="38" t="s">
        <v>693</v>
      </c>
      <c r="D24" s="38">
        <v>187</v>
      </c>
      <c r="E24" s="63">
        <v>1841.80414</v>
      </c>
      <c r="F24" s="63">
        <f t="shared" si="0"/>
        <v>1.9359430383667178</v>
      </c>
    </row>
    <row r="25" spans="1:6" x14ac:dyDescent="0.2">
      <c r="A25" s="38" t="s">
        <v>958</v>
      </c>
      <c r="B25" s="38" t="s">
        <v>1938</v>
      </c>
      <c r="C25" s="38" t="s">
        <v>693</v>
      </c>
      <c r="D25" s="38">
        <v>166</v>
      </c>
      <c r="E25" s="63">
        <v>1819.82978</v>
      </c>
      <c r="F25" s="63">
        <f t="shared" si="0"/>
        <v>1.912845517658265</v>
      </c>
    </row>
    <row r="26" spans="1:6" x14ac:dyDescent="0.2">
      <c r="A26" s="38" t="s">
        <v>957</v>
      </c>
      <c r="B26" s="38" t="s">
        <v>1588</v>
      </c>
      <c r="C26" s="38" t="s">
        <v>721</v>
      </c>
      <c r="D26" s="38">
        <v>173</v>
      </c>
      <c r="E26" s="63">
        <v>1790.48253</v>
      </c>
      <c r="F26" s="63">
        <f t="shared" si="0"/>
        <v>1.8819982613736159</v>
      </c>
    </row>
    <row r="27" spans="1:6" x14ac:dyDescent="0.2">
      <c r="A27" s="38" t="s">
        <v>956</v>
      </c>
      <c r="B27" s="38" t="s">
        <v>1960</v>
      </c>
      <c r="C27" s="38" t="s">
        <v>693</v>
      </c>
      <c r="D27" s="38">
        <v>130</v>
      </c>
      <c r="E27" s="63">
        <v>1412.9752000000001</v>
      </c>
      <c r="F27" s="63">
        <f t="shared" si="0"/>
        <v>1.4851956526847752</v>
      </c>
    </row>
    <row r="28" spans="1:6" x14ac:dyDescent="0.2">
      <c r="A28" s="38" t="s">
        <v>955</v>
      </c>
      <c r="B28" s="38" t="s">
        <v>1589</v>
      </c>
      <c r="C28" s="38" t="s">
        <v>693</v>
      </c>
      <c r="D28" s="38">
        <v>118</v>
      </c>
      <c r="E28" s="63">
        <v>1203.9315799999999</v>
      </c>
      <c r="F28" s="63">
        <f t="shared" si="0"/>
        <v>1.265467326493708</v>
      </c>
    </row>
    <row r="29" spans="1:6" x14ac:dyDescent="0.2">
      <c r="A29" s="38" t="s">
        <v>954</v>
      </c>
      <c r="B29" s="38" t="s">
        <v>1590</v>
      </c>
      <c r="C29" s="38" t="s">
        <v>693</v>
      </c>
      <c r="D29" s="38">
        <v>111</v>
      </c>
      <c r="E29" s="63">
        <v>1128.49371</v>
      </c>
      <c r="F29" s="63">
        <f t="shared" si="0"/>
        <v>1.1861736512955876</v>
      </c>
    </row>
    <row r="30" spans="1:6" x14ac:dyDescent="0.2">
      <c r="A30" s="38" t="s">
        <v>953</v>
      </c>
      <c r="B30" s="38" t="s">
        <v>1591</v>
      </c>
      <c r="C30" s="38" t="s">
        <v>700</v>
      </c>
      <c r="D30" s="38">
        <v>100</v>
      </c>
      <c r="E30" s="63">
        <v>996.72299999999996</v>
      </c>
      <c r="F30" s="63">
        <f t="shared" si="0"/>
        <v>1.0476678334700615</v>
      </c>
    </row>
    <row r="31" spans="1:6" x14ac:dyDescent="0.2">
      <c r="A31" s="38" t="s">
        <v>952</v>
      </c>
      <c r="B31" s="38" t="s">
        <v>1592</v>
      </c>
      <c r="C31" s="38" t="s">
        <v>693</v>
      </c>
      <c r="D31" s="38">
        <v>80</v>
      </c>
      <c r="E31" s="63">
        <v>821.51279999999997</v>
      </c>
      <c r="F31" s="63">
        <f t="shared" si="0"/>
        <v>0.86350223215870803</v>
      </c>
    </row>
    <row r="32" spans="1:6" x14ac:dyDescent="0.2">
      <c r="A32" s="38" t="s">
        <v>725</v>
      </c>
      <c r="B32" s="38" t="s">
        <v>1437</v>
      </c>
      <c r="C32" s="38" t="s">
        <v>693</v>
      </c>
      <c r="D32" s="38">
        <v>60</v>
      </c>
      <c r="E32" s="63">
        <v>614.29079999999999</v>
      </c>
      <c r="F32" s="63">
        <f t="shared" si="0"/>
        <v>0.64568863320761227</v>
      </c>
    </row>
    <row r="33" spans="1:6" x14ac:dyDescent="0.2">
      <c r="A33" s="38" t="s">
        <v>951</v>
      </c>
      <c r="B33" s="38" t="s">
        <v>1593</v>
      </c>
      <c r="C33" s="38" t="s">
        <v>933</v>
      </c>
      <c r="D33" s="38">
        <v>60</v>
      </c>
      <c r="E33" s="63">
        <v>605.30219999999997</v>
      </c>
      <c r="F33" s="63">
        <f t="shared" si="0"/>
        <v>0.63624060493102086</v>
      </c>
    </row>
    <row r="34" spans="1:6" x14ac:dyDescent="0.2">
      <c r="A34" s="38" t="s">
        <v>810</v>
      </c>
      <c r="B34" s="38" t="s">
        <v>1489</v>
      </c>
      <c r="C34" s="38" t="s">
        <v>693</v>
      </c>
      <c r="D34" s="38">
        <v>50</v>
      </c>
      <c r="E34" s="63">
        <v>513.61599999999999</v>
      </c>
      <c r="F34" s="63">
        <f t="shared" si="0"/>
        <v>0.53986810975121391</v>
      </c>
    </row>
    <row r="35" spans="1:6" x14ac:dyDescent="0.2">
      <c r="A35" s="38" t="s">
        <v>698</v>
      </c>
      <c r="B35" s="38" t="s">
        <v>1425</v>
      </c>
      <c r="C35" s="38" t="s">
        <v>693</v>
      </c>
      <c r="D35" s="38">
        <v>50</v>
      </c>
      <c r="E35" s="63">
        <v>502.66849999999999</v>
      </c>
      <c r="F35" s="63">
        <f t="shared" si="0"/>
        <v>0.52836105753418516</v>
      </c>
    </row>
    <row r="36" spans="1:6" x14ac:dyDescent="0.2">
      <c r="A36" s="38" t="s">
        <v>950</v>
      </c>
      <c r="B36" s="38" t="s">
        <v>1594</v>
      </c>
      <c r="C36" s="38" t="s">
        <v>933</v>
      </c>
      <c r="D36" s="38">
        <v>50</v>
      </c>
      <c r="E36" s="63">
        <v>500.12849999999997</v>
      </c>
      <c r="F36" s="63">
        <f t="shared" si="0"/>
        <v>0.52569123221961533</v>
      </c>
    </row>
    <row r="37" spans="1:6" x14ac:dyDescent="0.2">
      <c r="A37" s="38" t="s">
        <v>949</v>
      </c>
      <c r="B37" s="38" t="s">
        <v>1595</v>
      </c>
      <c r="C37" s="38" t="s">
        <v>721</v>
      </c>
      <c r="D37" s="38">
        <v>44</v>
      </c>
      <c r="E37" s="63">
        <v>484.33967999999999</v>
      </c>
      <c r="F37" s="63">
        <f t="shared" si="0"/>
        <v>0.50909540886403037</v>
      </c>
    </row>
    <row r="38" spans="1:6" x14ac:dyDescent="0.2">
      <c r="A38" s="38" t="s">
        <v>694</v>
      </c>
      <c r="B38" s="38" t="s">
        <v>1917</v>
      </c>
      <c r="C38" s="38" t="s">
        <v>693</v>
      </c>
      <c r="D38" s="38">
        <v>45</v>
      </c>
      <c r="E38" s="63">
        <v>458.9667</v>
      </c>
      <c r="F38" s="63">
        <f t="shared" si="0"/>
        <v>0.48242555677345028</v>
      </c>
    </row>
    <row r="39" spans="1:6" x14ac:dyDescent="0.2">
      <c r="A39" s="38" t="s">
        <v>948</v>
      </c>
      <c r="B39" s="38" t="s">
        <v>1596</v>
      </c>
      <c r="C39" s="38" t="s">
        <v>693</v>
      </c>
      <c r="D39" s="38">
        <v>42</v>
      </c>
      <c r="E39" s="63">
        <v>420.25074000000001</v>
      </c>
      <c r="F39" s="63">
        <f t="shared" si="0"/>
        <v>0.44173073390499684</v>
      </c>
    </row>
    <row r="40" spans="1:6" x14ac:dyDescent="0.2">
      <c r="A40" s="38" t="s">
        <v>947</v>
      </c>
      <c r="B40" s="38" t="s">
        <v>1939</v>
      </c>
      <c r="C40" s="38" t="s">
        <v>693</v>
      </c>
      <c r="D40" s="38">
        <v>31</v>
      </c>
      <c r="E40" s="63">
        <v>329.86727999999999</v>
      </c>
      <c r="F40" s="63">
        <f t="shared" ref="F40:F60" si="1">IF((E40/$E$73*100)&lt;0.01,"*",E40/$E$73*100)</f>
        <v>0.34672756480011219</v>
      </c>
    </row>
    <row r="41" spans="1:6" x14ac:dyDescent="0.2">
      <c r="A41" s="38" t="s">
        <v>946</v>
      </c>
      <c r="B41" s="38" t="s">
        <v>1597</v>
      </c>
      <c r="C41" s="38" t="s">
        <v>693</v>
      </c>
      <c r="D41" s="38">
        <v>33</v>
      </c>
      <c r="E41" s="63">
        <v>328.66910999999999</v>
      </c>
      <c r="F41" s="63">
        <f t="shared" si="1"/>
        <v>0.34546815354138849</v>
      </c>
    </row>
    <row r="42" spans="1:6" x14ac:dyDescent="0.2">
      <c r="A42" s="38" t="s">
        <v>945</v>
      </c>
      <c r="B42" s="38" t="s">
        <v>1598</v>
      </c>
      <c r="C42" s="38" t="s">
        <v>693</v>
      </c>
      <c r="D42" s="38">
        <v>26</v>
      </c>
      <c r="E42" s="63">
        <v>267.1669</v>
      </c>
      <c r="F42" s="63">
        <f t="shared" si="1"/>
        <v>0.28082242237603888</v>
      </c>
    </row>
    <row r="43" spans="1:6" x14ac:dyDescent="0.2">
      <c r="A43" s="38" t="s">
        <v>720</v>
      </c>
      <c r="B43" s="38" t="s">
        <v>1920</v>
      </c>
      <c r="C43" s="38" t="s">
        <v>693</v>
      </c>
      <c r="D43" s="38">
        <v>20</v>
      </c>
      <c r="E43" s="63">
        <v>204.172</v>
      </c>
      <c r="F43" s="63">
        <f t="shared" si="1"/>
        <v>0.21460770634895493</v>
      </c>
    </row>
    <row r="44" spans="1:6" x14ac:dyDescent="0.2">
      <c r="A44" s="38" t="s">
        <v>944</v>
      </c>
      <c r="B44" s="38" t="s">
        <v>1599</v>
      </c>
      <c r="C44" s="38" t="s">
        <v>721</v>
      </c>
      <c r="D44" s="38">
        <v>19</v>
      </c>
      <c r="E44" s="63">
        <v>195.69049999999999</v>
      </c>
      <c r="F44" s="63">
        <f t="shared" si="1"/>
        <v>0.20569269713418178</v>
      </c>
    </row>
    <row r="45" spans="1:6" x14ac:dyDescent="0.2">
      <c r="A45" s="38" t="s">
        <v>895</v>
      </c>
      <c r="B45" s="38" t="s">
        <v>1579</v>
      </c>
      <c r="C45" s="38" t="s">
        <v>693</v>
      </c>
      <c r="D45" s="38">
        <v>18</v>
      </c>
      <c r="E45" s="63">
        <v>181.91736</v>
      </c>
      <c r="F45" s="63">
        <f t="shared" si="1"/>
        <v>0.19121557987705035</v>
      </c>
    </row>
    <row r="46" spans="1:6" x14ac:dyDescent="0.2">
      <c r="A46" s="38" t="s">
        <v>943</v>
      </c>
      <c r="B46" s="38" t="s">
        <v>1961</v>
      </c>
      <c r="C46" s="38" t="s">
        <v>693</v>
      </c>
      <c r="D46" s="38">
        <v>15</v>
      </c>
      <c r="E46" s="63">
        <v>166.0239</v>
      </c>
      <c r="F46" s="63">
        <f t="shared" si="1"/>
        <v>0.17450976812740368</v>
      </c>
    </row>
    <row r="47" spans="1:6" x14ac:dyDescent="0.2">
      <c r="A47" s="38" t="s">
        <v>734</v>
      </c>
      <c r="B47" s="38" t="s">
        <v>1432</v>
      </c>
      <c r="C47" s="38" t="s">
        <v>733</v>
      </c>
      <c r="D47" s="38">
        <v>15</v>
      </c>
      <c r="E47" s="63">
        <v>150.26249999999999</v>
      </c>
      <c r="F47" s="63">
        <f t="shared" si="1"/>
        <v>0.15794276627186804</v>
      </c>
    </row>
    <row r="48" spans="1:6" x14ac:dyDescent="0.2">
      <c r="A48" s="38" t="s">
        <v>942</v>
      </c>
      <c r="B48" s="38" t="s">
        <v>1600</v>
      </c>
      <c r="C48" s="38" t="s">
        <v>693</v>
      </c>
      <c r="D48" s="38">
        <v>10</v>
      </c>
      <c r="E48" s="63">
        <v>109.2311</v>
      </c>
      <c r="F48" s="63">
        <f t="shared" si="1"/>
        <v>0.1148141558733486</v>
      </c>
    </row>
    <row r="49" spans="1:6" x14ac:dyDescent="0.2">
      <c r="A49" s="38" t="s">
        <v>941</v>
      </c>
      <c r="B49" s="38" t="s">
        <v>1601</v>
      </c>
      <c r="C49" s="38" t="s">
        <v>940</v>
      </c>
      <c r="D49" s="38">
        <v>10</v>
      </c>
      <c r="E49" s="63">
        <v>106.56010000000001</v>
      </c>
      <c r="F49" s="63">
        <f t="shared" si="1"/>
        <v>0.11200663484373605</v>
      </c>
    </row>
    <row r="50" spans="1:6" x14ac:dyDescent="0.2">
      <c r="A50" s="38" t="s">
        <v>939</v>
      </c>
      <c r="B50" s="38" t="s">
        <v>1922</v>
      </c>
      <c r="C50" s="38" t="s">
        <v>693</v>
      </c>
      <c r="D50" s="38">
        <v>10</v>
      </c>
      <c r="E50" s="63">
        <v>99.984800000000007</v>
      </c>
      <c r="F50" s="63">
        <f t="shared" si="1"/>
        <v>0.10509525594968452</v>
      </c>
    </row>
    <row r="51" spans="1:6" x14ac:dyDescent="0.2">
      <c r="A51" s="38" t="s">
        <v>938</v>
      </c>
      <c r="B51" s="38" t="s">
        <v>1602</v>
      </c>
      <c r="C51" s="38" t="s">
        <v>721</v>
      </c>
      <c r="D51" s="38">
        <v>70</v>
      </c>
      <c r="E51" s="63">
        <v>71.852689999999996</v>
      </c>
      <c r="F51" s="63">
        <f t="shared" si="1"/>
        <v>7.5525248299974979E-2</v>
      </c>
    </row>
    <row r="52" spans="1:6" x14ac:dyDescent="0.2">
      <c r="A52" s="38" t="s">
        <v>937</v>
      </c>
      <c r="B52" s="38" t="s">
        <v>1603</v>
      </c>
      <c r="C52" s="38" t="s">
        <v>693</v>
      </c>
      <c r="D52" s="38">
        <v>5</v>
      </c>
      <c r="E52" s="63">
        <v>50.903750000000002</v>
      </c>
      <c r="F52" s="63">
        <f t="shared" si="1"/>
        <v>5.3505559195485254E-2</v>
      </c>
    </row>
    <row r="53" spans="1:6" x14ac:dyDescent="0.2">
      <c r="A53" s="38" t="s">
        <v>936</v>
      </c>
      <c r="B53" s="38" t="s">
        <v>1604</v>
      </c>
      <c r="C53" s="38" t="s">
        <v>693</v>
      </c>
      <c r="D53" s="38">
        <v>5</v>
      </c>
      <c r="E53" s="63">
        <v>50.045450000000002</v>
      </c>
      <c r="F53" s="63">
        <f t="shared" si="1"/>
        <v>5.2603389483872942E-2</v>
      </c>
    </row>
    <row r="54" spans="1:6" x14ac:dyDescent="0.2">
      <c r="A54" s="38" t="s">
        <v>935</v>
      </c>
      <c r="B54" s="38" t="s">
        <v>1605</v>
      </c>
      <c r="C54" s="38" t="s">
        <v>693</v>
      </c>
      <c r="D54" s="38">
        <v>4</v>
      </c>
      <c r="E54" s="63">
        <v>41.856760000000001</v>
      </c>
      <c r="F54" s="63">
        <f t="shared" si="1"/>
        <v>4.3996156470028622E-2</v>
      </c>
    </row>
    <row r="55" spans="1:6" x14ac:dyDescent="0.2">
      <c r="A55" s="38" t="s">
        <v>934</v>
      </c>
      <c r="B55" s="38" t="s">
        <v>1606</v>
      </c>
      <c r="C55" s="38" t="s">
        <v>933</v>
      </c>
      <c r="D55" s="38">
        <v>3</v>
      </c>
      <c r="E55" s="63">
        <v>33.234810000000003</v>
      </c>
      <c r="F55" s="63">
        <f t="shared" si="1"/>
        <v>3.493351852870772E-2</v>
      </c>
    </row>
    <row r="56" spans="1:6" x14ac:dyDescent="0.2">
      <c r="A56" s="38" t="s">
        <v>932</v>
      </c>
      <c r="B56" s="38" t="s">
        <v>1607</v>
      </c>
      <c r="C56" s="38" t="s">
        <v>693</v>
      </c>
      <c r="D56" s="38">
        <v>3</v>
      </c>
      <c r="E56" s="63">
        <v>30.379439999999999</v>
      </c>
      <c r="F56" s="63">
        <f t="shared" si="1"/>
        <v>3.1932203919076543E-2</v>
      </c>
    </row>
    <row r="57" spans="1:6" x14ac:dyDescent="0.2">
      <c r="A57" s="38" t="s">
        <v>931</v>
      </c>
      <c r="B57" s="38" t="s">
        <v>1608</v>
      </c>
      <c r="C57" s="38" t="s">
        <v>693</v>
      </c>
      <c r="D57" s="38">
        <v>2</v>
      </c>
      <c r="E57" s="63">
        <v>19.894760000000002</v>
      </c>
      <c r="F57" s="63">
        <f t="shared" si="1"/>
        <v>2.0911627509956975E-2</v>
      </c>
    </row>
    <row r="58" spans="1:6" x14ac:dyDescent="0.2">
      <c r="A58" s="38" t="s">
        <v>930</v>
      </c>
      <c r="B58" s="38" t="s">
        <v>1609</v>
      </c>
      <c r="C58" s="38" t="s">
        <v>693</v>
      </c>
      <c r="D58" s="38">
        <v>1</v>
      </c>
      <c r="E58" s="63">
        <v>10.25802</v>
      </c>
      <c r="F58" s="63">
        <f t="shared" si="1"/>
        <v>1.0782331288725716E-2</v>
      </c>
    </row>
    <row r="59" spans="1:6" x14ac:dyDescent="0.2">
      <c r="A59" s="38" t="s">
        <v>929</v>
      </c>
      <c r="B59" s="38" t="s">
        <v>1610</v>
      </c>
      <c r="C59" s="38" t="s">
        <v>721</v>
      </c>
      <c r="D59" s="38">
        <v>1</v>
      </c>
      <c r="E59" s="63">
        <v>10.076930000000001</v>
      </c>
      <c r="F59" s="63">
        <f t="shared" si="1"/>
        <v>1.0591985357144831E-2</v>
      </c>
    </row>
    <row r="60" spans="1:6" x14ac:dyDescent="0.2">
      <c r="A60" s="38" t="s">
        <v>928</v>
      </c>
      <c r="B60" s="38" t="s">
        <v>1923</v>
      </c>
      <c r="C60" s="38" t="s">
        <v>693</v>
      </c>
      <c r="D60" s="38">
        <v>1</v>
      </c>
      <c r="E60" s="63">
        <v>9.9169499999999999</v>
      </c>
      <c r="F60" s="63">
        <f t="shared" si="1"/>
        <v>1.0423828406820077E-2</v>
      </c>
    </row>
    <row r="61" spans="1:6" x14ac:dyDescent="0.2">
      <c r="A61" s="37" t="s">
        <v>43</v>
      </c>
      <c r="B61" s="38"/>
      <c r="C61" s="38"/>
      <c r="D61" s="38"/>
      <c r="E61" s="64">
        <f>SUM(E8:E60)</f>
        <v>84853.705350000004</v>
      </c>
      <c r="F61" s="64">
        <f>SUM(F8:F60)</f>
        <v>89.190775818298022</v>
      </c>
    </row>
    <row r="62" spans="1:6" x14ac:dyDescent="0.2">
      <c r="A62" s="38"/>
      <c r="B62" s="38"/>
      <c r="C62" s="38"/>
      <c r="D62" s="38"/>
      <c r="E62" s="63"/>
      <c r="F62" s="63"/>
    </row>
    <row r="63" spans="1:6" x14ac:dyDescent="0.2">
      <c r="A63" s="37" t="s">
        <v>717</v>
      </c>
      <c r="B63" s="38"/>
      <c r="C63" s="38"/>
      <c r="D63" s="38"/>
      <c r="E63" s="63"/>
      <c r="F63" s="63"/>
    </row>
    <row r="64" spans="1:6" x14ac:dyDescent="0.2">
      <c r="A64" s="38" t="s">
        <v>845</v>
      </c>
      <c r="B64" s="38" t="s">
        <v>1509</v>
      </c>
      <c r="C64" s="38" t="s">
        <v>772</v>
      </c>
      <c r="D64" s="38">
        <v>250</v>
      </c>
      <c r="E64" s="63">
        <v>2370.375</v>
      </c>
      <c r="F64" s="63">
        <f>IF((E64/$E$73*100)&lt;0.01,"*",E64/$E$73*100)</f>
        <v>2.4915303858359819</v>
      </c>
    </row>
    <row r="65" spans="1:6" x14ac:dyDescent="0.2">
      <c r="A65" s="38" t="s">
        <v>927</v>
      </c>
      <c r="B65" s="38" t="s">
        <v>1580</v>
      </c>
      <c r="C65" s="38" t="s">
        <v>926</v>
      </c>
      <c r="D65" s="38">
        <v>200</v>
      </c>
      <c r="E65" s="63">
        <v>2000.9179999999999</v>
      </c>
      <c r="F65" s="63">
        <f>IF((E65/$E$73*100)&lt;0.01,"*",E65/$E$73*100)</f>
        <v>2.1031895782592041</v>
      </c>
    </row>
    <row r="66" spans="1:6" x14ac:dyDescent="0.2">
      <c r="A66" s="38" t="s">
        <v>925</v>
      </c>
      <c r="B66" s="38" t="s">
        <v>1581</v>
      </c>
      <c r="C66" s="38" t="s">
        <v>693</v>
      </c>
      <c r="D66" s="38">
        <v>49</v>
      </c>
      <c r="E66" s="63">
        <v>487.71316999999999</v>
      </c>
      <c r="F66" s="63">
        <f>IF((E66/$E$73*100)&lt;0.01,"*",E66/$E$73*100)</f>
        <v>0.51264132579334065</v>
      </c>
    </row>
    <row r="67" spans="1:6" x14ac:dyDescent="0.2">
      <c r="A67" s="37" t="s">
        <v>43</v>
      </c>
      <c r="B67" s="38"/>
      <c r="C67" s="38"/>
      <c r="D67" s="38"/>
      <c r="E67" s="64">
        <f>SUM(E64:E66)</f>
        <v>4859.0061699999997</v>
      </c>
      <c r="F67" s="64">
        <f>SUM(F64:F66)</f>
        <v>5.1073612898885266</v>
      </c>
    </row>
    <row r="68" spans="1:6" x14ac:dyDescent="0.2">
      <c r="A68" s="38"/>
      <c r="B68" s="38"/>
      <c r="C68" s="38"/>
      <c r="D68" s="38"/>
      <c r="E68" s="63"/>
      <c r="F68" s="63"/>
    </row>
    <row r="69" spans="1:6" x14ac:dyDescent="0.2">
      <c r="A69" s="37" t="s">
        <v>43</v>
      </c>
      <c r="B69" s="38"/>
      <c r="C69" s="38"/>
      <c r="D69" s="38"/>
      <c r="E69" s="64">
        <f>E61+E67</f>
        <v>89712.711519999997</v>
      </c>
      <c r="F69" s="64">
        <f>F61+F67</f>
        <v>94.298137108186552</v>
      </c>
    </row>
    <row r="70" spans="1:6" x14ac:dyDescent="0.2">
      <c r="A70" s="38"/>
      <c r="B70" s="38"/>
      <c r="C70" s="38"/>
      <c r="D70" s="38"/>
      <c r="E70" s="63"/>
      <c r="F70" s="63"/>
    </row>
    <row r="71" spans="1:6" x14ac:dyDescent="0.2">
      <c r="A71" s="37" t="s">
        <v>101</v>
      </c>
      <c r="B71" s="38"/>
      <c r="C71" s="38"/>
      <c r="D71" s="38"/>
      <c r="E71" s="64">
        <v>5424.6005250999997</v>
      </c>
      <c r="F71" s="64">
        <v>5.7</v>
      </c>
    </row>
    <row r="72" spans="1:6" x14ac:dyDescent="0.2">
      <c r="A72" s="38"/>
      <c r="B72" s="38"/>
      <c r="C72" s="38"/>
      <c r="D72" s="38"/>
      <c r="E72" s="63"/>
      <c r="F72" s="63"/>
    </row>
    <row r="73" spans="1:6" x14ac:dyDescent="0.2">
      <c r="A73" s="80" t="s">
        <v>102</v>
      </c>
      <c r="B73" s="79"/>
      <c r="C73" s="79"/>
      <c r="D73" s="79"/>
      <c r="E73" s="61">
        <v>95137.310525099994</v>
      </c>
      <c r="F73" s="61">
        <f xml:space="preserve"> ROUND(SUM(F69:F72),2)</f>
        <v>100</v>
      </c>
    </row>
    <row r="74" spans="1:6" x14ac:dyDescent="0.2">
      <c r="A74" s="4" t="s">
        <v>686</v>
      </c>
      <c r="F74" s="78"/>
    </row>
    <row r="75" spans="1:6" x14ac:dyDescent="0.2">
      <c r="A75" s="4"/>
    </row>
    <row r="76" spans="1:6" x14ac:dyDescent="0.2">
      <c r="A76" s="4" t="s">
        <v>103</v>
      </c>
    </row>
    <row r="77" spans="1:6" x14ac:dyDescent="0.2">
      <c r="A77" s="4" t="s">
        <v>685</v>
      </c>
    </row>
    <row r="78" spans="1:6" x14ac:dyDescent="0.2">
      <c r="A78" s="4" t="s">
        <v>608</v>
      </c>
    </row>
    <row r="79" spans="1:6" x14ac:dyDescent="0.2">
      <c r="A79" s="2" t="s">
        <v>600</v>
      </c>
      <c r="D79" s="10">
        <v>64.899600000000007</v>
      </c>
    </row>
    <row r="80" spans="1:6" x14ac:dyDescent="0.2">
      <c r="A80" s="2" t="s">
        <v>682</v>
      </c>
      <c r="D80" s="10">
        <v>15.850199999999999</v>
      </c>
    </row>
    <row r="81" spans="1:4" x14ac:dyDescent="0.2">
      <c r="A81" s="2" t="s">
        <v>684</v>
      </c>
      <c r="D81" s="10">
        <v>13.362399999999999</v>
      </c>
    </row>
    <row r="82" spans="1:4" x14ac:dyDescent="0.2">
      <c r="A82" s="2" t="s">
        <v>924</v>
      </c>
      <c r="D82" s="10">
        <v>14.067500000000001</v>
      </c>
    </row>
    <row r="83" spans="1:4" x14ac:dyDescent="0.2">
      <c r="A83" s="2" t="s">
        <v>923</v>
      </c>
      <c r="D83" s="10">
        <v>18.226600000000001</v>
      </c>
    </row>
    <row r="84" spans="1:4" x14ac:dyDescent="0.2">
      <c r="A84" s="2" t="s">
        <v>602</v>
      </c>
      <c r="D84" s="10">
        <v>67.843900000000005</v>
      </c>
    </row>
    <row r="85" spans="1:4" x14ac:dyDescent="0.2">
      <c r="A85" s="2" t="s">
        <v>681</v>
      </c>
      <c r="D85" s="10">
        <v>16.802199999999999</v>
      </c>
    </row>
    <row r="86" spans="1:4" x14ac:dyDescent="0.2">
      <c r="A86" s="2" t="s">
        <v>683</v>
      </c>
      <c r="D86" s="10">
        <v>14.186</v>
      </c>
    </row>
    <row r="87" spans="1:4" x14ac:dyDescent="0.2">
      <c r="A87" s="2" t="s">
        <v>922</v>
      </c>
      <c r="D87" s="10">
        <v>15.1762</v>
      </c>
    </row>
    <row r="88" spans="1:4" x14ac:dyDescent="0.2">
      <c r="A88" s="2" t="s">
        <v>921</v>
      </c>
      <c r="D88" s="10">
        <v>19.317499999999999</v>
      </c>
    </row>
    <row r="90" spans="1:4" x14ac:dyDescent="0.2">
      <c r="A90" s="4" t="s">
        <v>105</v>
      </c>
    </row>
    <row r="91" spans="1:4" x14ac:dyDescent="0.2">
      <c r="A91" s="2" t="s">
        <v>600</v>
      </c>
      <c r="D91" s="10">
        <v>68.406199999999998</v>
      </c>
    </row>
    <row r="92" spans="1:4" x14ac:dyDescent="0.2">
      <c r="A92" s="2" t="s">
        <v>682</v>
      </c>
      <c r="D92" s="10">
        <v>16.090299999999999</v>
      </c>
    </row>
    <row r="93" spans="1:4" x14ac:dyDescent="0.2">
      <c r="A93" s="2" t="s">
        <v>684</v>
      </c>
      <c r="D93" s="10">
        <v>13.521699999999999</v>
      </c>
    </row>
    <row r="94" spans="1:4" x14ac:dyDescent="0.2">
      <c r="A94" s="2" t="s">
        <v>924</v>
      </c>
      <c r="D94" s="10">
        <v>14.2569</v>
      </c>
    </row>
    <row r="95" spans="1:4" x14ac:dyDescent="0.2">
      <c r="A95" s="2" t="s">
        <v>923</v>
      </c>
      <c r="D95" s="10">
        <v>17.810600000000001</v>
      </c>
    </row>
    <row r="96" spans="1:4" x14ac:dyDescent="0.2">
      <c r="A96" s="2" t="s">
        <v>602</v>
      </c>
      <c r="D96" s="10">
        <v>71.702799999999996</v>
      </c>
    </row>
    <row r="97" spans="1:4" x14ac:dyDescent="0.2">
      <c r="A97" s="2" t="s">
        <v>681</v>
      </c>
      <c r="D97" s="10">
        <v>17.140899999999998</v>
      </c>
    </row>
    <row r="98" spans="1:4" x14ac:dyDescent="0.2">
      <c r="A98" s="2" t="s">
        <v>683</v>
      </c>
      <c r="D98" s="10">
        <v>14.429600000000001</v>
      </c>
    </row>
    <row r="99" spans="1:4" x14ac:dyDescent="0.2">
      <c r="A99" s="2" t="s">
        <v>922</v>
      </c>
      <c r="D99" s="10">
        <v>15.468999999999999</v>
      </c>
    </row>
    <row r="100" spans="1:4" x14ac:dyDescent="0.2">
      <c r="A100" s="2" t="s">
        <v>921</v>
      </c>
      <c r="D100" s="10">
        <v>19.013400000000001</v>
      </c>
    </row>
    <row r="102" spans="1:4" x14ac:dyDescent="0.2">
      <c r="A102" s="4" t="s">
        <v>106</v>
      </c>
      <c r="D102" s="20" t="s">
        <v>311</v>
      </c>
    </row>
    <row r="103" spans="1:4" x14ac:dyDescent="0.2">
      <c r="A103" s="107" t="s">
        <v>604</v>
      </c>
      <c r="B103" s="108"/>
      <c r="C103" s="114" t="s">
        <v>605</v>
      </c>
      <c r="D103" s="114"/>
    </row>
    <row r="104" spans="1:4" x14ac:dyDescent="0.2">
      <c r="A104" s="115"/>
      <c r="B104" s="115"/>
      <c r="C104" s="23" t="s">
        <v>606</v>
      </c>
      <c r="D104" s="23" t="s">
        <v>607</v>
      </c>
    </row>
    <row r="105" spans="1:4" x14ac:dyDescent="0.2">
      <c r="A105" s="24" t="s">
        <v>682</v>
      </c>
      <c r="B105" s="25"/>
      <c r="C105" s="59">
        <v>0.43219362000000006</v>
      </c>
      <c r="D105" s="59">
        <v>0.40021344600000003</v>
      </c>
    </row>
    <row r="106" spans="1:4" x14ac:dyDescent="0.2">
      <c r="A106" s="24" t="s">
        <v>684</v>
      </c>
      <c r="B106" s="25"/>
      <c r="C106" s="59">
        <v>0.396177485</v>
      </c>
      <c r="D106" s="59">
        <v>0.36686232560000004</v>
      </c>
    </row>
    <row r="107" spans="1:4" x14ac:dyDescent="0.2">
      <c r="A107" s="24" t="s">
        <v>924</v>
      </c>
      <c r="B107" s="25"/>
      <c r="C107" s="59">
        <v>0.396177485</v>
      </c>
      <c r="D107" s="59">
        <v>0.36686232550000003</v>
      </c>
    </row>
    <row r="108" spans="1:4" x14ac:dyDescent="0.2">
      <c r="A108" s="24" t="s">
        <v>923</v>
      </c>
      <c r="B108" s="25"/>
      <c r="C108" s="59">
        <v>0.97243564500000002</v>
      </c>
      <c r="D108" s="59">
        <v>0.90048025350000005</v>
      </c>
    </row>
    <row r="109" spans="1:4" x14ac:dyDescent="0.2">
      <c r="A109" s="24" t="s">
        <v>681</v>
      </c>
      <c r="B109" s="25"/>
      <c r="C109" s="59">
        <v>0.43219362000000006</v>
      </c>
      <c r="D109" s="59">
        <v>0.40021344600000003</v>
      </c>
    </row>
    <row r="110" spans="1:4" x14ac:dyDescent="0.2">
      <c r="A110" s="24" t="s">
        <v>683</v>
      </c>
      <c r="B110" s="25"/>
      <c r="C110" s="59">
        <v>0.396177485</v>
      </c>
      <c r="D110" s="59">
        <v>0.36686232560000004</v>
      </c>
    </row>
    <row r="111" spans="1:4" x14ac:dyDescent="0.2">
      <c r="A111" s="24" t="s">
        <v>922</v>
      </c>
      <c r="B111" s="25"/>
      <c r="C111" s="59">
        <v>0.396177485</v>
      </c>
      <c r="D111" s="59">
        <v>0.36686232550000003</v>
      </c>
    </row>
    <row r="112" spans="1:4" x14ac:dyDescent="0.2">
      <c r="A112" s="89" t="s">
        <v>921</v>
      </c>
      <c r="B112" s="25"/>
      <c r="C112" s="59">
        <v>0.97243564500000002</v>
      </c>
      <c r="D112" s="59">
        <v>0.90048025350000005</v>
      </c>
    </row>
    <row r="114" spans="1:5" x14ac:dyDescent="0.2">
      <c r="A114" s="4" t="s">
        <v>680</v>
      </c>
      <c r="D114" s="15">
        <v>4.0291058684859999</v>
      </c>
      <c r="E114" s="72" t="s">
        <v>679</v>
      </c>
    </row>
  </sheetData>
  <mergeCells count="4">
    <mergeCell ref="A1:F1"/>
    <mergeCell ref="C103:D103"/>
    <mergeCell ref="A104:B104"/>
    <mergeCell ref="A103:B10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7AF7-C0A1-4387-A0D5-F8548CEF5CEB}">
  <dimension ref="A1:F7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984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950</v>
      </c>
      <c r="B8" s="38" t="s">
        <v>1594</v>
      </c>
      <c r="C8" s="38" t="s">
        <v>933</v>
      </c>
      <c r="D8" s="38">
        <v>200</v>
      </c>
      <c r="E8" s="63">
        <v>2000.5139999999999</v>
      </c>
      <c r="F8" s="63">
        <v>7.4856870420218504</v>
      </c>
    </row>
    <row r="9" spans="1:6" x14ac:dyDescent="0.2">
      <c r="A9" s="38" t="s">
        <v>983</v>
      </c>
      <c r="B9" s="38" t="s">
        <v>1612</v>
      </c>
      <c r="C9" s="38" t="s">
        <v>693</v>
      </c>
      <c r="D9" s="38">
        <v>150</v>
      </c>
      <c r="E9" s="63">
        <v>1527.9165</v>
      </c>
      <c r="F9" s="63">
        <v>5.71728303093174</v>
      </c>
    </row>
    <row r="10" spans="1:6" x14ac:dyDescent="0.2">
      <c r="A10" s="38" t="s">
        <v>698</v>
      </c>
      <c r="B10" s="38" t="s">
        <v>1425</v>
      </c>
      <c r="C10" s="38" t="s">
        <v>693</v>
      </c>
      <c r="D10" s="38">
        <v>150</v>
      </c>
      <c r="E10" s="63">
        <v>1508.0055</v>
      </c>
      <c r="F10" s="63">
        <v>5.6427784212695702</v>
      </c>
    </row>
    <row r="11" spans="1:6" x14ac:dyDescent="0.2">
      <c r="A11" s="38" t="s">
        <v>964</v>
      </c>
      <c r="B11" s="38" t="s">
        <v>1958</v>
      </c>
      <c r="C11" s="38" t="s">
        <v>963</v>
      </c>
      <c r="D11" s="38">
        <v>150</v>
      </c>
      <c r="E11" s="63">
        <v>1503.7455</v>
      </c>
      <c r="F11" s="63">
        <v>5.6268380045571602</v>
      </c>
    </row>
    <row r="12" spans="1:6" x14ac:dyDescent="0.2">
      <c r="A12" s="38" t="s">
        <v>746</v>
      </c>
      <c r="B12" s="38" t="s">
        <v>1442</v>
      </c>
      <c r="C12" s="38" t="s">
        <v>693</v>
      </c>
      <c r="D12" s="38">
        <v>130</v>
      </c>
      <c r="E12" s="63">
        <v>1343.6188999999999</v>
      </c>
      <c r="F12" s="63">
        <v>5.0276631851342497</v>
      </c>
    </row>
    <row r="13" spans="1:6" x14ac:dyDescent="0.2">
      <c r="A13" s="38" t="s">
        <v>720</v>
      </c>
      <c r="B13" s="38" t="s">
        <v>1920</v>
      </c>
      <c r="C13" s="38" t="s">
        <v>693</v>
      </c>
      <c r="D13" s="38">
        <v>130</v>
      </c>
      <c r="E13" s="63">
        <v>1327.1179999999999</v>
      </c>
      <c r="F13" s="63">
        <v>4.9659187667939104</v>
      </c>
    </row>
    <row r="14" spans="1:6" x14ac:dyDescent="0.2">
      <c r="A14" s="38" t="s">
        <v>956</v>
      </c>
      <c r="B14" s="38" t="s">
        <v>1960</v>
      </c>
      <c r="C14" s="38" t="s">
        <v>693</v>
      </c>
      <c r="D14" s="38">
        <v>120</v>
      </c>
      <c r="E14" s="63">
        <v>1304.2847999999999</v>
      </c>
      <c r="F14" s="63">
        <v>4.8804796299681303</v>
      </c>
    </row>
    <row r="15" spans="1:6" x14ac:dyDescent="0.2">
      <c r="A15" s="38" t="s">
        <v>724</v>
      </c>
      <c r="B15" s="38" t="s">
        <v>1438</v>
      </c>
      <c r="C15" s="38" t="s">
        <v>693</v>
      </c>
      <c r="D15" s="38">
        <v>130</v>
      </c>
      <c r="E15" s="63">
        <v>1297.5222000000001</v>
      </c>
      <c r="F15" s="63">
        <v>4.8551747797194498</v>
      </c>
    </row>
    <row r="16" spans="1:6" x14ac:dyDescent="0.2">
      <c r="A16" s="38" t="s">
        <v>960</v>
      </c>
      <c r="B16" s="38" t="s">
        <v>1586</v>
      </c>
      <c r="C16" s="38" t="s">
        <v>693</v>
      </c>
      <c r="D16" s="38">
        <v>110</v>
      </c>
      <c r="E16" s="63">
        <v>1156.5037</v>
      </c>
      <c r="F16" s="63">
        <v>4.3275002130154201</v>
      </c>
    </row>
    <row r="17" spans="1:6" x14ac:dyDescent="0.2">
      <c r="A17" s="38" t="s">
        <v>982</v>
      </c>
      <c r="B17" s="38" t="s">
        <v>1613</v>
      </c>
      <c r="C17" s="38" t="s">
        <v>728</v>
      </c>
      <c r="D17" s="38">
        <v>100</v>
      </c>
      <c r="E17" s="63">
        <v>1015.845</v>
      </c>
      <c r="F17" s="63">
        <v>3.8011719754036699</v>
      </c>
    </row>
    <row r="18" spans="1:6" x14ac:dyDescent="0.2">
      <c r="A18" s="38" t="s">
        <v>981</v>
      </c>
      <c r="B18" s="38" t="s">
        <v>1614</v>
      </c>
      <c r="C18" s="38" t="s">
        <v>693</v>
      </c>
      <c r="D18" s="38">
        <v>100</v>
      </c>
      <c r="E18" s="63">
        <v>1013.1319999999999</v>
      </c>
      <c r="F18" s="63">
        <v>3.79102024992461</v>
      </c>
    </row>
    <row r="19" spans="1:6" x14ac:dyDescent="0.2">
      <c r="A19" s="38" t="s">
        <v>980</v>
      </c>
      <c r="B19" s="38" t="s">
        <v>1615</v>
      </c>
      <c r="C19" s="38" t="s">
        <v>721</v>
      </c>
      <c r="D19" s="38">
        <v>100</v>
      </c>
      <c r="E19" s="63">
        <v>1005.736</v>
      </c>
      <c r="F19" s="63">
        <v>3.7633452917074801</v>
      </c>
    </row>
    <row r="20" spans="1:6" x14ac:dyDescent="0.2">
      <c r="A20" s="38" t="s">
        <v>896</v>
      </c>
      <c r="B20" s="38" t="s">
        <v>1578</v>
      </c>
      <c r="C20" s="38" t="s">
        <v>741</v>
      </c>
      <c r="D20" s="38">
        <v>95</v>
      </c>
      <c r="E20" s="63">
        <v>950.60419999999999</v>
      </c>
      <c r="F20" s="63">
        <v>3.5570486095231302</v>
      </c>
    </row>
    <row r="21" spans="1:6" x14ac:dyDescent="0.2">
      <c r="A21" s="38" t="s">
        <v>979</v>
      </c>
      <c r="B21" s="38" t="s">
        <v>1616</v>
      </c>
      <c r="C21" s="38" t="s">
        <v>791</v>
      </c>
      <c r="D21" s="38">
        <v>95</v>
      </c>
      <c r="E21" s="63">
        <v>936.63064999999995</v>
      </c>
      <c r="F21" s="63">
        <v>3.5047612362950198</v>
      </c>
    </row>
    <row r="22" spans="1:6" x14ac:dyDescent="0.2">
      <c r="A22" s="38" t="s">
        <v>952</v>
      </c>
      <c r="B22" s="38" t="s">
        <v>1592</v>
      </c>
      <c r="C22" s="38" t="s">
        <v>693</v>
      </c>
      <c r="D22" s="38">
        <v>90</v>
      </c>
      <c r="E22" s="63">
        <v>924.20190000000002</v>
      </c>
      <c r="F22" s="63">
        <v>3.4582543221601898</v>
      </c>
    </row>
    <row r="23" spans="1:6" x14ac:dyDescent="0.2">
      <c r="A23" s="38" t="s">
        <v>978</v>
      </c>
      <c r="B23" s="38" t="s">
        <v>1617</v>
      </c>
      <c r="C23" s="38" t="s">
        <v>791</v>
      </c>
      <c r="D23" s="38">
        <v>88</v>
      </c>
      <c r="E23" s="63">
        <v>904.15247999999997</v>
      </c>
      <c r="F23" s="63">
        <v>3.3832317612113298</v>
      </c>
    </row>
    <row r="24" spans="1:6" x14ac:dyDescent="0.2">
      <c r="A24" s="38" t="s">
        <v>694</v>
      </c>
      <c r="B24" s="38" t="s">
        <v>1917</v>
      </c>
      <c r="C24" s="38" t="s">
        <v>693</v>
      </c>
      <c r="D24" s="38">
        <v>70</v>
      </c>
      <c r="E24" s="63">
        <v>713.94820000000004</v>
      </c>
      <c r="F24" s="63">
        <v>2.6715098166845199</v>
      </c>
    </row>
    <row r="25" spans="1:6" x14ac:dyDescent="0.2">
      <c r="A25" s="38" t="s">
        <v>719</v>
      </c>
      <c r="B25" s="38" t="s">
        <v>1440</v>
      </c>
      <c r="C25" s="38" t="s">
        <v>718</v>
      </c>
      <c r="D25" s="38">
        <v>62</v>
      </c>
      <c r="E25" s="63">
        <v>627.26206000000002</v>
      </c>
      <c r="F25" s="63">
        <v>2.3471405221327801</v>
      </c>
    </row>
    <row r="26" spans="1:6" x14ac:dyDescent="0.2">
      <c r="A26" s="38" t="s">
        <v>977</v>
      </c>
      <c r="B26" s="38" t="s">
        <v>1618</v>
      </c>
      <c r="C26" s="38" t="s">
        <v>721</v>
      </c>
      <c r="D26" s="38">
        <v>50</v>
      </c>
      <c r="E26" s="63">
        <v>517.51300000000003</v>
      </c>
      <c r="F26" s="63">
        <v>1.9364725056549701</v>
      </c>
    </row>
    <row r="27" spans="1:6" x14ac:dyDescent="0.2">
      <c r="A27" s="38" t="s">
        <v>945</v>
      </c>
      <c r="B27" s="38" t="s">
        <v>1598</v>
      </c>
      <c r="C27" s="38" t="s">
        <v>693</v>
      </c>
      <c r="D27" s="38">
        <v>50</v>
      </c>
      <c r="E27" s="63">
        <v>513.78250000000003</v>
      </c>
      <c r="F27" s="63">
        <v>1.9225134153860399</v>
      </c>
    </row>
    <row r="28" spans="1:6" x14ac:dyDescent="0.2">
      <c r="A28" s="38" t="s">
        <v>734</v>
      </c>
      <c r="B28" s="38" t="s">
        <v>1432</v>
      </c>
      <c r="C28" s="38" t="s">
        <v>733</v>
      </c>
      <c r="D28" s="38">
        <v>35</v>
      </c>
      <c r="E28" s="63">
        <v>350.61250000000001</v>
      </c>
      <c r="F28" s="63">
        <v>1.3119505527183899</v>
      </c>
    </row>
    <row r="29" spans="1:6" x14ac:dyDescent="0.2">
      <c r="A29" s="38" t="s">
        <v>941</v>
      </c>
      <c r="B29" s="38" t="s">
        <v>1601</v>
      </c>
      <c r="C29" s="38" t="s">
        <v>940</v>
      </c>
      <c r="D29" s="38">
        <v>27</v>
      </c>
      <c r="E29" s="63">
        <v>287.71226999999999</v>
      </c>
      <c r="F29" s="63">
        <v>1.0765853232567699</v>
      </c>
    </row>
    <row r="30" spans="1:6" x14ac:dyDescent="0.2">
      <c r="A30" s="38" t="s">
        <v>931</v>
      </c>
      <c r="B30" s="38" t="s">
        <v>1608</v>
      </c>
      <c r="C30" s="38" t="s">
        <v>693</v>
      </c>
      <c r="D30" s="38">
        <v>23</v>
      </c>
      <c r="E30" s="63">
        <v>228.78973999999999</v>
      </c>
      <c r="F30" s="63">
        <v>0.85610417725921895</v>
      </c>
    </row>
    <row r="31" spans="1:6" x14ac:dyDescent="0.2">
      <c r="A31" s="38" t="s">
        <v>722</v>
      </c>
      <c r="B31" s="38" t="s">
        <v>1919</v>
      </c>
      <c r="C31" s="38" t="s">
        <v>721</v>
      </c>
      <c r="D31" s="38">
        <v>20</v>
      </c>
      <c r="E31" s="63">
        <v>204.6448</v>
      </c>
      <c r="F31" s="63">
        <v>0.76575666432584499</v>
      </c>
    </row>
    <row r="32" spans="1:6" x14ac:dyDescent="0.2">
      <c r="A32" s="38" t="s">
        <v>697</v>
      </c>
      <c r="B32" s="38" t="s">
        <v>1426</v>
      </c>
      <c r="C32" s="38" t="s">
        <v>693</v>
      </c>
      <c r="D32" s="38">
        <v>20</v>
      </c>
      <c r="E32" s="63">
        <v>199.8494</v>
      </c>
      <c r="F32" s="63">
        <v>0.747812844066996</v>
      </c>
    </row>
    <row r="33" spans="1:6" x14ac:dyDescent="0.2">
      <c r="A33" s="38" t="s">
        <v>895</v>
      </c>
      <c r="B33" s="38" t="s">
        <v>1579</v>
      </c>
      <c r="C33" s="38" t="s">
        <v>693</v>
      </c>
      <c r="D33" s="38">
        <v>10</v>
      </c>
      <c r="E33" s="63">
        <v>101.0652</v>
      </c>
      <c r="F33" s="63">
        <v>0.37817403829183199</v>
      </c>
    </row>
    <row r="34" spans="1:6" x14ac:dyDescent="0.2">
      <c r="A34" s="38" t="s">
        <v>976</v>
      </c>
      <c r="B34" s="38" t="s">
        <v>1619</v>
      </c>
      <c r="C34" s="38" t="s">
        <v>693</v>
      </c>
      <c r="D34" s="38">
        <v>10</v>
      </c>
      <c r="E34" s="63">
        <v>100.5137</v>
      </c>
      <c r="F34" s="63">
        <v>0.37611039044749101</v>
      </c>
    </row>
    <row r="35" spans="1:6" x14ac:dyDescent="0.2">
      <c r="A35" s="38" t="s">
        <v>790</v>
      </c>
      <c r="B35" s="38" t="s">
        <v>1502</v>
      </c>
      <c r="C35" s="38" t="s">
        <v>741</v>
      </c>
      <c r="D35" s="38">
        <v>10</v>
      </c>
      <c r="E35" s="63">
        <v>99.849900000000005</v>
      </c>
      <c r="F35" s="63">
        <v>0.373626529270566</v>
      </c>
    </row>
    <row r="36" spans="1:6" x14ac:dyDescent="0.2">
      <c r="A36" s="38" t="s">
        <v>975</v>
      </c>
      <c r="B36" s="38" t="s">
        <v>1924</v>
      </c>
      <c r="C36" s="38" t="s">
        <v>721</v>
      </c>
      <c r="D36" s="38">
        <v>5</v>
      </c>
      <c r="E36" s="63">
        <v>50.632300000000001</v>
      </c>
      <c r="F36" s="63">
        <v>0.189460084767096</v>
      </c>
    </row>
    <row r="37" spans="1:6" x14ac:dyDescent="0.2">
      <c r="A37" s="38" t="s">
        <v>974</v>
      </c>
      <c r="B37" s="38" t="s">
        <v>1620</v>
      </c>
      <c r="C37" s="38" t="s">
        <v>693</v>
      </c>
      <c r="D37" s="38">
        <v>1</v>
      </c>
      <c r="E37" s="63">
        <v>10.20171</v>
      </c>
      <c r="F37" s="63">
        <v>3.81735935631866E-2</v>
      </c>
    </row>
    <row r="38" spans="1:6" x14ac:dyDescent="0.2">
      <c r="A38" s="37" t="s">
        <v>43</v>
      </c>
      <c r="B38" s="38"/>
      <c r="C38" s="38"/>
      <c r="D38" s="38"/>
      <c r="E38" s="64">
        <f>SUM(E8:E37)</f>
        <v>23725.908609999999</v>
      </c>
      <c r="F38" s="64">
        <f>SUM(F8:F37)</f>
        <v>88.779546977462587</v>
      </c>
    </row>
    <row r="39" spans="1:6" x14ac:dyDescent="0.2">
      <c r="A39" s="38"/>
      <c r="B39" s="38"/>
      <c r="C39" s="38"/>
      <c r="D39" s="38"/>
      <c r="E39" s="63"/>
      <c r="F39" s="63"/>
    </row>
    <row r="40" spans="1:6" x14ac:dyDescent="0.2">
      <c r="A40" s="37" t="s">
        <v>973</v>
      </c>
      <c r="B40" s="38"/>
      <c r="C40" s="38"/>
      <c r="D40" s="38"/>
      <c r="E40" s="63"/>
      <c r="F40" s="63"/>
    </row>
    <row r="41" spans="1:6" x14ac:dyDescent="0.2">
      <c r="A41" s="37" t="s">
        <v>972</v>
      </c>
      <c r="B41" s="38"/>
      <c r="C41" s="38"/>
      <c r="D41" s="38"/>
      <c r="E41" s="63"/>
      <c r="F41" s="63"/>
    </row>
    <row r="42" spans="1:6" x14ac:dyDescent="0.2">
      <c r="A42" s="38" t="s">
        <v>971</v>
      </c>
      <c r="B42" s="38" t="s">
        <v>1611</v>
      </c>
      <c r="C42" s="38" t="s">
        <v>688</v>
      </c>
      <c r="D42" s="38">
        <v>1300</v>
      </c>
      <c r="E42" s="63">
        <v>1260.376</v>
      </c>
      <c r="F42" s="63">
        <v>4.7161780878690802</v>
      </c>
    </row>
    <row r="43" spans="1:6" x14ac:dyDescent="0.2">
      <c r="A43" s="37" t="s">
        <v>43</v>
      </c>
      <c r="B43" s="38"/>
      <c r="C43" s="38"/>
      <c r="D43" s="38"/>
      <c r="E43" s="64">
        <f>SUM(E42:E42)</f>
        <v>1260.376</v>
      </c>
      <c r="F43" s="64">
        <f>SUM(F42:F42)</f>
        <v>4.7161780878690802</v>
      </c>
    </row>
    <row r="44" spans="1:6" x14ac:dyDescent="0.2">
      <c r="A44" s="38"/>
      <c r="B44" s="38"/>
      <c r="C44" s="38"/>
      <c r="D44" s="38"/>
      <c r="E44" s="63"/>
      <c r="F44" s="63"/>
    </row>
    <row r="45" spans="1:6" x14ac:dyDescent="0.2">
      <c r="A45" s="37" t="s">
        <v>43</v>
      </c>
      <c r="B45" s="38"/>
      <c r="C45" s="38"/>
      <c r="D45" s="38"/>
      <c r="E45" s="64">
        <v>24986.284609999999</v>
      </c>
      <c r="F45" s="64">
        <v>93.495725065331669</v>
      </c>
    </row>
    <row r="46" spans="1:6" x14ac:dyDescent="0.2">
      <c r="A46" s="38"/>
      <c r="B46" s="38"/>
      <c r="C46" s="38"/>
      <c r="D46" s="38"/>
      <c r="E46" s="63"/>
      <c r="F46" s="63"/>
    </row>
    <row r="47" spans="1:6" x14ac:dyDescent="0.2">
      <c r="A47" s="37" t="s">
        <v>101</v>
      </c>
      <c r="B47" s="38"/>
      <c r="C47" s="38"/>
      <c r="D47" s="38"/>
      <c r="E47" s="64">
        <v>1738.2409259999999</v>
      </c>
      <c r="F47" s="64">
        <v>6.5</v>
      </c>
    </row>
    <row r="48" spans="1:6" x14ac:dyDescent="0.2">
      <c r="A48" s="38"/>
      <c r="B48" s="38"/>
      <c r="C48" s="38"/>
      <c r="D48" s="38"/>
      <c r="E48" s="63"/>
      <c r="F48" s="63"/>
    </row>
    <row r="49" spans="1:6" x14ac:dyDescent="0.2">
      <c r="A49" s="80" t="s">
        <v>102</v>
      </c>
      <c r="B49" s="79"/>
      <c r="C49" s="79"/>
      <c r="D49" s="79"/>
      <c r="E49" s="61">
        <v>26724.520926000001</v>
      </c>
      <c r="F49" s="61">
        <f xml:space="preserve"> ROUND(SUM(F45:F48),2)</f>
        <v>100</v>
      </c>
    </row>
    <row r="50" spans="1:6" x14ac:dyDescent="0.2">
      <c r="A50" s="4" t="s">
        <v>686</v>
      </c>
    </row>
    <row r="51" spans="1:6" x14ac:dyDescent="0.2">
      <c r="A51" s="4"/>
    </row>
    <row r="52" spans="1:6" x14ac:dyDescent="0.2">
      <c r="A52" s="4" t="s">
        <v>103</v>
      </c>
    </row>
    <row r="53" spans="1:6" x14ac:dyDescent="0.2">
      <c r="A53" s="4" t="s">
        <v>685</v>
      </c>
    </row>
    <row r="54" spans="1:6" x14ac:dyDescent="0.2">
      <c r="A54" s="4" t="s">
        <v>608</v>
      </c>
    </row>
    <row r="55" spans="1:6" x14ac:dyDescent="0.2">
      <c r="A55" s="2" t="s">
        <v>600</v>
      </c>
      <c r="D55" s="10">
        <v>14.4779</v>
      </c>
    </row>
    <row r="56" spans="1:6" x14ac:dyDescent="0.2">
      <c r="A56" s="2" t="s">
        <v>601</v>
      </c>
      <c r="D56" s="10">
        <v>10.386699999999999</v>
      </c>
    </row>
    <row r="57" spans="1:6" x14ac:dyDescent="0.2">
      <c r="A57" s="2" t="s">
        <v>602</v>
      </c>
      <c r="D57" s="10">
        <v>14.806699999999999</v>
      </c>
    </row>
    <row r="58" spans="1:6" x14ac:dyDescent="0.2">
      <c r="A58" s="2" t="s">
        <v>603</v>
      </c>
      <c r="D58" s="10">
        <v>10.6539</v>
      </c>
    </row>
    <row r="60" spans="1:6" x14ac:dyDescent="0.2">
      <c r="A60" s="4" t="s">
        <v>105</v>
      </c>
    </row>
    <row r="61" spans="1:6" x14ac:dyDescent="0.2">
      <c r="A61" s="2" t="s">
        <v>600</v>
      </c>
      <c r="D61" s="10">
        <v>15.3978</v>
      </c>
    </row>
    <row r="62" spans="1:6" x14ac:dyDescent="0.2">
      <c r="A62" s="2" t="s">
        <v>601</v>
      </c>
      <c r="D62" s="10">
        <v>10.6355</v>
      </c>
    </row>
    <row r="63" spans="1:6" x14ac:dyDescent="0.2">
      <c r="A63" s="2" t="s">
        <v>602</v>
      </c>
      <c r="D63" s="10">
        <v>15.774699999999999</v>
      </c>
    </row>
    <row r="64" spans="1:6" x14ac:dyDescent="0.2">
      <c r="A64" s="2" t="s">
        <v>603</v>
      </c>
      <c r="D64" s="10">
        <v>10.9383</v>
      </c>
    </row>
    <row r="66" spans="1:5" x14ac:dyDescent="0.2">
      <c r="A66" s="4" t="s">
        <v>106</v>
      </c>
      <c r="D66" s="20"/>
    </row>
    <row r="67" spans="1:5" x14ac:dyDescent="0.2">
      <c r="A67" s="107" t="s">
        <v>604</v>
      </c>
      <c r="B67" s="108"/>
      <c r="C67" s="114" t="s">
        <v>605</v>
      </c>
      <c r="D67" s="114"/>
    </row>
    <row r="68" spans="1:5" x14ac:dyDescent="0.2">
      <c r="A68" s="115"/>
      <c r="B68" s="115"/>
      <c r="C68" s="23" t="s">
        <v>606</v>
      </c>
      <c r="D68" s="23" t="s">
        <v>607</v>
      </c>
    </row>
    <row r="69" spans="1:5" x14ac:dyDescent="0.2">
      <c r="A69" s="24" t="s">
        <v>970</v>
      </c>
      <c r="B69" s="25"/>
      <c r="C69" s="59">
        <v>0.28812908000000004</v>
      </c>
      <c r="D69" s="59">
        <v>0.26680896400000004</v>
      </c>
    </row>
    <row r="70" spans="1:5" x14ac:dyDescent="0.2">
      <c r="A70" s="24" t="s">
        <v>969</v>
      </c>
      <c r="B70" s="25"/>
      <c r="C70" s="59">
        <v>0.28812908000000004</v>
      </c>
      <c r="D70" s="59">
        <v>0.26680896400000004</v>
      </c>
    </row>
    <row r="72" spans="1:5" x14ac:dyDescent="0.2">
      <c r="A72" s="4" t="s">
        <v>680</v>
      </c>
      <c r="D72" s="15">
        <v>3.6440267632046894</v>
      </c>
      <c r="E72" s="72" t="s">
        <v>679</v>
      </c>
    </row>
  </sheetData>
  <mergeCells count="4">
    <mergeCell ref="A1:F1"/>
    <mergeCell ref="C67:D67"/>
    <mergeCell ref="A68:B68"/>
    <mergeCell ref="A67:B67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03AE-52F9-4502-AF9E-6D675E84F630}">
  <dimension ref="A1:F20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4.85546875" style="2" bestFit="1" customWidth="1"/>
    <col min="3" max="3" width="11.42578125" style="2" bestFit="1" customWidth="1"/>
    <col min="4" max="4" width="7.42578125" style="2" bestFit="1" customWidth="1"/>
    <col min="5" max="5" width="23" style="72" bestFit="1" customWidth="1"/>
    <col min="6" max="6" width="15.5703125" style="72" bestFit="1" customWidth="1"/>
    <col min="7" max="16384" width="9.140625" style="2"/>
  </cols>
  <sheetData>
    <row r="1" spans="1:6" x14ac:dyDescent="0.2">
      <c r="A1" s="113" t="s">
        <v>1109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692</v>
      </c>
      <c r="B8" s="38" t="s">
        <v>1428</v>
      </c>
      <c r="C8" s="38" t="s">
        <v>691</v>
      </c>
      <c r="D8" s="38">
        <v>7900</v>
      </c>
      <c r="E8" s="63">
        <v>78809.767999999996</v>
      </c>
      <c r="F8" s="63">
        <f t="shared" ref="F8:F39" si="0">IF((E8/$E$163*100)&lt;0.01,"*",E8/$E$163*100)</f>
        <v>3.9495529843494603</v>
      </c>
    </row>
    <row r="9" spans="1:6" x14ac:dyDescent="0.2">
      <c r="A9" s="38" t="s">
        <v>855</v>
      </c>
      <c r="B9" s="38" t="s">
        <v>1549</v>
      </c>
      <c r="C9" s="38" t="s">
        <v>754</v>
      </c>
      <c r="D9" s="38">
        <v>6740</v>
      </c>
      <c r="E9" s="63">
        <v>66244.426999999996</v>
      </c>
      <c r="F9" s="63">
        <f t="shared" si="0"/>
        <v>3.3198406871895623</v>
      </c>
    </row>
    <row r="10" spans="1:6" x14ac:dyDescent="0.2">
      <c r="A10" s="38" t="s">
        <v>1108</v>
      </c>
      <c r="B10" s="38" t="s">
        <v>1661</v>
      </c>
      <c r="C10" s="38" t="s">
        <v>695</v>
      </c>
      <c r="D10" s="38">
        <v>5400</v>
      </c>
      <c r="E10" s="63">
        <v>53930.879999999997</v>
      </c>
      <c r="F10" s="63">
        <f t="shared" si="0"/>
        <v>2.7027470510075937</v>
      </c>
    </row>
    <row r="11" spans="1:6" x14ac:dyDescent="0.2">
      <c r="A11" s="38" t="s">
        <v>732</v>
      </c>
      <c r="B11" s="38" t="s">
        <v>1433</v>
      </c>
      <c r="C11" s="38" t="s">
        <v>715</v>
      </c>
      <c r="D11" s="38">
        <v>4400</v>
      </c>
      <c r="E11" s="63">
        <v>43925.288</v>
      </c>
      <c r="F11" s="63">
        <f t="shared" si="0"/>
        <v>2.2013166224370759</v>
      </c>
    </row>
    <row r="12" spans="1:6" x14ac:dyDescent="0.2">
      <c r="A12" s="38" t="s">
        <v>1107</v>
      </c>
      <c r="B12" s="38" t="s">
        <v>1662</v>
      </c>
      <c r="C12" s="38" t="s">
        <v>728</v>
      </c>
      <c r="D12" s="38">
        <v>7500</v>
      </c>
      <c r="E12" s="63">
        <v>37397.474999999999</v>
      </c>
      <c r="F12" s="63">
        <f t="shared" si="0"/>
        <v>1.8741751529250072</v>
      </c>
    </row>
    <row r="13" spans="1:6" x14ac:dyDescent="0.2">
      <c r="A13" s="38" t="s">
        <v>882</v>
      </c>
      <c r="B13" s="38" t="s">
        <v>1523</v>
      </c>
      <c r="C13" s="38" t="s">
        <v>691</v>
      </c>
      <c r="D13" s="38">
        <v>3650</v>
      </c>
      <c r="E13" s="63">
        <v>36378.491499999996</v>
      </c>
      <c r="F13" s="63">
        <f t="shared" si="0"/>
        <v>1.8231087759318931</v>
      </c>
    </row>
    <row r="14" spans="1:6" x14ac:dyDescent="0.2">
      <c r="A14" s="38" t="s">
        <v>1106</v>
      </c>
      <c r="B14" s="38" t="s">
        <v>1964</v>
      </c>
      <c r="C14" s="38" t="s">
        <v>1055</v>
      </c>
      <c r="D14" s="38">
        <v>3000</v>
      </c>
      <c r="E14" s="63">
        <v>29914.59</v>
      </c>
      <c r="F14" s="63">
        <f t="shared" si="0"/>
        <v>1.4991702324271596</v>
      </c>
    </row>
    <row r="15" spans="1:6" x14ac:dyDescent="0.2">
      <c r="A15" s="38" t="s">
        <v>1105</v>
      </c>
      <c r="B15" s="38" t="s">
        <v>1663</v>
      </c>
      <c r="C15" s="38" t="s">
        <v>1055</v>
      </c>
      <c r="D15" s="38">
        <v>2500</v>
      </c>
      <c r="E15" s="63">
        <v>24503.424999999999</v>
      </c>
      <c r="F15" s="63">
        <f t="shared" si="0"/>
        <v>1.2279895981362765</v>
      </c>
    </row>
    <row r="16" spans="1:6" x14ac:dyDescent="0.2">
      <c r="A16" s="38" t="s">
        <v>1104</v>
      </c>
      <c r="B16" s="38" t="s">
        <v>1664</v>
      </c>
      <c r="C16" s="38" t="s">
        <v>798</v>
      </c>
      <c r="D16" s="38">
        <v>2244</v>
      </c>
      <c r="E16" s="63">
        <v>22379.501759999999</v>
      </c>
      <c r="F16" s="63">
        <f t="shared" si="0"/>
        <v>1.1215491455889326</v>
      </c>
    </row>
    <row r="17" spans="1:6" x14ac:dyDescent="0.2">
      <c r="A17" s="38" t="s">
        <v>1103</v>
      </c>
      <c r="B17" s="38" t="s">
        <v>1665</v>
      </c>
      <c r="C17" s="38" t="s">
        <v>693</v>
      </c>
      <c r="D17" s="38">
        <v>1350</v>
      </c>
      <c r="E17" s="63">
        <v>21030.961500000001</v>
      </c>
      <c r="F17" s="63">
        <f t="shared" si="0"/>
        <v>1.0539670254588696</v>
      </c>
    </row>
    <row r="18" spans="1:6" x14ac:dyDescent="0.2">
      <c r="A18" s="38" t="s">
        <v>1102</v>
      </c>
      <c r="B18" s="38" t="s">
        <v>1666</v>
      </c>
      <c r="C18" s="38" t="s">
        <v>695</v>
      </c>
      <c r="D18" s="38">
        <v>2000</v>
      </c>
      <c r="E18" s="63">
        <v>20248.34</v>
      </c>
      <c r="F18" s="63">
        <f t="shared" si="0"/>
        <v>1.0147459344775962</v>
      </c>
    </row>
    <row r="19" spans="1:6" x14ac:dyDescent="0.2">
      <c r="A19" s="38" t="s">
        <v>1101</v>
      </c>
      <c r="B19" s="38" t="s">
        <v>1667</v>
      </c>
      <c r="C19" s="38" t="s">
        <v>798</v>
      </c>
      <c r="D19" s="38">
        <v>2030</v>
      </c>
      <c r="E19" s="63">
        <v>20210.68</v>
      </c>
      <c r="F19" s="63">
        <f t="shared" si="0"/>
        <v>1.0128586028794293</v>
      </c>
    </row>
    <row r="20" spans="1:6" x14ac:dyDescent="0.2">
      <c r="A20" s="38" t="s">
        <v>1100</v>
      </c>
      <c r="B20" s="38" t="s">
        <v>1668</v>
      </c>
      <c r="C20" s="38" t="s">
        <v>718</v>
      </c>
      <c r="D20" s="38">
        <v>2000</v>
      </c>
      <c r="E20" s="63">
        <v>20022.16</v>
      </c>
      <c r="F20" s="63">
        <f t="shared" si="0"/>
        <v>1.0034109195845164</v>
      </c>
    </row>
    <row r="21" spans="1:6" x14ac:dyDescent="0.2">
      <c r="A21" s="38" t="s">
        <v>1099</v>
      </c>
      <c r="B21" s="38" t="s">
        <v>1669</v>
      </c>
      <c r="C21" s="38" t="s">
        <v>752</v>
      </c>
      <c r="D21" s="38">
        <v>40</v>
      </c>
      <c r="E21" s="63">
        <v>20016.101333300001</v>
      </c>
      <c r="F21" s="63">
        <f t="shared" si="0"/>
        <v>1.0031072893905262</v>
      </c>
    </row>
    <row r="22" spans="1:6" x14ac:dyDescent="0.2">
      <c r="A22" s="38" t="s">
        <v>1098</v>
      </c>
      <c r="B22" s="38" t="s">
        <v>1670</v>
      </c>
      <c r="C22" s="38" t="s">
        <v>798</v>
      </c>
      <c r="D22" s="38">
        <v>1611</v>
      </c>
      <c r="E22" s="63">
        <v>16127.157149999999</v>
      </c>
      <c r="F22" s="63">
        <f t="shared" si="0"/>
        <v>0.80821277954853565</v>
      </c>
    </row>
    <row r="23" spans="1:6" x14ac:dyDescent="0.2">
      <c r="A23" s="38" t="s">
        <v>1097</v>
      </c>
      <c r="B23" s="38" t="s">
        <v>1671</v>
      </c>
      <c r="C23" s="38" t="s">
        <v>752</v>
      </c>
      <c r="D23" s="38">
        <v>1600</v>
      </c>
      <c r="E23" s="63">
        <v>15842.784</v>
      </c>
      <c r="F23" s="63">
        <f t="shared" si="0"/>
        <v>0.79396141386438146</v>
      </c>
    </row>
    <row r="24" spans="1:6" x14ac:dyDescent="0.2">
      <c r="A24" s="38" t="s">
        <v>1096</v>
      </c>
      <c r="B24" s="38" t="s">
        <v>1672</v>
      </c>
      <c r="C24" s="38" t="s">
        <v>691</v>
      </c>
      <c r="D24" s="38">
        <v>1550</v>
      </c>
      <c r="E24" s="63">
        <v>15455.7165</v>
      </c>
      <c r="F24" s="63">
        <f t="shared" si="0"/>
        <v>0.77456351892615904</v>
      </c>
    </row>
    <row r="25" spans="1:6" x14ac:dyDescent="0.2">
      <c r="A25" s="38" t="s">
        <v>1095</v>
      </c>
      <c r="B25" s="38" t="s">
        <v>1673</v>
      </c>
      <c r="C25" s="38" t="s">
        <v>791</v>
      </c>
      <c r="D25" s="38">
        <v>1534</v>
      </c>
      <c r="E25" s="63">
        <v>14952.005380000001</v>
      </c>
      <c r="F25" s="63">
        <f t="shared" si="0"/>
        <v>0.74932002680921728</v>
      </c>
    </row>
    <row r="26" spans="1:6" x14ac:dyDescent="0.2">
      <c r="A26" s="38" t="s">
        <v>1094</v>
      </c>
      <c r="B26" s="38" t="s">
        <v>1674</v>
      </c>
      <c r="C26" s="38" t="s">
        <v>718</v>
      </c>
      <c r="D26" s="38">
        <v>1500</v>
      </c>
      <c r="E26" s="63">
        <v>14852.865</v>
      </c>
      <c r="F26" s="63">
        <f t="shared" si="0"/>
        <v>0.74435160482758489</v>
      </c>
    </row>
    <row r="27" spans="1:6" x14ac:dyDescent="0.2">
      <c r="A27" s="38" t="s">
        <v>1093</v>
      </c>
      <c r="B27" s="38" t="s">
        <v>1675</v>
      </c>
      <c r="C27" s="38" t="s">
        <v>713</v>
      </c>
      <c r="D27" s="38">
        <v>1500</v>
      </c>
      <c r="E27" s="63">
        <v>14739.42</v>
      </c>
      <c r="F27" s="63">
        <f t="shared" si="0"/>
        <v>0.73866630654946386</v>
      </c>
    </row>
    <row r="28" spans="1:6" x14ac:dyDescent="0.2">
      <c r="A28" s="38" t="s">
        <v>1092</v>
      </c>
      <c r="B28" s="38" t="s">
        <v>1676</v>
      </c>
      <c r="C28" s="38" t="s">
        <v>693</v>
      </c>
      <c r="D28" s="38">
        <v>1350</v>
      </c>
      <c r="E28" s="63">
        <v>13576.261500000001</v>
      </c>
      <c r="F28" s="63">
        <f t="shared" si="0"/>
        <v>0.68037459675853496</v>
      </c>
    </row>
    <row r="29" spans="1:6" x14ac:dyDescent="0.2">
      <c r="A29" s="38" t="s">
        <v>860</v>
      </c>
      <c r="B29" s="38" t="s">
        <v>1544</v>
      </c>
      <c r="C29" s="38" t="s">
        <v>715</v>
      </c>
      <c r="D29" s="38">
        <v>1230</v>
      </c>
      <c r="E29" s="63">
        <v>12792.922500000001</v>
      </c>
      <c r="F29" s="63">
        <f t="shared" si="0"/>
        <v>0.64111754825145995</v>
      </c>
    </row>
    <row r="30" spans="1:6" x14ac:dyDescent="0.2">
      <c r="A30" s="38" t="s">
        <v>1091</v>
      </c>
      <c r="B30" s="38" t="s">
        <v>1677</v>
      </c>
      <c r="C30" s="38" t="s">
        <v>791</v>
      </c>
      <c r="D30" s="38">
        <v>1100</v>
      </c>
      <c r="E30" s="63">
        <v>10916.048000000001</v>
      </c>
      <c r="F30" s="63">
        <f t="shared" si="0"/>
        <v>0.54705794788917483</v>
      </c>
    </row>
    <row r="31" spans="1:6" x14ac:dyDescent="0.2">
      <c r="A31" s="38" t="s">
        <v>907</v>
      </c>
      <c r="B31" s="38" t="s">
        <v>1569</v>
      </c>
      <c r="C31" s="38" t="s">
        <v>791</v>
      </c>
      <c r="D31" s="38">
        <v>1103</v>
      </c>
      <c r="E31" s="63">
        <v>10779.93887</v>
      </c>
      <c r="F31" s="63">
        <f t="shared" si="0"/>
        <v>0.54023683631594055</v>
      </c>
    </row>
    <row r="32" spans="1:6" x14ac:dyDescent="0.2">
      <c r="A32" s="38" t="s">
        <v>1090</v>
      </c>
      <c r="B32" s="38" t="s">
        <v>1678</v>
      </c>
      <c r="C32" s="38" t="s">
        <v>905</v>
      </c>
      <c r="D32" s="38">
        <v>1070</v>
      </c>
      <c r="E32" s="63">
        <v>10667.5576</v>
      </c>
      <c r="F32" s="63">
        <f t="shared" si="0"/>
        <v>0.53460484688648968</v>
      </c>
    </row>
    <row r="33" spans="1:6" x14ac:dyDescent="0.2">
      <c r="A33" s="38" t="s">
        <v>1089</v>
      </c>
      <c r="B33" s="38" t="s">
        <v>1679</v>
      </c>
      <c r="C33" s="38" t="s">
        <v>735</v>
      </c>
      <c r="D33" s="38">
        <v>1050</v>
      </c>
      <c r="E33" s="63">
        <v>10622.461499999999</v>
      </c>
      <c r="F33" s="63">
        <f t="shared" si="0"/>
        <v>0.53234485499896722</v>
      </c>
    </row>
    <row r="34" spans="1:6" x14ac:dyDescent="0.2">
      <c r="A34" s="38" t="s">
        <v>1088</v>
      </c>
      <c r="B34" s="38" t="s">
        <v>1680</v>
      </c>
      <c r="C34" s="38" t="s">
        <v>715</v>
      </c>
      <c r="D34" s="38">
        <v>1000</v>
      </c>
      <c r="E34" s="63">
        <v>10223.5</v>
      </c>
      <c r="F34" s="63">
        <f t="shared" si="0"/>
        <v>0.51235089203024575</v>
      </c>
    </row>
    <row r="35" spans="1:6" x14ac:dyDescent="0.2">
      <c r="A35" s="38" t="s">
        <v>1087</v>
      </c>
      <c r="B35" s="38" t="s">
        <v>1681</v>
      </c>
      <c r="C35" s="38" t="s">
        <v>715</v>
      </c>
      <c r="D35" s="38">
        <v>1000</v>
      </c>
      <c r="E35" s="63">
        <v>10223.5</v>
      </c>
      <c r="F35" s="63">
        <f t="shared" si="0"/>
        <v>0.51235089203024575</v>
      </c>
    </row>
    <row r="36" spans="1:6" x14ac:dyDescent="0.2">
      <c r="A36" s="38" t="s">
        <v>1086</v>
      </c>
      <c r="B36" s="38" t="s">
        <v>1682</v>
      </c>
      <c r="C36" s="38" t="s">
        <v>691</v>
      </c>
      <c r="D36" s="38">
        <v>1000</v>
      </c>
      <c r="E36" s="63">
        <v>10012.040000000001</v>
      </c>
      <c r="F36" s="63">
        <f t="shared" si="0"/>
        <v>0.5017535702100554</v>
      </c>
    </row>
    <row r="37" spans="1:6" x14ac:dyDescent="0.2">
      <c r="A37" s="38" t="s">
        <v>1085</v>
      </c>
      <c r="B37" s="38" t="s">
        <v>1683</v>
      </c>
      <c r="C37" s="38" t="s">
        <v>752</v>
      </c>
      <c r="D37" s="38">
        <v>1000</v>
      </c>
      <c r="E37" s="63">
        <v>9961.02</v>
      </c>
      <c r="F37" s="63">
        <f t="shared" si="0"/>
        <v>0.49919670196421168</v>
      </c>
    </row>
    <row r="38" spans="1:6" x14ac:dyDescent="0.2">
      <c r="A38" s="38" t="s">
        <v>1084</v>
      </c>
      <c r="B38" s="38" t="s">
        <v>1684</v>
      </c>
      <c r="C38" s="38" t="s">
        <v>691</v>
      </c>
      <c r="D38" s="38">
        <v>1000</v>
      </c>
      <c r="E38" s="63">
        <v>9954.76</v>
      </c>
      <c r="F38" s="63">
        <f t="shared" si="0"/>
        <v>0.4988829819481595</v>
      </c>
    </row>
    <row r="39" spans="1:6" x14ac:dyDescent="0.2">
      <c r="A39" s="38" t="s">
        <v>1083</v>
      </c>
      <c r="B39" s="38" t="s">
        <v>1685</v>
      </c>
      <c r="C39" s="38" t="s">
        <v>1069</v>
      </c>
      <c r="D39" s="38">
        <v>1000</v>
      </c>
      <c r="E39" s="63">
        <v>9817.14</v>
      </c>
      <c r="F39" s="63">
        <f t="shared" si="0"/>
        <v>0.49198615309686566</v>
      </c>
    </row>
    <row r="40" spans="1:6" x14ac:dyDescent="0.2">
      <c r="A40" s="38" t="s">
        <v>1082</v>
      </c>
      <c r="B40" s="38" t="s">
        <v>1686</v>
      </c>
      <c r="C40" s="38" t="s">
        <v>1069</v>
      </c>
      <c r="D40" s="38">
        <v>1000</v>
      </c>
      <c r="E40" s="63">
        <v>9793.7999999999993</v>
      </c>
      <c r="F40" s="63">
        <f t="shared" ref="F40:F71" si="1">IF((E40/$E$163*100)&lt;0.01,"*",E40/$E$163*100)</f>
        <v>0.49081646856417271</v>
      </c>
    </row>
    <row r="41" spans="1:6" x14ac:dyDescent="0.2">
      <c r="A41" s="38" t="s">
        <v>809</v>
      </c>
      <c r="B41" s="38" t="s">
        <v>1490</v>
      </c>
      <c r="C41" s="38" t="s">
        <v>752</v>
      </c>
      <c r="D41" s="38">
        <v>19</v>
      </c>
      <c r="E41" s="63">
        <v>9643.5450000000001</v>
      </c>
      <c r="F41" s="63">
        <f t="shared" si="1"/>
        <v>0.48328643645364261</v>
      </c>
    </row>
    <row r="42" spans="1:6" x14ac:dyDescent="0.2">
      <c r="A42" s="38" t="s">
        <v>1081</v>
      </c>
      <c r="B42" s="38" t="s">
        <v>1925</v>
      </c>
      <c r="C42" s="38" t="s">
        <v>693</v>
      </c>
      <c r="D42" s="38">
        <v>950</v>
      </c>
      <c r="E42" s="63">
        <v>9544.2510000000002</v>
      </c>
      <c r="F42" s="63">
        <f t="shared" si="1"/>
        <v>0.47831031580286243</v>
      </c>
    </row>
    <row r="43" spans="1:6" x14ac:dyDescent="0.2">
      <c r="A43" s="38" t="s">
        <v>1080</v>
      </c>
      <c r="B43" s="38" t="s">
        <v>1687</v>
      </c>
      <c r="C43" s="38" t="s">
        <v>752</v>
      </c>
      <c r="D43" s="38">
        <v>19</v>
      </c>
      <c r="E43" s="63">
        <v>9507.6481332999992</v>
      </c>
      <c r="F43" s="63">
        <f t="shared" si="1"/>
        <v>0.47647596245962293</v>
      </c>
    </row>
    <row r="44" spans="1:6" x14ac:dyDescent="0.2">
      <c r="A44" s="38" t="s">
        <v>804</v>
      </c>
      <c r="B44" s="38" t="s">
        <v>1495</v>
      </c>
      <c r="C44" s="38" t="s">
        <v>798</v>
      </c>
      <c r="D44" s="38">
        <v>938</v>
      </c>
      <c r="E44" s="63">
        <v>9325.4646799999991</v>
      </c>
      <c r="F44" s="63">
        <f t="shared" si="1"/>
        <v>0.46734583532005175</v>
      </c>
    </row>
    <row r="45" spans="1:6" x14ac:dyDescent="0.2">
      <c r="A45" s="38" t="s">
        <v>864</v>
      </c>
      <c r="B45" s="38" t="s">
        <v>1540</v>
      </c>
      <c r="C45" s="38" t="s">
        <v>728</v>
      </c>
      <c r="D45" s="38">
        <v>840</v>
      </c>
      <c r="E45" s="63">
        <v>8711.5895999999993</v>
      </c>
      <c r="F45" s="63">
        <f t="shared" si="1"/>
        <v>0.43658147430541505</v>
      </c>
    </row>
    <row r="46" spans="1:6" x14ac:dyDescent="0.2">
      <c r="A46" s="38" t="s">
        <v>1079</v>
      </c>
      <c r="B46" s="38" t="s">
        <v>1688</v>
      </c>
      <c r="C46" s="38" t="s">
        <v>752</v>
      </c>
      <c r="D46" s="38">
        <v>840</v>
      </c>
      <c r="E46" s="63">
        <v>8422.7891999999993</v>
      </c>
      <c r="F46" s="63">
        <f t="shared" si="1"/>
        <v>0.42210823690543542</v>
      </c>
    </row>
    <row r="47" spans="1:6" x14ac:dyDescent="0.2">
      <c r="A47" s="38" t="s">
        <v>1078</v>
      </c>
      <c r="B47" s="38" t="s">
        <v>1965</v>
      </c>
      <c r="C47" s="38" t="s">
        <v>1055</v>
      </c>
      <c r="D47" s="38">
        <v>840</v>
      </c>
      <c r="E47" s="63">
        <v>8393.4984000000004</v>
      </c>
      <c r="F47" s="63">
        <f t="shared" si="1"/>
        <v>0.42064032792042255</v>
      </c>
    </row>
    <row r="48" spans="1:6" x14ac:dyDescent="0.2">
      <c r="A48" s="38" t="s">
        <v>1077</v>
      </c>
      <c r="B48" s="38" t="s">
        <v>1689</v>
      </c>
      <c r="C48" s="38" t="s">
        <v>752</v>
      </c>
      <c r="D48" s="38">
        <v>800</v>
      </c>
      <c r="E48" s="63">
        <v>8019.6639999999998</v>
      </c>
      <c r="F48" s="63">
        <f t="shared" si="1"/>
        <v>0.40190561003402442</v>
      </c>
    </row>
    <row r="49" spans="1:6" x14ac:dyDescent="0.2">
      <c r="A49" s="38" t="s">
        <v>1076</v>
      </c>
      <c r="B49" s="38" t="s">
        <v>1690</v>
      </c>
      <c r="C49" s="38" t="s">
        <v>752</v>
      </c>
      <c r="D49" s="38">
        <v>800</v>
      </c>
      <c r="E49" s="63">
        <v>8015.44</v>
      </c>
      <c r="F49" s="63">
        <f t="shared" si="1"/>
        <v>0.40169392419571692</v>
      </c>
    </row>
    <row r="50" spans="1:6" x14ac:dyDescent="0.2">
      <c r="A50" s="38" t="s">
        <v>1075</v>
      </c>
      <c r="B50" s="38" t="s">
        <v>1691</v>
      </c>
      <c r="C50" s="38" t="s">
        <v>752</v>
      </c>
      <c r="D50" s="38">
        <v>800</v>
      </c>
      <c r="E50" s="63">
        <v>7999.9823999999999</v>
      </c>
      <c r="F50" s="63">
        <f t="shared" si="1"/>
        <v>0.4009192662851534</v>
      </c>
    </row>
    <row r="51" spans="1:6" x14ac:dyDescent="0.2">
      <c r="A51" s="38" t="s">
        <v>1074</v>
      </c>
      <c r="B51" s="38" t="s">
        <v>1692</v>
      </c>
      <c r="C51" s="38" t="s">
        <v>752</v>
      </c>
      <c r="D51" s="38">
        <v>800</v>
      </c>
      <c r="E51" s="63">
        <v>7999.9823999999999</v>
      </c>
      <c r="F51" s="63">
        <f t="shared" si="1"/>
        <v>0.4009192662851534</v>
      </c>
    </row>
    <row r="52" spans="1:6" x14ac:dyDescent="0.2">
      <c r="A52" s="38" t="s">
        <v>1073</v>
      </c>
      <c r="B52" s="38" t="s">
        <v>1940</v>
      </c>
      <c r="C52" s="38" t="s">
        <v>693</v>
      </c>
      <c r="D52" s="38">
        <v>500</v>
      </c>
      <c r="E52" s="63">
        <v>7733.17</v>
      </c>
      <c r="F52" s="63">
        <f t="shared" si="1"/>
        <v>0.38754795791280233</v>
      </c>
    </row>
    <row r="53" spans="1:6" x14ac:dyDescent="0.2">
      <c r="A53" s="38" t="s">
        <v>1072</v>
      </c>
      <c r="B53" s="38" t="s">
        <v>1693</v>
      </c>
      <c r="C53" s="38" t="s">
        <v>728</v>
      </c>
      <c r="D53" s="38">
        <v>750</v>
      </c>
      <c r="E53" s="63">
        <v>7471.89</v>
      </c>
      <c r="F53" s="63">
        <f t="shared" si="1"/>
        <v>0.37445390586901478</v>
      </c>
    </row>
    <row r="54" spans="1:6" x14ac:dyDescent="0.2">
      <c r="A54" s="38" t="s">
        <v>1071</v>
      </c>
      <c r="B54" s="38" t="s">
        <v>1694</v>
      </c>
      <c r="C54" s="38" t="s">
        <v>791</v>
      </c>
      <c r="D54" s="38">
        <v>700</v>
      </c>
      <c r="E54" s="63">
        <v>7028.9309999999996</v>
      </c>
      <c r="F54" s="63">
        <f t="shared" si="1"/>
        <v>0.35225500737213739</v>
      </c>
    </row>
    <row r="55" spans="1:6" x14ac:dyDescent="0.2">
      <c r="A55" s="38" t="s">
        <v>1070</v>
      </c>
      <c r="B55" s="38" t="s">
        <v>1695</v>
      </c>
      <c r="C55" s="38" t="s">
        <v>1069</v>
      </c>
      <c r="D55" s="38">
        <v>700</v>
      </c>
      <c r="E55" s="63">
        <v>6846.357</v>
      </c>
      <c r="F55" s="63">
        <f t="shared" si="1"/>
        <v>0.34310530797745553</v>
      </c>
    </row>
    <row r="56" spans="1:6" x14ac:dyDescent="0.2">
      <c r="A56" s="38" t="s">
        <v>1068</v>
      </c>
      <c r="B56" s="38" t="s">
        <v>1696</v>
      </c>
      <c r="C56" s="38" t="s">
        <v>791</v>
      </c>
      <c r="D56" s="38">
        <v>650</v>
      </c>
      <c r="E56" s="63">
        <v>6429.41</v>
      </c>
      <c r="F56" s="63">
        <f t="shared" si="1"/>
        <v>0.32221000134280647</v>
      </c>
    </row>
    <row r="57" spans="1:6" x14ac:dyDescent="0.2">
      <c r="A57" s="38" t="s">
        <v>747</v>
      </c>
      <c r="B57" s="38" t="s">
        <v>1441</v>
      </c>
      <c r="C57" s="38" t="s">
        <v>691</v>
      </c>
      <c r="D57" s="38">
        <v>600</v>
      </c>
      <c r="E57" s="63">
        <v>5959.0680000000002</v>
      </c>
      <c r="F57" s="63">
        <f t="shared" si="1"/>
        <v>0.29863880329328429</v>
      </c>
    </row>
    <row r="58" spans="1:6" x14ac:dyDescent="0.2">
      <c r="A58" s="38" t="s">
        <v>1067</v>
      </c>
      <c r="B58" s="38" t="s">
        <v>1697</v>
      </c>
      <c r="C58" s="38" t="s">
        <v>905</v>
      </c>
      <c r="D58" s="38">
        <v>500</v>
      </c>
      <c r="E58" s="63">
        <v>5757.3149999999996</v>
      </c>
      <c r="F58" s="63">
        <f t="shared" si="1"/>
        <v>0.28852794795804898</v>
      </c>
    </row>
    <row r="59" spans="1:6" x14ac:dyDescent="0.2">
      <c r="A59" s="38" t="s">
        <v>858</v>
      </c>
      <c r="B59" s="38" t="s">
        <v>1546</v>
      </c>
      <c r="C59" s="38" t="s">
        <v>752</v>
      </c>
      <c r="D59" s="38">
        <v>520</v>
      </c>
      <c r="E59" s="63">
        <v>5199.9885599999998</v>
      </c>
      <c r="F59" s="63">
        <f t="shared" si="1"/>
        <v>0.26059752308534967</v>
      </c>
    </row>
    <row r="60" spans="1:6" x14ac:dyDescent="0.2">
      <c r="A60" s="38" t="s">
        <v>966</v>
      </c>
      <c r="B60" s="38" t="s">
        <v>1583</v>
      </c>
      <c r="C60" s="38" t="s">
        <v>693</v>
      </c>
      <c r="D60" s="38">
        <v>500</v>
      </c>
      <c r="E60" s="63">
        <v>5165.76</v>
      </c>
      <c r="F60" s="63">
        <f t="shared" si="1"/>
        <v>0.25888215816639726</v>
      </c>
    </row>
    <row r="61" spans="1:6" x14ac:dyDescent="0.2">
      <c r="A61" s="38" t="s">
        <v>1066</v>
      </c>
      <c r="B61" s="38" t="s">
        <v>1698</v>
      </c>
      <c r="C61" s="38" t="s">
        <v>715</v>
      </c>
      <c r="D61" s="38">
        <v>500</v>
      </c>
      <c r="E61" s="63">
        <v>5065</v>
      </c>
      <c r="F61" s="63">
        <f t="shared" si="1"/>
        <v>0.2538325688984393</v>
      </c>
    </row>
    <row r="62" spans="1:6" x14ac:dyDescent="0.2">
      <c r="A62" s="38" t="s">
        <v>1065</v>
      </c>
      <c r="B62" s="38" t="s">
        <v>1699</v>
      </c>
      <c r="C62" s="38" t="s">
        <v>793</v>
      </c>
      <c r="D62" s="38">
        <v>500</v>
      </c>
      <c r="E62" s="63">
        <v>5005.6896665000004</v>
      </c>
      <c r="F62" s="63">
        <f t="shared" si="1"/>
        <v>0.25086023043555128</v>
      </c>
    </row>
    <row r="63" spans="1:6" x14ac:dyDescent="0.2">
      <c r="A63" s="38" t="s">
        <v>1064</v>
      </c>
      <c r="B63" s="38" t="s">
        <v>1699</v>
      </c>
      <c r="C63" s="38" t="s">
        <v>793</v>
      </c>
      <c r="D63" s="38">
        <v>500</v>
      </c>
      <c r="E63" s="63">
        <v>5005.6896665000004</v>
      </c>
      <c r="F63" s="63">
        <f t="shared" si="1"/>
        <v>0.25086023043555128</v>
      </c>
    </row>
    <row r="64" spans="1:6" x14ac:dyDescent="0.2">
      <c r="A64" s="38" t="s">
        <v>1063</v>
      </c>
      <c r="B64" s="38" t="s">
        <v>1700</v>
      </c>
      <c r="C64" s="38" t="s">
        <v>693</v>
      </c>
      <c r="D64" s="38">
        <v>50</v>
      </c>
      <c r="E64" s="63">
        <v>5003.28</v>
      </c>
      <c r="F64" s="63">
        <f t="shared" si="1"/>
        <v>0.25073946995423169</v>
      </c>
    </row>
    <row r="65" spans="1:6" x14ac:dyDescent="0.2">
      <c r="A65" s="38" t="s">
        <v>1062</v>
      </c>
      <c r="B65" s="38" t="s">
        <v>1701</v>
      </c>
      <c r="C65" s="38" t="s">
        <v>752</v>
      </c>
      <c r="D65" s="38">
        <v>500</v>
      </c>
      <c r="E65" s="63">
        <v>4998.4871665000001</v>
      </c>
      <c r="F65" s="63">
        <f t="shared" si="1"/>
        <v>0.25049927701452634</v>
      </c>
    </row>
    <row r="66" spans="1:6" x14ac:dyDescent="0.2">
      <c r="A66" s="38" t="s">
        <v>724</v>
      </c>
      <c r="B66" s="38" t="s">
        <v>1438</v>
      </c>
      <c r="C66" s="38" t="s">
        <v>693</v>
      </c>
      <c r="D66" s="38">
        <v>500</v>
      </c>
      <c r="E66" s="63">
        <v>4990.47</v>
      </c>
      <c r="F66" s="63">
        <f t="shared" si="1"/>
        <v>0.25009749656675112</v>
      </c>
    </row>
    <row r="67" spans="1:6" x14ac:dyDescent="0.2">
      <c r="A67" s="38" t="s">
        <v>875</v>
      </c>
      <c r="B67" s="38" t="s">
        <v>1530</v>
      </c>
      <c r="C67" s="38" t="s">
        <v>735</v>
      </c>
      <c r="D67" s="38">
        <v>450</v>
      </c>
      <c r="E67" s="63">
        <v>4565.5245000000004</v>
      </c>
      <c r="F67" s="63">
        <f t="shared" si="1"/>
        <v>0.2288013449563204</v>
      </c>
    </row>
    <row r="68" spans="1:6" x14ac:dyDescent="0.2">
      <c r="A68" s="38" t="s">
        <v>901</v>
      </c>
      <c r="B68" s="38" t="s">
        <v>1573</v>
      </c>
      <c r="C68" s="38" t="s">
        <v>791</v>
      </c>
      <c r="D68" s="38">
        <v>440</v>
      </c>
      <c r="E68" s="63">
        <v>4447.8720000000003</v>
      </c>
      <c r="F68" s="63">
        <f t="shared" si="1"/>
        <v>0.22290518773769777</v>
      </c>
    </row>
    <row r="69" spans="1:6" x14ac:dyDescent="0.2">
      <c r="A69" s="38" t="s">
        <v>1061</v>
      </c>
      <c r="B69" s="38" t="s">
        <v>1702</v>
      </c>
      <c r="C69" s="38" t="s">
        <v>791</v>
      </c>
      <c r="D69" s="38">
        <v>450</v>
      </c>
      <c r="E69" s="63">
        <v>4350.8609999999999</v>
      </c>
      <c r="F69" s="63">
        <f t="shared" si="1"/>
        <v>0.21804347967424137</v>
      </c>
    </row>
    <row r="70" spans="1:6" x14ac:dyDescent="0.2">
      <c r="A70" s="38" t="s">
        <v>1060</v>
      </c>
      <c r="B70" s="38" t="s">
        <v>1703</v>
      </c>
      <c r="C70" s="38" t="s">
        <v>793</v>
      </c>
      <c r="D70" s="38">
        <v>750</v>
      </c>
      <c r="E70" s="63">
        <v>3756.09</v>
      </c>
      <c r="F70" s="63">
        <f t="shared" si="1"/>
        <v>0.1882365199829692</v>
      </c>
    </row>
    <row r="71" spans="1:6" x14ac:dyDescent="0.2">
      <c r="A71" s="38" t="s">
        <v>792</v>
      </c>
      <c r="B71" s="38" t="s">
        <v>1501</v>
      </c>
      <c r="C71" s="38" t="s">
        <v>791</v>
      </c>
      <c r="D71" s="38">
        <v>360</v>
      </c>
      <c r="E71" s="63">
        <v>3714.2460000000001</v>
      </c>
      <c r="F71" s="63">
        <f t="shared" si="1"/>
        <v>0.18613950714723645</v>
      </c>
    </row>
    <row r="72" spans="1:6" x14ac:dyDescent="0.2">
      <c r="A72" s="38" t="s">
        <v>1059</v>
      </c>
      <c r="B72" s="38" t="s">
        <v>1704</v>
      </c>
      <c r="C72" s="38" t="s">
        <v>693</v>
      </c>
      <c r="D72" s="38">
        <v>350</v>
      </c>
      <c r="E72" s="63">
        <v>3519.614</v>
      </c>
      <c r="F72" s="63">
        <f t="shared" ref="F72:F93" si="2">IF((E72/$E$163*100)&lt;0.01,"*",E72/$E$163*100)</f>
        <v>0.17638552085901513</v>
      </c>
    </row>
    <row r="73" spans="1:6" x14ac:dyDescent="0.2">
      <c r="A73" s="38" t="s">
        <v>1058</v>
      </c>
      <c r="B73" s="38" t="s">
        <v>1926</v>
      </c>
      <c r="C73" s="38" t="s">
        <v>693</v>
      </c>
      <c r="D73" s="38">
        <v>350</v>
      </c>
      <c r="E73" s="63">
        <v>3519.306</v>
      </c>
      <c r="F73" s="63">
        <f t="shared" si="2"/>
        <v>0.17637008543330523</v>
      </c>
    </row>
    <row r="74" spans="1:6" x14ac:dyDescent="0.2">
      <c r="A74" s="38" t="s">
        <v>1057</v>
      </c>
      <c r="B74" s="38" t="s">
        <v>1705</v>
      </c>
      <c r="C74" s="38" t="s">
        <v>691</v>
      </c>
      <c r="D74" s="38">
        <v>350</v>
      </c>
      <c r="E74" s="63">
        <v>3489.0275000000001</v>
      </c>
      <c r="F74" s="63">
        <f t="shared" si="2"/>
        <v>0.17485267784448164</v>
      </c>
    </row>
    <row r="75" spans="1:6" x14ac:dyDescent="0.2">
      <c r="A75" s="38" t="s">
        <v>1056</v>
      </c>
      <c r="B75" s="38" t="s">
        <v>1706</v>
      </c>
      <c r="C75" s="38" t="s">
        <v>1055</v>
      </c>
      <c r="D75" s="38">
        <v>300</v>
      </c>
      <c r="E75" s="63">
        <v>2928.3989999999999</v>
      </c>
      <c r="F75" s="63">
        <f t="shared" si="2"/>
        <v>0.14675677017366651</v>
      </c>
    </row>
    <row r="76" spans="1:6" x14ac:dyDescent="0.2">
      <c r="A76" s="38" t="s">
        <v>1054</v>
      </c>
      <c r="B76" s="38" t="s">
        <v>1941</v>
      </c>
      <c r="C76" s="38" t="s">
        <v>693</v>
      </c>
      <c r="D76" s="38">
        <v>250</v>
      </c>
      <c r="E76" s="63">
        <v>2508.15</v>
      </c>
      <c r="F76" s="63">
        <f t="shared" si="2"/>
        <v>0.12569598374780269</v>
      </c>
    </row>
    <row r="77" spans="1:6" x14ac:dyDescent="0.2">
      <c r="A77" s="38" t="s">
        <v>896</v>
      </c>
      <c r="B77" s="38" t="s">
        <v>1578</v>
      </c>
      <c r="C77" s="38" t="s">
        <v>741</v>
      </c>
      <c r="D77" s="38">
        <v>250</v>
      </c>
      <c r="E77" s="63">
        <v>2501.59</v>
      </c>
      <c r="F77" s="63">
        <f t="shared" si="2"/>
        <v>0.12536722922618893</v>
      </c>
    </row>
    <row r="78" spans="1:6" x14ac:dyDescent="0.2">
      <c r="A78" s="38" t="s">
        <v>1053</v>
      </c>
      <c r="B78" s="38" t="s">
        <v>1707</v>
      </c>
      <c r="C78" s="38" t="s">
        <v>728</v>
      </c>
      <c r="D78" s="38">
        <v>250</v>
      </c>
      <c r="E78" s="63">
        <v>2498.212</v>
      </c>
      <c r="F78" s="63">
        <f t="shared" si="2"/>
        <v>0.12519794069356524</v>
      </c>
    </row>
    <row r="79" spans="1:6" x14ac:dyDescent="0.2">
      <c r="A79" s="38" t="s">
        <v>1052</v>
      </c>
      <c r="B79" s="38" t="s">
        <v>1966</v>
      </c>
      <c r="C79" s="38" t="s">
        <v>741</v>
      </c>
      <c r="D79" s="38">
        <v>250</v>
      </c>
      <c r="E79" s="63">
        <v>2497.63</v>
      </c>
      <c r="F79" s="63">
        <f t="shared" si="2"/>
        <v>0.12516877375277571</v>
      </c>
    </row>
    <row r="80" spans="1:6" x14ac:dyDescent="0.2">
      <c r="A80" s="38" t="s">
        <v>1051</v>
      </c>
      <c r="B80" s="38" t="s">
        <v>1708</v>
      </c>
      <c r="C80" s="38" t="s">
        <v>691</v>
      </c>
      <c r="D80" s="38">
        <v>250</v>
      </c>
      <c r="E80" s="63">
        <v>2485.27</v>
      </c>
      <c r="F80" s="63">
        <f t="shared" si="2"/>
        <v>0.12454935212363757</v>
      </c>
    </row>
    <row r="81" spans="1:6" x14ac:dyDescent="0.2">
      <c r="A81" s="38" t="s">
        <v>867</v>
      </c>
      <c r="B81" s="38" t="s">
        <v>1538</v>
      </c>
      <c r="C81" s="38" t="s">
        <v>752</v>
      </c>
      <c r="D81" s="38">
        <v>250</v>
      </c>
      <c r="E81" s="63">
        <v>2473.1149999999998</v>
      </c>
      <c r="F81" s="63">
        <f t="shared" si="2"/>
        <v>0.12394020407329985</v>
      </c>
    </row>
    <row r="82" spans="1:6" x14ac:dyDescent="0.2">
      <c r="A82" s="38" t="s">
        <v>1050</v>
      </c>
      <c r="B82" s="38" t="s">
        <v>1709</v>
      </c>
      <c r="C82" s="38" t="s">
        <v>713</v>
      </c>
      <c r="D82" s="38">
        <v>250000</v>
      </c>
      <c r="E82" s="63">
        <v>2373.4924999999998</v>
      </c>
      <c r="F82" s="63">
        <f t="shared" si="2"/>
        <v>0.1189476206389297</v>
      </c>
    </row>
    <row r="83" spans="1:6" x14ac:dyDescent="0.2">
      <c r="A83" s="38" t="s">
        <v>1049</v>
      </c>
      <c r="B83" s="38" t="s">
        <v>1973</v>
      </c>
      <c r="C83" s="38" t="s">
        <v>715</v>
      </c>
      <c r="D83" s="38">
        <v>192500</v>
      </c>
      <c r="E83" s="63">
        <v>1919.9449500000001</v>
      </c>
      <c r="F83" s="63">
        <f t="shared" si="2"/>
        <v>9.6218076762504573E-2</v>
      </c>
    </row>
    <row r="84" spans="1:6" x14ac:dyDescent="0.2">
      <c r="A84" s="38" t="s">
        <v>1048</v>
      </c>
      <c r="B84" s="38" t="s">
        <v>1710</v>
      </c>
      <c r="C84" s="38" t="s">
        <v>713</v>
      </c>
      <c r="D84" s="38">
        <v>200</v>
      </c>
      <c r="E84" s="63">
        <v>1900.89</v>
      </c>
      <c r="F84" s="63">
        <f t="shared" si="2"/>
        <v>9.5263137590000865E-2</v>
      </c>
    </row>
    <row r="85" spans="1:6" x14ac:dyDescent="0.2">
      <c r="A85" s="38" t="s">
        <v>1047</v>
      </c>
      <c r="B85" s="38" t="s">
        <v>1711</v>
      </c>
      <c r="C85" s="38" t="s">
        <v>765</v>
      </c>
      <c r="D85" s="38">
        <v>150</v>
      </c>
      <c r="E85" s="63">
        <v>1537.7550000000001</v>
      </c>
      <c r="F85" s="63">
        <f t="shared" si="2"/>
        <v>7.7064620332955497E-2</v>
      </c>
    </row>
    <row r="86" spans="1:6" x14ac:dyDescent="0.2">
      <c r="A86" s="38" t="s">
        <v>1046</v>
      </c>
      <c r="B86" s="38" t="s">
        <v>1712</v>
      </c>
      <c r="C86" s="38" t="s">
        <v>693</v>
      </c>
      <c r="D86" s="38">
        <v>141</v>
      </c>
      <c r="E86" s="63">
        <v>1413.0441900000001</v>
      </c>
      <c r="F86" s="63">
        <f t="shared" si="2"/>
        <v>7.0814735777831081E-2</v>
      </c>
    </row>
    <row r="87" spans="1:6" x14ac:dyDescent="0.2">
      <c r="A87" s="38" t="s">
        <v>1045</v>
      </c>
      <c r="B87" s="38" t="s">
        <v>1713</v>
      </c>
      <c r="C87" s="38" t="s">
        <v>693</v>
      </c>
      <c r="D87" s="38">
        <v>100</v>
      </c>
      <c r="E87" s="63">
        <v>1005.3680000000001</v>
      </c>
      <c r="F87" s="63">
        <f t="shared" si="2"/>
        <v>5.0384035958200617E-2</v>
      </c>
    </row>
    <row r="88" spans="1:6" x14ac:dyDescent="0.2">
      <c r="A88" s="38" t="s">
        <v>719</v>
      </c>
      <c r="B88" s="38" t="s">
        <v>1440</v>
      </c>
      <c r="C88" s="38" t="s">
        <v>718</v>
      </c>
      <c r="D88" s="38">
        <v>80</v>
      </c>
      <c r="E88" s="63">
        <v>809.37040000000002</v>
      </c>
      <c r="F88" s="63">
        <f t="shared" si="2"/>
        <v>4.0561612600662864E-2</v>
      </c>
    </row>
    <row r="89" spans="1:6" x14ac:dyDescent="0.2">
      <c r="A89" s="38" t="s">
        <v>866</v>
      </c>
      <c r="B89" s="38" t="s">
        <v>1528</v>
      </c>
      <c r="C89" s="38" t="s">
        <v>728</v>
      </c>
      <c r="D89" s="38">
        <v>70</v>
      </c>
      <c r="E89" s="63">
        <v>678.38959999999997</v>
      </c>
      <c r="F89" s="63">
        <f t="shared" si="2"/>
        <v>3.3997507380451077E-2</v>
      </c>
    </row>
    <row r="90" spans="1:6" x14ac:dyDescent="0.2">
      <c r="A90" s="38" t="s">
        <v>812</v>
      </c>
      <c r="B90" s="38" t="s">
        <v>1487</v>
      </c>
      <c r="C90" s="38" t="s">
        <v>798</v>
      </c>
      <c r="D90" s="38">
        <v>61</v>
      </c>
      <c r="E90" s="63">
        <v>603.84997999999996</v>
      </c>
      <c r="F90" s="63">
        <f t="shared" si="2"/>
        <v>3.026195294228454E-2</v>
      </c>
    </row>
    <row r="91" spans="1:6" x14ac:dyDescent="0.2">
      <c r="A91" s="38" t="s">
        <v>1044</v>
      </c>
      <c r="B91" s="38" t="s">
        <v>1714</v>
      </c>
      <c r="C91" s="38" t="s">
        <v>693</v>
      </c>
      <c r="D91" s="38">
        <v>50</v>
      </c>
      <c r="E91" s="63">
        <v>494.39800000000002</v>
      </c>
      <c r="F91" s="63">
        <f t="shared" si="2"/>
        <v>2.477676493548877E-2</v>
      </c>
    </row>
    <row r="92" spans="1:6" x14ac:dyDescent="0.2">
      <c r="A92" s="38" t="s">
        <v>1043</v>
      </c>
      <c r="B92" s="38" t="s">
        <v>1715</v>
      </c>
      <c r="C92" s="38" t="s">
        <v>693</v>
      </c>
      <c r="D92" s="38">
        <v>47</v>
      </c>
      <c r="E92" s="63">
        <v>473.72615999999999</v>
      </c>
      <c r="F92" s="63">
        <f t="shared" si="2"/>
        <v>2.3740795290660036E-2</v>
      </c>
    </row>
    <row r="93" spans="1:6" x14ac:dyDescent="0.2">
      <c r="A93" s="38" t="s">
        <v>976</v>
      </c>
      <c r="B93" s="38" t="s">
        <v>1619</v>
      </c>
      <c r="C93" s="38" t="s">
        <v>693</v>
      </c>
      <c r="D93" s="38">
        <v>20</v>
      </c>
      <c r="E93" s="63">
        <v>201.0274</v>
      </c>
      <c r="F93" s="63">
        <f t="shared" si="2"/>
        <v>1.0074491877783637E-2</v>
      </c>
    </row>
    <row r="94" spans="1:6" x14ac:dyDescent="0.2">
      <c r="A94" s="37" t="s">
        <v>43</v>
      </c>
      <c r="B94" s="38"/>
      <c r="C94" s="38"/>
      <c r="D94" s="38"/>
      <c r="E94" s="64">
        <f>SUM(E8:E93)</f>
        <v>972233.51114610001</v>
      </c>
      <c r="F94" s="64">
        <f>SUM(F8:F93)</f>
        <v>48.723500435017577</v>
      </c>
    </row>
    <row r="95" spans="1:6" x14ac:dyDescent="0.2">
      <c r="A95" s="38"/>
      <c r="B95" s="38"/>
      <c r="C95" s="38"/>
      <c r="D95" s="38"/>
      <c r="E95" s="63"/>
      <c r="F95" s="63"/>
    </row>
    <row r="96" spans="1:6" x14ac:dyDescent="0.2">
      <c r="A96" s="37" t="s">
        <v>717</v>
      </c>
      <c r="B96" s="38"/>
      <c r="C96" s="38"/>
      <c r="D96" s="38"/>
      <c r="E96" s="63"/>
      <c r="F96" s="63"/>
    </row>
    <row r="97" spans="1:6" x14ac:dyDescent="0.2">
      <c r="A97" s="38" t="s">
        <v>778</v>
      </c>
      <c r="B97" s="38" t="s">
        <v>1455</v>
      </c>
      <c r="C97" s="38" t="s">
        <v>777</v>
      </c>
      <c r="D97" s="38">
        <v>7990</v>
      </c>
      <c r="E97" s="63">
        <v>77451.464500000002</v>
      </c>
      <c r="F97" s="63">
        <f t="shared" ref="F97:F133" si="3">IF((E97/$E$163*100)&lt;0.01,"*",E97/$E$163*100)</f>
        <v>3.8814815792658006</v>
      </c>
    </row>
    <row r="98" spans="1:6" x14ac:dyDescent="0.2">
      <c r="A98" s="38" t="s">
        <v>1042</v>
      </c>
      <c r="B98" s="38" t="s">
        <v>1635</v>
      </c>
      <c r="C98" s="38" t="s">
        <v>849</v>
      </c>
      <c r="D98" s="38">
        <v>3910</v>
      </c>
      <c r="E98" s="63">
        <v>69487.190600000002</v>
      </c>
      <c r="F98" s="63">
        <f t="shared" si="3"/>
        <v>3.4823518451201352</v>
      </c>
    </row>
    <row r="99" spans="1:6" x14ac:dyDescent="0.2">
      <c r="A99" s="38" t="s">
        <v>716</v>
      </c>
      <c r="B99" s="38" t="s">
        <v>1429</v>
      </c>
      <c r="C99" s="38" t="s">
        <v>715</v>
      </c>
      <c r="D99" s="38">
        <v>3900</v>
      </c>
      <c r="E99" s="63">
        <v>39081.080999999998</v>
      </c>
      <c r="F99" s="63">
        <f t="shared" si="3"/>
        <v>1.9585490988268486</v>
      </c>
    </row>
    <row r="100" spans="1:6" x14ac:dyDescent="0.2">
      <c r="A100" s="38" t="s">
        <v>1041</v>
      </c>
      <c r="B100" s="38" t="s">
        <v>1636</v>
      </c>
      <c r="C100" s="38" t="s">
        <v>756</v>
      </c>
      <c r="D100" s="38">
        <v>3500</v>
      </c>
      <c r="E100" s="63">
        <v>35001.504999999997</v>
      </c>
      <c r="F100" s="63">
        <f t="shared" si="3"/>
        <v>1.7541010719568741</v>
      </c>
    </row>
    <row r="101" spans="1:6" x14ac:dyDescent="0.2">
      <c r="A101" s="38" t="s">
        <v>1040</v>
      </c>
      <c r="B101" s="38" t="s">
        <v>1637</v>
      </c>
      <c r="C101" s="38" t="s">
        <v>756</v>
      </c>
      <c r="D101" s="38">
        <v>3450</v>
      </c>
      <c r="E101" s="63">
        <v>34501.483500000002</v>
      </c>
      <c r="F101" s="63">
        <f t="shared" si="3"/>
        <v>1.7290424852146336</v>
      </c>
    </row>
    <row r="102" spans="1:6" x14ac:dyDescent="0.2">
      <c r="A102" s="38" t="s">
        <v>852</v>
      </c>
      <c r="B102" s="38" t="s">
        <v>1505</v>
      </c>
      <c r="C102" s="38" t="s">
        <v>758</v>
      </c>
      <c r="D102" s="38">
        <v>33500</v>
      </c>
      <c r="E102" s="63">
        <v>33786.894</v>
      </c>
      <c r="F102" s="63">
        <f t="shared" si="3"/>
        <v>1.6932308191745837</v>
      </c>
    </row>
    <row r="103" spans="1:6" x14ac:dyDescent="0.2">
      <c r="A103" s="38" t="s">
        <v>1039</v>
      </c>
      <c r="B103" s="38" t="s">
        <v>1638</v>
      </c>
      <c r="C103" s="38" t="s">
        <v>758</v>
      </c>
      <c r="D103" s="38">
        <v>32000</v>
      </c>
      <c r="E103" s="63">
        <v>32157.984</v>
      </c>
      <c r="F103" s="63">
        <f t="shared" si="3"/>
        <v>1.6115979643267344</v>
      </c>
    </row>
    <row r="104" spans="1:6" x14ac:dyDescent="0.2">
      <c r="A104" s="38" t="s">
        <v>1038</v>
      </c>
      <c r="B104" s="38" t="s">
        <v>1639</v>
      </c>
      <c r="C104" s="38" t="s">
        <v>791</v>
      </c>
      <c r="D104" s="38">
        <v>2130</v>
      </c>
      <c r="E104" s="63">
        <v>25157.238300000001</v>
      </c>
      <c r="F104" s="63">
        <f t="shared" si="3"/>
        <v>1.2607554637866154</v>
      </c>
    </row>
    <row r="105" spans="1:6" x14ac:dyDescent="0.2">
      <c r="A105" s="38" t="s">
        <v>1037</v>
      </c>
      <c r="B105" s="38" t="s">
        <v>1640</v>
      </c>
      <c r="C105" s="38" t="s">
        <v>715</v>
      </c>
      <c r="D105" s="38">
        <v>2350</v>
      </c>
      <c r="E105" s="63">
        <v>23533.276000000002</v>
      </c>
      <c r="F105" s="63">
        <f t="shared" si="3"/>
        <v>1.1793705630159901</v>
      </c>
    </row>
    <row r="106" spans="1:6" x14ac:dyDescent="0.2">
      <c r="A106" s="38" t="s">
        <v>835</v>
      </c>
      <c r="B106" s="38" t="s">
        <v>1518</v>
      </c>
      <c r="C106" s="38" t="s">
        <v>756</v>
      </c>
      <c r="D106" s="38">
        <v>2350</v>
      </c>
      <c r="E106" s="63">
        <v>23499.624</v>
      </c>
      <c r="F106" s="63">
        <f t="shared" si="3"/>
        <v>1.1776840924121261</v>
      </c>
    </row>
    <row r="107" spans="1:6" x14ac:dyDescent="0.2">
      <c r="A107" s="38" t="s">
        <v>1036</v>
      </c>
      <c r="B107" s="38" t="s">
        <v>1641</v>
      </c>
      <c r="C107" s="38" t="s">
        <v>752</v>
      </c>
      <c r="D107" s="38">
        <v>1700</v>
      </c>
      <c r="E107" s="63">
        <v>21760.204000000002</v>
      </c>
      <c r="F107" s="63">
        <f t="shared" si="3"/>
        <v>1.0905130268655667</v>
      </c>
    </row>
    <row r="108" spans="1:6" x14ac:dyDescent="0.2">
      <c r="A108" s="38" t="s">
        <v>1035</v>
      </c>
      <c r="B108" s="38" t="s">
        <v>1642</v>
      </c>
      <c r="C108" s="38" t="s">
        <v>715</v>
      </c>
      <c r="D108" s="38">
        <v>2000</v>
      </c>
      <c r="E108" s="63">
        <v>20032.66</v>
      </c>
      <c r="F108" s="63">
        <f t="shared" si="3"/>
        <v>1.0039371272791726</v>
      </c>
    </row>
    <row r="109" spans="1:6" x14ac:dyDescent="0.2">
      <c r="A109" s="38" t="s">
        <v>1034</v>
      </c>
      <c r="B109" s="38" t="s">
        <v>1643</v>
      </c>
      <c r="C109" s="38" t="s">
        <v>758</v>
      </c>
      <c r="D109" s="38">
        <v>15000</v>
      </c>
      <c r="E109" s="63">
        <v>15034.934999999999</v>
      </c>
      <c r="F109" s="63">
        <f t="shared" si="3"/>
        <v>0.7534760462529233</v>
      </c>
    </row>
    <row r="110" spans="1:6" x14ac:dyDescent="0.2">
      <c r="A110" s="38" t="s">
        <v>1033</v>
      </c>
      <c r="B110" s="38" t="s">
        <v>1644</v>
      </c>
      <c r="C110" s="38" t="s">
        <v>756</v>
      </c>
      <c r="D110" s="38">
        <v>1500</v>
      </c>
      <c r="E110" s="63">
        <v>15001.53</v>
      </c>
      <c r="F110" s="63">
        <f t="shared" si="3"/>
        <v>0.75180195405863859</v>
      </c>
    </row>
    <row r="111" spans="1:6" x14ac:dyDescent="0.2">
      <c r="A111" s="38" t="s">
        <v>833</v>
      </c>
      <c r="B111" s="38" t="s">
        <v>1520</v>
      </c>
      <c r="C111" s="38" t="s">
        <v>752</v>
      </c>
      <c r="D111" s="38">
        <v>1150</v>
      </c>
      <c r="E111" s="63">
        <v>14720.138000000001</v>
      </c>
      <c r="F111" s="63">
        <f t="shared" si="3"/>
        <v>0.73769998876200105</v>
      </c>
    </row>
    <row r="112" spans="1:6" x14ac:dyDescent="0.2">
      <c r="A112" s="38" t="s">
        <v>1032</v>
      </c>
      <c r="B112" s="38" t="s">
        <v>1645</v>
      </c>
      <c r="C112" s="38" t="s">
        <v>691</v>
      </c>
      <c r="D112" s="38">
        <v>1450</v>
      </c>
      <c r="E112" s="63">
        <v>14513.1002672</v>
      </c>
      <c r="F112" s="63">
        <f t="shared" si="3"/>
        <v>0.72732428894452161</v>
      </c>
    </row>
    <row r="113" spans="1:6" x14ac:dyDescent="0.2">
      <c r="A113" s="38" t="s">
        <v>768</v>
      </c>
      <c r="B113" s="38" t="s">
        <v>1461</v>
      </c>
      <c r="C113" s="38" t="s">
        <v>767</v>
      </c>
      <c r="D113" s="38">
        <v>14300</v>
      </c>
      <c r="E113" s="63">
        <v>13789.304099999999</v>
      </c>
      <c r="F113" s="63">
        <f t="shared" si="3"/>
        <v>0.69105123060706453</v>
      </c>
    </row>
    <row r="114" spans="1:6" x14ac:dyDescent="0.2">
      <c r="A114" s="38" t="s">
        <v>1031</v>
      </c>
      <c r="B114" s="38" t="s">
        <v>1646</v>
      </c>
      <c r="C114" s="38" t="s">
        <v>752</v>
      </c>
      <c r="D114" s="38">
        <v>890</v>
      </c>
      <c r="E114" s="63">
        <v>12071.0255</v>
      </c>
      <c r="F114" s="63">
        <f t="shared" si="3"/>
        <v>0.60493966671343891</v>
      </c>
    </row>
    <row r="115" spans="1:6" x14ac:dyDescent="0.2">
      <c r="A115" s="38" t="s">
        <v>1030</v>
      </c>
      <c r="B115" s="38" t="s">
        <v>1647</v>
      </c>
      <c r="C115" s="38" t="s">
        <v>801</v>
      </c>
      <c r="D115" s="38">
        <v>1190</v>
      </c>
      <c r="E115" s="63">
        <v>11645.7565</v>
      </c>
      <c r="F115" s="63">
        <f t="shared" si="3"/>
        <v>0.58362730289451092</v>
      </c>
    </row>
    <row r="116" spans="1:6" x14ac:dyDescent="0.2">
      <c r="A116" s="38" t="s">
        <v>1029</v>
      </c>
      <c r="B116" s="38" t="s">
        <v>1648</v>
      </c>
      <c r="C116" s="38" t="s">
        <v>695</v>
      </c>
      <c r="D116" s="38">
        <v>1150</v>
      </c>
      <c r="E116" s="63">
        <v>11415.682000000001</v>
      </c>
      <c r="F116" s="63">
        <f t="shared" si="3"/>
        <v>0.57209711506173222</v>
      </c>
    </row>
    <row r="117" spans="1:6" x14ac:dyDescent="0.2">
      <c r="A117" s="38" t="s">
        <v>1028</v>
      </c>
      <c r="B117" s="38" t="s">
        <v>1649</v>
      </c>
      <c r="C117" s="38" t="s">
        <v>715</v>
      </c>
      <c r="D117" s="38">
        <v>1000</v>
      </c>
      <c r="E117" s="63">
        <v>10075.39</v>
      </c>
      <c r="F117" s="63">
        <f t="shared" si="3"/>
        <v>0.50492835663448099</v>
      </c>
    </row>
    <row r="118" spans="1:6" x14ac:dyDescent="0.2">
      <c r="A118" s="38" t="s">
        <v>1027</v>
      </c>
      <c r="B118" s="38" t="s">
        <v>1650</v>
      </c>
      <c r="C118" s="38" t="s">
        <v>715</v>
      </c>
      <c r="D118" s="38">
        <v>1000</v>
      </c>
      <c r="E118" s="63">
        <v>10073.26</v>
      </c>
      <c r="F118" s="63">
        <f t="shared" si="3"/>
        <v>0.50482161164499373</v>
      </c>
    </row>
    <row r="119" spans="1:6" x14ac:dyDescent="0.2">
      <c r="A119" s="38" t="s">
        <v>1026</v>
      </c>
      <c r="B119" s="38" t="s">
        <v>1651</v>
      </c>
      <c r="C119" s="38" t="s">
        <v>715</v>
      </c>
      <c r="D119" s="38">
        <v>1000</v>
      </c>
      <c r="E119" s="63">
        <v>10056.219999999999</v>
      </c>
      <c r="F119" s="63">
        <f t="shared" si="3"/>
        <v>0.50396765172909441</v>
      </c>
    </row>
    <row r="120" spans="1:6" x14ac:dyDescent="0.2">
      <c r="A120" s="38" t="s">
        <v>1025</v>
      </c>
      <c r="B120" s="38" t="s">
        <v>1652</v>
      </c>
      <c r="C120" s="38" t="s">
        <v>715</v>
      </c>
      <c r="D120" s="38">
        <v>1000</v>
      </c>
      <c r="E120" s="63">
        <v>10029.290000000001</v>
      </c>
      <c r="F120" s="63">
        <f t="shared" si="3"/>
        <v>0.50261805427984774</v>
      </c>
    </row>
    <row r="121" spans="1:6" x14ac:dyDescent="0.2">
      <c r="A121" s="38" t="s">
        <v>1024</v>
      </c>
      <c r="B121" s="38" t="s">
        <v>1653</v>
      </c>
      <c r="C121" s="38" t="s">
        <v>758</v>
      </c>
      <c r="D121" s="38">
        <v>1000</v>
      </c>
      <c r="E121" s="63">
        <v>10008.459999999999</v>
      </c>
      <c r="F121" s="63">
        <f t="shared" si="3"/>
        <v>0.5015741584436868</v>
      </c>
    </row>
    <row r="122" spans="1:6" x14ac:dyDescent="0.2">
      <c r="A122" s="38" t="s">
        <v>1023</v>
      </c>
      <c r="B122" s="38" t="s">
        <v>1654</v>
      </c>
      <c r="C122" s="38" t="s">
        <v>775</v>
      </c>
      <c r="D122" s="38">
        <v>1000</v>
      </c>
      <c r="E122" s="63">
        <v>9934.5300000000007</v>
      </c>
      <c r="F122" s="63">
        <f t="shared" si="3"/>
        <v>0.49786915512312191</v>
      </c>
    </row>
    <row r="123" spans="1:6" x14ac:dyDescent="0.2">
      <c r="A123" s="38" t="s">
        <v>834</v>
      </c>
      <c r="B123" s="38" t="s">
        <v>1519</v>
      </c>
      <c r="C123" s="38" t="s">
        <v>695</v>
      </c>
      <c r="D123" s="38">
        <v>950</v>
      </c>
      <c r="E123" s="63">
        <v>9481.0285000000003</v>
      </c>
      <c r="F123" s="63">
        <f t="shared" si="3"/>
        <v>0.4751419190433005</v>
      </c>
    </row>
    <row r="124" spans="1:6" x14ac:dyDescent="0.2">
      <c r="A124" s="38" t="s">
        <v>1022</v>
      </c>
      <c r="B124" s="38" t="s">
        <v>1655</v>
      </c>
      <c r="C124" s="38" t="s">
        <v>715</v>
      </c>
      <c r="D124" s="38">
        <v>900</v>
      </c>
      <c r="E124" s="63">
        <v>9080.7659999999996</v>
      </c>
      <c r="F124" s="63">
        <f t="shared" si="3"/>
        <v>0.45508275643546009</v>
      </c>
    </row>
    <row r="125" spans="1:6" x14ac:dyDescent="0.2">
      <c r="A125" s="38" t="s">
        <v>1021</v>
      </c>
      <c r="B125" s="38" t="s">
        <v>1656</v>
      </c>
      <c r="C125" s="38" t="s">
        <v>754</v>
      </c>
      <c r="D125" s="38">
        <v>850</v>
      </c>
      <c r="E125" s="63">
        <v>8510.0044999999991</v>
      </c>
      <c r="F125" s="63">
        <f t="shared" si="3"/>
        <v>0.42647903328179237</v>
      </c>
    </row>
    <row r="126" spans="1:6" x14ac:dyDescent="0.2">
      <c r="A126" s="38" t="s">
        <v>851</v>
      </c>
      <c r="B126" s="38" t="s">
        <v>1506</v>
      </c>
      <c r="C126" s="38" t="s">
        <v>775</v>
      </c>
      <c r="D126" s="38">
        <v>450</v>
      </c>
      <c r="E126" s="63">
        <v>4470.5384999999997</v>
      </c>
      <c r="F126" s="63">
        <f t="shared" si="3"/>
        <v>0.22404111980540484</v>
      </c>
    </row>
    <row r="127" spans="1:6" x14ac:dyDescent="0.2">
      <c r="A127" s="38" t="s">
        <v>1020</v>
      </c>
      <c r="B127" s="38" t="s">
        <v>1657</v>
      </c>
      <c r="C127" s="38" t="s">
        <v>785</v>
      </c>
      <c r="D127" s="38">
        <v>270</v>
      </c>
      <c r="E127" s="63">
        <v>4137.1505999999999</v>
      </c>
      <c r="F127" s="63">
        <f t="shared" si="3"/>
        <v>0.20733337901633159</v>
      </c>
    </row>
    <row r="128" spans="1:6" x14ac:dyDescent="0.2">
      <c r="A128" s="38" t="s">
        <v>1019</v>
      </c>
      <c r="B128" s="38" t="s">
        <v>1658</v>
      </c>
      <c r="C128" s="38" t="s">
        <v>785</v>
      </c>
      <c r="D128" s="38">
        <v>260</v>
      </c>
      <c r="E128" s="63">
        <v>3994.2734</v>
      </c>
      <c r="F128" s="63">
        <f t="shared" si="3"/>
        <v>0.20017308548957619</v>
      </c>
    </row>
    <row r="129" spans="1:6" x14ac:dyDescent="0.2">
      <c r="A129" s="38" t="s">
        <v>1018</v>
      </c>
      <c r="B129" s="38" t="s">
        <v>1659</v>
      </c>
      <c r="C129" s="38" t="s">
        <v>785</v>
      </c>
      <c r="D129" s="38">
        <v>257</v>
      </c>
      <c r="E129" s="63">
        <v>3950.8712799999998</v>
      </c>
      <c r="F129" s="63">
        <f t="shared" si="3"/>
        <v>0.19799798744115799</v>
      </c>
    </row>
    <row r="130" spans="1:6" x14ac:dyDescent="0.2">
      <c r="A130" s="38" t="s">
        <v>837</v>
      </c>
      <c r="B130" s="38" t="s">
        <v>1516</v>
      </c>
      <c r="C130" s="38" t="s">
        <v>801</v>
      </c>
      <c r="D130" s="38">
        <v>2500</v>
      </c>
      <c r="E130" s="63">
        <v>1944.7375</v>
      </c>
      <c r="F130" s="63">
        <f t="shared" si="3"/>
        <v>9.7460555865375831E-2</v>
      </c>
    </row>
    <row r="131" spans="1:6" x14ac:dyDescent="0.2">
      <c r="A131" s="38" t="s">
        <v>886</v>
      </c>
      <c r="B131" s="38" t="s">
        <v>1557</v>
      </c>
      <c r="C131" s="38" t="s">
        <v>775</v>
      </c>
      <c r="D131" s="38">
        <v>100</v>
      </c>
      <c r="E131" s="63">
        <v>994.79300000000001</v>
      </c>
      <c r="F131" s="63">
        <f t="shared" si="3"/>
        <v>4.9854069637154032E-2</v>
      </c>
    </row>
    <row r="132" spans="1:6" x14ac:dyDescent="0.2">
      <c r="A132" s="38" t="s">
        <v>714</v>
      </c>
      <c r="B132" s="38" t="s">
        <v>1430</v>
      </c>
      <c r="C132" s="38" t="s">
        <v>713</v>
      </c>
      <c r="D132" s="38">
        <v>7</v>
      </c>
      <c r="E132" s="63">
        <v>860.92020000000002</v>
      </c>
      <c r="F132" s="63">
        <f t="shared" si="3"/>
        <v>4.3145031783328368E-2</v>
      </c>
    </row>
    <row r="133" spans="1:6" x14ac:dyDescent="0.2">
      <c r="A133" s="38" t="s">
        <v>1017</v>
      </c>
      <c r="B133" s="38" t="s">
        <v>1660</v>
      </c>
      <c r="C133" s="38" t="s">
        <v>775</v>
      </c>
      <c r="D133" s="38">
        <v>280</v>
      </c>
      <c r="E133" s="63">
        <v>465.46640000000002</v>
      </c>
      <c r="F133" s="63">
        <f t="shared" si="3"/>
        <v>2.3326857265134952E-2</v>
      </c>
    </row>
    <row r="134" spans="1:6" x14ac:dyDescent="0.2">
      <c r="A134" s="37" t="s">
        <v>43</v>
      </c>
      <c r="B134" s="38"/>
      <c r="C134" s="38"/>
      <c r="D134" s="38"/>
      <c r="E134" s="64">
        <f>SUM(E97:E133)</f>
        <v>651709.77614720014</v>
      </c>
      <c r="F134" s="64">
        <f>SUM(F97:F133)</f>
        <v>32.660447513459147</v>
      </c>
    </row>
    <row r="135" spans="1:6" x14ac:dyDescent="0.2">
      <c r="A135" s="38"/>
      <c r="B135" s="38"/>
      <c r="C135" s="38"/>
      <c r="D135" s="38"/>
      <c r="E135" s="63"/>
      <c r="F135" s="63"/>
    </row>
    <row r="136" spans="1:6" x14ac:dyDescent="0.2">
      <c r="A136" s="37" t="s">
        <v>973</v>
      </c>
      <c r="B136" s="38"/>
      <c r="C136" s="38"/>
      <c r="D136" s="38"/>
      <c r="E136" s="63"/>
      <c r="F136" s="63"/>
    </row>
    <row r="137" spans="1:6" x14ac:dyDescent="0.2">
      <c r="A137" s="37" t="s">
        <v>972</v>
      </c>
      <c r="B137" s="38"/>
      <c r="C137" s="38"/>
      <c r="D137" s="38"/>
      <c r="E137" s="63"/>
      <c r="F137" s="63"/>
    </row>
    <row r="138" spans="1:6" x14ac:dyDescent="0.2">
      <c r="A138" s="37" t="s">
        <v>1016</v>
      </c>
      <c r="B138" s="38" t="s">
        <v>1633</v>
      </c>
      <c r="C138" s="38" t="s">
        <v>999</v>
      </c>
      <c r="D138" s="38">
        <v>400</v>
      </c>
      <c r="E138" s="63">
        <v>400.084</v>
      </c>
      <c r="F138" s="63">
        <f>IF((E138/$E$163*100)&lt;0.01,"*",E138/$E$163*100)</f>
        <v>2.0050217077031234E-2</v>
      </c>
    </row>
    <row r="139" spans="1:6" x14ac:dyDescent="0.2">
      <c r="A139" s="38" t="s">
        <v>1015</v>
      </c>
      <c r="B139" s="38" t="s">
        <v>1634</v>
      </c>
      <c r="C139" s="38" t="s">
        <v>688</v>
      </c>
      <c r="D139" s="38">
        <v>100</v>
      </c>
      <c r="E139" s="63">
        <v>96.768600000000006</v>
      </c>
      <c r="F139" s="69" t="str">
        <f>IF((E139/$E$163*100)&lt;0.01,"0.00*",E139/$E$163*100)</f>
        <v>0.00*</v>
      </c>
    </row>
    <row r="140" spans="1:6" x14ac:dyDescent="0.2">
      <c r="A140" s="37" t="s">
        <v>43</v>
      </c>
      <c r="B140" s="38"/>
      <c r="C140" s="38"/>
      <c r="D140" s="38"/>
      <c r="E140" s="64">
        <f>SUM(E138:E139)</f>
        <v>496.8526</v>
      </c>
      <c r="F140" s="64">
        <f>SUM(F138:F139)</f>
        <v>2.0050217077031234E-2</v>
      </c>
    </row>
    <row r="141" spans="1:6" x14ac:dyDescent="0.2">
      <c r="A141" s="38"/>
      <c r="B141" s="38"/>
      <c r="C141" s="38"/>
      <c r="D141" s="38"/>
      <c r="E141" s="63"/>
      <c r="F141" s="63"/>
    </row>
    <row r="142" spans="1:6" x14ac:dyDescent="0.2">
      <c r="A142" s="37" t="s">
        <v>690</v>
      </c>
      <c r="B142" s="38"/>
      <c r="C142" s="38"/>
      <c r="D142" s="38"/>
      <c r="E142" s="63"/>
      <c r="F142" s="63"/>
    </row>
    <row r="143" spans="1:6" x14ac:dyDescent="0.2">
      <c r="A143" s="38" t="s">
        <v>1014</v>
      </c>
      <c r="B143" s="38" t="s">
        <v>1927</v>
      </c>
      <c r="C143" s="38" t="s">
        <v>1007</v>
      </c>
      <c r="D143" s="38">
        <v>9500</v>
      </c>
      <c r="E143" s="63">
        <v>45893.455000000002</v>
      </c>
      <c r="F143" s="63">
        <f t="shared" ref="F143:F156" si="4">IF((E143/$E$163*100)&lt;0.01,"*",E143/$E$163*100)</f>
        <v>2.2999513481293041</v>
      </c>
    </row>
    <row r="144" spans="1:6" x14ac:dyDescent="0.2">
      <c r="A144" s="38" t="s">
        <v>1013</v>
      </c>
      <c r="B144" s="38" t="s">
        <v>1928</v>
      </c>
      <c r="C144" s="38" t="s">
        <v>688</v>
      </c>
      <c r="D144" s="38">
        <v>8000</v>
      </c>
      <c r="E144" s="63">
        <v>39639.440000000002</v>
      </c>
      <c r="F144" s="63">
        <f t="shared" si="4"/>
        <v>1.9865312704630902</v>
      </c>
    </row>
    <row r="145" spans="1:6" x14ac:dyDescent="0.2">
      <c r="A145" s="38" t="s">
        <v>1012</v>
      </c>
      <c r="B145" s="38" t="s">
        <v>1621</v>
      </c>
      <c r="C145" s="38" t="s">
        <v>1007</v>
      </c>
      <c r="D145" s="38">
        <v>6000</v>
      </c>
      <c r="E145" s="63">
        <v>29370.959999999999</v>
      </c>
      <c r="F145" s="63">
        <f t="shared" si="4"/>
        <v>1.4719262048989743</v>
      </c>
    </row>
    <row r="146" spans="1:6" x14ac:dyDescent="0.2">
      <c r="A146" s="38" t="s">
        <v>1011</v>
      </c>
      <c r="B146" s="38" t="s">
        <v>1622</v>
      </c>
      <c r="C146" s="38" t="s">
        <v>999</v>
      </c>
      <c r="D146" s="38">
        <v>6000</v>
      </c>
      <c r="E146" s="63">
        <v>29348.28</v>
      </c>
      <c r="F146" s="63">
        <f t="shared" si="4"/>
        <v>1.4707895962785169</v>
      </c>
    </row>
    <row r="147" spans="1:6" x14ac:dyDescent="0.2">
      <c r="A147" s="38" t="s">
        <v>1010</v>
      </c>
      <c r="B147" s="38" t="s">
        <v>1623</v>
      </c>
      <c r="C147" s="38" t="s">
        <v>1007</v>
      </c>
      <c r="D147" s="38">
        <v>4500</v>
      </c>
      <c r="E147" s="63">
        <v>21801.014999999999</v>
      </c>
      <c r="F147" s="63">
        <f t="shared" si="4"/>
        <v>1.0925582708871489</v>
      </c>
    </row>
    <row r="148" spans="1:6" x14ac:dyDescent="0.2">
      <c r="A148" s="38" t="s">
        <v>1009</v>
      </c>
      <c r="B148" s="38" t="s">
        <v>1624</v>
      </c>
      <c r="C148" s="38" t="s">
        <v>1007</v>
      </c>
      <c r="D148" s="38">
        <v>2000</v>
      </c>
      <c r="E148" s="63">
        <v>9913.61</v>
      </c>
      <c r="F148" s="63">
        <f t="shared" si="4"/>
        <v>0.4968207489352926</v>
      </c>
    </row>
    <row r="149" spans="1:6" x14ac:dyDescent="0.2">
      <c r="A149" s="38" t="s">
        <v>1008</v>
      </c>
      <c r="B149" s="38" t="s">
        <v>1625</v>
      </c>
      <c r="C149" s="38" t="s">
        <v>1007</v>
      </c>
      <c r="D149" s="38">
        <v>2000</v>
      </c>
      <c r="E149" s="63">
        <v>9889.76</v>
      </c>
      <c r="F149" s="63">
        <f t="shared" si="4"/>
        <v>0.49562550574314501</v>
      </c>
    </row>
    <row r="150" spans="1:6" x14ac:dyDescent="0.2">
      <c r="A150" s="38" t="s">
        <v>1006</v>
      </c>
      <c r="B150" s="38" t="s">
        <v>1626</v>
      </c>
      <c r="C150" s="38" t="s">
        <v>999</v>
      </c>
      <c r="D150" s="38">
        <v>2000</v>
      </c>
      <c r="E150" s="63">
        <v>9530.23</v>
      </c>
      <c r="F150" s="63">
        <f t="shared" si="4"/>
        <v>0.47760765312793152</v>
      </c>
    </row>
    <row r="151" spans="1:6" x14ac:dyDescent="0.2">
      <c r="A151" s="38" t="s">
        <v>1005</v>
      </c>
      <c r="B151" s="38" t="s">
        <v>1627</v>
      </c>
      <c r="C151" s="38" t="s">
        <v>999</v>
      </c>
      <c r="D151" s="38">
        <v>2000</v>
      </c>
      <c r="E151" s="63">
        <v>9515.19</v>
      </c>
      <c r="F151" s="63">
        <f t="shared" si="4"/>
        <v>0.4768539232491098</v>
      </c>
    </row>
    <row r="152" spans="1:6" x14ac:dyDescent="0.2">
      <c r="A152" s="38" t="s">
        <v>1004</v>
      </c>
      <c r="B152" s="38" t="s">
        <v>1628</v>
      </c>
      <c r="C152" s="38" t="s">
        <v>999</v>
      </c>
      <c r="D152" s="38">
        <v>2000</v>
      </c>
      <c r="E152" s="63">
        <v>9500.19</v>
      </c>
      <c r="F152" s="63">
        <f t="shared" si="4"/>
        <v>0.47610219797102943</v>
      </c>
    </row>
    <row r="153" spans="1:6" x14ac:dyDescent="0.2">
      <c r="A153" s="38" t="s">
        <v>1003</v>
      </c>
      <c r="B153" s="38" t="s">
        <v>1629</v>
      </c>
      <c r="C153" s="38" t="s">
        <v>999</v>
      </c>
      <c r="D153" s="38">
        <v>1500</v>
      </c>
      <c r="E153" s="63">
        <v>7365.1424999999999</v>
      </c>
      <c r="F153" s="63">
        <f t="shared" si="4"/>
        <v>0.3691042529275565</v>
      </c>
    </row>
    <row r="154" spans="1:6" x14ac:dyDescent="0.2">
      <c r="A154" s="38" t="s">
        <v>1002</v>
      </c>
      <c r="B154" s="38" t="s">
        <v>1630</v>
      </c>
      <c r="C154" s="38" t="s">
        <v>999</v>
      </c>
      <c r="D154" s="38">
        <v>1000</v>
      </c>
      <c r="E154" s="63">
        <v>4742.62</v>
      </c>
      <c r="F154" s="63">
        <f t="shared" si="4"/>
        <v>0.23767648922193804</v>
      </c>
    </row>
    <row r="155" spans="1:6" x14ac:dyDescent="0.2">
      <c r="A155" s="38" t="s">
        <v>1001</v>
      </c>
      <c r="B155" s="38" t="s">
        <v>1631</v>
      </c>
      <c r="C155" s="38" t="s">
        <v>688</v>
      </c>
      <c r="D155" s="38">
        <v>500</v>
      </c>
      <c r="E155" s="63">
        <v>2449.9349999999999</v>
      </c>
      <c r="F155" s="63">
        <f t="shared" si="4"/>
        <v>0.12277853794357314</v>
      </c>
    </row>
    <row r="156" spans="1:6" x14ac:dyDescent="0.2">
      <c r="A156" s="38" t="s">
        <v>1000</v>
      </c>
      <c r="B156" s="38" t="s">
        <v>1632</v>
      </c>
      <c r="C156" s="38" t="s">
        <v>999</v>
      </c>
      <c r="D156" s="38">
        <v>500</v>
      </c>
      <c r="E156" s="63">
        <v>2403.4724999999999</v>
      </c>
      <c r="F156" s="63">
        <f t="shared" si="4"/>
        <v>0.12045006889471947</v>
      </c>
    </row>
    <row r="157" spans="1:6" x14ac:dyDescent="0.2">
      <c r="A157" s="37" t="s">
        <v>43</v>
      </c>
      <c r="B157" s="38"/>
      <c r="C157" s="38"/>
      <c r="D157" s="38"/>
      <c r="E157" s="64">
        <f>SUM(E143:E156)</f>
        <v>231363.30000000002</v>
      </c>
      <c r="F157" s="64">
        <f>SUM(F143:F156)</f>
        <v>11.594776068671328</v>
      </c>
    </row>
    <row r="158" spans="1:6" x14ac:dyDescent="0.2">
      <c r="A158" s="38"/>
      <c r="B158" s="38"/>
      <c r="C158" s="38"/>
      <c r="D158" s="38"/>
      <c r="E158" s="63"/>
      <c r="F158" s="63"/>
    </row>
    <row r="159" spans="1:6" x14ac:dyDescent="0.2">
      <c r="A159" s="37" t="s">
        <v>43</v>
      </c>
      <c r="B159" s="38"/>
      <c r="C159" s="38"/>
      <c r="D159" s="38"/>
      <c r="E159" s="64">
        <f>E94+E134+E140+E157</f>
        <v>1855803.4398933002</v>
      </c>
      <c r="F159" s="64">
        <f>F94+F134+F140+F157</f>
        <v>92.998774234225081</v>
      </c>
    </row>
    <row r="160" spans="1:6" x14ac:dyDescent="0.2">
      <c r="A160" s="38"/>
      <c r="B160" s="38"/>
      <c r="C160" s="38"/>
      <c r="D160" s="38"/>
      <c r="E160" s="63"/>
      <c r="F160" s="63"/>
    </row>
    <row r="161" spans="1:6" x14ac:dyDescent="0.2">
      <c r="A161" s="37" t="s">
        <v>101</v>
      </c>
      <c r="B161" s="38"/>
      <c r="C161" s="38"/>
      <c r="D161" s="38"/>
      <c r="E161" s="64">
        <v>139606.37768080001</v>
      </c>
      <c r="F161" s="64">
        <f>IF((E161/$E$163*100)&lt;0.01,"*",E161/$E$163*100)</f>
        <v>6.9963762055919458</v>
      </c>
    </row>
    <row r="162" spans="1:6" x14ac:dyDescent="0.2">
      <c r="A162" s="38"/>
      <c r="B162" s="38"/>
      <c r="C162" s="38"/>
      <c r="D162" s="38"/>
      <c r="E162" s="63"/>
      <c r="F162" s="63"/>
    </row>
    <row r="163" spans="1:6" x14ac:dyDescent="0.2">
      <c r="A163" s="80" t="s">
        <v>102</v>
      </c>
      <c r="B163" s="79"/>
      <c r="C163" s="79"/>
      <c r="D163" s="79"/>
      <c r="E163" s="61">
        <f>E159+E161</f>
        <v>1995409.8175741001</v>
      </c>
      <c r="F163" s="61">
        <f xml:space="preserve"> ROUND(SUM(F159:F162),2)</f>
        <v>100</v>
      </c>
    </row>
    <row r="164" spans="1:6" x14ac:dyDescent="0.2">
      <c r="A164" s="4" t="s">
        <v>686</v>
      </c>
      <c r="F164" s="78" t="s">
        <v>712</v>
      </c>
    </row>
    <row r="166" spans="1:6" x14ac:dyDescent="0.2">
      <c r="A166" s="4" t="s">
        <v>103</v>
      </c>
    </row>
    <row r="167" spans="1:6" x14ac:dyDescent="0.2">
      <c r="A167" s="4" t="s">
        <v>685</v>
      </c>
    </row>
    <row r="168" spans="1:6" x14ac:dyDescent="0.2">
      <c r="A168" s="4" t="s">
        <v>608</v>
      </c>
    </row>
    <row r="169" spans="1:6" x14ac:dyDescent="0.2">
      <c r="A169" s="2" t="s">
        <v>998</v>
      </c>
      <c r="D169" s="10">
        <v>25.870899999999999</v>
      </c>
    </row>
    <row r="170" spans="1:6" x14ac:dyDescent="0.2">
      <c r="A170" s="2" t="s">
        <v>997</v>
      </c>
      <c r="D170" s="10">
        <v>10.0855</v>
      </c>
    </row>
    <row r="171" spans="1:6" x14ac:dyDescent="0.2">
      <c r="A171" s="2" t="s">
        <v>990</v>
      </c>
      <c r="D171" s="10">
        <v>10.11</v>
      </c>
    </row>
    <row r="172" spans="1:6" x14ac:dyDescent="0.2">
      <c r="A172" s="2" t="s">
        <v>996</v>
      </c>
      <c r="D172" s="10">
        <v>25.981100000000001</v>
      </c>
    </row>
    <row r="173" spans="1:6" x14ac:dyDescent="0.2">
      <c r="A173" s="2" t="s">
        <v>995</v>
      </c>
      <c r="D173" s="10">
        <v>10.066599999999999</v>
      </c>
    </row>
    <row r="174" spans="1:6" x14ac:dyDescent="0.2">
      <c r="A174" s="2" t="s">
        <v>988</v>
      </c>
      <c r="D174" s="10">
        <v>10.102499999999999</v>
      </c>
    </row>
    <row r="175" spans="1:6" x14ac:dyDescent="0.2">
      <c r="A175" s="2" t="s">
        <v>994</v>
      </c>
      <c r="D175" s="10">
        <v>24.537500000000001</v>
      </c>
    </row>
    <row r="176" spans="1:6" x14ac:dyDescent="0.2">
      <c r="A176" s="2" t="s">
        <v>987</v>
      </c>
      <c r="D176" s="10">
        <v>10.057</v>
      </c>
    </row>
    <row r="177" spans="1:4" x14ac:dyDescent="0.2">
      <c r="A177" s="2" t="s">
        <v>986</v>
      </c>
      <c r="D177" s="10">
        <v>10.137</v>
      </c>
    </row>
    <row r="178" spans="1:4" x14ac:dyDescent="0.2">
      <c r="A178" s="2" t="s">
        <v>993</v>
      </c>
      <c r="D178" s="10">
        <v>25.088699999999999</v>
      </c>
    </row>
    <row r="179" spans="1:4" x14ac:dyDescent="0.2">
      <c r="A179" s="2" t="s">
        <v>992</v>
      </c>
      <c r="D179" s="10">
        <v>10</v>
      </c>
    </row>
    <row r="181" spans="1:4" x14ac:dyDescent="0.2">
      <c r="A181" s="4" t="s">
        <v>105</v>
      </c>
    </row>
    <row r="182" spans="1:4" x14ac:dyDescent="0.2">
      <c r="A182" s="2" t="s">
        <v>998</v>
      </c>
      <c r="D182" s="10">
        <v>27.071100000000001</v>
      </c>
    </row>
    <row r="183" spans="1:4" x14ac:dyDescent="0.2">
      <c r="A183" s="2" t="s">
        <v>997</v>
      </c>
      <c r="D183" s="10">
        <v>10.0916</v>
      </c>
    </row>
    <row r="184" spans="1:4" x14ac:dyDescent="0.2">
      <c r="A184" s="2" t="s">
        <v>990</v>
      </c>
      <c r="D184" s="10">
        <v>10.105700000000001</v>
      </c>
    </row>
    <row r="185" spans="1:4" x14ac:dyDescent="0.2">
      <c r="A185" s="2" t="s">
        <v>996</v>
      </c>
      <c r="D185" s="10">
        <v>27.197500000000002</v>
      </c>
    </row>
    <row r="186" spans="1:4" x14ac:dyDescent="0.2">
      <c r="A186" s="2" t="s">
        <v>995</v>
      </c>
      <c r="D186" s="10">
        <v>10.072800000000001</v>
      </c>
    </row>
    <row r="187" spans="1:4" x14ac:dyDescent="0.2">
      <c r="A187" s="2" t="s">
        <v>988</v>
      </c>
      <c r="D187" s="10">
        <v>10.0983</v>
      </c>
    </row>
    <row r="188" spans="1:4" x14ac:dyDescent="0.2">
      <c r="A188" s="2" t="s">
        <v>994</v>
      </c>
      <c r="D188" s="10">
        <v>25.628599999999999</v>
      </c>
    </row>
    <row r="189" spans="1:4" x14ac:dyDescent="0.2">
      <c r="A189" s="2" t="s">
        <v>987</v>
      </c>
      <c r="D189" s="10">
        <v>10.0626</v>
      </c>
    </row>
    <row r="190" spans="1:4" x14ac:dyDescent="0.2">
      <c r="A190" s="2" t="s">
        <v>986</v>
      </c>
      <c r="D190" s="10">
        <v>10.132999999999999</v>
      </c>
    </row>
    <row r="191" spans="1:4" x14ac:dyDescent="0.2">
      <c r="A191" s="2" t="s">
        <v>993</v>
      </c>
      <c r="D191" s="10">
        <v>26.2302</v>
      </c>
    </row>
    <row r="192" spans="1:4" x14ac:dyDescent="0.2">
      <c r="A192" s="2" t="s">
        <v>992</v>
      </c>
      <c r="D192" s="10">
        <v>10</v>
      </c>
    </row>
    <row r="195" spans="1:5" x14ac:dyDescent="0.2">
      <c r="A195" s="4" t="s">
        <v>106</v>
      </c>
      <c r="D195" s="20" t="s">
        <v>311</v>
      </c>
    </row>
    <row r="196" spans="1:5" x14ac:dyDescent="0.2">
      <c r="A196" s="77" t="s">
        <v>604</v>
      </c>
      <c r="B196" s="76"/>
      <c r="C196" s="114" t="s">
        <v>605</v>
      </c>
      <c r="D196" s="114"/>
    </row>
    <row r="197" spans="1:5" x14ac:dyDescent="0.2">
      <c r="A197" s="115"/>
      <c r="B197" s="115"/>
      <c r="C197" s="23" t="s">
        <v>606</v>
      </c>
      <c r="D197" s="23" t="s">
        <v>607</v>
      </c>
    </row>
    <row r="198" spans="1:5" x14ac:dyDescent="0.2">
      <c r="A198" s="24" t="s">
        <v>991</v>
      </c>
      <c r="B198" s="25"/>
      <c r="C198" s="59">
        <v>0.32538984719999992</v>
      </c>
      <c r="D198" s="59">
        <v>0.30131262040000001</v>
      </c>
    </row>
    <row r="199" spans="1:5" x14ac:dyDescent="0.2">
      <c r="A199" s="24" t="s">
        <v>990</v>
      </c>
      <c r="B199" s="25"/>
      <c r="C199" s="59">
        <v>0.33336534549999997</v>
      </c>
      <c r="D199" s="59">
        <v>0.30869797160000001</v>
      </c>
    </row>
    <row r="200" spans="1:5" x14ac:dyDescent="0.2">
      <c r="A200" s="24" t="s">
        <v>989</v>
      </c>
      <c r="B200" s="25"/>
      <c r="C200" s="59">
        <v>0.32751245189999995</v>
      </c>
      <c r="D200" s="59">
        <v>0.30327816219999998</v>
      </c>
    </row>
    <row r="201" spans="1:5" x14ac:dyDescent="0.2">
      <c r="A201" s="24" t="s">
        <v>988</v>
      </c>
      <c r="B201" s="25"/>
      <c r="C201" s="59">
        <v>0.33588647490000006</v>
      </c>
      <c r="D201" s="59">
        <v>0.31103254990000001</v>
      </c>
    </row>
    <row r="202" spans="1:5" x14ac:dyDescent="0.2">
      <c r="A202" s="24" t="s">
        <v>987</v>
      </c>
      <c r="B202" s="25"/>
      <c r="C202" s="59">
        <v>0.31139044820000006</v>
      </c>
      <c r="D202" s="59">
        <v>0.28834910699999988</v>
      </c>
    </row>
    <row r="203" spans="1:5" x14ac:dyDescent="0.2">
      <c r="A203" s="24" t="s">
        <v>986</v>
      </c>
      <c r="B203" s="25"/>
      <c r="C203" s="59">
        <v>0.32061563429999995</v>
      </c>
      <c r="D203" s="59">
        <v>0.2968916747</v>
      </c>
    </row>
    <row r="204" spans="1:5" x14ac:dyDescent="0.2">
      <c r="A204" s="24" t="s">
        <v>985</v>
      </c>
      <c r="B204" s="25"/>
      <c r="C204" s="59">
        <v>0.32142567859999993</v>
      </c>
      <c r="D204" s="59">
        <v>0.29764177980000006</v>
      </c>
    </row>
    <row r="206" spans="1:5" x14ac:dyDescent="0.2">
      <c r="A206" s="4" t="s">
        <v>680</v>
      </c>
      <c r="D206" s="15">
        <v>0.60136438526950198</v>
      </c>
      <c r="E206" s="72" t="s">
        <v>679</v>
      </c>
    </row>
  </sheetData>
  <mergeCells count="3">
    <mergeCell ref="A1:F1"/>
    <mergeCell ref="C196:D196"/>
    <mergeCell ref="A197:B19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C089-5C3F-40ED-A571-6B60FC0FD23F}">
  <dimension ref="A1:G20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1.5703125" style="2" bestFit="1" customWidth="1"/>
    <col min="3" max="3" width="11.7109375" style="2" bestFit="1" customWidth="1"/>
    <col min="4" max="4" width="8.28515625" style="2" bestFit="1" customWidth="1"/>
    <col min="5" max="5" width="23" style="72" bestFit="1" customWidth="1"/>
    <col min="6" max="6" width="15.5703125" style="72" bestFit="1" customWidth="1"/>
    <col min="7" max="7" width="10.42578125" style="2" bestFit="1" customWidth="1"/>
    <col min="8" max="16384" width="9.140625" style="2"/>
  </cols>
  <sheetData>
    <row r="1" spans="1:6" x14ac:dyDescent="0.2">
      <c r="A1" s="113" t="s">
        <v>1161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724</v>
      </c>
      <c r="B8" s="38" t="s">
        <v>1438</v>
      </c>
      <c r="C8" s="38" t="s">
        <v>693</v>
      </c>
      <c r="D8" s="38">
        <v>7600</v>
      </c>
      <c r="E8" s="63">
        <v>75855.144</v>
      </c>
      <c r="F8" s="69">
        <f t="shared" ref="F8:F39" si="0">IF((E8/$E$169*100)&lt;0.01,"*",E8/$E$169*100)</f>
        <v>5.714400252747371</v>
      </c>
    </row>
    <row r="9" spans="1:6" x14ac:dyDescent="0.2">
      <c r="A9" s="38" t="s">
        <v>819</v>
      </c>
      <c r="B9" s="38" t="s">
        <v>1481</v>
      </c>
      <c r="C9" s="38" t="s">
        <v>713</v>
      </c>
      <c r="D9" s="38">
        <v>7200</v>
      </c>
      <c r="E9" s="63">
        <v>67422.672000000006</v>
      </c>
      <c r="F9" s="69">
        <f t="shared" si="0"/>
        <v>5.0791563182281099</v>
      </c>
    </row>
    <row r="10" spans="1:6" x14ac:dyDescent="0.2">
      <c r="A10" s="38" t="s">
        <v>826</v>
      </c>
      <c r="B10" s="38" t="s">
        <v>1474</v>
      </c>
      <c r="C10" s="38" t="s">
        <v>754</v>
      </c>
      <c r="D10" s="38">
        <v>5230</v>
      </c>
      <c r="E10" s="63">
        <v>51175.654600000002</v>
      </c>
      <c r="F10" s="69">
        <f t="shared" si="0"/>
        <v>3.8552187519511159</v>
      </c>
    </row>
    <row r="11" spans="1:6" x14ac:dyDescent="0.2">
      <c r="A11" s="38" t="s">
        <v>800</v>
      </c>
      <c r="B11" s="38" t="s">
        <v>1498</v>
      </c>
      <c r="C11" s="38" t="s">
        <v>791</v>
      </c>
      <c r="D11" s="38">
        <v>4813</v>
      </c>
      <c r="E11" s="63">
        <v>36476.908790000001</v>
      </c>
      <c r="F11" s="69">
        <f t="shared" si="0"/>
        <v>2.7479172250865256</v>
      </c>
    </row>
    <row r="12" spans="1:6" x14ac:dyDescent="0.2">
      <c r="A12" s="38" t="s">
        <v>828</v>
      </c>
      <c r="B12" s="38" t="s">
        <v>1472</v>
      </c>
      <c r="C12" s="38" t="s">
        <v>693</v>
      </c>
      <c r="D12" s="38">
        <v>3135</v>
      </c>
      <c r="E12" s="63">
        <v>32316.6459</v>
      </c>
      <c r="F12" s="69">
        <f t="shared" si="0"/>
        <v>2.4345118835831001</v>
      </c>
    </row>
    <row r="13" spans="1:6" x14ac:dyDescent="0.2">
      <c r="A13" s="38" t="s">
        <v>880</v>
      </c>
      <c r="B13" s="38" t="s">
        <v>1525</v>
      </c>
      <c r="C13" s="38" t="s">
        <v>739</v>
      </c>
      <c r="D13" s="38">
        <v>3523</v>
      </c>
      <c r="E13" s="63">
        <v>32029.530650000001</v>
      </c>
      <c r="F13" s="69">
        <f t="shared" si="0"/>
        <v>2.4128826127037564</v>
      </c>
    </row>
    <row r="14" spans="1:6" x14ac:dyDescent="0.2">
      <c r="A14" s="38" t="s">
        <v>866</v>
      </c>
      <c r="B14" s="38" t="s">
        <v>1528</v>
      </c>
      <c r="C14" s="38" t="s">
        <v>728</v>
      </c>
      <c r="D14" s="38">
        <v>3100</v>
      </c>
      <c r="E14" s="63">
        <v>30042.968000000001</v>
      </c>
      <c r="F14" s="69">
        <f t="shared" si="0"/>
        <v>2.2632287657707324</v>
      </c>
    </row>
    <row r="15" spans="1:6" x14ac:dyDescent="0.2">
      <c r="A15" s="38" t="s">
        <v>882</v>
      </c>
      <c r="B15" s="38" t="s">
        <v>1523</v>
      </c>
      <c r="C15" s="38" t="s">
        <v>691</v>
      </c>
      <c r="D15" s="38">
        <v>2800</v>
      </c>
      <c r="E15" s="63">
        <v>27906.788</v>
      </c>
      <c r="F15" s="69">
        <f t="shared" si="0"/>
        <v>2.1023037857599647</v>
      </c>
    </row>
    <row r="16" spans="1:6" x14ac:dyDescent="0.2">
      <c r="A16" s="38" t="s">
        <v>919</v>
      </c>
      <c r="B16" s="38" t="s">
        <v>1559</v>
      </c>
      <c r="C16" s="38" t="s">
        <v>695</v>
      </c>
      <c r="D16" s="38">
        <v>2700</v>
      </c>
      <c r="E16" s="63">
        <v>26980.911</v>
      </c>
      <c r="F16" s="69">
        <f t="shared" si="0"/>
        <v>2.0325546364759957</v>
      </c>
    </row>
    <row r="17" spans="1:6" x14ac:dyDescent="0.2">
      <c r="A17" s="38" t="s">
        <v>883</v>
      </c>
      <c r="B17" s="38" t="s">
        <v>1522</v>
      </c>
      <c r="C17" s="38" t="s">
        <v>695</v>
      </c>
      <c r="D17" s="38">
        <v>2500</v>
      </c>
      <c r="E17" s="63">
        <v>24982.325000000001</v>
      </c>
      <c r="F17" s="69">
        <f t="shared" si="0"/>
        <v>1.8819950337740703</v>
      </c>
    </row>
    <row r="18" spans="1:6" x14ac:dyDescent="0.2">
      <c r="A18" s="38" t="s">
        <v>1160</v>
      </c>
      <c r="B18" s="38" t="s">
        <v>1736</v>
      </c>
      <c r="C18" s="38" t="s">
        <v>798</v>
      </c>
      <c r="D18" s="38">
        <v>11135</v>
      </c>
      <c r="E18" s="63">
        <v>22841.359120000001</v>
      </c>
      <c r="F18" s="69">
        <f t="shared" si="0"/>
        <v>1.7207095187693726</v>
      </c>
    </row>
    <row r="19" spans="1:6" x14ac:dyDescent="0.2">
      <c r="A19" s="38" t="s">
        <v>1159</v>
      </c>
      <c r="B19" s="38" t="s">
        <v>1737</v>
      </c>
      <c r="C19" s="38" t="s">
        <v>798</v>
      </c>
      <c r="D19" s="38">
        <v>10675</v>
      </c>
      <c r="E19" s="63">
        <v>21858.279450000002</v>
      </c>
      <c r="F19" s="69">
        <f t="shared" si="0"/>
        <v>1.6466511172097</v>
      </c>
    </row>
    <row r="20" spans="1:6" x14ac:dyDescent="0.2">
      <c r="A20" s="38" t="s">
        <v>821</v>
      </c>
      <c r="B20" s="38" t="s">
        <v>1479</v>
      </c>
      <c r="C20" s="38" t="s">
        <v>718</v>
      </c>
      <c r="D20" s="38">
        <v>2250</v>
      </c>
      <c r="E20" s="63">
        <v>21777.907500000001</v>
      </c>
      <c r="F20" s="69">
        <f t="shared" si="0"/>
        <v>1.6405964521313001</v>
      </c>
    </row>
    <row r="21" spans="1:6" x14ac:dyDescent="0.2">
      <c r="A21" s="38" t="s">
        <v>815</v>
      </c>
      <c r="B21" s="38" t="s">
        <v>1485</v>
      </c>
      <c r="C21" s="38" t="s">
        <v>814</v>
      </c>
      <c r="D21" s="38">
        <v>2100</v>
      </c>
      <c r="E21" s="63">
        <v>20990.214</v>
      </c>
      <c r="F21" s="69">
        <f t="shared" si="0"/>
        <v>1.5812570889961186</v>
      </c>
    </row>
    <row r="22" spans="1:6" x14ac:dyDescent="0.2">
      <c r="A22" s="38" t="s">
        <v>722</v>
      </c>
      <c r="B22" s="38" t="s">
        <v>1919</v>
      </c>
      <c r="C22" s="38" t="s">
        <v>721</v>
      </c>
      <c r="D22" s="38">
        <v>1670</v>
      </c>
      <c r="E22" s="63">
        <v>17087.840800000002</v>
      </c>
      <c r="F22" s="69">
        <f t="shared" si="0"/>
        <v>1.2872793674536673</v>
      </c>
    </row>
    <row r="23" spans="1:6" x14ac:dyDescent="0.2">
      <c r="A23" s="38" t="s">
        <v>862</v>
      </c>
      <c r="B23" s="38" t="s">
        <v>1542</v>
      </c>
      <c r="C23" s="38" t="s">
        <v>765</v>
      </c>
      <c r="D23" s="38">
        <v>1390</v>
      </c>
      <c r="E23" s="63">
        <v>13725.9303</v>
      </c>
      <c r="F23" s="69">
        <f t="shared" si="0"/>
        <v>1.0340163559047861</v>
      </c>
    </row>
    <row r="24" spans="1:6" x14ac:dyDescent="0.2">
      <c r="A24" s="38" t="s">
        <v>804</v>
      </c>
      <c r="B24" s="38" t="s">
        <v>1495</v>
      </c>
      <c r="C24" s="38" t="s">
        <v>798</v>
      </c>
      <c r="D24" s="38">
        <v>1349</v>
      </c>
      <c r="E24" s="63">
        <v>13411.56914</v>
      </c>
      <c r="F24" s="69">
        <f t="shared" si="0"/>
        <v>1.0103345672029156</v>
      </c>
    </row>
    <row r="25" spans="1:6" x14ac:dyDescent="0.2">
      <c r="A25" s="38" t="s">
        <v>816</v>
      </c>
      <c r="B25" s="38" t="s">
        <v>1484</v>
      </c>
      <c r="C25" s="38" t="s">
        <v>693</v>
      </c>
      <c r="D25" s="38">
        <v>1300</v>
      </c>
      <c r="E25" s="63">
        <v>13022.633</v>
      </c>
      <c r="F25" s="69">
        <f t="shared" si="0"/>
        <v>0.98103481692205685</v>
      </c>
    </row>
    <row r="26" spans="1:6" x14ac:dyDescent="0.2">
      <c r="A26" s="38" t="s">
        <v>1158</v>
      </c>
      <c r="B26" s="38" t="s">
        <v>1738</v>
      </c>
      <c r="C26" s="38" t="s">
        <v>801</v>
      </c>
      <c r="D26" s="38">
        <v>12500</v>
      </c>
      <c r="E26" s="63">
        <v>12254.9</v>
      </c>
      <c r="F26" s="69">
        <f t="shared" si="0"/>
        <v>0.9231991393674468</v>
      </c>
    </row>
    <row r="27" spans="1:6" x14ac:dyDescent="0.2">
      <c r="A27" s="38" t="s">
        <v>825</v>
      </c>
      <c r="B27" s="38" t="s">
        <v>1475</v>
      </c>
      <c r="C27" s="38" t="s">
        <v>713</v>
      </c>
      <c r="D27" s="38">
        <v>1300</v>
      </c>
      <c r="E27" s="63">
        <v>11861.759</v>
      </c>
      <c r="F27" s="69">
        <f t="shared" si="0"/>
        <v>0.89358262410823985</v>
      </c>
    </row>
    <row r="28" spans="1:6" x14ac:dyDescent="0.2">
      <c r="A28" s="38" t="s">
        <v>869</v>
      </c>
      <c r="B28" s="38" t="s">
        <v>1536</v>
      </c>
      <c r="C28" s="38" t="s">
        <v>801</v>
      </c>
      <c r="D28" s="38">
        <v>1150</v>
      </c>
      <c r="E28" s="63">
        <v>11515.800999999999</v>
      </c>
      <c r="F28" s="69">
        <f t="shared" si="0"/>
        <v>0.86752054870515349</v>
      </c>
    </row>
    <row r="29" spans="1:6" x14ac:dyDescent="0.2">
      <c r="A29" s="38" t="s">
        <v>701</v>
      </c>
      <c r="B29" s="38" t="s">
        <v>1423</v>
      </c>
      <c r="C29" s="38" t="s">
        <v>700</v>
      </c>
      <c r="D29" s="38">
        <v>1130</v>
      </c>
      <c r="E29" s="63">
        <v>11390.1288</v>
      </c>
      <c r="F29" s="69">
        <f t="shared" si="0"/>
        <v>0.85805327709278512</v>
      </c>
    </row>
    <row r="30" spans="1:6" x14ac:dyDescent="0.2">
      <c r="A30" s="38" t="s">
        <v>877</v>
      </c>
      <c r="B30" s="38" t="s">
        <v>1528</v>
      </c>
      <c r="C30" s="38" t="s">
        <v>728</v>
      </c>
      <c r="D30" s="38">
        <v>1000</v>
      </c>
      <c r="E30" s="63">
        <v>9702.14</v>
      </c>
      <c r="F30" s="69">
        <f t="shared" si="0"/>
        <v>0.73089191246134044</v>
      </c>
    </row>
    <row r="31" spans="1:6" x14ac:dyDescent="0.2">
      <c r="A31" s="38" t="s">
        <v>694</v>
      </c>
      <c r="B31" s="38" t="s">
        <v>1917</v>
      </c>
      <c r="C31" s="38" t="s">
        <v>693</v>
      </c>
      <c r="D31" s="38">
        <v>890</v>
      </c>
      <c r="E31" s="63">
        <v>9077.3413999999993</v>
      </c>
      <c r="F31" s="69">
        <f t="shared" si="0"/>
        <v>0.68382392089894617</v>
      </c>
    </row>
    <row r="32" spans="1:6" x14ac:dyDescent="0.2">
      <c r="A32" s="38" t="s">
        <v>812</v>
      </c>
      <c r="B32" s="38" t="s">
        <v>1487</v>
      </c>
      <c r="C32" s="38" t="s">
        <v>798</v>
      </c>
      <c r="D32" s="38">
        <v>879</v>
      </c>
      <c r="E32" s="63">
        <v>8701.3792200000007</v>
      </c>
      <c r="F32" s="69">
        <f t="shared" si="0"/>
        <v>0.65550153874889128</v>
      </c>
    </row>
    <row r="33" spans="1:6" x14ac:dyDescent="0.2">
      <c r="A33" s="38" t="s">
        <v>808</v>
      </c>
      <c r="B33" s="38" t="s">
        <v>1491</v>
      </c>
      <c r="C33" s="38" t="s">
        <v>801</v>
      </c>
      <c r="D33" s="38">
        <v>8500</v>
      </c>
      <c r="E33" s="63">
        <v>8336.1200000000008</v>
      </c>
      <c r="F33" s="69">
        <f t="shared" si="0"/>
        <v>0.62798544334623396</v>
      </c>
    </row>
    <row r="34" spans="1:6" x14ac:dyDescent="0.2">
      <c r="A34" s="38" t="s">
        <v>903</v>
      </c>
      <c r="B34" s="38" t="s">
        <v>1571</v>
      </c>
      <c r="C34" s="38" t="s">
        <v>798</v>
      </c>
      <c r="D34" s="38">
        <v>822</v>
      </c>
      <c r="E34" s="63">
        <v>8104.4021400000001</v>
      </c>
      <c r="F34" s="69">
        <f t="shared" si="0"/>
        <v>0.61052942747274119</v>
      </c>
    </row>
    <row r="35" spans="1:6" x14ac:dyDescent="0.2">
      <c r="A35" s="38" t="s">
        <v>902</v>
      </c>
      <c r="B35" s="38" t="s">
        <v>1572</v>
      </c>
      <c r="C35" s="38" t="s">
        <v>798</v>
      </c>
      <c r="D35" s="38">
        <v>822</v>
      </c>
      <c r="E35" s="63">
        <v>8068.2423600000002</v>
      </c>
      <c r="F35" s="69">
        <f t="shared" si="0"/>
        <v>0.60780540053039844</v>
      </c>
    </row>
    <row r="36" spans="1:6" x14ac:dyDescent="0.2">
      <c r="A36" s="38" t="s">
        <v>725</v>
      </c>
      <c r="B36" s="38" t="s">
        <v>1437</v>
      </c>
      <c r="C36" s="38" t="s">
        <v>693</v>
      </c>
      <c r="D36" s="38">
        <v>740</v>
      </c>
      <c r="E36" s="63">
        <v>7576.2532000000001</v>
      </c>
      <c r="F36" s="69">
        <f t="shared" si="0"/>
        <v>0.57074235072255719</v>
      </c>
    </row>
    <row r="37" spans="1:6" x14ac:dyDescent="0.2">
      <c r="A37" s="38" t="s">
        <v>864</v>
      </c>
      <c r="B37" s="38" t="s">
        <v>1540</v>
      </c>
      <c r="C37" s="38" t="s">
        <v>728</v>
      </c>
      <c r="D37" s="38">
        <v>730</v>
      </c>
      <c r="E37" s="63">
        <v>7570.7861999999996</v>
      </c>
      <c r="F37" s="69">
        <f t="shared" si="0"/>
        <v>0.57033050487355608</v>
      </c>
    </row>
    <row r="38" spans="1:6" x14ac:dyDescent="0.2">
      <c r="A38" s="38" t="s">
        <v>879</v>
      </c>
      <c r="B38" s="38" t="s">
        <v>1526</v>
      </c>
      <c r="C38" s="38" t="s">
        <v>801</v>
      </c>
      <c r="D38" s="38">
        <v>750</v>
      </c>
      <c r="E38" s="63">
        <v>7510.7025000000003</v>
      </c>
      <c r="F38" s="69">
        <f t="shared" si="0"/>
        <v>0.565804215786741</v>
      </c>
    </row>
    <row r="39" spans="1:6" x14ac:dyDescent="0.2">
      <c r="A39" s="38" t="s">
        <v>909</v>
      </c>
      <c r="B39" s="38" t="s">
        <v>1568</v>
      </c>
      <c r="C39" s="38" t="s">
        <v>798</v>
      </c>
      <c r="D39" s="38">
        <v>754</v>
      </c>
      <c r="E39" s="63">
        <v>7373.9314999999997</v>
      </c>
      <c r="F39" s="69">
        <f t="shared" si="0"/>
        <v>0.55550083758778179</v>
      </c>
    </row>
    <row r="40" spans="1:6" x14ac:dyDescent="0.2">
      <c r="A40" s="38" t="s">
        <v>720</v>
      </c>
      <c r="B40" s="38" t="s">
        <v>1920</v>
      </c>
      <c r="C40" s="38" t="s">
        <v>693</v>
      </c>
      <c r="D40" s="38">
        <v>700</v>
      </c>
      <c r="E40" s="63">
        <v>7146.02</v>
      </c>
      <c r="F40" s="69">
        <f t="shared" ref="F40:F71" si="1">IF((E40/$E$169*100)&lt;0.01,"*",E40/$E$169*100)</f>
        <v>0.5383315664674998</v>
      </c>
    </row>
    <row r="41" spans="1:6" x14ac:dyDescent="0.2">
      <c r="A41" s="38" t="s">
        <v>1157</v>
      </c>
      <c r="B41" s="38" t="s">
        <v>1739</v>
      </c>
      <c r="C41" s="38" t="s">
        <v>765</v>
      </c>
      <c r="D41" s="38">
        <v>690</v>
      </c>
      <c r="E41" s="63">
        <v>6648.9089999999997</v>
      </c>
      <c r="F41" s="69">
        <f t="shared" si="1"/>
        <v>0.50088267277027732</v>
      </c>
    </row>
    <row r="42" spans="1:6" x14ac:dyDescent="0.2">
      <c r="A42" s="38" t="s">
        <v>1104</v>
      </c>
      <c r="B42" s="38" t="s">
        <v>1664</v>
      </c>
      <c r="C42" s="38" t="s">
        <v>798</v>
      </c>
      <c r="D42" s="38">
        <v>650</v>
      </c>
      <c r="E42" s="63">
        <v>6482.4759999999997</v>
      </c>
      <c r="F42" s="69">
        <f t="shared" si="1"/>
        <v>0.48834476529144499</v>
      </c>
    </row>
    <row r="43" spans="1:6" x14ac:dyDescent="0.2">
      <c r="A43" s="38" t="s">
        <v>904</v>
      </c>
      <c r="B43" s="38" t="s">
        <v>1570</v>
      </c>
      <c r="C43" s="38" t="s">
        <v>801</v>
      </c>
      <c r="D43" s="38">
        <v>6000</v>
      </c>
      <c r="E43" s="63">
        <v>5897.3760000000002</v>
      </c>
      <c r="F43" s="69">
        <f t="shared" si="1"/>
        <v>0.44426739081724342</v>
      </c>
    </row>
    <row r="44" spans="1:6" x14ac:dyDescent="0.2">
      <c r="A44" s="38" t="s">
        <v>863</v>
      </c>
      <c r="B44" s="38" t="s">
        <v>1541</v>
      </c>
      <c r="C44" s="38" t="s">
        <v>715</v>
      </c>
      <c r="D44" s="38">
        <v>550</v>
      </c>
      <c r="E44" s="63">
        <v>5447.2165000000005</v>
      </c>
      <c r="F44" s="69">
        <f t="shared" si="1"/>
        <v>0.41035549737232918</v>
      </c>
    </row>
    <row r="45" spans="1:6" x14ac:dyDescent="0.2">
      <c r="A45" s="38" t="s">
        <v>1156</v>
      </c>
      <c r="B45" s="38" t="s">
        <v>1740</v>
      </c>
      <c r="C45" s="38" t="s">
        <v>801</v>
      </c>
      <c r="D45" s="38">
        <v>500</v>
      </c>
      <c r="E45" s="63">
        <v>5006.87</v>
      </c>
      <c r="F45" s="69">
        <f t="shared" si="1"/>
        <v>0.37718284726311019</v>
      </c>
    </row>
    <row r="46" spans="1:6" x14ac:dyDescent="0.2">
      <c r="A46" s="38" t="s">
        <v>868</v>
      </c>
      <c r="B46" s="38" t="s">
        <v>1537</v>
      </c>
      <c r="C46" s="38" t="s">
        <v>793</v>
      </c>
      <c r="D46" s="38">
        <v>500</v>
      </c>
      <c r="E46" s="63">
        <v>4955.9750000000004</v>
      </c>
      <c r="F46" s="69">
        <f t="shared" si="1"/>
        <v>0.37334877108149256</v>
      </c>
    </row>
    <row r="47" spans="1:6" x14ac:dyDescent="0.2">
      <c r="A47" s="38" t="s">
        <v>867</v>
      </c>
      <c r="B47" s="38" t="s">
        <v>1538</v>
      </c>
      <c r="C47" s="38" t="s">
        <v>752</v>
      </c>
      <c r="D47" s="38">
        <v>500</v>
      </c>
      <c r="E47" s="63">
        <v>4946.2299999999996</v>
      </c>
      <c r="F47" s="69">
        <f t="shared" si="1"/>
        <v>0.37261465039400132</v>
      </c>
    </row>
    <row r="48" spans="1:6" x14ac:dyDescent="0.2">
      <c r="A48" s="38" t="s">
        <v>908</v>
      </c>
      <c r="B48" s="38" t="s">
        <v>1537</v>
      </c>
      <c r="C48" s="38" t="s">
        <v>793</v>
      </c>
      <c r="D48" s="38">
        <v>500</v>
      </c>
      <c r="E48" s="63">
        <v>4935.8</v>
      </c>
      <c r="F48" s="69">
        <f t="shared" si="1"/>
        <v>0.37182892655915956</v>
      </c>
    </row>
    <row r="49" spans="1:6" x14ac:dyDescent="0.2">
      <c r="A49" s="38" t="s">
        <v>1155</v>
      </c>
      <c r="B49" s="38" t="s">
        <v>1741</v>
      </c>
      <c r="C49" s="38" t="s">
        <v>793</v>
      </c>
      <c r="D49" s="38">
        <v>500</v>
      </c>
      <c r="E49" s="63">
        <v>4918.7650000000003</v>
      </c>
      <c r="F49" s="69">
        <f t="shared" si="1"/>
        <v>0.37054562785095924</v>
      </c>
    </row>
    <row r="50" spans="1:6" x14ac:dyDescent="0.2">
      <c r="A50" s="38" t="s">
        <v>1154</v>
      </c>
      <c r="B50" s="38" t="s">
        <v>1742</v>
      </c>
      <c r="C50" s="38" t="s">
        <v>793</v>
      </c>
      <c r="D50" s="38">
        <v>500</v>
      </c>
      <c r="E50" s="63">
        <v>4894.9650000000001</v>
      </c>
      <c r="F50" s="69">
        <f t="shared" si="1"/>
        <v>0.36875270097950819</v>
      </c>
    </row>
    <row r="51" spans="1:6" x14ac:dyDescent="0.2">
      <c r="A51" s="38" t="s">
        <v>1153</v>
      </c>
      <c r="B51" s="38" t="s">
        <v>1493</v>
      </c>
      <c r="C51" s="38" t="s">
        <v>793</v>
      </c>
      <c r="D51" s="38">
        <v>500</v>
      </c>
      <c r="E51" s="63">
        <v>4863.6750000000002</v>
      </c>
      <c r="F51" s="69">
        <f t="shared" si="1"/>
        <v>0.36639552947498288</v>
      </c>
    </row>
    <row r="52" spans="1:6" x14ac:dyDescent="0.2">
      <c r="A52" s="38" t="s">
        <v>827</v>
      </c>
      <c r="B52" s="38" t="s">
        <v>1473</v>
      </c>
      <c r="C52" s="38" t="s">
        <v>700</v>
      </c>
      <c r="D52" s="38">
        <v>460</v>
      </c>
      <c r="E52" s="63">
        <v>4689.1526000000003</v>
      </c>
      <c r="F52" s="69">
        <f t="shared" si="1"/>
        <v>0.35324822272581796</v>
      </c>
    </row>
    <row r="53" spans="1:6" x14ac:dyDescent="0.2">
      <c r="A53" s="38" t="s">
        <v>692</v>
      </c>
      <c r="B53" s="38" t="s">
        <v>1428</v>
      </c>
      <c r="C53" s="38" t="s">
        <v>691</v>
      </c>
      <c r="D53" s="38">
        <v>450</v>
      </c>
      <c r="E53" s="63">
        <v>4489.1639999999998</v>
      </c>
      <c r="F53" s="69">
        <f t="shared" si="1"/>
        <v>0.33818246915758804</v>
      </c>
    </row>
    <row r="54" spans="1:6" x14ac:dyDescent="0.2">
      <c r="A54" s="38" t="s">
        <v>918</v>
      </c>
      <c r="B54" s="38" t="s">
        <v>1560</v>
      </c>
      <c r="C54" s="38" t="s">
        <v>798</v>
      </c>
      <c r="D54" s="38">
        <v>2125</v>
      </c>
      <c r="E54" s="63">
        <v>4368.2520000000004</v>
      </c>
      <c r="F54" s="69">
        <f t="shared" si="1"/>
        <v>0.32907379798612224</v>
      </c>
    </row>
    <row r="55" spans="1:6" x14ac:dyDescent="0.2">
      <c r="A55" s="38" t="s">
        <v>746</v>
      </c>
      <c r="B55" s="38" t="s">
        <v>1442</v>
      </c>
      <c r="C55" s="38" t="s">
        <v>693</v>
      </c>
      <c r="D55" s="38">
        <v>370</v>
      </c>
      <c r="E55" s="63">
        <v>3824.1460999999999</v>
      </c>
      <c r="F55" s="69">
        <f t="shared" si="1"/>
        <v>0.28808463458170841</v>
      </c>
    </row>
    <row r="56" spans="1:6" x14ac:dyDescent="0.2">
      <c r="A56" s="38" t="s">
        <v>859</v>
      </c>
      <c r="B56" s="38" t="s">
        <v>1545</v>
      </c>
      <c r="C56" s="38" t="s">
        <v>728</v>
      </c>
      <c r="D56" s="38">
        <v>370</v>
      </c>
      <c r="E56" s="63">
        <v>3704.6509000000001</v>
      </c>
      <c r="F56" s="69">
        <f t="shared" si="1"/>
        <v>0.27908269529223723</v>
      </c>
    </row>
    <row r="57" spans="1:6" x14ac:dyDescent="0.2">
      <c r="A57" s="38" t="s">
        <v>910</v>
      </c>
      <c r="B57" s="38" t="s">
        <v>1567</v>
      </c>
      <c r="C57" s="38" t="s">
        <v>798</v>
      </c>
      <c r="D57" s="38">
        <v>350</v>
      </c>
      <c r="E57" s="63">
        <v>3460.5549999999998</v>
      </c>
      <c r="F57" s="69">
        <f t="shared" si="1"/>
        <v>0.26069420376614372</v>
      </c>
    </row>
    <row r="58" spans="1:6" x14ac:dyDescent="0.2">
      <c r="A58" s="38" t="s">
        <v>797</v>
      </c>
      <c r="B58" s="38" t="s">
        <v>1493</v>
      </c>
      <c r="C58" s="38" t="s">
        <v>793</v>
      </c>
      <c r="D58" s="38">
        <v>350</v>
      </c>
      <c r="E58" s="63">
        <v>3404.5725000000002</v>
      </c>
      <c r="F58" s="69">
        <f t="shared" si="1"/>
        <v>0.25647687063248803</v>
      </c>
    </row>
    <row r="59" spans="1:6" x14ac:dyDescent="0.2">
      <c r="A59" s="38" t="s">
        <v>747</v>
      </c>
      <c r="B59" s="38" t="s">
        <v>1441</v>
      </c>
      <c r="C59" s="38" t="s">
        <v>691</v>
      </c>
      <c r="D59" s="38">
        <v>300</v>
      </c>
      <c r="E59" s="63">
        <v>2979.5340000000001</v>
      </c>
      <c r="F59" s="69">
        <f t="shared" si="1"/>
        <v>0.22445741903369645</v>
      </c>
    </row>
    <row r="60" spans="1:6" x14ac:dyDescent="0.2">
      <c r="A60" s="38" t="s">
        <v>719</v>
      </c>
      <c r="B60" s="38" t="s">
        <v>1440</v>
      </c>
      <c r="C60" s="38" t="s">
        <v>718</v>
      </c>
      <c r="D60" s="38">
        <v>272</v>
      </c>
      <c r="E60" s="63">
        <v>2751.8593599999999</v>
      </c>
      <c r="F60" s="69">
        <f t="shared" si="1"/>
        <v>0.20730599130243849</v>
      </c>
    </row>
    <row r="61" spans="1:6" x14ac:dyDescent="0.2">
      <c r="A61" s="38" t="s">
        <v>1152</v>
      </c>
      <c r="B61" s="38" t="s">
        <v>1743</v>
      </c>
      <c r="C61" s="38" t="s">
        <v>754</v>
      </c>
      <c r="D61" s="38">
        <v>272</v>
      </c>
      <c r="E61" s="63">
        <v>2732.3651199999999</v>
      </c>
      <c r="F61" s="69">
        <f t="shared" si="1"/>
        <v>0.20583743051527395</v>
      </c>
    </row>
    <row r="62" spans="1:6" x14ac:dyDescent="0.2">
      <c r="A62" s="38" t="s">
        <v>870</v>
      </c>
      <c r="B62" s="38" t="s">
        <v>1535</v>
      </c>
      <c r="C62" s="38" t="s">
        <v>693</v>
      </c>
      <c r="D62" s="38">
        <v>250</v>
      </c>
      <c r="E62" s="63">
        <v>2605.3150000000001</v>
      </c>
      <c r="F62" s="69">
        <f t="shared" si="1"/>
        <v>0.19626635597035474</v>
      </c>
    </row>
    <row r="63" spans="1:6" x14ac:dyDescent="0.2">
      <c r="A63" s="38" t="s">
        <v>809</v>
      </c>
      <c r="B63" s="38" t="s">
        <v>1490</v>
      </c>
      <c r="C63" s="38" t="s">
        <v>752</v>
      </c>
      <c r="D63" s="38">
        <v>5</v>
      </c>
      <c r="E63" s="63">
        <v>2537.7750000000001</v>
      </c>
      <c r="F63" s="69">
        <f t="shared" si="1"/>
        <v>0.19117836097464871</v>
      </c>
    </row>
    <row r="64" spans="1:6" x14ac:dyDescent="0.2">
      <c r="A64" s="38" t="s">
        <v>913</v>
      </c>
      <c r="B64" s="38" t="s">
        <v>1564</v>
      </c>
      <c r="C64" s="38" t="s">
        <v>801</v>
      </c>
      <c r="D64" s="38">
        <v>2500</v>
      </c>
      <c r="E64" s="63">
        <v>2461.895</v>
      </c>
      <c r="F64" s="69">
        <f t="shared" si="1"/>
        <v>0.18546208824331661</v>
      </c>
    </row>
    <row r="65" spans="1:6" x14ac:dyDescent="0.2">
      <c r="A65" s="38" t="s">
        <v>1151</v>
      </c>
      <c r="B65" s="38" t="s">
        <v>1744</v>
      </c>
      <c r="C65" s="38" t="s">
        <v>728</v>
      </c>
      <c r="D65" s="38">
        <v>250</v>
      </c>
      <c r="E65" s="63">
        <v>2404.9274999999998</v>
      </c>
      <c r="F65" s="69">
        <f t="shared" si="1"/>
        <v>0.18117055204376253</v>
      </c>
    </row>
    <row r="66" spans="1:6" x14ac:dyDescent="0.2">
      <c r="A66" s="38" t="s">
        <v>906</v>
      </c>
      <c r="B66" s="38" t="s">
        <v>1563</v>
      </c>
      <c r="C66" s="38" t="s">
        <v>905</v>
      </c>
      <c r="D66" s="38">
        <v>240</v>
      </c>
      <c r="E66" s="63">
        <v>2235.12</v>
      </c>
      <c r="F66" s="69">
        <f t="shared" si="1"/>
        <v>0.16837843314779949</v>
      </c>
    </row>
    <row r="67" spans="1:6" x14ac:dyDescent="0.2">
      <c r="A67" s="38" t="s">
        <v>802</v>
      </c>
      <c r="B67" s="38" t="s">
        <v>1497</v>
      </c>
      <c r="C67" s="38" t="s">
        <v>801</v>
      </c>
      <c r="D67" s="38">
        <v>2000</v>
      </c>
      <c r="E67" s="63">
        <v>1965.0740000000001</v>
      </c>
      <c r="F67" s="69">
        <f t="shared" si="1"/>
        <v>0.14803504113402366</v>
      </c>
    </row>
    <row r="68" spans="1:6" x14ac:dyDescent="0.2">
      <c r="A68" s="38" t="s">
        <v>1150</v>
      </c>
      <c r="B68" s="38" t="s">
        <v>1947</v>
      </c>
      <c r="C68" s="38" t="s">
        <v>728</v>
      </c>
      <c r="D68" s="38">
        <v>200</v>
      </c>
      <c r="E68" s="63">
        <v>1958.3219999999999</v>
      </c>
      <c r="F68" s="69">
        <f t="shared" si="1"/>
        <v>0.14752639230057671</v>
      </c>
    </row>
    <row r="69" spans="1:6" x14ac:dyDescent="0.2">
      <c r="A69" s="38" t="s">
        <v>865</v>
      </c>
      <c r="B69" s="38" t="s">
        <v>1539</v>
      </c>
      <c r="C69" s="38" t="s">
        <v>715</v>
      </c>
      <c r="D69" s="38">
        <v>200</v>
      </c>
      <c r="E69" s="63">
        <v>1825.6379999999999</v>
      </c>
      <c r="F69" s="69">
        <f t="shared" si="1"/>
        <v>0.13753090032529902</v>
      </c>
    </row>
    <row r="70" spans="1:6" x14ac:dyDescent="0.2">
      <c r="A70" s="38" t="s">
        <v>795</v>
      </c>
      <c r="B70" s="38" t="s">
        <v>1921</v>
      </c>
      <c r="C70" s="38" t="s">
        <v>693</v>
      </c>
      <c r="D70" s="38">
        <v>160</v>
      </c>
      <c r="E70" s="63">
        <v>1581.896</v>
      </c>
      <c r="F70" s="69">
        <f t="shared" si="1"/>
        <v>0.1191690691697857</v>
      </c>
    </row>
    <row r="71" spans="1:6" x14ac:dyDescent="0.2">
      <c r="A71" s="38" t="s">
        <v>1149</v>
      </c>
      <c r="B71" s="38" t="s">
        <v>1929</v>
      </c>
      <c r="C71" s="38" t="s">
        <v>693</v>
      </c>
      <c r="D71" s="38">
        <v>150</v>
      </c>
      <c r="E71" s="63">
        <v>1525.0065</v>
      </c>
      <c r="F71" s="69">
        <f t="shared" si="1"/>
        <v>0.11488340894905405</v>
      </c>
    </row>
    <row r="72" spans="1:6" x14ac:dyDescent="0.2">
      <c r="A72" s="38" t="s">
        <v>813</v>
      </c>
      <c r="B72" s="38" t="s">
        <v>1486</v>
      </c>
      <c r="C72" s="38" t="s">
        <v>801</v>
      </c>
      <c r="D72" s="38">
        <v>150</v>
      </c>
      <c r="E72" s="63">
        <v>1502.133</v>
      </c>
      <c r="F72" s="69">
        <f t="shared" ref="F72:F95" si="2">IF((E72/$E$169*100)&lt;0.01,"*",E72/$E$169*100)</f>
        <v>0.11316027815938449</v>
      </c>
    </row>
    <row r="73" spans="1:6" x14ac:dyDescent="0.2">
      <c r="A73" s="38" t="s">
        <v>1099</v>
      </c>
      <c r="B73" s="38" t="s">
        <v>1669</v>
      </c>
      <c r="C73" s="38" t="s">
        <v>752</v>
      </c>
      <c r="D73" s="38">
        <v>3</v>
      </c>
      <c r="E73" s="63">
        <v>1501.2076</v>
      </c>
      <c r="F73" s="69">
        <f t="shared" si="2"/>
        <v>0.11309056494397103</v>
      </c>
    </row>
    <row r="74" spans="1:6" x14ac:dyDescent="0.2">
      <c r="A74" s="38" t="s">
        <v>803</v>
      </c>
      <c r="B74" s="38" t="s">
        <v>1496</v>
      </c>
      <c r="C74" s="38" t="s">
        <v>715</v>
      </c>
      <c r="D74" s="38">
        <v>150</v>
      </c>
      <c r="E74" s="63">
        <v>1491.1095</v>
      </c>
      <c r="F74" s="69">
        <f t="shared" si="2"/>
        <v>0.11232984415234919</v>
      </c>
    </row>
    <row r="75" spans="1:6" x14ac:dyDescent="0.2">
      <c r="A75" s="38" t="s">
        <v>900</v>
      </c>
      <c r="B75" s="38" t="s">
        <v>1574</v>
      </c>
      <c r="C75" s="38" t="s">
        <v>754</v>
      </c>
      <c r="D75" s="38">
        <v>140</v>
      </c>
      <c r="E75" s="63">
        <v>1417.143</v>
      </c>
      <c r="F75" s="69">
        <f t="shared" si="2"/>
        <v>0.10675772123482051</v>
      </c>
    </row>
    <row r="76" spans="1:6" x14ac:dyDescent="0.2">
      <c r="A76" s="38" t="s">
        <v>1148</v>
      </c>
      <c r="B76" s="38" t="s">
        <v>1745</v>
      </c>
      <c r="C76" s="38" t="s">
        <v>752</v>
      </c>
      <c r="D76" s="38">
        <v>1400</v>
      </c>
      <c r="E76" s="63">
        <v>1373.8843999999999</v>
      </c>
      <c r="F76" s="69">
        <f t="shared" si="2"/>
        <v>0.10349891844652842</v>
      </c>
    </row>
    <row r="77" spans="1:6" x14ac:dyDescent="0.2">
      <c r="A77" s="38" t="s">
        <v>899</v>
      </c>
      <c r="B77" s="38" t="s">
        <v>1575</v>
      </c>
      <c r="C77" s="38" t="s">
        <v>693</v>
      </c>
      <c r="D77" s="38">
        <v>100</v>
      </c>
      <c r="E77" s="63">
        <v>1024.835</v>
      </c>
      <c r="F77" s="69">
        <f t="shared" si="2"/>
        <v>7.720395841611416E-2</v>
      </c>
    </row>
    <row r="78" spans="1:6" x14ac:dyDescent="0.2">
      <c r="A78" s="38" t="s">
        <v>857</v>
      </c>
      <c r="B78" s="38" t="s">
        <v>1547</v>
      </c>
      <c r="C78" s="38" t="s">
        <v>791</v>
      </c>
      <c r="D78" s="38">
        <v>100</v>
      </c>
      <c r="E78" s="63">
        <v>1012.077</v>
      </c>
      <c r="F78" s="69">
        <f t="shared" si="2"/>
        <v>7.6242859213342215E-2</v>
      </c>
    </row>
    <row r="79" spans="1:6" x14ac:dyDescent="0.2">
      <c r="A79" s="38" t="s">
        <v>1147</v>
      </c>
      <c r="B79" s="38" t="s">
        <v>1746</v>
      </c>
      <c r="C79" s="38" t="s">
        <v>735</v>
      </c>
      <c r="D79" s="38">
        <v>100</v>
      </c>
      <c r="E79" s="63">
        <v>1007.116</v>
      </c>
      <c r="F79" s="69">
        <f t="shared" si="2"/>
        <v>7.5869131893625055E-2</v>
      </c>
    </row>
    <row r="80" spans="1:6" x14ac:dyDescent="0.2">
      <c r="A80" s="38" t="s">
        <v>1146</v>
      </c>
      <c r="B80" s="38" t="s">
        <v>1747</v>
      </c>
      <c r="C80" s="38" t="s">
        <v>1069</v>
      </c>
      <c r="D80" s="38">
        <v>100</v>
      </c>
      <c r="E80" s="63">
        <v>999.38199999999995</v>
      </c>
      <c r="F80" s="69">
        <f t="shared" si="2"/>
        <v>7.5286505993465286E-2</v>
      </c>
    </row>
    <row r="81" spans="1:7" x14ac:dyDescent="0.2">
      <c r="A81" s="38" t="s">
        <v>952</v>
      </c>
      <c r="B81" s="38" t="s">
        <v>1592</v>
      </c>
      <c r="C81" s="38" t="s">
        <v>693</v>
      </c>
      <c r="D81" s="38">
        <v>80</v>
      </c>
      <c r="E81" s="63">
        <v>821.51279999999997</v>
      </c>
      <c r="F81" s="69">
        <f t="shared" si="2"/>
        <v>6.1887074552982202E-2</v>
      </c>
    </row>
    <row r="82" spans="1:7" x14ac:dyDescent="0.2">
      <c r="A82" s="38" t="s">
        <v>1101</v>
      </c>
      <c r="B82" s="38" t="s">
        <v>1667</v>
      </c>
      <c r="C82" s="38" t="s">
        <v>798</v>
      </c>
      <c r="D82" s="38">
        <v>76</v>
      </c>
      <c r="E82" s="63">
        <v>756.65599999999995</v>
      </c>
      <c r="F82" s="69">
        <f t="shared" si="2"/>
        <v>5.7001213228766848E-2</v>
      </c>
    </row>
    <row r="83" spans="1:7" x14ac:dyDescent="0.2">
      <c r="A83" s="38" t="s">
        <v>959</v>
      </c>
      <c r="B83" s="38" t="s">
        <v>1587</v>
      </c>
      <c r="C83" s="38" t="s">
        <v>693</v>
      </c>
      <c r="D83" s="38">
        <v>63</v>
      </c>
      <c r="E83" s="63">
        <v>620.50085999999999</v>
      </c>
      <c r="F83" s="69">
        <f t="shared" si="2"/>
        <v>4.6744229649263613E-2</v>
      </c>
    </row>
    <row r="84" spans="1:7" x14ac:dyDescent="0.2">
      <c r="A84" s="38" t="s">
        <v>805</v>
      </c>
      <c r="B84" s="38" t="s">
        <v>1494</v>
      </c>
      <c r="C84" s="38" t="s">
        <v>798</v>
      </c>
      <c r="D84" s="38">
        <v>62</v>
      </c>
      <c r="E84" s="63">
        <v>604.82488000000001</v>
      </c>
      <c r="F84" s="69">
        <f t="shared" si="2"/>
        <v>4.5563310078745589E-2</v>
      </c>
    </row>
    <row r="85" spans="1:7" x14ac:dyDescent="0.2">
      <c r="A85" s="38" t="s">
        <v>820</v>
      </c>
      <c r="B85" s="38" t="s">
        <v>1480</v>
      </c>
      <c r="C85" s="38" t="s">
        <v>798</v>
      </c>
      <c r="D85" s="38">
        <v>62</v>
      </c>
      <c r="E85" s="63">
        <v>603.45839999999998</v>
      </c>
      <c r="F85" s="69">
        <f t="shared" si="2"/>
        <v>4.546036895642204E-2</v>
      </c>
    </row>
    <row r="86" spans="1:7" x14ac:dyDescent="0.2">
      <c r="A86" s="38" t="s">
        <v>979</v>
      </c>
      <c r="B86" s="38" t="s">
        <v>1616</v>
      </c>
      <c r="C86" s="38" t="s">
        <v>791</v>
      </c>
      <c r="D86" s="38">
        <v>55</v>
      </c>
      <c r="E86" s="63">
        <v>542.25985000000003</v>
      </c>
      <c r="F86" s="69">
        <f t="shared" si="2"/>
        <v>4.0850094805630476E-2</v>
      </c>
    </row>
    <row r="87" spans="1:7" x14ac:dyDescent="0.2">
      <c r="A87" s="38" t="s">
        <v>872</v>
      </c>
      <c r="B87" s="38" t="s">
        <v>1533</v>
      </c>
      <c r="C87" s="38" t="s">
        <v>728</v>
      </c>
      <c r="D87" s="38">
        <v>50</v>
      </c>
      <c r="E87" s="63">
        <v>498.92399999999998</v>
      </c>
      <c r="F87" s="69">
        <f t="shared" si="2"/>
        <v>3.7585472538312355E-2</v>
      </c>
    </row>
    <row r="88" spans="1:7" x14ac:dyDescent="0.2">
      <c r="A88" s="38" t="s">
        <v>1145</v>
      </c>
      <c r="B88" s="38" t="s">
        <v>1563</v>
      </c>
      <c r="C88" s="38" t="s">
        <v>905</v>
      </c>
      <c r="D88" s="38">
        <v>50</v>
      </c>
      <c r="E88" s="63">
        <v>465.65249999999997</v>
      </c>
      <c r="F88" s="69">
        <f t="shared" si="2"/>
        <v>3.5079028571779455E-2</v>
      </c>
    </row>
    <row r="89" spans="1:7" x14ac:dyDescent="0.2">
      <c r="A89" s="38" t="s">
        <v>1144</v>
      </c>
      <c r="B89" s="38" t="s">
        <v>1748</v>
      </c>
      <c r="C89" s="38" t="s">
        <v>693</v>
      </c>
      <c r="D89" s="38">
        <v>37</v>
      </c>
      <c r="E89" s="63">
        <v>372.59777000000003</v>
      </c>
      <c r="F89" s="69">
        <f t="shared" si="2"/>
        <v>2.8068930843518098E-2</v>
      </c>
    </row>
    <row r="90" spans="1:7" x14ac:dyDescent="0.2">
      <c r="A90" s="38" t="s">
        <v>1143</v>
      </c>
      <c r="B90" s="38" t="s">
        <v>1930</v>
      </c>
      <c r="C90" s="38" t="s">
        <v>933</v>
      </c>
      <c r="D90" s="38">
        <v>36</v>
      </c>
      <c r="E90" s="63">
        <v>363.20868000000002</v>
      </c>
      <c r="F90" s="69">
        <f t="shared" si="2"/>
        <v>2.7361621946061284E-2</v>
      </c>
    </row>
    <row r="91" spans="1:7" x14ac:dyDescent="0.2">
      <c r="A91" s="38" t="s">
        <v>697</v>
      </c>
      <c r="B91" s="38" t="s">
        <v>1426</v>
      </c>
      <c r="C91" s="38" t="s">
        <v>693</v>
      </c>
      <c r="D91" s="38">
        <v>30</v>
      </c>
      <c r="E91" s="63">
        <v>299.77409999999998</v>
      </c>
      <c r="F91" s="69">
        <f t="shared" si="2"/>
        <v>2.2582900809035647E-2</v>
      </c>
    </row>
    <row r="92" spans="1:7" x14ac:dyDescent="0.2">
      <c r="A92" s="38" t="s">
        <v>1142</v>
      </c>
      <c r="B92" s="38" t="s">
        <v>1749</v>
      </c>
      <c r="C92" s="38" t="s">
        <v>693</v>
      </c>
      <c r="D92" s="38">
        <v>28</v>
      </c>
      <c r="E92" s="63">
        <v>279.44896</v>
      </c>
      <c r="F92" s="69">
        <f t="shared" si="2"/>
        <v>2.1051745780800178E-2</v>
      </c>
    </row>
    <row r="93" spans="1:7" x14ac:dyDescent="0.2">
      <c r="A93" s="38" t="s">
        <v>1141</v>
      </c>
      <c r="B93" s="38" t="s">
        <v>1750</v>
      </c>
      <c r="C93" s="38" t="s">
        <v>693</v>
      </c>
      <c r="D93" s="38">
        <v>27</v>
      </c>
      <c r="E93" s="63">
        <v>272.78208000000001</v>
      </c>
      <c r="F93" s="69">
        <f t="shared" si="2"/>
        <v>2.0549509297575833E-2</v>
      </c>
    </row>
    <row r="94" spans="1:7" x14ac:dyDescent="0.2">
      <c r="A94" s="38" t="s">
        <v>955</v>
      </c>
      <c r="B94" s="38" t="s">
        <v>1589</v>
      </c>
      <c r="C94" s="38" t="s">
        <v>693</v>
      </c>
      <c r="D94" s="38">
        <v>20</v>
      </c>
      <c r="E94" s="63">
        <v>204.05619999999999</v>
      </c>
      <c r="F94" s="69">
        <f t="shared" si="2"/>
        <v>1.537217833051201E-2</v>
      </c>
    </row>
    <row r="95" spans="1:7" x14ac:dyDescent="0.2">
      <c r="A95" s="38" t="s">
        <v>1140</v>
      </c>
      <c r="B95" s="38" t="s">
        <v>1751</v>
      </c>
      <c r="C95" s="38" t="s">
        <v>1139</v>
      </c>
      <c r="D95" s="38">
        <v>18</v>
      </c>
      <c r="E95" s="63">
        <v>200.49191999999999</v>
      </c>
      <c r="F95" s="69">
        <f t="shared" si="2"/>
        <v>1.5103670204907996E-2</v>
      </c>
    </row>
    <row r="96" spans="1:7" x14ac:dyDescent="0.2">
      <c r="A96" s="38" t="s">
        <v>1138</v>
      </c>
      <c r="B96" s="38" t="s">
        <v>1752</v>
      </c>
      <c r="C96" s="38" t="s">
        <v>693</v>
      </c>
      <c r="D96" s="38">
        <v>1</v>
      </c>
      <c r="E96" s="63">
        <v>100.3365</v>
      </c>
      <c r="F96" s="69">
        <v>7.5586557578716951E-3</v>
      </c>
      <c r="G96" s="15"/>
    </row>
    <row r="97" spans="1:7" x14ac:dyDescent="0.2">
      <c r="A97" s="38" t="s">
        <v>978</v>
      </c>
      <c r="B97" s="38" t="s">
        <v>1617</v>
      </c>
      <c r="C97" s="38" t="s">
        <v>791</v>
      </c>
      <c r="D97" s="38">
        <v>9</v>
      </c>
      <c r="E97" s="63">
        <v>92.470140000000001</v>
      </c>
      <c r="F97" s="69">
        <v>6.96605877364869E-3</v>
      </c>
      <c r="G97" s="15"/>
    </row>
    <row r="98" spans="1:7" x14ac:dyDescent="0.2">
      <c r="A98" s="38" t="s">
        <v>1137</v>
      </c>
      <c r="B98" s="38" t="s">
        <v>1753</v>
      </c>
      <c r="C98" s="38" t="s">
        <v>1136</v>
      </c>
      <c r="D98" s="38">
        <v>24000</v>
      </c>
      <c r="E98" s="63">
        <v>60</v>
      </c>
      <c r="F98" s="69" t="str">
        <f>IF((E98/$E$169*100)&lt;0.01,"0.00*",E98/$E$169*100)</f>
        <v>0.00*</v>
      </c>
      <c r="G98" s="15"/>
    </row>
    <row r="99" spans="1:7" x14ac:dyDescent="0.2">
      <c r="A99" s="38" t="s">
        <v>1050</v>
      </c>
      <c r="B99" s="38" t="s">
        <v>1709</v>
      </c>
      <c r="C99" s="38" t="s">
        <v>713</v>
      </c>
      <c r="D99" s="38">
        <v>4000</v>
      </c>
      <c r="E99" s="63">
        <v>37.975879999999997</v>
      </c>
      <c r="F99" s="69" t="str">
        <f>IF((E99/$E$169*100)&lt;0.01,"0.00*",E99/$E$169*100)</f>
        <v>0.00*</v>
      </c>
      <c r="G99" s="15"/>
    </row>
    <row r="100" spans="1:7" x14ac:dyDescent="0.2">
      <c r="A100" s="37" t="s">
        <v>43</v>
      </c>
      <c r="B100" s="38"/>
      <c r="C100" s="38"/>
      <c r="D100" s="38"/>
      <c r="E100" s="64">
        <f>SUM(E8:E99)</f>
        <v>821124.4856700002</v>
      </c>
      <c r="F100" s="64">
        <f>SUM(F8:F99)</f>
        <v>61.850440822527027</v>
      </c>
    </row>
    <row r="101" spans="1:7" x14ac:dyDescent="0.2">
      <c r="A101" s="38"/>
      <c r="B101" s="38"/>
      <c r="C101" s="38"/>
      <c r="D101" s="38"/>
      <c r="E101" s="63"/>
      <c r="F101" s="63"/>
    </row>
    <row r="102" spans="1:7" x14ac:dyDescent="0.2">
      <c r="A102" s="37" t="s">
        <v>717</v>
      </c>
      <c r="B102" s="38"/>
      <c r="C102" s="38"/>
      <c r="D102" s="38"/>
      <c r="E102" s="63"/>
      <c r="F102" s="63"/>
    </row>
    <row r="103" spans="1:7" x14ac:dyDescent="0.2">
      <c r="A103" s="38" t="s">
        <v>786</v>
      </c>
      <c r="B103" s="38" t="s">
        <v>1449</v>
      </c>
      <c r="C103" s="38" t="s">
        <v>785</v>
      </c>
      <c r="D103" s="38">
        <v>480</v>
      </c>
      <c r="E103" s="63">
        <v>53186.016000000003</v>
      </c>
      <c r="F103" s="69">
        <f t="shared" ref="F103:F134" si="3">IF((E103/$E$169*100)&lt;0.01,"*",E103/$E$169*100)</f>
        <v>4.0066654315892629</v>
      </c>
    </row>
    <row r="104" spans="1:7" x14ac:dyDescent="0.2">
      <c r="A104" s="38" t="s">
        <v>761</v>
      </c>
      <c r="B104" s="38" t="s">
        <v>1466</v>
      </c>
      <c r="C104" s="38" t="s">
        <v>760</v>
      </c>
      <c r="D104" s="38">
        <v>350</v>
      </c>
      <c r="E104" s="63">
        <v>35265.474999999999</v>
      </c>
      <c r="F104" s="69">
        <f t="shared" si="3"/>
        <v>2.6566562084867451</v>
      </c>
    </row>
    <row r="105" spans="1:7" x14ac:dyDescent="0.2">
      <c r="A105" s="38" t="s">
        <v>1042</v>
      </c>
      <c r="B105" s="38" t="s">
        <v>1635</v>
      </c>
      <c r="C105" s="38" t="s">
        <v>849</v>
      </c>
      <c r="D105" s="38">
        <v>1830</v>
      </c>
      <c r="E105" s="63">
        <v>32522.1378</v>
      </c>
      <c r="F105" s="69">
        <f t="shared" si="3"/>
        <v>2.4499922175904754</v>
      </c>
    </row>
    <row r="106" spans="1:7" x14ac:dyDescent="0.2">
      <c r="A106" s="38" t="s">
        <v>755</v>
      </c>
      <c r="B106" s="38" t="s">
        <v>1469</v>
      </c>
      <c r="C106" s="38" t="s">
        <v>754</v>
      </c>
      <c r="D106" s="38">
        <v>2560</v>
      </c>
      <c r="E106" s="63">
        <v>24597.324799999999</v>
      </c>
      <c r="F106" s="69">
        <f t="shared" si="3"/>
        <v>1.8529917899045734</v>
      </c>
    </row>
    <row r="107" spans="1:7" x14ac:dyDescent="0.2">
      <c r="A107" s="38" t="s">
        <v>848</v>
      </c>
      <c r="B107" s="38" t="s">
        <v>1451</v>
      </c>
      <c r="C107" s="38" t="s">
        <v>700</v>
      </c>
      <c r="D107" s="38">
        <v>2450</v>
      </c>
      <c r="E107" s="63">
        <v>24576.807499999999</v>
      </c>
      <c r="F107" s="69">
        <f t="shared" si="3"/>
        <v>1.8514461588751776</v>
      </c>
    </row>
    <row r="108" spans="1:7" x14ac:dyDescent="0.2">
      <c r="A108" s="38" t="s">
        <v>1135</v>
      </c>
      <c r="B108" s="38" t="s">
        <v>1716</v>
      </c>
      <c r="C108" s="38" t="s">
        <v>758</v>
      </c>
      <c r="D108" s="38">
        <v>1660</v>
      </c>
      <c r="E108" s="63">
        <v>15140.8434</v>
      </c>
      <c r="F108" s="69">
        <f t="shared" si="3"/>
        <v>1.1406060919450414</v>
      </c>
    </row>
    <row r="109" spans="1:7" x14ac:dyDescent="0.2">
      <c r="A109" s="38" t="s">
        <v>890</v>
      </c>
      <c r="B109" s="38" t="s">
        <v>1553</v>
      </c>
      <c r="C109" s="38" t="s">
        <v>841</v>
      </c>
      <c r="D109" s="38">
        <v>98</v>
      </c>
      <c r="E109" s="63">
        <v>14468.817999999999</v>
      </c>
      <c r="F109" s="69">
        <f t="shared" si="3"/>
        <v>1.0899803609384184</v>
      </c>
    </row>
    <row r="110" spans="1:7" x14ac:dyDescent="0.2">
      <c r="A110" s="38" t="s">
        <v>774</v>
      </c>
      <c r="B110" s="38" t="s">
        <v>1457</v>
      </c>
      <c r="C110" s="38" t="s">
        <v>760</v>
      </c>
      <c r="D110" s="38">
        <v>1480</v>
      </c>
      <c r="E110" s="63">
        <v>14203.3824</v>
      </c>
      <c r="F110" s="69">
        <f t="shared" si="3"/>
        <v>1.0699842844728837</v>
      </c>
    </row>
    <row r="111" spans="1:7" x14ac:dyDescent="0.2">
      <c r="A111" s="38" t="s">
        <v>773</v>
      </c>
      <c r="B111" s="38" t="s">
        <v>1458</v>
      </c>
      <c r="C111" s="38" t="s">
        <v>772</v>
      </c>
      <c r="D111" s="38">
        <v>1300</v>
      </c>
      <c r="E111" s="63">
        <v>12844.039000000001</v>
      </c>
      <c r="F111" s="69">
        <f t="shared" si="3"/>
        <v>0.96758078407836245</v>
      </c>
    </row>
    <row r="112" spans="1:7" x14ac:dyDescent="0.2">
      <c r="A112" s="38" t="s">
        <v>782</v>
      </c>
      <c r="B112" s="38" t="s">
        <v>1452</v>
      </c>
      <c r="C112" s="38" t="s">
        <v>758</v>
      </c>
      <c r="D112" s="38">
        <v>1280</v>
      </c>
      <c r="E112" s="63">
        <v>11638.848</v>
      </c>
      <c r="F112" s="69">
        <f t="shared" si="3"/>
        <v>0.87679005596361714</v>
      </c>
    </row>
    <row r="113" spans="1:6" x14ac:dyDescent="0.2">
      <c r="A113" s="38" t="s">
        <v>1021</v>
      </c>
      <c r="B113" s="38" t="s">
        <v>1656</v>
      </c>
      <c r="C113" s="38" t="s">
        <v>754</v>
      </c>
      <c r="D113" s="38">
        <v>1150</v>
      </c>
      <c r="E113" s="63">
        <v>11513.5355</v>
      </c>
      <c r="F113" s="69">
        <f t="shared" si="3"/>
        <v>0.8673498816535874</v>
      </c>
    </row>
    <row r="114" spans="1:6" x14ac:dyDescent="0.2">
      <c r="A114" s="38" t="s">
        <v>1134</v>
      </c>
      <c r="B114" s="38" t="s">
        <v>1717</v>
      </c>
      <c r="C114" s="38" t="s">
        <v>779</v>
      </c>
      <c r="D114" s="38">
        <v>75</v>
      </c>
      <c r="E114" s="63">
        <v>10791.487499999999</v>
      </c>
      <c r="F114" s="69">
        <f t="shared" si="3"/>
        <v>0.81295579502848347</v>
      </c>
    </row>
    <row r="115" spans="1:6" x14ac:dyDescent="0.2">
      <c r="A115" s="38" t="s">
        <v>845</v>
      </c>
      <c r="B115" s="38" t="s">
        <v>1509</v>
      </c>
      <c r="C115" s="38" t="s">
        <v>772</v>
      </c>
      <c r="D115" s="38">
        <v>1112</v>
      </c>
      <c r="E115" s="63">
        <v>10543.428</v>
      </c>
      <c r="F115" s="69">
        <f t="shared" si="3"/>
        <v>0.79426871337853777</v>
      </c>
    </row>
    <row r="116" spans="1:6" x14ac:dyDescent="0.2">
      <c r="A116" s="38" t="s">
        <v>844</v>
      </c>
      <c r="B116" s="38" t="s">
        <v>1510</v>
      </c>
      <c r="C116" s="38" t="s">
        <v>785</v>
      </c>
      <c r="D116" s="38">
        <v>1000</v>
      </c>
      <c r="E116" s="63">
        <v>10128.27</v>
      </c>
      <c r="F116" s="69">
        <f t="shared" si="3"/>
        <v>0.76299359009711476</v>
      </c>
    </row>
    <row r="117" spans="1:6" x14ac:dyDescent="0.2">
      <c r="A117" s="38" t="s">
        <v>1133</v>
      </c>
      <c r="B117" s="38" t="s">
        <v>1718</v>
      </c>
      <c r="C117" s="38" t="s">
        <v>752</v>
      </c>
      <c r="D117" s="38">
        <v>1000</v>
      </c>
      <c r="E117" s="63">
        <v>10049.209999999999</v>
      </c>
      <c r="F117" s="69">
        <f t="shared" si="3"/>
        <v>0.75703775822917696</v>
      </c>
    </row>
    <row r="118" spans="1:6" x14ac:dyDescent="0.2">
      <c r="A118" s="38" t="s">
        <v>891</v>
      </c>
      <c r="B118" s="38" t="s">
        <v>1552</v>
      </c>
      <c r="C118" s="38" t="s">
        <v>769</v>
      </c>
      <c r="D118" s="38">
        <v>1873</v>
      </c>
      <c r="E118" s="63">
        <v>9365</v>
      </c>
      <c r="F118" s="69">
        <f t="shared" si="3"/>
        <v>0.70549412399743294</v>
      </c>
    </row>
    <row r="119" spans="1:6" x14ac:dyDescent="0.2">
      <c r="A119" s="38" t="s">
        <v>778</v>
      </c>
      <c r="B119" s="38" t="s">
        <v>1455</v>
      </c>
      <c r="C119" s="38" t="s">
        <v>777</v>
      </c>
      <c r="D119" s="38">
        <v>850</v>
      </c>
      <c r="E119" s="63">
        <v>8239.5174999999999</v>
      </c>
      <c r="F119" s="69">
        <f t="shared" si="3"/>
        <v>0.62070808124121923</v>
      </c>
    </row>
    <row r="120" spans="1:6" x14ac:dyDescent="0.2">
      <c r="A120" s="38" t="s">
        <v>1132</v>
      </c>
      <c r="B120" s="38" t="s">
        <v>1719</v>
      </c>
      <c r="C120" s="38" t="s">
        <v>785</v>
      </c>
      <c r="D120" s="38">
        <v>800</v>
      </c>
      <c r="E120" s="63">
        <v>7943.5439999999999</v>
      </c>
      <c r="F120" s="69">
        <f t="shared" si="3"/>
        <v>0.59841149126695825</v>
      </c>
    </row>
    <row r="121" spans="1:6" x14ac:dyDescent="0.2">
      <c r="A121" s="38" t="s">
        <v>836</v>
      </c>
      <c r="B121" s="38" t="s">
        <v>1517</v>
      </c>
      <c r="C121" s="38" t="s">
        <v>754</v>
      </c>
      <c r="D121" s="38">
        <v>750</v>
      </c>
      <c r="E121" s="63">
        <v>7591.95</v>
      </c>
      <c r="F121" s="69">
        <f t="shared" si="3"/>
        <v>0.57192483872742239</v>
      </c>
    </row>
    <row r="122" spans="1:6" x14ac:dyDescent="0.2">
      <c r="A122" s="38" t="s">
        <v>763</v>
      </c>
      <c r="B122" s="38" t="s">
        <v>1464</v>
      </c>
      <c r="C122" s="38" t="s">
        <v>752</v>
      </c>
      <c r="D122" s="38">
        <v>15</v>
      </c>
      <c r="E122" s="63">
        <v>7490.76</v>
      </c>
      <c r="F122" s="69">
        <f t="shared" si="3"/>
        <v>0.56430188620128252</v>
      </c>
    </row>
    <row r="123" spans="1:6" x14ac:dyDescent="0.2">
      <c r="A123" s="38" t="s">
        <v>850</v>
      </c>
      <c r="B123" s="38" t="s">
        <v>1957</v>
      </c>
      <c r="C123" s="38" t="s">
        <v>849</v>
      </c>
      <c r="D123" s="38">
        <v>700</v>
      </c>
      <c r="E123" s="63">
        <v>6949.5929999999998</v>
      </c>
      <c r="F123" s="69">
        <f t="shared" si="3"/>
        <v>0.52353411913226822</v>
      </c>
    </row>
    <row r="124" spans="1:6" x14ac:dyDescent="0.2">
      <c r="A124" s="38" t="s">
        <v>783</v>
      </c>
      <c r="B124" s="38" t="s">
        <v>1451</v>
      </c>
      <c r="C124" s="38" t="s">
        <v>700</v>
      </c>
      <c r="D124" s="38">
        <v>650</v>
      </c>
      <c r="E124" s="63">
        <v>6508.8919999999998</v>
      </c>
      <c r="F124" s="69">
        <f t="shared" si="3"/>
        <v>0.49033476345263199</v>
      </c>
    </row>
    <row r="125" spans="1:6" x14ac:dyDescent="0.2">
      <c r="A125" s="38" t="s">
        <v>780</v>
      </c>
      <c r="B125" s="38" t="s">
        <v>1454</v>
      </c>
      <c r="C125" s="38" t="s">
        <v>779</v>
      </c>
      <c r="D125" s="38">
        <v>44</v>
      </c>
      <c r="E125" s="63">
        <v>6331.0060000000003</v>
      </c>
      <c r="F125" s="69">
        <f t="shared" si="3"/>
        <v>0.47693406641671027</v>
      </c>
    </row>
    <row r="126" spans="1:6" x14ac:dyDescent="0.2">
      <c r="A126" s="38" t="s">
        <v>1131</v>
      </c>
      <c r="B126" s="38" t="s">
        <v>1720</v>
      </c>
      <c r="C126" s="38" t="s">
        <v>785</v>
      </c>
      <c r="D126" s="38">
        <v>600</v>
      </c>
      <c r="E126" s="63">
        <v>5977.3739999999998</v>
      </c>
      <c r="F126" s="69">
        <f t="shared" si="3"/>
        <v>0.45029388509717366</v>
      </c>
    </row>
    <row r="127" spans="1:6" x14ac:dyDescent="0.2">
      <c r="A127" s="38" t="s">
        <v>768</v>
      </c>
      <c r="B127" s="38" t="s">
        <v>1461</v>
      </c>
      <c r="C127" s="38" t="s">
        <v>767</v>
      </c>
      <c r="D127" s="38">
        <v>5827</v>
      </c>
      <c r="E127" s="63">
        <v>5618.9003489999996</v>
      </c>
      <c r="F127" s="69">
        <f t="shared" si="3"/>
        <v>0.42328896738351568</v>
      </c>
    </row>
    <row r="128" spans="1:6" x14ac:dyDescent="0.2">
      <c r="A128" s="38" t="s">
        <v>842</v>
      </c>
      <c r="B128" s="38" t="s">
        <v>1512</v>
      </c>
      <c r="C128" s="38" t="s">
        <v>841</v>
      </c>
      <c r="D128" s="38">
        <v>38</v>
      </c>
      <c r="E128" s="63">
        <v>5553.1679999999997</v>
      </c>
      <c r="F128" s="69">
        <f t="shared" si="3"/>
        <v>0.41833714827235202</v>
      </c>
    </row>
    <row r="129" spans="1:6" x14ac:dyDescent="0.2">
      <c r="A129" s="38" t="s">
        <v>1130</v>
      </c>
      <c r="B129" s="38" t="s">
        <v>1721</v>
      </c>
      <c r="C129" s="38" t="s">
        <v>775</v>
      </c>
      <c r="D129" s="38">
        <v>500</v>
      </c>
      <c r="E129" s="63">
        <v>4960.68</v>
      </c>
      <c r="F129" s="69">
        <f t="shared" si="3"/>
        <v>0.37370321313738231</v>
      </c>
    </row>
    <row r="130" spans="1:6" x14ac:dyDescent="0.2">
      <c r="A130" s="38" t="s">
        <v>853</v>
      </c>
      <c r="B130" s="38" t="s">
        <v>1504</v>
      </c>
      <c r="C130" s="38" t="s">
        <v>775</v>
      </c>
      <c r="D130" s="38">
        <v>500</v>
      </c>
      <c r="E130" s="63">
        <v>4906.0349999999999</v>
      </c>
      <c r="F130" s="69">
        <f t="shared" si="3"/>
        <v>0.36958663797391833</v>
      </c>
    </row>
    <row r="131" spans="1:6" x14ac:dyDescent="0.2">
      <c r="A131" s="38" t="s">
        <v>1129</v>
      </c>
      <c r="B131" s="38" t="s">
        <v>1722</v>
      </c>
      <c r="C131" s="38" t="s">
        <v>779</v>
      </c>
      <c r="D131" s="38">
        <v>34</v>
      </c>
      <c r="E131" s="63">
        <v>4892.1409999999996</v>
      </c>
      <c r="F131" s="69">
        <f t="shared" si="3"/>
        <v>0.36853996041291248</v>
      </c>
    </row>
    <row r="132" spans="1:6" x14ac:dyDescent="0.2">
      <c r="A132" s="38" t="s">
        <v>927</v>
      </c>
      <c r="B132" s="38" t="s">
        <v>1580</v>
      </c>
      <c r="C132" s="38" t="s">
        <v>926</v>
      </c>
      <c r="D132" s="38">
        <v>468</v>
      </c>
      <c r="E132" s="63">
        <v>4682.1481199999998</v>
      </c>
      <c r="F132" s="69">
        <f t="shared" si="3"/>
        <v>0.35272055380092121</v>
      </c>
    </row>
    <row r="133" spans="1:6" x14ac:dyDescent="0.2">
      <c r="A133" s="38" t="s">
        <v>788</v>
      </c>
      <c r="B133" s="38" t="s">
        <v>1448</v>
      </c>
      <c r="C133" s="38" t="s">
        <v>787</v>
      </c>
      <c r="D133" s="38">
        <v>400</v>
      </c>
      <c r="E133" s="63">
        <v>4456.7079999999996</v>
      </c>
      <c r="F133" s="69">
        <f t="shared" si="3"/>
        <v>0.33573745930297394</v>
      </c>
    </row>
    <row r="134" spans="1:6" x14ac:dyDescent="0.2">
      <c r="A134" s="38" t="s">
        <v>888</v>
      </c>
      <c r="B134" s="38" t="s">
        <v>1555</v>
      </c>
      <c r="C134" s="38" t="s">
        <v>769</v>
      </c>
      <c r="D134" s="38">
        <v>877</v>
      </c>
      <c r="E134" s="63">
        <v>4385</v>
      </c>
      <c r="F134" s="69">
        <f t="shared" si="3"/>
        <v>0.33033547610557856</v>
      </c>
    </row>
    <row r="135" spans="1:6" x14ac:dyDescent="0.2">
      <c r="A135" s="38" t="s">
        <v>1128</v>
      </c>
      <c r="B135" s="38" t="s">
        <v>1723</v>
      </c>
      <c r="C135" s="38" t="s">
        <v>785</v>
      </c>
      <c r="D135" s="38">
        <v>400</v>
      </c>
      <c r="E135" s="63">
        <v>4018.056</v>
      </c>
      <c r="F135" s="69">
        <f t="shared" ref="F135:F160" si="4">IF((E135/$E$169*100)&lt;0.01,"*",E135/$E$169*100)</f>
        <v>0.30269246106701864</v>
      </c>
    </row>
    <row r="136" spans="1:6" x14ac:dyDescent="0.2">
      <c r="A136" s="38" t="s">
        <v>843</v>
      </c>
      <c r="B136" s="38" t="s">
        <v>1511</v>
      </c>
      <c r="C136" s="38" t="s">
        <v>775</v>
      </c>
      <c r="D136" s="38">
        <v>394</v>
      </c>
      <c r="E136" s="63">
        <v>3952.1785399999999</v>
      </c>
      <c r="F136" s="69">
        <f t="shared" si="4"/>
        <v>0.29772971029992029</v>
      </c>
    </row>
    <row r="137" spans="1:6" x14ac:dyDescent="0.2">
      <c r="A137" s="38" t="s">
        <v>1127</v>
      </c>
      <c r="B137" s="38" t="s">
        <v>1724</v>
      </c>
      <c r="C137" s="38" t="s">
        <v>785</v>
      </c>
      <c r="D137" s="38">
        <v>375</v>
      </c>
      <c r="E137" s="63">
        <v>3783.6374999999998</v>
      </c>
      <c r="F137" s="69">
        <f t="shared" si="4"/>
        <v>0.28503299771343693</v>
      </c>
    </row>
    <row r="138" spans="1:6" x14ac:dyDescent="0.2">
      <c r="A138" s="38" t="s">
        <v>762</v>
      </c>
      <c r="B138" s="38" t="s">
        <v>1465</v>
      </c>
      <c r="C138" s="38" t="s">
        <v>758</v>
      </c>
      <c r="D138" s="38">
        <v>385</v>
      </c>
      <c r="E138" s="63">
        <v>3666.72075</v>
      </c>
      <c r="F138" s="69">
        <f t="shared" si="4"/>
        <v>0.27622530095723014</v>
      </c>
    </row>
    <row r="139" spans="1:6" x14ac:dyDescent="0.2">
      <c r="A139" s="38" t="s">
        <v>885</v>
      </c>
      <c r="B139" s="38" t="s">
        <v>1558</v>
      </c>
      <c r="C139" s="38" t="s">
        <v>785</v>
      </c>
      <c r="D139" s="38">
        <v>350</v>
      </c>
      <c r="E139" s="63">
        <v>3537.877</v>
      </c>
      <c r="F139" s="69">
        <f t="shared" si="4"/>
        <v>0.26651910677262852</v>
      </c>
    </row>
    <row r="140" spans="1:6" x14ac:dyDescent="0.2">
      <c r="A140" s="38" t="s">
        <v>1030</v>
      </c>
      <c r="B140" s="38" t="s">
        <v>1647</v>
      </c>
      <c r="C140" s="38" t="s">
        <v>801</v>
      </c>
      <c r="D140" s="38">
        <v>310</v>
      </c>
      <c r="E140" s="63">
        <v>3033.7685000000001</v>
      </c>
      <c r="F140" s="69">
        <f t="shared" si="4"/>
        <v>0.22854306997528098</v>
      </c>
    </row>
    <row r="141" spans="1:6" x14ac:dyDescent="0.2">
      <c r="A141" s="38" t="s">
        <v>1126</v>
      </c>
      <c r="B141" s="38" t="s">
        <v>1725</v>
      </c>
      <c r="C141" s="38" t="s">
        <v>775</v>
      </c>
      <c r="D141" s="38">
        <v>300</v>
      </c>
      <c r="E141" s="63">
        <v>2984.7359999999999</v>
      </c>
      <c r="F141" s="69">
        <f t="shared" si="4"/>
        <v>0.22484930162131356</v>
      </c>
    </row>
    <row r="142" spans="1:6" x14ac:dyDescent="0.2">
      <c r="A142" s="38" t="s">
        <v>766</v>
      </c>
      <c r="B142" s="38" t="s">
        <v>1462</v>
      </c>
      <c r="C142" s="38" t="s">
        <v>765</v>
      </c>
      <c r="D142" s="38">
        <v>300</v>
      </c>
      <c r="E142" s="63">
        <v>2969.6849999999999</v>
      </c>
      <c r="F142" s="69">
        <f t="shared" si="4"/>
        <v>0.22371546370777537</v>
      </c>
    </row>
    <row r="143" spans="1:6" x14ac:dyDescent="0.2">
      <c r="A143" s="38" t="s">
        <v>852</v>
      </c>
      <c r="B143" s="38" t="s">
        <v>1505</v>
      </c>
      <c r="C143" s="38" t="s">
        <v>758</v>
      </c>
      <c r="D143" s="38">
        <v>2500</v>
      </c>
      <c r="E143" s="63">
        <v>2521.41</v>
      </c>
      <c r="F143" s="69">
        <f t="shared" si="4"/>
        <v>0.18994553541787157</v>
      </c>
    </row>
    <row r="144" spans="1:6" x14ac:dyDescent="0.2">
      <c r="A144" s="38" t="s">
        <v>1125</v>
      </c>
      <c r="B144" s="38" t="s">
        <v>1726</v>
      </c>
      <c r="C144" s="38" t="s">
        <v>785</v>
      </c>
      <c r="D144" s="38">
        <v>250</v>
      </c>
      <c r="E144" s="63">
        <v>2516.5225</v>
      </c>
      <c r="F144" s="69">
        <f t="shared" si="4"/>
        <v>0.18957734507819859</v>
      </c>
    </row>
    <row r="145" spans="1:6" x14ac:dyDescent="0.2">
      <c r="A145" s="38" t="s">
        <v>1124</v>
      </c>
      <c r="B145" s="38" t="s">
        <v>1727</v>
      </c>
      <c r="C145" s="38" t="s">
        <v>775</v>
      </c>
      <c r="D145" s="38">
        <v>250</v>
      </c>
      <c r="E145" s="63">
        <v>2493.1799999999998</v>
      </c>
      <c r="F145" s="69">
        <f t="shared" si="4"/>
        <v>0.18781888308253281</v>
      </c>
    </row>
    <row r="146" spans="1:6" x14ac:dyDescent="0.2">
      <c r="A146" s="38" t="s">
        <v>1123</v>
      </c>
      <c r="B146" s="38" t="s">
        <v>1728</v>
      </c>
      <c r="C146" s="38" t="s">
        <v>775</v>
      </c>
      <c r="D146" s="38">
        <v>200</v>
      </c>
      <c r="E146" s="63">
        <v>1995.412</v>
      </c>
      <c r="F146" s="69">
        <f t="shared" si="4"/>
        <v>0.15032049556369095</v>
      </c>
    </row>
    <row r="147" spans="1:6" x14ac:dyDescent="0.2">
      <c r="A147" s="38" t="s">
        <v>839</v>
      </c>
      <c r="B147" s="38" t="s">
        <v>1514</v>
      </c>
      <c r="C147" s="38" t="s">
        <v>775</v>
      </c>
      <c r="D147" s="38">
        <v>200</v>
      </c>
      <c r="E147" s="63">
        <v>1991.308</v>
      </c>
      <c r="F147" s="69">
        <f t="shared" si="4"/>
        <v>0.15001132867795836</v>
      </c>
    </row>
    <row r="148" spans="1:6" x14ac:dyDescent="0.2">
      <c r="A148" s="38" t="s">
        <v>714</v>
      </c>
      <c r="B148" s="38" t="s">
        <v>1430</v>
      </c>
      <c r="C148" s="38" t="s">
        <v>713</v>
      </c>
      <c r="D148" s="38">
        <v>15</v>
      </c>
      <c r="E148" s="63">
        <v>1844.829</v>
      </c>
      <c r="F148" s="69">
        <f t="shared" si="4"/>
        <v>0.13897661711479553</v>
      </c>
    </row>
    <row r="149" spans="1:6" x14ac:dyDescent="0.2">
      <c r="A149" s="38" t="s">
        <v>764</v>
      </c>
      <c r="B149" s="38" t="s">
        <v>1463</v>
      </c>
      <c r="C149" s="38" t="s">
        <v>758</v>
      </c>
      <c r="D149" s="38">
        <v>150</v>
      </c>
      <c r="E149" s="63">
        <v>1415.277</v>
      </c>
      <c r="F149" s="69">
        <f t="shared" si="4"/>
        <v>0.10661714974145381</v>
      </c>
    </row>
    <row r="150" spans="1:6" x14ac:dyDescent="0.2">
      <c r="A150" s="38" t="s">
        <v>1122</v>
      </c>
      <c r="B150" s="38" t="s">
        <v>1729</v>
      </c>
      <c r="C150" s="38" t="s">
        <v>785</v>
      </c>
      <c r="D150" s="38">
        <v>125</v>
      </c>
      <c r="E150" s="63">
        <v>1254.7825</v>
      </c>
      <c r="F150" s="69">
        <f t="shared" si="4"/>
        <v>9.4526607650273237E-2</v>
      </c>
    </row>
    <row r="151" spans="1:6" x14ac:dyDescent="0.2">
      <c r="A151" s="38" t="s">
        <v>759</v>
      </c>
      <c r="B151" s="38" t="s">
        <v>1467</v>
      </c>
      <c r="C151" s="38" t="s">
        <v>758</v>
      </c>
      <c r="D151" s="38">
        <v>102</v>
      </c>
      <c r="E151" s="63">
        <v>1023.61386</v>
      </c>
      <c r="F151" s="69">
        <f t="shared" si="4"/>
        <v>7.7111966200996362E-2</v>
      </c>
    </row>
    <row r="152" spans="1:6" x14ac:dyDescent="0.2">
      <c r="A152" s="38" t="s">
        <v>1022</v>
      </c>
      <c r="B152" s="38" t="s">
        <v>1655</v>
      </c>
      <c r="C152" s="38" t="s">
        <v>715</v>
      </c>
      <c r="D152" s="38">
        <v>100</v>
      </c>
      <c r="E152" s="63">
        <v>1008.974</v>
      </c>
      <c r="F152" s="69">
        <f t="shared" si="4"/>
        <v>7.6009100722497155E-2</v>
      </c>
    </row>
    <row r="153" spans="1:6" x14ac:dyDescent="0.2">
      <c r="A153" s="38" t="s">
        <v>757</v>
      </c>
      <c r="B153" s="38" t="s">
        <v>1468</v>
      </c>
      <c r="C153" s="38" t="s">
        <v>756</v>
      </c>
      <c r="D153" s="38">
        <v>100</v>
      </c>
      <c r="E153" s="63">
        <v>1000.783</v>
      </c>
      <c r="F153" s="69">
        <f t="shared" si="4"/>
        <v>7.539204761308306E-2</v>
      </c>
    </row>
    <row r="154" spans="1:6" x14ac:dyDescent="0.2">
      <c r="A154" s="38" t="s">
        <v>1121</v>
      </c>
      <c r="B154" s="38" t="s">
        <v>1730</v>
      </c>
      <c r="C154" s="38" t="s">
        <v>775</v>
      </c>
      <c r="D154" s="38">
        <v>100</v>
      </c>
      <c r="E154" s="63">
        <v>999.94899999999996</v>
      </c>
      <c r="F154" s="69">
        <f t="shared" si="4"/>
        <v>7.5329219839520442E-2</v>
      </c>
    </row>
    <row r="155" spans="1:6" x14ac:dyDescent="0.2">
      <c r="A155" s="38" t="s">
        <v>1120</v>
      </c>
      <c r="B155" s="38" t="s">
        <v>1731</v>
      </c>
      <c r="C155" s="38" t="s">
        <v>713</v>
      </c>
      <c r="D155" s="38">
        <v>5</v>
      </c>
      <c r="E155" s="63">
        <v>709.55100000000004</v>
      </c>
      <c r="F155" s="69">
        <f t="shared" si="4"/>
        <v>5.3452649351468505E-2</v>
      </c>
    </row>
    <row r="156" spans="1:6" x14ac:dyDescent="0.2">
      <c r="A156" s="38" t="s">
        <v>1036</v>
      </c>
      <c r="B156" s="38" t="s">
        <v>1641</v>
      </c>
      <c r="C156" s="38" t="s">
        <v>752</v>
      </c>
      <c r="D156" s="38">
        <v>50</v>
      </c>
      <c r="E156" s="63">
        <v>640.00599999999997</v>
      </c>
      <c r="F156" s="69">
        <f t="shared" si="4"/>
        <v>4.8213611566802025E-2</v>
      </c>
    </row>
    <row r="157" spans="1:6" x14ac:dyDescent="0.2">
      <c r="A157" s="38" t="s">
        <v>833</v>
      </c>
      <c r="B157" s="38" t="s">
        <v>1520</v>
      </c>
      <c r="C157" s="38" t="s">
        <v>752</v>
      </c>
      <c r="D157" s="38">
        <v>50</v>
      </c>
      <c r="E157" s="63">
        <v>640.00599999999997</v>
      </c>
      <c r="F157" s="69">
        <f t="shared" si="4"/>
        <v>4.8213611566802025E-2</v>
      </c>
    </row>
    <row r="158" spans="1:6" x14ac:dyDescent="0.2">
      <c r="A158" s="38" t="s">
        <v>1119</v>
      </c>
      <c r="B158" s="38" t="s">
        <v>1732</v>
      </c>
      <c r="C158" s="38" t="s">
        <v>775</v>
      </c>
      <c r="D158" s="38">
        <v>62</v>
      </c>
      <c r="E158" s="63">
        <v>207.018</v>
      </c>
      <c r="F158" s="69">
        <f t="shared" si="4"/>
        <v>1.559529979302729E-2</v>
      </c>
    </row>
    <row r="159" spans="1:6" x14ac:dyDescent="0.2">
      <c r="A159" s="38" t="s">
        <v>753</v>
      </c>
      <c r="B159" s="38" t="s">
        <v>1470</v>
      </c>
      <c r="C159" s="38" t="s">
        <v>752</v>
      </c>
      <c r="D159" s="38">
        <v>20</v>
      </c>
      <c r="E159" s="63">
        <v>200.73240000000001</v>
      </c>
      <c r="F159" s="69">
        <f t="shared" si="4"/>
        <v>1.5121786299615836E-2</v>
      </c>
    </row>
    <row r="160" spans="1:6" x14ac:dyDescent="0.2">
      <c r="A160" s="38" t="s">
        <v>1118</v>
      </c>
      <c r="B160" s="38" t="s">
        <v>1733</v>
      </c>
      <c r="C160" s="38" t="s">
        <v>769</v>
      </c>
      <c r="D160" s="38">
        <v>31</v>
      </c>
      <c r="E160" s="63">
        <v>155</v>
      </c>
      <c r="F160" s="69">
        <f t="shared" si="4"/>
        <v>1.1676624582979403E-2</v>
      </c>
    </row>
    <row r="161" spans="1:7" x14ac:dyDescent="0.2">
      <c r="A161" s="38" t="s">
        <v>1117</v>
      </c>
      <c r="B161" s="38" t="s">
        <v>1734</v>
      </c>
      <c r="C161" s="38" t="s">
        <v>693</v>
      </c>
      <c r="D161" s="38">
        <v>13</v>
      </c>
      <c r="E161" s="63">
        <v>129.20205999999999</v>
      </c>
      <c r="F161" s="69">
        <v>9.7331867739843848E-3</v>
      </c>
      <c r="G161" s="15"/>
    </row>
    <row r="162" spans="1:7" x14ac:dyDescent="0.2">
      <c r="A162" s="38" t="s">
        <v>1116</v>
      </c>
      <c r="B162" s="38" t="s">
        <v>1735</v>
      </c>
      <c r="C162" s="38" t="s">
        <v>693</v>
      </c>
      <c r="D162" s="38">
        <v>6</v>
      </c>
      <c r="E162" s="63">
        <v>60.093539999999997</v>
      </c>
      <c r="F162" s="69" t="str">
        <f>IF((E162/$E$169*100)&lt;0.01,"0.00*",E162/$E$169*100)</f>
        <v>0.00*</v>
      </c>
      <c r="G162" s="15"/>
    </row>
    <row r="163" spans="1:7" x14ac:dyDescent="0.2">
      <c r="A163" s="37" t="s">
        <v>43</v>
      </c>
      <c r="B163" s="38"/>
      <c r="C163" s="38"/>
      <c r="D163" s="38"/>
      <c r="E163" s="64">
        <f>SUM(E103:E162)</f>
        <v>448076.34901899984</v>
      </c>
      <c r="F163" s="64">
        <f>SUM(F103:F162)</f>
        <v>33.750436272906256</v>
      </c>
    </row>
    <row r="164" spans="1:7" x14ac:dyDescent="0.2">
      <c r="A164" s="38"/>
      <c r="B164" s="38"/>
      <c r="C164" s="38"/>
      <c r="D164" s="38"/>
      <c r="E164" s="63"/>
      <c r="F164" s="63"/>
    </row>
    <row r="165" spans="1:7" x14ac:dyDescent="0.2">
      <c r="A165" s="37" t="s">
        <v>43</v>
      </c>
      <c r="B165" s="38"/>
      <c r="C165" s="38"/>
      <c r="D165" s="38"/>
      <c r="E165" s="64">
        <f>E100+E163</f>
        <v>1269200.8346890002</v>
      </c>
      <c r="F165" s="64">
        <f>F100+F163</f>
        <v>95.600877095433276</v>
      </c>
    </row>
    <row r="166" spans="1:7" x14ac:dyDescent="0.2">
      <c r="A166" s="38"/>
      <c r="B166" s="38"/>
      <c r="C166" s="38"/>
      <c r="D166" s="38"/>
      <c r="E166" s="63"/>
      <c r="F166" s="63"/>
    </row>
    <row r="167" spans="1:7" x14ac:dyDescent="0.2">
      <c r="A167" s="37" t="s">
        <v>101</v>
      </c>
      <c r="B167" s="38"/>
      <c r="C167" s="38"/>
      <c r="D167" s="38"/>
      <c r="E167" s="64">
        <v>58237.577829100002</v>
      </c>
      <c r="F167" s="66">
        <f>IF((E167/$E$169*100)&lt;0.01,"*",E167/$E$169*100)+0.01</f>
        <v>4.3972150511770662</v>
      </c>
    </row>
    <row r="168" spans="1:7" x14ac:dyDescent="0.2">
      <c r="A168" s="38"/>
      <c r="B168" s="38"/>
      <c r="C168" s="38"/>
      <c r="D168" s="38"/>
      <c r="E168" s="63"/>
      <c r="F168" s="63"/>
    </row>
    <row r="169" spans="1:7" x14ac:dyDescent="0.2">
      <c r="A169" s="80" t="s">
        <v>102</v>
      </c>
      <c r="B169" s="79"/>
      <c r="C169" s="79"/>
      <c r="D169" s="79"/>
      <c r="E169" s="61">
        <f>E165+E167</f>
        <v>1327438.4125181001</v>
      </c>
      <c r="F169" s="61">
        <f xml:space="preserve"> ROUND(SUM(F165:F168),2)</f>
        <v>100</v>
      </c>
    </row>
    <row r="170" spans="1:7" x14ac:dyDescent="0.2">
      <c r="A170" s="4" t="s">
        <v>686</v>
      </c>
      <c r="F170" s="78" t="s">
        <v>712</v>
      </c>
    </row>
    <row r="172" spans="1:7" x14ac:dyDescent="0.2">
      <c r="A172" s="4" t="s">
        <v>103</v>
      </c>
    </row>
    <row r="173" spans="1:7" x14ac:dyDescent="0.2">
      <c r="A173" s="4" t="s">
        <v>685</v>
      </c>
    </row>
    <row r="174" spans="1:7" x14ac:dyDescent="0.2">
      <c r="A174" s="4" t="s">
        <v>608</v>
      </c>
    </row>
    <row r="175" spans="1:7" x14ac:dyDescent="0.2">
      <c r="A175" s="2" t="s">
        <v>994</v>
      </c>
      <c r="D175" s="10">
        <v>3937.8081999999999</v>
      </c>
    </row>
    <row r="176" spans="1:7" x14ac:dyDescent="0.2">
      <c r="A176" s="2" t="s">
        <v>986</v>
      </c>
      <c r="D176" s="10">
        <v>1084.8688999999999</v>
      </c>
    </row>
    <row r="177" spans="1:4" x14ac:dyDescent="0.2">
      <c r="A177" s="2" t="s">
        <v>1114</v>
      </c>
      <c r="D177" s="10">
        <v>1216.1331</v>
      </c>
    </row>
    <row r="178" spans="1:4" x14ac:dyDescent="0.2">
      <c r="A178" s="2" t="s">
        <v>1113</v>
      </c>
      <c r="D178" s="10">
        <v>1263.9465</v>
      </c>
    </row>
    <row r="179" spans="1:4" x14ac:dyDescent="0.2">
      <c r="A179" s="2" t="s">
        <v>1115</v>
      </c>
      <c r="D179" s="10">
        <v>4128.2058999999999</v>
      </c>
    </row>
    <row r="180" spans="1:4" x14ac:dyDescent="0.2">
      <c r="A180" s="2" t="s">
        <v>1112</v>
      </c>
      <c r="D180" s="10">
        <v>1086.7566999999999</v>
      </c>
    </row>
    <row r="181" spans="1:4" x14ac:dyDescent="0.2">
      <c r="A181" s="2" t="s">
        <v>1111</v>
      </c>
      <c r="D181" s="10">
        <v>1287.2736</v>
      </c>
    </row>
    <row r="182" spans="1:4" x14ac:dyDescent="0.2">
      <c r="A182" s="2" t="s">
        <v>1110</v>
      </c>
      <c r="D182" s="10">
        <v>1339.5398</v>
      </c>
    </row>
    <row r="183" spans="1:4" x14ac:dyDescent="0.2">
      <c r="A183" s="2" t="s">
        <v>993</v>
      </c>
      <c r="D183" s="10">
        <v>3249.2156</v>
      </c>
    </row>
    <row r="185" spans="1:4" x14ac:dyDescent="0.2">
      <c r="A185" s="4" t="s">
        <v>105</v>
      </c>
    </row>
    <row r="186" spans="1:4" x14ac:dyDescent="0.2">
      <c r="A186" s="2" t="s">
        <v>994</v>
      </c>
      <c r="D186" s="10">
        <v>4054.0230999999999</v>
      </c>
    </row>
    <row r="187" spans="1:4" x14ac:dyDescent="0.2">
      <c r="A187" s="2" t="s">
        <v>986</v>
      </c>
      <c r="D187" s="10">
        <v>1071.3635999999999</v>
      </c>
    </row>
    <row r="188" spans="1:4" x14ac:dyDescent="0.2">
      <c r="A188" s="2" t="s">
        <v>1114</v>
      </c>
      <c r="D188" s="10">
        <v>1201.9548</v>
      </c>
    </row>
    <row r="189" spans="1:4" x14ac:dyDescent="0.2">
      <c r="A189" s="2" t="s">
        <v>1113</v>
      </c>
      <c r="D189" s="10">
        <v>1250.7081000000001</v>
      </c>
    </row>
    <row r="190" spans="1:4" x14ac:dyDescent="0.2">
      <c r="A190" s="2" t="s">
        <v>1115</v>
      </c>
      <c r="D190" s="10">
        <v>4266.4943000000003</v>
      </c>
    </row>
    <row r="191" spans="1:4" x14ac:dyDescent="0.2">
      <c r="A191" s="2" t="s">
        <v>1112</v>
      </c>
      <c r="D191" s="10">
        <v>1073.7458999999999</v>
      </c>
    </row>
    <row r="192" spans="1:4" x14ac:dyDescent="0.2">
      <c r="A192" s="2" t="s">
        <v>1111</v>
      </c>
      <c r="D192" s="10">
        <v>1280.2317</v>
      </c>
    </row>
    <row r="193" spans="1:5" x14ac:dyDescent="0.2">
      <c r="A193" s="2" t="s">
        <v>1110</v>
      </c>
      <c r="D193" s="10">
        <v>1333.8391999999999</v>
      </c>
    </row>
    <row r="194" spans="1:5" x14ac:dyDescent="0.2">
      <c r="A194" s="2" t="s">
        <v>993</v>
      </c>
      <c r="D194" s="10">
        <v>3350.6875</v>
      </c>
    </row>
    <row r="197" spans="1:5" x14ac:dyDescent="0.2">
      <c r="A197" s="4" t="s">
        <v>106</v>
      </c>
      <c r="D197" s="20" t="s">
        <v>311</v>
      </c>
    </row>
    <row r="198" spans="1:5" x14ac:dyDescent="0.2">
      <c r="A198" s="91" t="s">
        <v>604</v>
      </c>
      <c r="B198" s="90"/>
      <c r="C198" s="114" t="s">
        <v>605</v>
      </c>
      <c r="D198" s="114"/>
    </row>
    <row r="199" spans="1:5" x14ac:dyDescent="0.2">
      <c r="A199" s="116"/>
      <c r="B199" s="117"/>
      <c r="C199" s="23" t="s">
        <v>606</v>
      </c>
      <c r="D199" s="23" t="s">
        <v>607</v>
      </c>
    </row>
    <row r="200" spans="1:5" x14ac:dyDescent="0.2">
      <c r="A200" s="24" t="s">
        <v>986</v>
      </c>
      <c r="B200" s="25"/>
      <c r="C200" s="59">
        <v>32.418915466999998</v>
      </c>
      <c r="D200" s="59">
        <v>30.020077286000003</v>
      </c>
    </row>
    <row r="201" spans="1:5" x14ac:dyDescent="0.2">
      <c r="A201" s="24" t="s">
        <v>1114</v>
      </c>
      <c r="B201" s="25"/>
      <c r="C201" s="59">
        <v>35.65597365</v>
      </c>
      <c r="D201" s="59">
        <v>33.017609298000004</v>
      </c>
    </row>
    <row r="202" spans="1:5" x14ac:dyDescent="0.2">
      <c r="A202" s="24" t="s">
        <v>1113</v>
      </c>
      <c r="B202" s="25"/>
      <c r="C202" s="59">
        <v>36.016134999999998</v>
      </c>
      <c r="D202" s="59">
        <v>33.3511205</v>
      </c>
    </row>
    <row r="203" spans="1:5" x14ac:dyDescent="0.2">
      <c r="A203" s="24" t="s">
        <v>1112</v>
      </c>
      <c r="B203" s="25"/>
      <c r="C203" s="59">
        <v>35.160463665999998</v>
      </c>
      <c r="D203" s="59">
        <v>32.558764580999998</v>
      </c>
    </row>
    <row r="204" spans="1:5" x14ac:dyDescent="0.2">
      <c r="A204" s="24" t="s">
        <v>1111</v>
      </c>
      <c r="B204" s="25"/>
      <c r="C204" s="59">
        <v>35.65597365</v>
      </c>
      <c r="D204" s="59">
        <v>33.017609298000004</v>
      </c>
    </row>
    <row r="205" spans="1:5" x14ac:dyDescent="0.2">
      <c r="A205" s="24" t="s">
        <v>1110</v>
      </c>
      <c r="B205" s="25"/>
      <c r="C205" s="59">
        <v>36.016134999999998</v>
      </c>
      <c r="D205" s="59">
        <v>33.3511205</v>
      </c>
    </row>
    <row r="206" spans="1:5" x14ac:dyDescent="0.2">
      <c r="A206" s="75"/>
      <c r="B206" s="75"/>
      <c r="C206" s="74"/>
      <c r="D206" s="74"/>
    </row>
    <row r="207" spans="1:5" x14ac:dyDescent="0.2">
      <c r="A207" s="4" t="s">
        <v>680</v>
      </c>
      <c r="D207" s="15">
        <v>2.938292106531081</v>
      </c>
      <c r="E207" s="72" t="s">
        <v>679</v>
      </c>
    </row>
  </sheetData>
  <mergeCells count="3">
    <mergeCell ref="A1:F1"/>
    <mergeCell ref="C198:D198"/>
    <mergeCell ref="A199:B19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E869-0D11-4187-A7A8-617E97EC2A6C}">
  <dimension ref="A1:F9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1198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973</v>
      </c>
      <c r="B5" s="38"/>
      <c r="C5" s="38"/>
      <c r="D5" s="38"/>
      <c r="E5" s="63"/>
      <c r="F5" s="63"/>
    </row>
    <row r="6" spans="1:6" x14ac:dyDescent="0.2">
      <c r="A6" s="37" t="s">
        <v>972</v>
      </c>
      <c r="B6" s="38"/>
      <c r="C6" s="38"/>
      <c r="D6" s="38"/>
      <c r="E6" s="63"/>
      <c r="F6" s="63"/>
    </row>
    <row r="7" spans="1:6" x14ac:dyDescent="0.2">
      <c r="A7" s="38" t="s">
        <v>1197</v>
      </c>
      <c r="B7" s="38" t="s">
        <v>1967</v>
      </c>
      <c r="C7" s="38" t="s">
        <v>999</v>
      </c>
      <c r="D7" s="38">
        <v>10000</v>
      </c>
      <c r="E7" s="63">
        <v>9394.7000000000007</v>
      </c>
      <c r="F7" s="63">
        <v>4.6731240529101701</v>
      </c>
    </row>
    <row r="8" spans="1:6" x14ac:dyDescent="0.2">
      <c r="A8" s="38" t="s">
        <v>1196</v>
      </c>
      <c r="B8" s="38" t="s">
        <v>1971</v>
      </c>
      <c r="C8" s="38" t="s">
        <v>688</v>
      </c>
      <c r="D8" s="38">
        <v>8000</v>
      </c>
      <c r="E8" s="63">
        <v>7711.0079999999998</v>
      </c>
      <c r="F8" s="63">
        <v>3.83561975975632</v>
      </c>
    </row>
    <row r="9" spans="1:6" x14ac:dyDescent="0.2">
      <c r="A9" s="38" t="s">
        <v>1195</v>
      </c>
      <c r="B9" s="38" t="s">
        <v>1768</v>
      </c>
      <c r="C9" s="38" t="s">
        <v>1183</v>
      </c>
      <c r="D9" s="38">
        <v>7500</v>
      </c>
      <c r="E9" s="63">
        <v>7215.6975000000002</v>
      </c>
      <c r="F9" s="63">
        <v>3.5892417582012999</v>
      </c>
    </row>
    <row r="10" spans="1:6" x14ac:dyDescent="0.2">
      <c r="A10" s="38" t="s">
        <v>1194</v>
      </c>
      <c r="B10" s="38" t="s">
        <v>1769</v>
      </c>
      <c r="C10" s="38" t="s">
        <v>1183</v>
      </c>
      <c r="D10" s="38">
        <v>7500</v>
      </c>
      <c r="E10" s="63">
        <v>7209.6975000000002</v>
      </c>
      <c r="F10" s="63">
        <v>3.5862572302954101</v>
      </c>
    </row>
    <row r="11" spans="1:6" x14ac:dyDescent="0.2">
      <c r="A11" s="38" t="s">
        <v>1193</v>
      </c>
      <c r="B11" s="38" t="s">
        <v>1972</v>
      </c>
      <c r="C11" s="38" t="s">
        <v>688</v>
      </c>
      <c r="D11" s="38">
        <v>7500</v>
      </c>
      <c r="E11" s="63">
        <v>7195.7025000000003</v>
      </c>
      <c r="F11" s="63">
        <v>3.57929581895492</v>
      </c>
    </row>
    <row r="12" spans="1:6" x14ac:dyDescent="0.2">
      <c r="A12" s="38" t="s">
        <v>1192</v>
      </c>
      <c r="B12" s="38" t="s">
        <v>1770</v>
      </c>
      <c r="C12" s="38" t="s">
        <v>688</v>
      </c>
      <c r="D12" s="38">
        <v>7500</v>
      </c>
      <c r="E12" s="63">
        <v>7195.6274999999996</v>
      </c>
      <c r="F12" s="63">
        <v>3.5792585123561</v>
      </c>
    </row>
    <row r="13" spans="1:6" x14ac:dyDescent="0.2">
      <c r="A13" s="38" t="s">
        <v>1015</v>
      </c>
      <c r="B13" s="38" t="s">
        <v>1634</v>
      </c>
      <c r="C13" s="38" t="s">
        <v>688</v>
      </c>
      <c r="D13" s="38">
        <v>7400</v>
      </c>
      <c r="E13" s="63">
        <v>7160.8764000000001</v>
      </c>
      <c r="F13" s="63">
        <v>3.5619725744043702</v>
      </c>
    </row>
    <row r="14" spans="1:6" x14ac:dyDescent="0.2">
      <c r="A14" s="38" t="s">
        <v>1191</v>
      </c>
      <c r="B14" s="38" t="s">
        <v>1968</v>
      </c>
      <c r="C14" s="38" t="s">
        <v>688</v>
      </c>
      <c r="D14" s="38">
        <v>5000</v>
      </c>
      <c r="E14" s="63">
        <v>4818.915</v>
      </c>
      <c r="F14" s="63">
        <v>2.39703104893499</v>
      </c>
    </row>
    <row r="15" spans="1:6" x14ac:dyDescent="0.2">
      <c r="A15" s="38" t="s">
        <v>1190</v>
      </c>
      <c r="B15" s="38" t="s">
        <v>1771</v>
      </c>
      <c r="C15" s="38" t="s">
        <v>688</v>
      </c>
      <c r="D15" s="38">
        <v>5000</v>
      </c>
      <c r="E15" s="63">
        <v>4750.01</v>
      </c>
      <c r="F15" s="63">
        <v>2.3627562330424401</v>
      </c>
    </row>
    <row r="16" spans="1:6" x14ac:dyDescent="0.2">
      <c r="A16" s="38" t="s">
        <v>1189</v>
      </c>
      <c r="B16" s="38" t="s">
        <v>1772</v>
      </c>
      <c r="C16" s="38" t="s">
        <v>1183</v>
      </c>
      <c r="D16" s="38">
        <v>5000</v>
      </c>
      <c r="E16" s="63">
        <v>4741.665</v>
      </c>
      <c r="F16" s="63">
        <v>2.3586052521466701</v>
      </c>
    </row>
    <row r="17" spans="1:6" x14ac:dyDescent="0.2">
      <c r="A17" s="38" t="s">
        <v>1188</v>
      </c>
      <c r="B17" s="38" t="s">
        <v>1773</v>
      </c>
      <c r="C17" s="38" t="s">
        <v>1183</v>
      </c>
      <c r="D17" s="38">
        <v>5000</v>
      </c>
      <c r="E17" s="63">
        <v>4740.91</v>
      </c>
      <c r="F17" s="63">
        <v>2.3582296990518401</v>
      </c>
    </row>
    <row r="18" spans="1:6" x14ac:dyDescent="0.2">
      <c r="A18" s="38" t="s">
        <v>1187</v>
      </c>
      <c r="B18" s="38" t="s">
        <v>1774</v>
      </c>
      <c r="C18" s="38" t="s">
        <v>688</v>
      </c>
      <c r="D18" s="38">
        <v>2500</v>
      </c>
      <c r="E18" s="63">
        <v>2408.5650000000001</v>
      </c>
      <c r="F18" s="63">
        <v>1.1980715759414999</v>
      </c>
    </row>
    <row r="19" spans="1:6" x14ac:dyDescent="0.2">
      <c r="A19" s="38" t="s">
        <v>1186</v>
      </c>
      <c r="B19" s="38" t="s">
        <v>1775</v>
      </c>
      <c r="C19" s="38" t="s">
        <v>1183</v>
      </c>
      <c r="D19" s="38">
        <v>2500</v>
      </c>
      <c r="E19" s="63">
        <v>2374.3825000000002</v>
      </c>
      <c r="F19" s="63">
        <v>1.1810684717509801</v>
      </c>
    </row>
    <row r="20" spans="1:6" x14ac:dyDescent="0.2">
      <c r="A20" s="38" t="s">
        <v>1185</v>
      </c>
      <c r="B20" s="38" t="s">
        <v>1776</v>
      </c>
      <c r="C20" s="38" t="s">
        <v>688</v>
      </c>
      <c r="D20" s="38">
        <v>2000</v>
      </c>
      <c r="E20" s="63">
        <v>1933.7280000000001</v>
      </c>
      <c r="F20" s="63">
        <v>0.96187752973334595</v>
      </c>
    </row>
    <row r="21" spans="1:6" x14ac:dyDescent="0.2">
      <c r="A21" s="38" t="s">
        <v>971</v>
      </c>
      <c r="B21" s="38" t="s">
        <v>1611</v>
      </c>
      <c r="C21" s="38" t="s">
        <v>688</v>
      </c>
      <c r="D21" s="38">
        <v>1200</v>
      </c>
      <c r="E21" s="63">
        <v>1163.424</v>
      </c>
      <c r="F21" s="63">
        <v>0.57871189906361598</v>
      </c>
    </row>
    <row r="22" spans="1:6" x14ac:dyDescent="0.2">
      <c r="A22" s="38" t="s">
        <v>1184</v>
      </c>
      <c r="B22" s="38" t="s">
        <v>1777</v>
      </c>
      <c r="C22" s="38" t="s">
        <v>1183</v>
      </c>
      <c r="D22" s="38">
        <v>500</v>
      </c>
      <c r="E22" s="63">
        <v>481.05149999999998</v>
      </c>
      <c r="F22" s="63">
        <v>0.23928527098667501</v>
      </c>
    </row>
    <row r="23" spans="1:6" x14ac:dyDescent="0.2">
      <c r="A23" s="37" t="s">
        <v>43</v>
      </c>
      <c r="B23" s="38"/>
      <c r="C23" s="38"/>
      <c r="D23" s="38"/>
      <c r="E23" s="64">
        <f>SUM(E7:E22)</f>
        <v>80495.960400000025</v>
      </c>
      <c r="F23" s="64">
        <f>SUM(F7:F22)</f>
        <v>40.040406687530641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690</v>
      </c>
      <c r="B25" s="38"/>
      <c r="C25" s="38"/>
      <c r="D25" s="38"/>
      <c r="E25" s="63"/>
      <c r="F25" s="63"/>
    </row>
    <row r="26" spans="1:6" x14ac:dyDescent="0.2">
      <c r="A26" s="38" t="s">
        <v>1182</v>
      </c>
      <c r="B26" s="38" t="s">
        <v>1754</v>
      </c>
      <c r="C26" s="38" t="s">
        <v>1007</v>
      </c>
      <c r="D26" s="38">
        <v>2090</v>
      </c>
      <c r="E26" s="63">
        <v>10047.05845</v>
      </c>
      <c r="F26" s="63">
        <v>4.9976210526881504</v>
      </c>
    </row>
    <row r="27" spans="1:6" x14ac:dyDescent="0.2">
      <c r="A27" s="38" t="s">
        <v>1181</v>
      </c>
      <c r="B27" s="38" t="s">
        <v>1755</v>
      </c>
      <c r="C27" s="38" t="s">
        <v>1007</v>
      </c>
      <c r="D27" s="38">
        <v>2000</v>
      </c>
      <c r="E27" s="63">
        <v>9776.83</v>
      </c>
      <c r="F27" s="63">
        <v>4.8632036610230998</v>
      </c>
    </row>
    <row r="28" spans="1:6" x14ac:dyDescent="0.2">
      <c r="A28" s="38" t="s">
        <v>689</v>
      </c>
      <c r="B28" s="38" t="s">
        <v>1937</v>
      </c>
      <c r="C28" s="38" t="s">
        <v>688</v>
      </c>
      <c r="D28" s="38">
        <v>2000</v>
      </c>
      <c r="E28" s="63">
        <v>9437.69</v>
      </c>
      <c r="F28" s="63">
        <v>4.6945081953558603</v>
      </c>
    </row>
    <row r="29" spans="1:6" x14ac:dyDescent="0.2">
      <c r="A29" s="38" t="s">
        <v>1180</v>
      </c>
      <c r="B29" s="38" t="s">
        <v>1756</v>
      </c>
      <c r="C29" s="38" t="s">
        <v>999</v>
      </c>
      <c r="D29" s="38">
        <v>2000</v>
      </c>
      <c r="E29" s="63">
        <v>9350.1</v>
      </c>
      <c r="F29" s="63">
        <v>4.65093906214305</v>
      </c>
    </row>
    <row r="30" spans="1:6" x14ac:dyDescent="0.2">
      <c r="A30" s="38" t="s">
        <v>1179</v>
      </c>
      <c r="B30" s="38" t="s">
        <v>1757</v>
      </c>
      <c r="C30" s="38" t="s">
        <v>999</v>
      </c>
      <c r="D30" s="38">
        <v>2000</v>
      </c>
      <c r="E30" s="63">
        <v>9277.06</v>
      </c>
      <c r="F30" s="63">
        <v>4.6146074091020202</v>
      </c>
    </row>
    <row r="31" spans="1:6" x14ac:dyDescent="0.2">
      <c r="A31" s="38" t="s">
        <v>1178</v>
      </c>
      <c r="B31" s="38" t="s">
        <v>1931</v>
      </c>
      <c r="C31" s="38" t="s">
        <v>688</v>
      </c>
      <c r="D31" s="38">
        <v>1600</v>
      </c>
      <c r="E31" s="63">
        <v>7692.7120000000004</v>
      </c>
      <c r="F31" s="63">
        <v>3.8265189393286301</v>
      </c>
    </row>
    <row r="32" spans="1:6" x14ac:dyDescent="0.2">
      <c r="A32" s="38" t="s">
        <v>1177</v>
      </c>
      <c r="B32" s="38" t="s">
        <v>1758</v>
      </c>
      <c r="C32" s="38" t="s">
        <v>999</v>
      </c>
      <c r="D32" s="38">
        <v>1500</v>
      </c>
      <c r="E32" s="63">
        <v>7207.71</v>
      </c>
      <c r="F32" s="63">
        <v>3.5852686054265801</v>
      </c>
    </row>
    <row r="33" spans="1:6" x14ac:dyDescent="0.2">
      <c r="A33" s="38" t="s">
        <v>1000</v>
      </c>
      <c r="B33" s="38" t="s">
        <v>1632</v>
      </c>
      <c r="C33" s="38" t="s">
        <v>999</v>
      </c>
      <c r="D33" s="38">
        <v>1095</v>
      </c>
      <c r="E33" s="63">
        <v>5263.6047749999998</v>
      </c>
      <c r="F33" s="63">
        <v>2.6182292227602</v>
      </c>
    </row>
    <row r="34" spans="1:6" x14ac:dyDescent="0.2">
      <c r="A34" s="38" t="s">
        <v>1176</v>
      </c>
      <c r="B34" s="38" t="s">
        <v>1759</v>
      </c>
      <c r="C34" s="38" t="s">
        <v>688</v>
      </c>
      <c r="D34" s="38">
        <v>1000</v>
      </c>
      <c r="E34" s="63">
        <v>4885.4049999999997</v>
      </c>
      <c r="F34" s="63">
        <v>2.4301045923454301</v>
      </c>
    </row>
    <row r="35" spans="1:6" x14ac:dyDescent="0.2">
      <c r="A35" s="38" t="s">
        <v>1175</v>
      </c>
      <c r="B35" s="38" t="s">
        <v>1760</v>
      </c>
      <c r="C35" s="38" t="s">
        <v>999</v>
      </c>
      <c r="D35" s="38">
        <v>1000</v>
      </c>
      <c r="E35" s="63">
        <v>4871.0150000000003</v>
      </c>
      <c r="F35" s="63">
        <v>2.42294669958447</v>
      </c>
    </row>
    <row r="36" spans="1:6" x14ac:dyDescent="0.2">
      <c r="A36" s="38" t="s">
        <v>1174</v>
      </c>
      <c r="B36" s="38" t="s">
        <v>1761</v>
      </c>
      <c r="C36" s="38" t="s">
        <v>688</v>
      </c>
      <c r="D36" s="38">
        <v>1000</v>
      </c>
      <c r="E36" s="63">
        <v>4841.0050000000001</v>
      </c>
      <c r="F36" s="63">
        <v>2.4080190858418402</v>
      </c>
    </row>
    <row r="37" spans="1:6" x14ac:dyDescent="0.2">
      <c r="A37" s="38" t="s">
        <v>1173</v>
      </c>
      <c r="B37" s="38" t="s">
        <v>1762</v>
      </c>
      <c r="C37" s="38" t="s">
        <v>1007</v>
      </c>
      <c r="D37" s="38">
        <v>1000</v>
      </c>
      <c r="E37" s="63">
        <v>4810.0600000000004</v>
      </c>
      <c r="F37" s="63">
        <v>2.3926263831672201</v>
      </c>
    </row>
    <row r="38" spans="1:6" x14ac:dyDescent="0.2">
      <c r="A38" s="38" t="s">
        <v>1172</v>
      </c>
      <c r="B38" s="38" t="s">
        <v>1763</v>
      </c>
      <c r="C38" s="38" t="s">
        <v>688</v>
      </c>
      <c r="D38" s="38">
        <v>1000</v>
      </c>
      <c r="E38" s="63">
        <v>4794.9849999999997</v>
      </c>
      <c r="F38" s="63">
        <v>2.3851277568036702</v>
      </c>
    </row>
    <row r="39" spans="1:6" x14ac:dyDescent="0.2">
      <c r="A39" s="38" t="s">
        <v>1171</v>
      </c>
      <c r="B39" s="38" t="s">
        <v>1942</v>
      </c>
      <c r="C39" s="38" t="s">
        <v>688</v>
      </c>
      <c r="D39" s="38">
        <v>987</v>
      </c>
      <c r="E39" s="63">
        <v>4725.6967800000002</v>
      </c>
      <c r="F39" s="63">
        <v>2.3506623191137699</v>
      </c>
    </row>
    <row r="40" spans="1:6" x14ac:dyDescent="0.2">
      <c r="A40" s="38" t="s">
        <v>1170</v>
      </c>
      <c r="B40" s="38" t="s">
        <v>1932</v>
      </c>
      <c r="C40" s="38" t="s">
        <v>1007</v>
      </c>
      <c r="D40" s="38">
        <v>1000</v>
      </c>
      <c r="E40" s="63">
        <v>4710.5</v>
      </c>
      <c r="F40" s="63">
        <v>2.3431031167821601</v>
      </c>
    </row>
    <row r="41" spans="1:6" x14ac:dyDescent="0.2">
      <c r="A41" s="38" t="s">
        <v>1169</v>
      </c>
      <c r="B41" s="38" t="s">
        <v>1764</v>
      </c>
      <c r="C41" s="38" t="s">
        <v>999</v>
      </c>
      <c r="D41" s="38">
        <v>500</v>
      </c>
      <c r="E41" s="63">
        <v>2489.09</v>
      </c>
      <c r="F41" s="63">
        <v>1.23812642754512</v>
      </c>
    </row>
    <row r="42" spans="1:6" x14ac:dyDescent="0.2">
      <c r="A42" s="38" t="s">
        <v>1014</v>
      </c>
      <c r="B42" s="38" t="s">
        <v>1927</v>
      </c>
      <c r="C42" s="38" t="s">
        <v>1007</v>
      </c>
      <c r="D42" s="38">
        <v>500</v>
      </c>
      <c r="E42" s="63">
        <v>2415.4450000000002</v>
      </c>
      <c r="F42" s="63">
        <v>1.2014938346069199</v>
      </c>
    </row>
    <row r="43" spans="1:6" x14ac:dyDescent="0.2">
      <c r="A43" s="38" t="s">
        <v>1168</v>
      </c>
      <c r="B43" s="38" t="s">
        <v>1765</v>
      </c>
      <c r="C43" s="38" t="s">
        <v>999</v>
      </c>
      <c r="D43" s="38">
        <v>500</v>
      </c>
      <c r="E43" s="63">
        <v>2362.9549999999999</v>
      </c>
      <c r="F43" s="63">
        <v>1.17538418964356</v>
      </c>
    </row>
    <row r="44" spans="1:6" x14ac:dyDescent="0.2">
      <c r="A44" s="38" t="s">
        <v>1167</v>
      </c>
      <c r="B44" s="38" t="s">
        <v>1948</v>
      </c>
      <c r="C44" s="38" t="s">
        <v>999</v>
      </c>
      <c r="D44" s="38">
        <v>480</v>
      </c>
      <c r="E44" s="63">
        <v>2300.5392000000002</v>
      </c>
      <c r="F44" s="63">
        <v>1.1443372401654901</v>
      </c>
    </row>
    <row r="45" spans="1:6" x14ac:dyDescent="0.2">
      <c r="A45" s="38" t="s">
        <v>1166</v>
      </c>
      <c r="B45" s="38" t="s">
        <v>1766</v>
      </c>
      <c r="C45" s="38" t="s">
        <v>688</v>
      </c>
      <c r="D45" s="38">
        <v>400</v>
      </c>
      <c r="E45" s="63">
        <v>1922.89</v>
      </c>
      <c r="F45" s="63">
        <v>0.95648647749267401</v>
      </c>
    </row>
    <row r="46" spans="1:6" x14ac:dyDescent="0.2">
      <c r="A46" s="38" t="s">
        <v>1165</v>
      </c>
      <c r="B46" s="38" t="s">
        <v>1949</v>
      </c>
      <c r="C46" s="38" t="s">
        <v>999</v>
      </c>
      <c r="D46" s="38">
        <v>400</v>
      </c>
      <c r="E46" s="63">
        <v>1884.6959999999999</v>
      </c>
      <c r="F46" s="63">
        <v>0.93748796768641696</v>
      </c>
    </row>
    <row r="47" spans="1:6" x14ac:dyDescent="0.2">
      <c r="A47" s="38" t="s">
        <v>1164</v>
      </c>
      <c r="B47" s="38" t="s">
        <v>1767</v>
      </c>
      <c r="C47" s="38" t="s">
        <v>999</v>
      </c>
      <c r="D47" s="38">
        <v>240</v>
      </c>
      <c r="E47" s="63">
        <v>1191.7031999999999</v>
      </c>
      <c r="F47" s="63">
        <v>0.592778575989655</v>
      </c>
    </row>
    <row r="48" spans="1:6" x14ac:dyDescent="0.2">
      <c r="A48" s="37" t="s">
        <v>43</v>
      </c>
      <c r="B48" s="38"/>
      <c r="C48" s="38"/>
      <c r="D48" s="38"/>
      <c r="E48" s="64">
        <f>SUM(E26:E47)</f>
        <v>116258.750405</v>
      </c>
      <c r="F48" s="64">
        <f>SUM(F26:F47)</f>
        <v>57.829580814595985</v>
      </c>
    </row>
    <row r="49" spans="1:6" x14ac:dyDescent="0.2">
      <c r="A49" s="38"/>
      <c r="B49" s="38"/>
      <c r="C49" s="38"/>
      <c r="D49" s="38"/>
      <c r="E49" s="63"/>
      <c r="F49" s="63"/>
    </row>
    <row r="50" spans="1:6" x14ac:dyDescent="0.2">
      <c r="A50" s="37" t="s">
        <v>43</v>
      </c>
      <c r="B50" s="38"/>
      <c r="C50" s="38"/>
      <c r="D50" s="38"/>
      <c r="E50" s="64">
        <v>196754.71080500004</v>
      </c>
      <c r="F50" s="64">
        <v>97.869987502126662</v>
      </c>
    </row>
    <row r="51" spans="1:6" x14ac:dyDescent="0.2">
      <c r="A51" s="38"/>
      <c r="B51" s="38"/>
      <c r="C51" s="38"/>
      <c r="D51" s="38"/>
      <c r="E51" s="63"/>
      <c r="F51" s="63"/>
    </row>
    <row r="52" spans="1:6" x14ac:dyDescent="0.2">
      <c r="A52" s="37" t="s">
        <v>101</v>
      </c>
      <c r="B52" s="38"/>
      <c r="C52" s="38"/>
      <c r="D52" s="38"/>
      <c r="E52" s="64">
        <v>4282.1102006000001</v>
      </c>
      <c r="F52" s="64">
        <v>2.13</v>
      </c>
    </row>
    <row r="53" spans="1:6" x14ac:dyDescent="0.2">
      <c r="A53" s="38"/>
      <c r="B53" s="38"/>
      <c r="C53" s="38"/>
      <c r="D53" s="38"/>
      <c r="E53" s="63"/>
      <c r="F53" s="63"/>
    </row>
    <row r="54" spans="1:6" x14ac:dyDescent="0.2">
      <c r="A54" s="80" t="s">
        <v>102</v>
      </c>
      <c r="B54" s="79"/>
      <c r="C54" s="79"/>
      <c r="D54" s="79"/>
      <c r="E54" s="61">
        <v>201036.82020059999</v>
      </c>
      <c r="F54" s="61">
        <f xml:space="preserve"> ROUND(SUM(F50:F53),2)</f>
        <v>100</v>
      </c>
    </row>
    <row r="55" spans="1:6" x14ac:dyDescent="0.2">
      <c r="A55" s="4" t="s">
        <v>686</v>
      </c>
    </row>
    <row r="57" spans="1:6" x14ac:dyDescent="0.2">
      <c r="A57" s="4" t="s">
        <v>103</v>
      </c>
    </row>
    <row r="58" spans="1:6" x14ac:dyDescent="0.2">
      <c r="A58" s="4" t="s">
        <v>685</v>
      </c>
    </row>
    <row r="59" spans="1:6" x14ac:dyDescent="0.2">
      <c r="A59" s="4" t="s">
        <v>608</v>
      </c>
    </row>
    <row r="60" spans="1:6" x14ac:dyDescent="0.2">
      <c r="A60" s="2" t="s">
        <v>994</v>
      </c>
      <c r="D60" s="10">
        <v>33.811900000000001</v>
      </c>
    </row>
    <row r="61" spans="1:6" x14ac:dyDescent="0.2">
      <c r="A61" s="2" t="s">
        <v>987</v>
      </c>
      <c r="D61" s="10">
        <v>10</v>
      </c>
    </row>
    <row r="62" spans="1:6" x14ac:dyDescent="0.2">
      <c r="A62" s="2" t="s">
        <v>1114</v>
      </c>
      <c r="D62" s="10">
        <v>10.1738</v>
      </c>
    </row>
    <row r="63" spans="1:6" x14ac:dyDescent="0.2">
      <c r="A63" s="2" t="s">
        <v>1113</v>
      </c>
      <c r="D63" s="10">
        <v>10.921200000000001</v>
      </c>
    </row>
    <row r="64" spans="1:6" x14ac:dyDescent="0.2">
      <c r="A64" s="2" t="s">
        <v>1115</v>
      </c>
      <c r="D64" s="10">
        <v>34.5867</v>
      </c>
    </row>
    <row r="65" spans="1:4" x14ac:dyDescent="0.2">
      <c r="A65" s="2" t="s">
        <v>1163</v>
      </c>
      <c r="D65" s="10">
        <v>10.001200000000001</v>
      </c>
    </row>
    <row r="66" spans="1:4" x14ac:dyDescent="0.2">
      <c r="A66" s="2" t="s">
        <v>1111</v>
      </c>
      <c r="D66" s="10">
        <v>10.444100000000001</v>
      </c>
    </row>
    <row r="67" spans="1:4" x14ac:dyDescent="0.2">
      <c r="A67" s="2" t="s">
        <v>1110</v>
      </c>
      <c r="D67" s="10">
        <v>11.2323</v>
      </c>
    </row>
    <row r="68" spans="1:4" x14ac:dyDescent="0.2">
      <c r="A68" s="2" t="s">
        <v>1162</v>
      </c>
      <c r="D68" s="10">
        <v>10.365</v>
      </c>
    </row>
    <row r="70" spans="1:4" x14ac:dyDescent="0.2">
      <c r="A70" s="4" t="s">
        <v>105</v>
      </c>
    </row>
    <row r="71" spans="1:4" x14ac:dyDescent="0.2">
      <c r="A71" s="2" t="s">
        <v>994</v>
      </c>
      <c r="D71" s="10">
        <v>35.343000000000004</v>
      </c>
    </row>
    <row r="72" spans="1:4" x14ac:dyDescent="0.2">
      <c r="A72" s="2" t="s">
        <v>987</v>
      </c>
      <c r="D72" s="10">
        <v>10.049799999999999</v>
      </c>
    </row>
    <row r="73" spans="1:4" x14ac:dyDescent="0.2">
      <c r="A73" s="2" t="s">
        <v>1114</v>
      </c>
      <c r="D73" s="10">
        <v>10.2363</v>
      </c>
    </row>
    <row r="74" spans="1:4" x14ac:dyDescent="0.2">
      <c r="A74" s="2" t="s">
        <v>1113</v>
      </c>
      <c r="D74" s="10">
        <v>10.9664</v>
      </c>
    </row>
    <row r="75" spans="1:4" x14ac:dyDescent="0.2">
      <c r="A75" s="2" t="s">
        <v>1115</v>
      </c>
      <c r="D75" s="10">
        <v>36.177399999999999</v>
      </c>
    </row>
    <row r="76" spans="1:4" x14ac:dyDescent="0.2">
      <c r="A76" s="2" t="s">
        <v>1163</v>
      </c>
      <c r="D76" s="10">
        <v>10.0556</v>
      </c>
    </row>
    <row r="77" spans="1:4" x14ac:dyDescent="0.2">
      <c r="A77" s="2" t="s">
        <v>1111</v>
      </c>
      <c r="D77" s="10">
        <v>10.5259</v>
      </c>
    </row>
    <row r="78" spans="1:4" x14ac:dyDescent="0.2">
      <c r="A78" s="2" t="s">
        <v>1110</v>
      </c>
      <c r="D78" s="10">
        <v>11.299200000000001</v>
      </c>
    </row>
    <row r="79" spans="1:4" x14ac:dyDescent="0.2">
      <c r="A79" s="2" t="s">
        <v>1162</v>
      </c>
      <c r="D79" s="10">
        <v>10.369400000000001</v>
      </c>
    </row>
    <row r="81" spans="1:5" x14ac:dyDescent="0.2">
      <c r="A81" s="4" t="s">
        <v>106</v>
      </c>
      <c r="D81" s="20" t="s">
        <v>311</v>
      </c>
    </row>
    <row r="82" spans="1:5" x14ac:dyDescent="0.2">
      <c r="A82" s="107" t="s">
        <v>604</v>
      </c>
      <c r="B82" s="108"/>
      <c r="C82" s="114" t="s">
        <v>605</v>
      </c>
      <c r="D82" s="114"/>
    </row>
    <row r="83" spans="1:5" x14ac:dyDescent="0.2">
      <c r="A83" s="115"/>
      <c r="B83" s="115"/>
      <c r="C83" s="23" t="s">
        <v>606</v>
      </c>
      <c r="D83" s="23" t="s">
        <v>607</v>
      </c>
    </row>
    <row r="84" spans="1:5" x14ac:dyDescent="0.2">
      <c r="A84" s="24" t="s">
        <v>987</v>
      </c>
      <c r="B84" s="25"/>
      <c r="C84" s="59">
        <v>0.28393284280000008</v>
      </c>
      <c r="D84" s="59">
        <v>0.26292322729999995</v>
      </c>
    </row>
    <row r="85" spans="1:5" x14ac:dyDescent="0.2">
      <c r="A85" s="24" t="s">
        <v>1114</v>
      </c>
      <c r="B85" s="25"/>
      <c r="C85" s="59">
        <v>0.280925853</v>
      </c>
      <c r="D85" s="59">
        <v>0.2601387402</v>
      </c>
    </row>
    <row r="86" spans="1:5" x14ac:dyDescent="0.2">
      <c r="A86" s="24" t="s">
        <v>1113</v>
      </c>
      <c r="B86" s="25"/>
      <c r="C86" s="59">
        <v>0.31694198800000001</v>
      </c>
      <c r="D86" s="59">
        <v>0.29348986040000002</v>
      </c>
    </row>
    <row r="87" spans="1:5" x14ac:dyDescent="0.2">
      <c r="A87" s="24" t="s">
        <v>1163</v>
      </c>
      <c r="B87" s="25"/>
      <c r="C87" s="59">
        <v>0.28555821110000013</v>
      </c>
      <c r="D87" s="59">
        <v>0.26442832679999995</v>
      </c>
    </row>
    <row r="88" spans="1:5" x14ac:dyDescent="0.2">
      <c r="A88" s="24" t="s">
        <v>1111</v>
      </c>
      <c r="B88" s="25"/>
      <c r="C88" s="59">
        <v>0.280925853</v>
      </c>
      <c r="D88" s="59">
        <v>0.2601387402</v>
      </c>
    </row>
    <row r="89" spans="1:5" x14ac:dyDescent="0.2">
      <c r="A89" s="24" t="s">
        <v>1110</v>
      </c>
      <c r="B89" s="25"/>
      <c r="C89" s="59">
        <v>0.31694198800000001</v>
      </c>
      <c r="D89" s="59">
        <v>0.29348986040000002</v>
      </c>
    </row>
    <row r="90" spans="1:5" x14ac:dyDescent="0.2">
      <c r="A90" s="24" t="s">
        <v>1162</v>
      </c>
      <c r="B90" s="25"/>
      <c r="C90" s="59">
        <v>0.30714559940000002</v>
      </c>
      <c r="D90" s="59">
        <v>0.28441835560000006</v>
      </c>
    </row>
    <row r="92" spans="1:5" x14ac:dyDescent="0.2">
      <c r="A92" s="4" t="s">
        <v>680</v>
      </c>
      <c r="D92" s="15">
        <v>0.63397742330786067</v>
      </c>
      <c r="E92" s="72" t="s">
        <v>679</v>
      </c>
    </row>
  </sheetData>
  <mergeCells count="4">
    <mergeCell ref="A1:F1"/>
    <mergeCell ref="C82:D82"/>
    <mergeCell ref="A83:B83"/>
    <mergeCell ref="A82:B8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FD32-D4D4-4480-8877-3F8099D47472}">
  <dimension ref="A1:F32"/>
  <sheetViews>
    <sheetView showGridLines="0" workbookViewId="0">
      <selection sqref="A1:F1"/>
    </sheetView>
  </sheetViews>
  <sheetFormatPr defaultRowHeight="11.25" x14ac:dyDescent="0.2"/>
  <cols>
    <col min="1" max="1" width="59.28515625" style="2" bestFit="1" customWidth="1"/>
    <col min="2" max="2" width="14.85546875" style="2" bestFit="1" customWidth="1"/>
    <col min="3" max="3" width="11.7109375" style="2" bestFit="1" customWidth="1"/>
    <col min="4" max="4" width="8.285156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1208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101</v>
      </c>
      <c r="B5" s="38"/>
      <c r="C5" s="38"/>
      <c r="D5" s="38"/>
      <c r="E5" s="64">
        <v>9313.2217113999995</v>
      </c>
      <c r="F5" s="64">
        <v>100</v>
      </c>
    </row>
    <row r="6" spans="1:6" x14ac:dyDescent="0.2">
      <c r="A6" s="38"/>
      <c r="B6" s="38"/>
      <c r="C6" s="38"/>
      <c r="D6" s="38"/>
      <c r="E6" s="63"/>
      <c r="F6" s="63"/>
    </row>
    <row r="7" spans="1:6" x14ac:dyDescent="0.2">
      <c r="A7" s="80" t="s">
        <v>102</v>
      </c>
      <c r="B7" s="79"/>
      <c r="C7" s="79"/>
      <c r="D7" s="79"/>
      <c r="E7" s="61">
        <v>9313.2217113999995</v>
      </c>
      <c r="F7" s="61">
        <f xml:space="preserve"> ROUND(SUM(F5:F6),2)</f>
        <v>100</v>
      </c>
    </row>
    <row r="8" spans="1:6" x14ac:dyDescent="0.2">
      <c r="A8" s="4"/>
    </row>
    <row r="10" spans="1:6" x14ac:dyDescent="0.2">
      <c r="A10" s="4" t="s">
        <v>103</v>
      </c>
    </row>
    <row r="11" spans="1:6" x14ac:dyDescent="0.2">
      <c r="A11" s="4" t="s">
        <v>685</v>
      </c>
    </row>
    <row r="12" spans="1:6" x14ac:dyDescent="0.2">
      <c r="A12" s="4" t="s">
        <v>608</v>
      </c>
      <c r="D12" s="11" t="s">
        <v>1422</v>
      </c>
    </row>
    <row r="14" spans="1:6" x14ac:dyDescent="0.2">
      <c r="A14" s="4" t="s">
        <v>105</v>
      </c>
    </row>
    <row r="15" spans="1:6" x14ac:dyDescent="0.2">
      <c r="A15" s="2" t="s">
        <v>1207</v>
      </c>
      <c r="D15" s="10">
        <v>1012.9385</v>
      </c>
    </row>
    <row r="16" spans="1:6" x14ac:dyDescent="0.2">
      <c r="A16" s="2" t="s">
        <v>1206</v>
      </c>
      <c r="D16" s="10">
        <v>1000</v>
      </c>
    </row>
    <row r="17" spans="1:5" x14ac:dyDescent="0.2">
      <c r="A17" s="2" t="s">
        <v>1205</v>
      </c>
      <c r="D17" s="10">
        <v>1000.4459000000001</v>
      </c>
    </row>
    <row r="18" spans="1:5" x14ac:dyDescent="0.2">
      <c r="A18" s="2" t="s">
        <v>1204</v>
      </c>
      <c r="D18" s="10">
        <v>1012.8054</v>
      </c>
    </row>
    <row r="19" spans="1:5" x14ac:dyDescent="0.2">
      <c r="A19" s="2" t="s">
        <v>1203</v>
      </c>
      <c r="D19" s="10">
        <v>1000</v>
      </c>
    </row>
    <row r="20" spans="1:5" x14ac:dyDescent="0.2">
      <c r="A20" s="2" t="s">
        <v>1200</v>
      </c>
      <c r="D20" s="10">
        <v>1000.4414</v>
      </c>
    </row>
    <row r="22" spans="1:5" x14ac:dyDescent="0.2">
      <c r="A22" s="4" t="s">
        <v>106</v>
      </c>
      <c r="D22" s="20" t="s">
        <v>311</v>
      </c>
    </row>
    <row r="23" spans="1:5" x14ac:dyDescent="0.2">
      <c r="A23" s="21" t="s">
        <v>604</v>
      </c>
      <c r="B23" s="92"/>
      <c r="C23" s="114" t="s">
        <v>605</v>
      </c>
      <c r="D23" s="114"/>
    </row>
    <row r="24" spans="1:5" x14ac:dyDescent="0.2">
      <c r="A24" s="115"/>
      <c r="B24" s="115"/>
      <c r="C24" s="23" t="s">
        <v>606</v>
      </c>
      <c r="D24" s="23" t="s">
        <v>607</v>
      </c>
    </row>
    <row r="25" spans="1:5" x14ac:dyDescent="0.2">
      <c r="A25" s="24" t="s">
        <v>1202</v>
      </c>
      <c r="B25" s="25"/>
      <c r="C25" s="59">
        <v>9.2520355159999994</v>
      </c>
      <c r="D25" s="59">
        <v>8.5674309940000004</v>
      </c>
    </row>
    <row r="26" spans="1:5" x14ac:dyDescent="0.2">
      <c r="A26" s="24" t="s">
        <v>988</v>
      </c>
      <c r="B26" s="25"/>
      <c r="C26" s="59">
        <v>8.9618113800000003</v>
      </c>
      <c r="D26" s="59">
        <v>8.2986820019999996</v>
      </c>
    </row>
    <row r="27" spans="1:5" x14ac:dyDescent="0.2">
      <c r="A27" s="24" t="s">
        <v>1201</v>
      </c>
      <c r="B27" s="25"/>
      <c r="C27" s="59">
        <v>9.1869705029999995</v>
      </c>
      <c r="D27" s="59">
        <v>8.5071804740000001</v>
      </c>
    </row>
    <row r="28" spans="1:5" x14ac:dyDescent="0.2">
      <c r="A28" s="24" t="s">
        <v>1200</v>
      </c>
      <c r="B28" s="25"/>
      <c r="C28" s="59">
        <v>8.9049734850000011</v>
      </c>
      <c r="D28" s="59">
        <v>8.2460498269999984</v>
      </c>
    </row>
    <row r="30" spans="1:5" x14ac:dyDescent="0.2">
      <c r="A30" s="4" t="s">
        <v>680</v>
      </c>
      <c r="D30" s="15">
        <v>2.7322404371584699E-3</v>
      </c>
      <c r="E30" s="72" t="s">
        <v>679</v>
      </c>
    </row>
    <row r="32" spans="1:5" x14ac:dyDescent="0.2">
      <c r="A32" s="9" t="s">
        <v>1199</v>
      </c>
    </row>
  </sheetData>
  <mergeCells count="3">
    <mergeCell ref="A1:F1"/>
    <mergeCell ref="C23:D23"/>
    <mergeCell ref="A24:B2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CE26-D69D-4DAD-903D-B983185F82D2}">
  <dimension ref="A1:F13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61.140625" style="2" bestFit="1" customWidth="1"/>
    <col min="3" max="3" width="11.5703125" style="2" bestFit="1" customWidth="1"/>
    <col min="4" max="4" width="8.285156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1281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1146</v>
      </c>
      <c r="B8" s="38" t="s">
        <v>1747</v>
      </c>
      <c r="C8" s="38" t="s">
        <v>1069</v>
      </c>
      <c r="D8" s="38">
        <v>1800</v>
      </c>
      <c r="E8" s="63">
        <v>17988.876</v>
      </c>
      <c r="F8" s="63">
        <v>1.51812303953312</v>
      </c>
    </row>
    <row r="9" spans="1:6" x14ac:dyDescent="0.2">
      <c r="A9" s="38" t="s">
        <v>1280</v>
      </c>
      <c r="B9" s="38" t="s">
        <v>1821</v>
      </c>
      <c r="C9" s="38" t="s">
        <v>693</v>
      </c>
      <c r="D9" s="38">
        <v>1750</v>
      </c>
      <c r="E9" s="63">
        <v>17526.401667300001</v>
      </c>
      <c r="F9" s="63">
        <v>1.47909375612127</v>
      </c>
    </row>
    <row r="10" spans="1:6" x14ac:dyDescent="0.2">
      <c r="A10" s="38" t="s">
        <v>1279</v>
      </c>
      <c r="B10" s="38" t="s">
        <v>1822</v>
      </c>
      <c r="C10" s="38" t="s">
        <v>1055</v>
      </c>
      <c r="D10" s="38">
        <v>1490</v>
      </c>
      <c r="E10" s="63">
        <v>14898.381606700001</v>
      </c>
      <c r="F10" s="63">
        <v>1.25730903747892</v>
      </c>
    </row>
    <row r="11" spans="1:6" x14ac:dyDescent="0.2">
      <c r="A11" s="38" t="s">
        <v>1278</v>
      </c>
      <c r="B11" s="38" t="s">
        <v>1823</v>
      </c>
      <c r="C11" s="38" t="s">
        <v>791</v>
      </c>
      <c r="D11" s="38">
        <v>1400</v>
      </c>
      <c r="E11" s="63">
        <v>14000</v>
      </c>
      <c r="F11" s="63">
        <v>1.1814925264626699</v>
      </c>
    </row>
    <row r="12" spans="1:6" x14ac:dyDescent="0.2">
      <c r="A12" s="38" t="s">
        <v>1277</v>
      </c>
      <c r="B12" s="38" t="s">
        <v>1950</v>
      </c>
      <c r="C12" s="38" t="s">
        <v>695</v>
      </c>
      <c r="D12" s="38">
        <v>1150</v>
      </c>
      <c r="E12" s="63">
        <v>11468.7775</v>
      </c>
      <c r="F12" s="63">
        <v>0.96787677885094203</v>
      </c>
    </row>
    <row r="13" spans="1:6" x14ac:dyDescent="0.2">
      <c r="A13" s="38" t="s">
        <v>1276</v>
      </c>
      <c r="B13" s="38" t="s">
        <v>1974</v>
      </c>
      <c r="C13" s="38" t="s">
        <v>728</v>
      </c>
      <c r="D13" s="38">
        <v>900</v>
      </c>
      <c r="E13" s="63">
        <v>8999.4792923999994</v>
      </c>
      <c r="F13" s="63">
        <v>0.759486966144723</v>
      </c>
    </row>
    <row r="14" spans="1:6" x14ac:dyDescent="0.2">
      <c r="A14" s="38" t="s">
        <v>1275</v>
      </c>
      <c r="B14" s="38" t="s">
        <v>1824</v>
      </c>
      <c r="C14" s="38" t="s">
        <v>693</v>
      </c>
      <c r="D14" s="38">
        <v>800</v>
      </c>
      <c r="E14" s="63">
        <v>8015.7266663999999</v>
      </c>
      <c r="F14" s="63">
        <v>0.67646579646564997</v>
      </c>
    </row>
    <row r="15" spans="1:6" x14ac:dyDescent="0.2">
      <c r="A15" s="38" t="s">
        <v>1274</v>
      </c>
      <c r="B15" s="38" t="s">
        <v>1825</v>
      </c>
      <c r="C15" s="38" t="s">
        <v>721</v>
      </c>
      <c r="D15" s="38">
        <v>200</v>
      </c>
      <c r="E15" s="63">
        <v>5002.3785263999998</v>
      </c>
      <c r="F15" s="63">
        <v>0.42216234596278102</v>
      </c>
    </row>
    <row r="16" spans="1:6" x14ac:dyDescent="0.2">
      <c r="A16" s="38" t="s">
        <v>1273</v>
      </c>
      <c r="B16" s="38" t="s">
        <v>1826</v>
      </c>
      <c r="C16" s="38" t="s">
        <v>1139</v>
      </c>
      <c r="D16" s="38">
        <v>300</v>
      </c>
      <c r="E16" s="63">
        <v>3006.9450000000002</v>
      </c>
      <c r="F16" s="63">
        <v>0.25376307464173498</v>
      </c>
    </row>
    <row r="17" spans="1:6" x14ac:dyDescent="0.2">
      <c r="A17" s="38" t="s">
        <v>1272</v>
      </c>
      <c r="B17" s="38" t="s">
        <v>1827</v>
      </c>
      <c r="C17" s="38" t="s">
        <v>721</v>
      </c>
      <c r="D17" s="38">
        <v>100</v>
      </c>
      <c r="E17" s="63">
        <v>2500.5713332999999</v>
      </c>
      <c r="F17" s="63">
        <v>0.211029024441481</v>
      </c>
    </row>
    <row r="18" spans="1:6" x14ac:dyDescent="0.2">
      <c r="A18" s="38" t="s">
        <v>1271</v>
      </c>
      <c r="B18" s="38" t="s">
        <v>1828</v>
      </c>
      <c r="C18" s="38" t="s">
        <v>721</v>
      </c>
      <c r="D18" s="38">
        <v>80</v>
      </c>
      <c r="E18" s="63">
        <v>2000.0422315999999</v>
      </c>
      <c r="F18" s="63">
        <v>0.16878821066036501</v>
      </c>
    </row>
    <row r="19" spans="1:6" x14ac:dyDescent="0.2">
      <c r="A19" s="37" t="s">
        <v>43</v>
      </c>
      <c r="B19" s="38"/>
      <c r="C19" s="38"/>
      <c r="D19" s="38"/>
      <c r="E19" s="64">
        <f>SUM(E8:E18)</f>
        <v>105407.57982410003</v>
      </c>
      <c r="F19" s="64">
        <f>SUM(F8:F18)</f>
        <v>8.8955905567636595</v>
      </c>
    </row>
    <row r="20" spans="1:6" x14ac:dyDescent="0.2">
      <c r="A20" s="38"/>
      <c r="B20" s="38"/>
      <c r="C20" s="38"/>
      <c r="D20" s="38"/>
      <c r="E20" s="63"/>
      <c r="F20" s="63"/>
    </row>
    <row r="21" spans="1:6" x14ac:dyDescent="0.2">
      <c r="A21" s="37" t="s">
        <v>973</v>
      </c>
      <c r="B21" s="38"/>
      <c r="C21" s="38"/>
      <c r="D21" s="38"/>
      <c r="E21" s="63"/>
      <c r="F21" s="63"/>
    </row>
    <row r="22" spans="1:6" x14ac:dyDescent="0.2">
      <c r="A22" s="37" t="s">
        <v>972</v>
      </c>
      <c r="B22" s="38"/>
      <c r="C22" s="38"/>
      <c r="D22" s="38"/>
      <c r="E22" s="63"/>
      <c r="F22" s="63"/>
    </row>
    <row r="23" spans="1:6" x14ac:dyDescent="0.2">
      <c r="A23" s="38" t="s">
        <v>1270</v>
      </c>
      <c r="B23" s="38" t="s">
        <v>1814</v>
      </c>
      <c r="C23" s="38" t="s">
        <v>688</v>
      </c>
      <c r="D23" s="38">
        <v>30000</v>
      </c>
      <c r="E23" s="63">
        <v>29914.14</v>
      </c>
      <c r="F23" s="63">
        <v>2.5245237746827098</v>
      </c>
    </row>
    <row r="24" spans="1:6" x14ac:dyDescent="0.2">
      <c r="A24" s="38" t="s">
        <v>1269</v>
      </c>
      <c r="B24" s="38" t="s">
        <v>1815</v>
      </c>
      <c r="C24" s="38" t="s">
        <v>1007</v>
      </c>
      <c r="D24" s="38">
        <v>25000</v>
      </c>
      <c r="E24" s="63">
        <v>25000</v>
      </c>
      <c r="F24" s="63">
        <v>2.10980808296905</v>
      </c>
    </row>
    <row r="25" spans="1:6" x14ac:dyDescent="0.2">
      <c r="A25" s="38" t="s">
        <v>1268</v>
      </c>
      <c r="B25" s="38" t="s">
        <v>1969</v>
      </c>
      <c r="C25" s="38" t="s">
        <v>999</v>
      </c>
      <c r="D25" s="38">
        <v>25000</v>
      </c>
      <c r="E25" s="63">
        <v>24951.174999999999</v>
      </c>
      <c r="F25" s="63">
        <v>2.1056876277830101</v>
      </c>
    </row>
    <row r="26" spans="1:6" x14ac:dyDescent="0.2">
      <c r="A26" s="38" t="s">
        <v>1267</v>
      </c>
      <c r="B26" s="38" t="s">
        <v>1816</v>
      </c>
      <c r="C26" s="38" t="s">
        <v>1183</v>
      </c>
      <c r="D26" s="38">
        <v>20000</v>
      </c>
      <c r="E26" s="63">
        <v>19984.400000000001</v>
      </c>
      <c r="F26" s="63">
        <v>1.68652994613147</v>
      </c>
    </row>
    <row r="27" spans="1:6" x14ac:dyDescent="0.2">
      <c r="A27" s="38" t="s">
        <v>1266</v>
      </c>
      <c r="B27" s="38" t="s">
        <v>1817</v>
      </c>
      <c r="C27" s="38" t="s">
        <v>999</v>
      </c>
      <c r="D27" s="38">
        <v>20000</v>
      </c>
      <c r="E27" s="63">
        <v>19980.38</v>
      </c>
      <c r="F27" s="63">
        <v>1.68619068899172</v>
      </c>
    </row>
    <row r="28" spans="1:6" x14ac:dyDescent="0.2">
      <c r="A28" s="38" t="s">
        <v>1265</v>
      </c>
      <c r="B28" s="38" t="s">
        <v>1818</v>
      </c>
      <c r="C28" s="38" t="s">
        <v>999</v>
      </c>
      <c r="D28" s="38">
        <v>20000</v>
      </c>
      <c r="E28" s="63">
        <v>19977.099999999999</v>
      </c>
      <c r="F28" s="63">
        <v>1.6859138821712401</v>
      </c>
    </row>
    <row r="29" spans="1:6" x14ac:dyDescent="0.2">
      <c r="A29" s="38" t="s">
        <v>1264</v>
      </c>
      <c r="B29" s="38" t="s">
        <v>1819</v>
      </c>
      <c r="C29" s="38" t="s">
        <v>688</v>
      </c>
      <c r="D29" s="38">
        <v>20000</v>
      </c>
      <c r="E29" s="63">
        <v>19974.12</v>
      </c>
      <c r="F29" s="63">
        <v>1.6856623930477499</v>
      </c>
    </row>
    <row r="30" spans="1:6" x14ac:dyDescent="0.2">
      <c r="A30" s="38" t="s">
        <v>1263</v>
      </c>
      <c r="B30" s="38" t="s">
        <v>1820</v>
      </c>
      <c r="C30" s="38" t="s">
        <v>688</v>
      </c>
      <c r="D30" s="38">
        <v>20000</v>
      </c>
      <c r="E30" s="63">
        <v>19957.7</v>
      </c>
      <c r="F30" s="63">
        <v>1.6842766710988499</v>
      </c>
    </row>
    <row r="31" spans="1:6" x14ac:dyDescent="0.2">
      <c r="A31" s="37" t="s">
        <v>43</v>
      </c>
      <c r="B31" s="38"/>
      <c r="C31" s="38"/>
      <c r="D31" s="38"/>
      <c r="E31" s="64">
        <f>SUM(E23:E30)</f>
        <v>179739.01500000001</v>
      </c>
      <c r="F31" s="64">
        <f>SUM(F23:F30)</f>
        <v>15.1685930668758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690</v>
      </c>
      <c r="B33" s="38"/>
      <c r="C33" s="38"/>
      <c r="D33" s="38"/>
      <c r="E33" s="63"/>
      <c r="F33" s="63"/>
    </row>
    <row r="34" spans="1:6" x14ac:dyDescent="0.2">
      <c r="A34" s="38" t="s">
        <v>1262</v>
      </c>
      <c r="B34" s="38" t="s">
        <v>1778</v>
      </c>
      <c r="C34" s="38" t="s">
        <v>999</v>
      </c>
      <c r="D34" s="38">
        <v>10500</v>
      </c>
      <c r="E34" s="63">
        <v>52430.4375</v>
      </c>
      <c r="F34" s="63">
        <v>4.4247264332441398</v>
      </c>
    </row>
    <row r="35" spans="1:6" x14ac:dyDescent="0.2">
      <c r="A35" s="38" t="s">
        <v>1261</v>
      </c>
      <c r="B35" s="38" t="s">
        <v>1779</v>
      </c>
      <c r="C35" s="38" t="s">
        <v>1007</v>
      </c>
      <c r="D35" s="38">
        <v>8580</v>
      </c>
      <c r="E35" s="63">
        <v>42813.771000000001</v>
      </c>
      <c r="F35" s="63">
        <v>3.61315360472743</v>
      </c>
    </row>
    <row r="36" spans="1:6" x14ac:dyDescent="0.2">
      <c r="A36" s="38" t="s">
        <v>1260</v>
      </c>
      <c r="B36" s="38" t="s">
        <v>1780</v>
      </c>
      <c r="C36" s="38" t="s">
        <v>999</v>
      </c>
      <c r="D36" s="38">
        <v>8000</v>
      </c>
      <c r="E36" s="63">
        <v>39862.6</v>
      </c>
      <c r="F36" s="63">
        <v>3.3640974275264801</v>
      </c>
    </row>
    <row r="37" spans="1:6" x14ac:dyDescent="0.2">
      <c r="A37" s="38" t="s">
        <v>1259</v>
      </c>
      <c r="B37" s="38" t="s">
        <v>1781</v>
      </c>
      <c r="C37" s="38" t="s">
        <v>999</v>
      </c>
      <c r="D37" s="38">
        <v>8000</v>
      </c>
      <c r="E37" s="63">
        <v>39829.839999999997</v>
      </c>
      <c r="F37" s="63">
        <v>3.3613327350145599</v>
      </c>
    </row>
    <row r="38" spans="1:6" x14ac:dyDescent="0.2">
      <c r="A38" s="38" t="s">
        <v>1258</v>
      </c>
      <c r="B38" s="38" t="s">
        <v>1782</v>
      </c>
      <c r="C38" s="38" t="s">
        <v>1007</v>
      </c>
      <c r="D38" s="38">
        <v>6000</v>
      </c>
      <c r="E38" s="63">
        <v>29939.7</v>
      </c>
      <c r="F38" s="63">
        <v>2.5266808424667402</v>
      </c>
    </row>
    <row r="39" spans="1:6" x14ac:dyDescent="0.2">
      <c r="A39" s="38" t="s">
        <v>1257</v>
      </c>
      <c r="B39" s="38" t="s">
        <v>1783</v>
      </c>
      <c r="C39" s="38" t="s">
        <v>999</v>
      </c>
      <c r="D39" s="38">
        <v>5700</v>
      </c>
      <c r="E39" s="63">
        <v>28297.051500000001</v>
      </c>
      <c r="F39" s="63">
        <v>2.3880539191556598</v>
      </c>
    </row>
    <row r="40" spans="1:6" x14ac:dyDescent="0.2">
      <c r="A40" s="38" t="s">
        <v>1256</v>
      </c>
      <c r="B40" s="38" t="s">
        <v>1784</v>
      </c>
      <c r="C40" s="38" t="s">
        <v>688</v>
      </c>
      <c r="D40" s="38">
        <v>5000</v>
      </c>
      <c r="E40" s="63">
        <v>24995.825000000001</v>
      </c>
      <c r="F40" s="63">
        <v>2.10945574501919</v>
      </c>
    </row>
    <row r="41" spans="1:6" x14ac:dyDescent="0.2">
      <c r="A41" s="38" t="s">
        <v>1255</v>
      </c>
      <c r="B41" s="38" t="s">
        <v>1785</v>
      </c>
      <c r="C41" s="38" t="s">
        <v>1007</v>
      </c>
      <c r="D41" s="38">
        <v>5000</v>
      </c>
      <c r="E41" s="63">
        <v>24995.4</v>
      </c>
      <c r="F41" s="63">
        <v>2.1094198782817801</v>
      </c>
    </row>
    <row r="42" spans="1:6" x14ac:dyDescent="0.2">
      <c r="A42" s="38" t="s">
        <v>1254</v>
      </c>
      <c r="B42" s="38" t="s">
        <v>1786</v>
      </c>
      <c r="C42" s="38" t="s">
        <v>688</v>
      </c>
      <c r="D42" s="38">
        <v>5000</v>
      </c>
      <c r="E42" s="63">
        <v>24983.3</v>
      </c>
      <c r="F42" s="63">
        <v>2.1083987311696202</v>
      </c>
    </row>
    <row r="43" spans="1:6" x14ac:dyDescent="0.2">
      <c r="A43" s="38" t="s">
        <v>1253</v>
      </c>
      <c r="B43" s="38" t="s">
        <v>1787</v>
      </c>
      <c r="C43" s="38" t="s">
        <v>688</v>
      </c>
      <c r="D43" s="38">
        <v>5000</v>
      </c>
      <c r="E43" s="63">
        <v>24977.924999999999</v>
      </c>
      <c r="F43" s="63">
        <v>2.10794512243179</v>
      </c>
    </row>
    <row r="44" spans="1:6" x14ac:dyDescent="0.2">
      <c r="A44" s="38" t="s">
        <v>1252</v>
      </c>
      <c r="B44" s="38" t="s">
        <v>1788</v>
      </c>
      <c r="C44" s="38" t="s">
        <v>688</v>
      </c>
      <c r="D44" s="38">
        <v>5000</v>
      </c>
      <c r="E44" s="63">
        <v>24945.575000000001</v>
      </c>
      <c r="F44" s="63">
        <v>2.10521503077242</v>
      </c>
    </row>
    <row r="45" spans="1:6" x14ac:dyDescent="0.2">
      <c r="A45" s="38" t="s">
        <v>1251</v>
      </c>
      <c r="B45" s="38" t="s">
        <v>1789</v>
      </c>
      <c r="C45" s="38" t="s">
        <v>1007</v>
      </c>
      <c r="D45" s="38">
        <v>4000</v>
      </c>
      <c r="E45" s="63">
        <v>19972.64</v>
      </c>
      <c r="F45" s="63">
        <v>1.6855374924092399</v>
      </c>
    </row>
    <row r="46" spans="1:6" x14ac:dyDescent="0.2">
      <c r="A46" s="38" t="s">
        <v>1250</v>
      </c>
      <c r="B46" s="38" t="s">
        <v>1790</v>
      </c>
      <c r="C46" s="38" t="s">
        <v>688</v>
      </c>
      <c r="D46" s="38">
        <v>4000</v>
      </c>
      <c r="E46" s="63">
        <v>19972.32</v>
      </c>
      <c r="F46" s="63">
        <v>1.68551048686577</v>
      </c>
    </row>
    <row r="47" spans="1:6" x14ac:dyDescent="0.2">
      <c r="A47" s="38" t="s">
        <v>1249</v>
      </c>
      <c r="B47" s="38" t="s">
        <v>1791</v>
      </c>
      <c r="C47" s="38" t="s">
        <v>1183</v>
      </c>
      <c r="D47" s="38">
        <v>4000</v>
      </c>
      <c r="E47" s="63">
        <v>19918.919999999998</v>
      </c>
      <c r="F47" s="63">
        <v>1.68100393680055</v>
      </c>
    </row>
    <row r="48" spans="1:6" x14ac:dyDescent="0.2">
      <c r="A48" s="38" t="s">
        <v>1248</v>
      </c>
      <c r="B48" s="38" t="s">
        <v>1792</v>
      </c>
      <c r="C48" s="38" t="s">
        <v>999</v>
      </c>
      <c r="D48" s="38">
        <v>4000</v>
      </c>
      <c r="E48" s="63">
        <v>19833.14</v>
      </c>
      <c r="F48" s="63">
        <v>1.67376476330627</v>
      </c>
    </row>
    <row r="49" spans="1:6" x14ac:dyDescent="0.2">
      <c r="A49" s="38" t="s">
        <v>1247</v>
      </c>
      <c r="B49" s="38" t="s">
        <v>1793</v>
      </c>
      <c r="C49" s="38" t="s">
        <v>688</v>
      </c>
      <c r="D49" s="38">
        <v>3000</v>
      </c>
      <c r="E49" s="63">
        <v>14988.584999999999</v>
      </c>
      <c r="F49" s="63">
        <v>1.2649215114107399</v>
      </c>
    </row>
    <row r="50" spans="1:6" x14ac:dyDescent="0.2">
      <c r="A50" s="38" t="s">
        <v>1246</v>
      </c>
      <c r="B50" s="38" t="s">
        <v>1975</v>
      </c>
      <c r="C50" s="38" t="s">
        <v>999</v>
      </c>
      <c r="D50" s="38">
        <v>3000</v>
      </c>
      <c r="E50" s="63">
        <v>14932.08</v>
      </c>
      <c r="F50" s="63">
        <v>1.26015292318162</v>
      </c>
    </row>
    <row r="51" spans="1:6" x14ac:dyDescent="0.2">
      <c r="A51" s="38" t="s">
        <v>1245</v>
      </c>
      <c r="B51" s="38" t="s">
        <v>1794</v>
      </c>
      <c r="C51" s="38" t="s">
        <v>1007</v>
      </c>
      <c r="D51" s="38">
        <v>3000</v>
      </c>
      <c r="E51" s="63">
        <v>14887.47</v>
      </c>
      <c r="F51" s="63">
        <v>1.25638818163837</v>
      </c>
    </row>
    <row r="52" spans="1:6" x14ac:dyDescent="0.2">
      <c r="A52" s="38" t="s">
        <v>1244</v>
      </c>
      <c r="B52" s="38" t="s">
        <v>1795</v>
      </c>
      <c r="C52" s="38" t="s">
        <v>688</v>
      </c>
      <c r="D52" s="38">
        <v>3000</v>
      </c>
      <c r="E52" s="63">
        <v>14822.445</v>
      </c>
      <c r="F52" s="63">
        <v>1.25090057081457</v>
      </c>
    </row>
    <row r="53" spans="1:6" x14ac:dyDescent="0.2">
      <c r="A53" s="38" t="s">
        <v>1243</v>
      </c>
      <c r="B53" s="38" t="s">
        <v>1796</v>
      </c>
      <c r="C53" s="38" t="s">
        <v>688</v>
      </c>
      <c r="D53" s="38">
        <v>3000</v>
      </c>
      <c r="E53" s="63">
        <v>14809.2</v>
      </c>
      <c r="F53" s="63">
        <v>1.24978279449221</v>
      </c>
    </row>
    <row r="54" spans="1:6" x14ac:dyDescent="0.2">
      <c r="A54" s="38" t="s">
        <v>1242</v>
      </c>
      <c r="B54" s="38" t="s">
        <v>1797</v>
      </c>
      <c r="C54" s="38" t="s">
        <v>688</v>
      </c>
      <c r="D54" s="38">
        <v>2800</v>
      </c>
      <c r="E54" s="63">
        <v>13932.814</v>
      </c>
      <c r="F54" s="63">
        <v>1.17582254382817</v>
      </c>
    </row>
    <row r="55" spans="1:6" x14ac:dyDescent="0.2">
      <c r="A55" s="38" t="s">
        <v>1241</v>
      </c>
      <c r="B55" s="38" t="s">
        <v>1798</v>
      </c>
      <c r="C55" s="38" t="s">
        <v>1007</v>
      </c>
      <c r="D55" s="38">
        <v>2500</v>
      </c>
      <c r="E55" s="63">
        <v>12425.65</v>
      </c>
      <c r="F55" s="63">
        <v>1.0486294722457701</v>
      </c>
    </row>
    <row r="56" spans="1:6" x14ac:dyDescent="0.2">
      <c r="A56" s="38" t="s">
        <v>1240</v>
      </c>
      <c r="B56" s="38" t="s">
        <v>1799</v>
      </c>
      <c r="C56" s="38" t="s">
        <v>1007</v>
      </c>
      <c r="D56" s="38">
        <v>2500</v>
      </c>
      <c r="E56" s="63">
        <v>12422.8</v>
      </c>
      <c r="F56" s="63">
        <v>1.0483889541243201</v>
      </c>
    </row>
    <row r="57" spans="1:6" x14ac:dyDescent="0.2">
      <c r="A57" s="38" t="s">
        <v>1239</v>
      </c>
      <c r="B57" s="38" t="s">
        <v>1976</v>
      </c>
      <c r="C57" s="38" t="s">
        <v>999</v>
      </c>
      <c r="D57" s="38">
        <v>2200</v>
      </c>
      <c r="E57" s="63">
        <v>10904.993</v>
      </c>
      <c r="F57" s="63">
        <v>0.92029769504483605</v>
      </c>
    </row>
    <row r="58" spans="1:6" x14ac:dyDescent="0.2">
      <c r="A58" s="38" t="s">
        <v>1238</v>
      </c>
      <c r="B58" s="38" t="s">
        <v>1970</v>
      </c>
      <c r="C58" s="38" t="s">
        <v>688</v>
      </c>
      <c r="D58" s="38">
        <v>2000</v>
      </c>
      <c r="E58" s="63">
        <v>9985.94</v>
      </c>
      <c r="F58" s="63">
        <v>0.84273667712175704</v>
      </c>
    </row>
    <row r="59" spans="1:6" x14ac:dyDescent="0.2">
      <c r="A59" s="38" t="s">
        <v>1237</v>
      </c>
      <c r="B59" s="38" t="s">
        <v>1800</v>
      </c>
      <c r="C59" s="38" t="s">
        <v>688</v>
      </c>
      <c r="D59" s="38">
        <v>2000</v>
      </c>
      <c r="E59" s="63">
        <v>9978.56</v>
      </c>
      <c r="F59" s="63">
        <v>0.84211386177566505</v>
      </c>
    </row>
    <row r="60" spans="1:6" x14ac:dyDescent="0.2">
      <c r="A60" s="38" t="s">
        <v>1236</v>
      </c>
      <c r="B60" s="38" t="s">
        <v>1977</v>
      </c>
      <c r="C60" s="38" t="s">
        <v>999</v>
      </c>
      <c r="D60" s="38">
        <v>2000</v>
      </c>
      <c r="E60" s="63">
        <v>9943.1299999999992</v>
      </c>
      <c r="F60" s="63">
        <v>0.83912384176048105</v>
      </c>
    </row>
    <row r="61" spans="1:6" x14ac:dyDescent="0.2">
      <c r="A61" s="38" t="s">
        <v>1235</v>
      </c>
      <c r="B61" s="38" t="s">
        <v>1801</v>
      </c>
      <c r="C61" s="38" t="s">
        <v>1007</v>
      </c>
      <c r="D61" s="38">
        <v>2000</v>
      </c>
      <c r="E61" s="63">
        <v>9919.2000000000007</v>
      </c>
      <c r="F61" s="63">
        <v>0.83710433346346302</v>
      </c>
    </row>
    <row r="62" spans="1:6" x14ac:dyDescent="0.2">
      <c r="A62" s="38" t="s">
        <v>1234</v>
      </c>
      <c r="B62" s="38" t="s">
        <v>1802</v>
      </c>
      <c r="C62" s="38" t="s">
        <v>999</v>
      </c>
      <c r="D62" s="38">
        <v>2000</v>
      </c>
      <c r="E62" s="63">
        <v>9918.34</v>
      </c>
      <c r="F62" s="63">
        <v>0.83703175606540903</v>
      </c>
    </row>
    <row r="63" spans="1:6" x14ac:dyDescent="0.2">
      <c r="A63" s="38" t="s">
        <v>1233</v>
      </c>
      <c r="B63" s="38" t="s">
        <v>1803</v>
      </c>
      <c r="C63" s="38" t="s">
        <v>1007</v>
      </c>
      <c r="D63" s="38">
        <v>2000</v>
      </c>
      <c r="E63" s="63">
        <v>9911.4599999999991</v>
      </c>
      <c r="F63" s="63">
        <v>0.83645113688097605</v>
      </c>
    </row>
    <row r="64" spans="1:6" x14ac:dyDescent="0.2">
      <c r="A64" s="38" t="s">
        <v>1232</v>
      </c>
      <c r="B64" s="38" t="s">
        <v>1804</v>
      </c>
      <c r="C64" s="38" t="s">
        <v>999</v>
      </c>
      <c r="D64" s="38">
        <v>2000</v>
      </c>
      <c r="E64" s="63">
        <v>9902.01</v>
      </c>
      <c r="F64" s="63">
        <v>0.83565362942561405</v>
      </c>
    </row>
    <row r="65" spans="1:6" x14ac:dyDescent="0.2">
      <c r="A65" s="38" t="s">
        <v>1231</v>
      </c>
      <c r="B65" s="38" t="s">
        <v>1805</v>
      </c>
      <c r="C65" s="38" t="s">
        <v>999</v>
      </c>
      <c r="D65" s="38">
        <v>2000</v>
      </c>
      <c r="E65" s="63">
        <v>9899.99</v>
      </c>
      <c r="F65" s="63">
        <v>0.83548315693250996</v>
      </c>
    </row>
    <row r="66" spans="1:6" x14ac:dyDescent="0.2">
      <c r="A66" s="38" t="s">
        <v>1230</v>
      </c>
      <c r="B66" s="38" t="s">
        <v>1979</v>
      </c>
      <c r="C66" s="38" t="s">
        <v>1183</v>
      </c>
      <c r="D66" s="38">
        <v>1500</v>
      </c>
      <c r="E66" s="63">
        <v>7500</v>
      </c>
      <c r="F66" s="63">
        <v>0.63294242489071395</v>
      </c>
    </row>
    <row r="67" spans="1:6" x14ac:dyDescent="0.2">
      <c r="A67" s="38" t="s">
        <v>1229</v>
      </c>
      <c r="B67" s="38" t="s">
        <v>1806</v>
      </c>
      <c r="C67" s="38" t="s">
        <v>999</v>
      </c>
      <c r="D67" s="38">
        <v>1500</v>
      </c>
      <c r="E67" s="63">
        <v>7475.2650000000003</v>
      </c>
      <c r="F67" s="63">
        <v>0.63085498077342494</v>
      </c>
    </row>
    <row r="68" spans="1:6" x14ac:dyDescent="0.2">
      <c r="A68" s="38" t="s">
        <v>1228</v>
      </c>
      <c r="B68" s="38" t="s">
        <v>1807</v>
      </c>
      <c r="C68" s="38" t="s">
        <v>1227</v>
      </c>
      <c r="D68" s="38">
        <v>1500</v>
      </c>
      <c r="E68" s="63">
        <v>7466.61</v>
      </c>
      <c r="F68" s="63">
        <v>0.63012456521510096</v>
      </c>
    </row>
    <row r="69" spans="1:6" x14ac:dyDescent="0.2">
      <c r="A69" s="38" t="s">
        <v>1226</v>
      </c>
      <c r="B69" s="38" t="s">
        <v>1808</v>
      </c>
      <c r="C69" s="38" t="s">
        <v>688</v>
      </c>
      <c r="D69" s="38">
        <v>1500</v>
      </c>
      <c r="E69" s="63">
        <v>7465.8</v>
      </c>
      <c r="F69" s="63">
        <v>0.630056207433213</v>
      </c>
    </row>
    <row r="70" spans="1:6" x14ac:dyDescent="0.2">
      <c r="A70" s="38" t="s">
        <v>1225</v>
      </c>
      <c r="B70" s="38" t="s">
        <v>1809</v>
      </c>
      <c r="C70" s="38" t="s">
        <v>999</v>
      </c>
      <c r="D70" s="38">
        <v>1500</v>
      </c>
      <c r="E70" s="63">
        <v>7457.2425000000003</v>
      </c>
      <c r="F70" s="63">
        <v>0.62933402012641204</v>
      </c>
    </row>
    <row r="71" spans="1:6" x14ac:dyDescent="0.2">
      <c r="A71" s="38" t="s">
        <v>1224</v>
      </c>
      <c r="B71" s="38" t="s">
        <v>1951</v>
      </c>
      <c r="C71" s="38" t="s">
        <v>1007</v>
      </c>
      <c r="D71" s="38">
        <v>1500</v>
      </c>
      <c r="E71" s="63">
        <v>7437.3225000000002</v>
      </c>
      <c r="F71" s="63">
        <v>0.62765292504590298</v>
      </c>
    </row>
    <row r="72" spans="1:6" x14ac:dyDescent="0.2">
      <c r="A72" s="38" t="s">
        <v>1223</v>
      </c>
      <c r="B72" s="38" t="s">
        <v>1978</v>
      </c>
      <c r="C72" s="38" t="s">
        <v>688</v>
      </c>
      <c r="D72" s="38">
        <v>1000</v>
      </c>
      <c r="E72" s="63">
        <v>4999.1850000000004</v>
      </c>
      <c r="F72" s="63">
        <v>0.42189283685030499</v>
      </c>
    </row>
    <row r="73" spans="1:6" x14ac:dyDescent="0.2">
      <c r="A73" s="38" t="s">
        <v>1222</v>
      </c>
      <c r="B73" s="38" t="s">
        <v>1810</v>
      </c>
      <c r="C73" s="38" t="s">
        <v>688</v>
      </c>
      <c r="D73" s="38">
        <v>1000</v>
      </c>
      <c r="E73" s="63">
        <v>4992.67</v>
      </c>
      <c r="F73" s="63">
        <v>0.42134302086388298</v>
      </c>
    </row>
    <row r="74" spans="1:6" x14ac:dyDescent="0.2">
      <c r="A74" s="38" t="s">
        <v>1221</v>
      </c>
      <c r="B74" s="38" t="s">
        <v>1952</v>
      </c>
      <c r="C74" s="38" t="s">
        <v>999</v>
      </c>
      <c r="D74" s="38">
        <v>1000</v>
      </c>
      <c r="E74" s="63">
        <v>4978.68</v>
      </c>
      <c r="F74" s="63">
        <v>0.420162372260654</v>
      </c>
    </row>
    <row r="75" spans="1:6" x14ac:dyDescent="0.2">
      <c r="A75" s="38" t="s">
        <v>1220</v>
      </c>
      <c r="B75" s="38" t="s">
        <v>1811</v>
      </c>
      <c r="C75" s="38" t="s">
        <v>999</v>
      </c>
      <c r="D75" s="38">
        <v>1000</v>
      </c>
      <c r="E75" s="63">
        <v>4977.22</v>
      </c>
      <c r="F75" s="63">
        <v>0.42003915946860798</v>
      </c>
    </row>
    <row r="76" spans="1:6" x14ac:dyDescent="0.2">
      <c r="A76" s="38" t="s">
        <v>1219</v>
      </c>
      <c r="B76" s="38" t="s">
        <v>1812</v>
      </c>
      <c r="C76" s="38" t="s">
        <v>1218</v>
      </c>
      <c r="D76" s="38">
        <v>1000</v>
      </c>
      <c r="E76" s="63">
        <v>4971.8149999999996</v>
      </c>
      <c r="F76" s="63">
        <v>0.41958301896106998</v>
      </c>
    </row>
    <row r="77" spans="1:6" x14ac:dyDescent="0.2">
      <c r="A77" s="38" t="s">
        <v>1217</v>
      </c>
      <c r="B77" s="38" t="s">
        <v>1953</v>
      </c>
      <c r="C77" s="38" t="s">
        <v>999</v>
      </c>
      <c r="D77" s="38">
        <v>1000</v>
      </c>
      <c r="E77" s="63">
        <v>4965.93</v>
      </c>
      <c r="F77" s="63">
        <v>0.41908637013833899</v>
      </c>
    </row>
    <row r="78" spans="1:6" x14ac:dyDescent="0.2">
      <c r="A78" s="38" t="s">
        <v>1164</v>
      </c>
      <c r="B78" s="38" t="s">
        <v>1767</v>
      </c>
      <c r="C78" s="38" t="s">
        <v>999</v>
      </c>
      <c r="D78" s="38">
        <v>700</v>
      </c>
      <c r="E78" s="63">
        <v>3475.8009999999999</v>
      </c>
      <c r="F78" s="63">
        <v>0.29333092178367598</v>
      </c>
    </row>
    <row r="79" spans="1:6" x14ac:dyDescent="0.2">
      <c r="A79" s="38" t="s">
        <v>1216</v>
      </c>
      <c r="B79" s="38" t="s">
        <v>1962</v>
      </c>
      <c r="C79" s="38" t="s">
        <v>688</v>
      </c>
      <c r="D79" s="38">
        <v>500</v>
      </c>
      <c r="E79" s="63">
        <v>2493.8249999999998</v>
      </c>
      <c r="F79" s="63">
        <v>0.21045968570041099</v>
      </c>
    </row>
    <row r="80" spans="1:6" x14ac:dyDescent="0.2">
      <c r="A80" s="38" t="s">
        <v>1215</v>
      </c>
      <c r="B80" s="38" t="s">
        <v>1813</v>
      </c>
      <c r="C80" s="38" t="s">
        <v>688</v>
      </c>
      <c r="D80" s="38">
        <v>500</v>
      </c>
      <c r="E80" s="63">
        <v>2485.33</v>
      </c>
      <c r="F80" s="63">
        <v>0.20974277291381899</v>
      </c>
    </row>
    <row r="81" spans="1:6" x14ac:dyDescent="0.2">
      <c r="A81" s="38" t="s">
        <v>1214</v>
      </c>
      <c r="B81" s="38" t="s">
        <v>1954</v>
      </c>
      <c r="C81" s="38" t="s">
        <v>999</v>
      </c>
      <c r="D81" s="38">
        <v>500</v>
      </c>
      <c r="E81" s="63">
        <v>2484.06</v>
      </c>
      <c r="F81" s="63">
        <v>0.209635594663204</v>
      </c>
    </row>
    <row r="82" spans="1:6" x14ac:dyDescent="0.2">
      <c r="A82" s="38" t="s">
        <v>1213</v>
      </c>
      <c r="B82" s="38" t="s">
        <v>1955</v>
      </c>
      <c r="C82" s="38" t="s">
        <v>999</v>
      </c>
      <c r="D82" s="38">
        <v>500</v>
      </c>
      <c r="E82" s="63">
        <v>2472.0749999999998</v>
      </c>
      <c r="F82" s="63">
        <v>0.20862415266822801</v>
      </c>
    </row>
    <row r="83" spans="1:6" x14ac:dyDescent="0.2">
      <c r="A83" s="37" t="s">
        <v>43</v>
      </c>
      <c r="B83" s="38"/>
      <c r="C83" s="38"/>
      <c r="D83" s="38"/>
      <c r="E83" s="64">
        <f>SUM(E34:E82)</f>
        <v>729451.9430000002</v>
      </c>
      <c r="F83" s="64">
        <f>SUM(F34:F82)</f>
        <v>61.560144219155106</v>
      </c>
    </row>
    <row r="84" spans="1:6" x14ac:dyDescent="0.2">
      <c r="A84" s="38"/>
      <c r="B84" s="38"/>
      <c r="C84" s="38"/>
      <c r="D84" s="38"/>
      <c r="E84" s="63"/>
      <c r="F84" s="63"/>
    </row>
    <row r="85" spans="1:6" x14ac:dyDescent="0.2">
      <c r="A85" s="37" t="s">
        <v>43</v>
      </c>
      <c r="B85" s="38"/>
      <c r="C85" s="38"/>
      <c r="D85" s="38"/>
      <c r="E85" s="64">
        <v>1014598.5378241002</v>
      </c>
      <c r="F85" s="64">
        <v>85.6243278427945</v>
      </c>
    </row>
    <row r="86" spans="1:6" x14ac:dyDescent="0.2">
      <c r="A86" s="38"/>
      <c r="B86" s="38"/>
      <c r="C86" s="38"/>
      <c r="D86" s="38"/>
      <c r="E86" s="63"/>
      <c r="F86" s="63"/>
    </row>
    <row r="87" spans="1:6" x14ac:dyDescent="0.2">
      <c r="A87" s="37" t="s">
        <v>101</v>
      </c>
      <c r="B87" s="38"/>
      <c r="C87" s="38"/>
      <c r="D87" s="38"/>
      <c r="E87" s="64">
        <v>170343.36072580001</v>
      </c>
      <c r="F87" s="64">
        <v>14.38</v>
      </c>
    </row>
    <row r="88" spans="1:6" x14ac:dyDescent="0.2">
      <c r="A88" s="38"/>
      <c r="B88" s="38"/>
      <c r="C88" s="38"/>
      <c r="D88" s="38"/>
      <c r="E88" s="63"/>
      <c r="F88" s="63"/>
    </row>
    <row r="89" spans="1:6" x14ac:dyDescent="0.2">
      <c r="A89" s="80" t="s">
        <v>102</v>
      </c>
      <c r="B89" s="79"/>
      <c r="C89" s="79"/>
      <c r="D89" s="79"/>
      <c r="E89" s="61">
        <v>1184941.9007258001</v>
      </c>
      <c r="F89" s="61">
        <f xml:space="preserve"> ROUND(SUM(F85:F88),2)</f>
        <v>100</v>
      </c>
    </row>
    <row r="90" spans="1:6" x14ac:dyDescent="0.2">
      <c r="A90" s="4" t="s">
        <v>686</v>
      </c>
    </row>
    <row r="92" spans="1:6" x14ac:dyDescent="0.2">
      <c r="A92" s="4" t="s">
        <v>103</v>
      </c>
    </row>
    <row r="93" spans="1:6" x14ac:dyDescent="0.2">
      <c r="A93" s="4" t="s">
        <v>685</v>
      </c>
    </row>
    <row r="94" spans="1:6" x14ac:dyDescent="0.2">
      <c r="A94" s="4" t="s">
        <v>608</v>
      </c>
    </row>
    <row r="95" spans="1:6" x14ac:dyDescent="0.2">
      <c r="A95" s="2" t="s">
        <v>998</v>
      </c>
      <c r="D95" s="10">
        <v>2754.4558000000002</v>
      </c>
    </row>
    <row r="96" spans="1:6" x14ac:dyDescent="0.2">
      <c r="A96" s="2" t="s">
        <v>991</v>
      </c>
      <c r="D96" s="10">
        <v>1000.7051</v>
      </c>
    </row>
    <row r="97" spans="1:4" x14ac:dyDescent="0.2">
      <c r="A97" s="2" t="s">
        <v>990</v>
      </c>
      <c r="D97" s="10">
        <v>1021.9249</v>
      </c>
    </row>
    <row r="98" spans="1:4" x14ac:dyDescent="0.2">
      <c r="A98" s="2" t="s">
        <v>1207</v>
      </c>
      <c r="D98" s="10">
        <v>2764.4612999999999</v>
      </c>
    </row>
    <row r="99" spans="1:4" x14ac:dyDescent="0.2">
      <c r="A99" s="2" t="s">
        <v>1212</v>
      </c>
      <c r="D99" s="10">
        <v>1001.8422</v>
      </c>
    </row>
    <row r="100" spans="1:4" x14ac:dyDescent="0.2">
      <c r="A100" s="2" t="s">
        <v>1205</v>
      </c>
      <c r="D100" s="10">
        <v>1022.1955</v>
      </c>
    </row>
    <row r="101" spans="1:4" x14ac:dyDescent="0.2">
      <c r="A101" s="2" t="s">
        <v>993</v>
      </c>
      <c r="D101" s="10">
        <v>2802.5032999999999</v>
      </c>
    </row>
    <row r="102" spans="1:4" x14ac:dyDescent="0.2">
      <c r="A102" s="2" t="s">
        <v>985</v>
      </c>
      <c r="D102" s="10">
        <v>1000.6505</v>
      </c>
    </row>
    <row r="103" spans="1:4" x14ac:dyDescent="0.2">
      <c r="A103" s="2" t="s">
        <v>1209</v>
      </c>
      <c r="D103" s="10">
        <v>1055.5172</v>
      </c>
    </row>
    <row r="104" spans="1:4" x14ac:dyDescent="0.2">
      <c r="A104" s="2" t="s">
        <v>1204</v>
      </c>
      <c r="D104" s="10">
        <v>4324.0577999999996</v>
      </c>
    </row>
    <row r="105" spans="1:4" x14ac:dyDescent="0.2">
      <c r="A105" s="2" t="s">
        <v>1203</v>
      </c>
      <c r="D105" s="10">
        <v>1512.2955999999999</v>
      </c>
    </row>
    <row r="106" spans="1:4" x14ac:dyDescent="0.2">
      <c r="A106" s="2" t="s">
        <v>1200</v>
      </c>
      <c r="D106" s="10">
        <v>1245.2052000000001</v>
      </c>
    </row>
    <row r="107" spans="1:4" x14ac:dyDescent="0.2">
      <c r="A107" s="2" t="s">
        <v>1211</v>
      </c>
      <c r="D107" s="10">
        <v>11.697699999999999</v>
      </c>
    </row>
    <row r="108" spans="1:4" x14ac:dyDescent="0.2">
      <c r="A108" s="2" t="s">
        <v>1210</v>
      </c>
      <c r="D108" s="10">
        <v>11.697699999999999</v>
      </c>
    </row>
    <row r="110" spans="1:4" x14ac:dyDescent="0.2">
      <c r="A110" s="4" t="s">
        <v>105</v>
      </c>
    </row>
    <row r="111" spans="1:4" x14ac:dyDescent="0.2">
      <c r="A111" s="2" t="s">
        <v>998</v>
      </c>
      <c r="D111" s="10">
        <v>2854.7725</v>
      </c>
    </row>
    <row r="112" spans="1:4" x14ac:dyDescent="0.2">
      <c r="A112" s="2" t="s">
        <v>991</v>
      </c>
      <c r="D112" s="10">
        <v>1000.7051</v>
      </c>
    </row>
    <row r="113" spans="1:4" x14ac:dyDescent="0.2">
      <c r="A113" s="2" t="s">
        <v>990</v>
      </c>
      <c r="D113" s="10">
        <v>1021.6853</v>
      </c>
    </row>
    <row r="114" spans="1:4" x14ac:dyDescent="0.2">
      <c r="A114" s="2" t="s">
        <v>1207</v>
      </c>
      <c r="D114" s="10">
        <v>2865.9096</v>
      </c>
    </row>
    <row r="115" spans="1:4" x14ac:dyDescent="0.2">
      <c r="A115" s="2" t="s">
        <v>1212</v>
      </c>
      <c r="D115" s="10">
        <v>1001.8422</v>
      </c>
    </row>
    <row r="116" spans="1:4" x14ac:dyDescent="0.2">
      <c r="A116" s="2" t="s">
        <v>1205</v>
      </c>
      <c r="D116" s="10">
        <v>1021.9553</v>
      </c>
    </row>
    <row r="117" spans="1:4" x14ac:dyDescent="0.2">
      <c r="A117" s="2" t="s">
        <v>993</v>
      </c>
      <c r="D117" s="10">
        <v>2898.2602000000002</v>
      </c>
    </row>
    <row r="118" spans="1:4" x14ac:dyDescent="0.2">
      <c r="A118" s="2" t="s">
        <v>985</v>
      </c>
      <c r="D118" s="10">
        <v>1000.6505</v>
      </c>
    </row>
    <row r="119" spans="1:4" x14ac:dyDescent="0.2">
      <c r="A119" s="2" t="s">
        <v>1209</v>
      </c>
      <c r="D119" s="10">
        <v>1055.2518</v>
      </c>
    </row>
    <row r="120" spans="1:4" x14ac:dyDescent="0.2">
      <c r="A120" s="2" t="s">
        <v>1204</v>
      </c>
      <c r="D120" s="10">
        <v>4466.2749999999996</v>
      </c>
    </row>
    <row r="121" spans="1:4" x14ac:dyDescent="0.2">
      <c r="A121" s="2" t="s">
        <v>1203</v>
      </c>
      <c r="D121" s="10">
        <v>1512.2955999999999</v>
      </c>
    </row>
    <row r="122" spans="1:4" x14ac:dyDescent="0.2">
      <c r="A122" s="2" t="s">
        <v>1200</v>
      </c>
      <c r="D122" s="10">
        <v>1244.9381000000001</v>
      </c>
    </row>
    <row r="123" spans="1:4" x14ac:dyDescent="0.2">
      <c r="A123" s="2" t="s">
        <v>1211</v>
      </c>
      <c r="D123" s="10">
        <v>12.103999999999999</v>
      </c>
    </row>
    <row r="124" spans="1:4" x14ac:dyDescent="0.2">
      <c r="A124" s="2" t="s">
        <v>1210</v>
      </c>
      <c r="D124" s="10">
        <v>12.103999999999999</v>
      </c>
    </row>
    <row r="126" spans="1:4" x14ac:dyDescent="0.2">
      <c r="A126" s="4" t="s">
        <v>106</v>
      </c>
      <c r="D126" s="20" t="s">
        <v>311</v>
      </c>
    </row>
    <row r="127" spans="1:4" x14ac:dyDescent="0.2">
      <c r="A127" s="107" t="s">
        <v>604</v>
      </c>
      <c r="B127" s="108"/>
      <c r="C127" s="114" t="s">
        <v>605</v>
      </c>
      <c r="D127" s="114"/>
    </row>
    <row r="128" spans="1:4" x14ac:dyDescent="0.2">
      <c r="A128" s="115"/>
      <c r="B128" s="115"/>
      <c r="C128" s="23" t="s">
        <v>606</v>
      </c>
      <c r="D128" s="23" t="s">
        <v>607</v>
      </c>
    </row>
    <row r="129" spans="1:5" x14ac:dyDescent="0.2">
      <c r="A129" s="24" t="s">
        <v>991</v>
      </c>
      <c r="B129" s="25"/>
      <c r="C129" s="59">
        <v>25.789310008000015</v>
      </c>
      <c r="D129" s="59">
        <v>23.881029589000008</v>
      </c>
    </row>
    <row r="130" spans="1:5" x14ac:dyDescent="0.2">
      <c r="A130" s="24" t="s">
        <v>990</v>
      </c>
      <c r="B130" s="25"/>
      <c r="C130" s="59">
        <v>26.502986537000002</v>
      </c>
      <c r="D130" s="59">
        <v>24.541897612</v>
      </c>
    </row>
    <row r="131" spans="1:5" x14ac:dyDescent="0.2">
      <c r="A131" s="24" t="s">
        <v>1202</v>
      </c>
      <c r="B131" s="25"/>
      <c r="C131" s="59">
        <v>25.999003238</v>
      </c>
      <c r="D131" s="59">
        <v>24.075206570000017</v>
      </c>
    </row>
    <row r="132" spans="1:5" x14ac:dyDescent="0.2">
      <c r="A132" s="24" t="s">
        <v>988</v>
      </c>
      <c r="B132" s="25"/>
      <c r="C132" s="59">
        <v>26.694601756999994</v>
      </c>
      <c r="D132" s="59">
        <v>24.719334261999997</v>
      </c>
    </row>
    <row r="133" spans="1:5" x14ac:dyDescent="0.2">
      <c r="A133" s="24" t="s">
        <v>985</v>
      </c>
      <c r="B133" s="25"/>
      <c r="C133" s="59">
        <v>24.21990954699999</v>
      </c>
      <c r="D133" s="59">
        <v>22.427756944000009</v>
      </c>
    </row>
    <row r="134" spans="1:5" x14ac:dyDescent="0.2">
      <c r="A134" s="24" t="s">
        <v>1209</v>
      </c>
      <c r="B134" s="25"/>
      <c r="C134" s="59">
        <v>25.775479013000002</v>
      </c>
      <c r="D134" s="59">
        <v>23.868222019999997</v>
      </c>
    </row>
    <row r="135" spans="1:5" x14ac:dyDescent="0.2">
      <c r="A135" s="24" t="s">
        <v>1201</v>
      </c>
      <c r="B135" s="25"/>
      <c r="C135" s="59">
        <v>35.25554881499999</v>
      </c>
      <c r="D135" s="59">
        <v>32.646813901000016</v>
      </c>
    </row>
    <row r="136" spans="1:5" x14ac:dyDescent="0.2">
      <c r="A136" s="24" t="s">
        <v>1200</v>
      </c>
      <c r="B136" s="25"/>
      <c r="C136" s="59">
        <v>29.216177647999995</v>
      </c>
      <c r="D136" s="59">
        <v>27.054326103999998</v>
      </c>
    </row>
    <row r="138" spans="1:5" x14ac:dyDescent="0.2">
      <c r="A138" s="4" t="s">
        <v>680</v>
      </c>
      <c r="D138" s="15">
        <v>4.6640847763640803E-2</v>
      </c>
      <c r="E138" s="72" t="s">
        <v>679</v>
      </c>
    </row>
  </sheetData>
  <mergeCells count="4">
    <mergeCell ref="A1:F1"/>
    <mergeCell ref="C127:D127"/>
    <mergeCell ref="A128:B128"/>
    <mergeCell ref="A127:B12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F070-64AF-496A-92E4-6386C7DB8D8D}">
  <dimension ref="A1:F14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42578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1296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747</v>
      </c>
      <c r="B8" s="38" t="s">
        <v>1441</v>
      </c>
      <c r="C8" s="38" t="s">
        <v>691</v>
      </c>
      <c r="D8" s="38">
        <v>2200</v>
      </c>
      <c r="E8" s="63">
        <v>21849.916000000001</v>
      </c>
      <c r="F8" s="63">
        <v>3.4497469876001898</v>
      </c>
    </row>
    <row r="9" spans="1:6" x14ac:dyDescent="0.2">
      <c r="A9" s="38" t="s">
        <v>855</v>
      </c>
      <c r="B9" s="38" t="s">
        <v>1549</v>
      </c>
      <c r="C9" s="38" t="s">
        <v>754</v>
      </c>
      <c r="D9" s="38">
        <v>2170</v>
      </c>
      <c r="E9" s="63">
        <v>21327.9535</v>
      </c>
      <c r="F9" s="63">
        <v>3.3673375832795802</v>
      </c>
    </row>
    <row r="10" spans="1:6" x14ac:dyDescent="0.2">
      <c r="A10" s="38" t="s">
        <v>1295</v>
      </c>
      <c r="B10" s="38" t="s">
        <v>1837</v>
      </c>
      <c r="C10" s="38" t="s">
        <v>791</v>
      </c>
      <c r="D10" s="38">
        <v>2500</v>
      </c>
      <c r="E10" s="63">
        <v>19877.8</v>
      </c>
      <c r="F10" s="63">
        <v>3.1383818898946401</v>
      </c>
    </row>
    <row r="11" spans="1:6" x14ac:dyDescent="0.2">
      <c r="A11" s="38" t="s">
        <v>826</v>
      </c>
      <c r="B11" s="38" t="s">
        <v>1474</v>
      </c>
      <c r="C11" s="38" t="s">
        <v>754</v>
      </c>
      <c r="D11" s="38">
        <v>1510</v>
      </c>
      <c r="E11" s="63">
        <v>14775.3802</v>
      </c>
      <c r="F11" s="63">
        <v>2.33279264485948</v>
      </c>
    </row>
    <row r="12" spans="1:6" x14ac:dyDescent="0.2">
      <c r="A12" s="38" t="s">
        <v>1294</v>
      </c>
      <c r="B12" s="38" t="s">
        <v>1956</v>
      </c>
      <c r="C12" s="38" t="s">
        <v>728</v>
      </c>
      <c r="D12" s="38">
        <v>1500</v>
      </c>
      <c r="E12" s="63">
        <v>14692.59</v>
      </c>
      <c r="F12" s="63">
        <v>2.3197214164367801</v>
      </c>
    </row>
    <row r="13" spans="1:6" x14ac:dyDescent="0.2">
      <c r="A13" s="38" t="s">
        <v>815</v>
      </c>
      <c r="B13" s="38" t="s">
        <v>1485</v>
      </c>
      <c r="C13" s="38" t="s">
        <v>814</v>
      </c>
      <c r="D13" s="38">
        <v>1450</v>
      </c>
      <c r="E13" s="63">
        <v>14493.243</v>
      </c>
      <c r="F13" s="63">
        <v>2.28824776167595</v>
      </c>
    </row>
    <row r="14" spans="1:6" x14ac:dyDescent="0.2">
      <c r="A14" s="38" t="s">
        <v>1150</v>
      </c>
      <c r="B14" s="38" t="s">
        <v>1947</v>
      </c>
      <c r="C14" s="38" t="s">
        <v>728</v>
      </c>
      <c r="D14" s="38">
        <v>1300</v>
      </c>
      <c r="E14" s="63">
        <v>12729.093000000001</v>
      </c>
      <c r="F14" s="63">
        <v>2.0097171188956802</v>
      </c>
    </row>
    <row r="15" spans="1:6" x14ac:dyDescent="0.2">
      <c r="A15" s="38" t="s">
        <v>724</v>
      </c>
      <c r="B15" s="38" t="s">
        <v>1438</v>
      </c>
      <c r="C15" s="38" t="s">
        <v>693</v>
      </c>
      <c r="D15" s="38">
        <v>1250</v>
      </c>
      <c r="E15" s="63">
        <v>12476.174999999999</v>
      </c>
      <c r="F15" s="63">
        <v>1.9697854729978299</v>
      </c>
    </row>
    <row r="16" spans="1:6" x14ac:dyDescent="0.2">
      <c r="A16" s="38" t="s">
        <v>1104</v>
      </c>
      <c r="B16" s="38" t="s">
        <v>1664</v>
      </c>
      <c r="C16" s="38" t="s">
        <v>798</v>
      </c>
      <c r="D16" s="38">
        <v>1102</v>
      </c>
      <c r="E16" s="63">
        <v>10990.290080000001</v>
      </c>
      <c r="F16" s="63">
        <v>1.73518836851969</v>
      </c>
    </row>
    <row r="17" spans="1:6" x14ac:dyDescent="0.2">
      <c r="A17" s="38" t="s">
        <v>1107</v>
      </c>
      <c r="B17" s="38" t="s">
        <v>1662</v>
      </c>
      <c r="C17" s="38" t="s">
        <v>728</v>
      </c>
      <c r="D17" s="38">
        <v>2000</v>
      </c>
      <c r="E17" s="63">
        <v>9972.66</v>
      </c>
      <c r="F17" s="63">
        <v>1.5745211008299</v>
      </c>
    </row>
    <row r="18" spans="1:6" x14ac:dyDescent="0.2">
      <c r="A18" s="38" t="s">
        <v>1293</v>
      </c>
      <c r="B18" s="38" t="s">
        <v>1838</v>
      </c>
      <c r="C18" s="38" t="s">
        <v>791</v>
      </c>
      <c r="D18" s="38">
        <v>1250</v>
      </c>
      <c r="E18" s="63">
        <v>9940.9500000000007</v>
      </c>
      <c r="F18" s="63">
        <v>1.5695146066641199</v>
      </c>
    </row>
    <row r="19" spans="1:6" x14ac:dyDescent="0.2">
      <c r="A19" s="38" t="s">
        <v>1093</v>
      </c>
      <c r="B19" s="38" t="s">
        <v>1675</v>
      </c>
      <c r="C19" s="38" t="s">
        <v>713</v>
      </c>
      <c r="D19" s="38">
        <v>1000</v>
      </c>
      <c r="E19" s="63">
        <v>9826.2800000000007</v>
      </c>
      <c r="F19" s="63">
        <v>1.55141007541246</v>
      </c>
    </row>
    <row r="20" spans="1:6" x14ac:dyDescent="0.2">
      <c r="A20" s="38" t="s">
        <v>1070</v>
      </c>
      <c r="B20" s="38" t="s">
        <v>1695</v>
      </c>
      <c r="C20" s="38" t="s">
        <v>1069</v>
      </c>
      <c r="D20" s="38">
        <v>1000</v>
      </c>
      <c r="E20" s="63">
        <v>9780.51</v>
      </c>
      <c r="F20" s="63">
        <v>1.5441837355207</v>
      </c>
    </row>
    <row r="21" spans="1:6" x14ac:dyDescent="0.2">
      <c r="A21" s="38" t="s">
        <v>1094</v>
      </c>
      <c r="B21" s="38" t="s">
        <v>1674</v>
      </c>
      <c r="C21" s="38" t="s">
        <v>718</v>
      </c>
      <c r="D21" s="38">
        <v>915</v>
      </c>
      <c r="E21" s="63">
        <v>9060.2476499999993</v>
      </c>
      <c r="F21" s="63">
        <v>1.4304660044230499</v>
      </c>
    </row>
    <row r="22" spans="1:6" x14ac:dyDescent="0.2">
      <c r="A22" s="38" t="s">
        <v>818</v>
      </c>
      <c r="B22" s="38" t="s">
        <v>1482</v>
      </c>
      <c r="C22" s="38" t="s">
        <v>718</v>
      </c>
      <c r="D22" s="38">
        <v>780</v>
      </c>
      <c r="E22" s="63">
        <v>8050.3955999999998</v>
      </c>
      <c r="F22" s="63">
        <v>1.27102676138846</v>
      </c>
    </row>
    <row r="23" spans="1:6" x14ac:dyDescent="0.2">
      <c r="A23" s="38" t="s">
        <v>873</v>
      </c>
      <c r="B23" s="38" t="s">
        <v>1532</v>
      </c>
      <c r="C23" s="38" t="s">
        <v>787</v>
      </c>
      <c r="D23" s="38">
        <v>600</v>
      </c>
      <c r="E23" s="63">
        <v>6765.96</v>
      </c>
      <c r="F23" s="63">
        <v>1.0682352338665</v>
      </c>
    </row>
    <row r="24" spans="1:6" x14ac:dyDescent="0.2">
      <c r="A24" s="38" t="s">
        <v>1108</v>
      </c>
      <c r="B24" s="38" t="s">
        <v>1661</v>
      </c>
      <c r="C24" s="38" t="s">
        <v>695</v>
      </c>
      <c r="D24" s="38">
        <v>500</v>
      </c>
      <c r="E24" s="63">
        <v>4993.6000000000004</v>
      </c>
      <c r="F24" s="63">
        <v>0.78840836538137304</v>
      </c>
    </row>
    <row r="25" spans="1:6" x14ac:dyDescent="0.2">
      <c r="A25" s="38" t="s">
        <v>1292</v>
      </c>
      <c r="B25" s="38" t="s">
        <v>1839</v>
      </c>
      <c r="C25" s="38" t="s">
        <v>713</v>
      </c>
      <c r="D25" s="38">
        <v>500</v>
      </c>
      <c r="E25" s="63">
        <v>4650.05</v>
      </c>
      <c r="F25" s="63">
        <v>0.73416739815797305</v>
      </c>
    </row>
    <row r="26" spans="1:6" x14ac:dyDescent="0.2">
      <c r="A26" s="38" t="s">
        <v>1090</v>
      </c>
      <c r="B26" s="38" t="s">
        <v>1678</v>
      </c>
      <c r="C26" s="38" t="s">
        <v>905</v>
      </c>
      <c r="D26" s="38">
        <v>430</v>
      </c>
      <c r="E26" s="63">
        <v>4286.9624000000003</v>
      </c>
      <c r="F26" s="63">
        <v>0.67684176110129102</v>
      </c>
    </row>
    <row r="27" spans="1:6" x14ac:dyDescent="0.2">
      <c r="A27" s="38" t="s">
        <v>816</v>
      </c>
      <c r="B27" s="38" t="s">
        <v>1484</v>
      </c>
      <c r="C27" s="38" t="s">
        <v>693</v>
      </c>
      <c r="D27" s="38">
        <v>400</v>
      </c>
      <c r="E27" s="63">
        <v>4006.9639999999999</v>
      </c>
      <c r="F27" s="63">
        <v>0.632634559712834</v>
      </c>
    </row>
    <row r="28" spans="1:6" x14ac:dyDescent="0.2">
      <c r="A28" s="38" t="s">
        <v>1097</v>
      </c>
      <c r="B28" s="38" t="s">
        <v>1671</v>
      </c>
      <c r="C28" s="38" t="s">
        <v>752</v>
      </c>
      <c r="D28" s="38">
        <v>400</v>
      </c>
      <c r="E28" s="63">
        <v>3960.6959999999999</v>
      </c>
      <c r="F28" s="63">
        <v>0.62532959370645302</v>
      </c>
    </row>
    <row r="29" spans="1:6" x14ac:dyDescent="0.2">
      <c r="A29" s="38" t="s">
        <v>809</v>
      </c>
      <c r="B29" s="38" t="s">
        <v>1490</v>
      </c>
      <c r="C29" s="38" t="s">
        <v>752</v>
      </c>
      <c r="D29" s="38">
        <v>7</v>
      </c>
      <c r="E29" s="63">
        <v>3552.8850000000002</v>
      </c>
      <c r="F29" s="63">
        <v>0.56094285790571896</v>
      </c>
    </row>
    <row r="30" spans="1:6" x14ac:dyDescent="0.2">
      <c r="A30" s="38" t="s">
        <v>1099</v>
      </c>
      <c r="B30" s="38" t="s">
        <v>1669</v>
      </c>
      <c r="C30" s="38" t="s">
        <v>752</v>
      </c>
      <c r="D30" s="38">
        <v>7</v>
      </c>
      <c r="E30" s="63">
        <v>3502.8177332999999</v>
      </c>
      <c r="F30" s="63">
        <v>0.55303804937118295</v>
      </c>
    </row>
    <row r="31" spans="1:6" x14ac:dyDescent="0.2">
      <c r="A31" s="38" t="s">
        <v>883</v>
      </c>
      <c r="B31" s="38" t="s">
        <v>1522</v>
      </c>
      <c r="C31" s="38" t="s">
        <v>695</v>
      </c>
      <c r="D31" s="38">
        <v>350</v>
      </c>
      <c r="E31" s="63">
        <v>3497.5255000000002</v>
      </c>
      <c r="F31" s="63">
        <v>0.55220249165625401</v>
      </c>
    </row>
    <row r="32" spans="1:6" x14ac:dyDescent="0.2">
      <c r="A32" s="38" t="s">
        <v>1291</v>
      </c>
      <c r="B32" s="38" t="s">
        <v>1840</v>
      </c>
      <c r="C32" s="38" t="s">
        <v>715</v>
      </c>
      <c r="D32" s="38">
        <v>300</v>
      </c>
      <c r="E32" s="63">
        <v>3012.8580000000002</v>
      </c>
      <c r="F32" s="63">
        <v>0.47568136232501401</v>
      </c>
    </row>
    <row r="33" spans="1:6" x14ac:dyDescent="0.2">
      <c r="A33" s="38" t="s">
        <v>910</v>
      </c>
      <c r="B33" s="38" t="s">
        <v>1567</v>
      </c>
      <c r="C33" s="38" t="s">
        <v>798</v>
      </c>
      <c r="D33" s="38">
        <v>300</v>
      </c>
      <c r="E33" s="63">
        <v>2966.19</v>
      </c>
      <c r="F33" s="63">
        <v>0.46831324281291498</v>
      </c>
    </row>
    <row r="34" spans="1:6" x14ac:dyDescent="0.2">
      <c r="A34" s="38" t="s">
        <v>911</v>
      </c>
      <c r="B34" s="38" t="s">
        <v>1566</v>
      </c>
      <c r="C34" s="38" t="s">
        <v>905</v>
      </c>
      <c r="D34" s="38">
        <v>300</v>
      </c>
      <c r="E34" s="63">
        <v>2936.6489999999999</v>
      </c>
      <c r="F34" s="63">
        <v>0.46364919853188902</v>
      </c>
    </row>
    <row r="35" spans="1:6" x14ac:dyDescent="0.2">
      <c r="A35" s="38" t="s">
        <v>858</v>
      </c>
      <c r="B35" s="38" t="s">
        <v>1546</v>
      </c>
      <c r="C35" s="38" t="s">
        <v>752</v>
      </c>
      <c r="D35" s="38">
        <v>280</v>
      </c>
      <c r="E35" s="63">
        <v>2799.9938400000001</v>
      </c>
      <c r="F35" s="63">
        <v>0.442073567460813</v>
      </c>
    </row>
    <row r="36" spans="1:6" x14ac:dyDescent="0.2">
      <c r="A36" s="38" t="s">
        <v>966</v>
      </c>
      <c r="B36" s="38" t="s">
        <v>1583</v>
      </c>
      <c r="C36" s="38" t="s">
        <v>693</v>
      </c>
      <c r="D36" s="38">
        <v>250</v>
      </c>
      <c r="E36" s="63">
        <v>2582.88</v>
      </c>
      <c r="F36" s="63">
        <v>0.407794817121163</v>
      </c>
    </row>
    <row r="37" spans="1:6" x14ac:dyDescent="0.2">
      <c r="A37" s="38" t="s">
        <v>813</v>
      </c>
      <c r="B37" s="38" t="s">
        <v>1486</v>
      </c>
      <c r="C37" s="38" t="s">
        <v>801</v>
      </c>
      <c r="D37" s="38">
        <v>250</v>
      </c>
      <c r="E37" s="63">
        <v>2503.5549999999998</v>
      </c>
      <c r="F37" s="63">
        <v>0.39527068751849598</v>
      </c>
    </row>
    <row r="38" spans="1:6" x14ac:dyDescent="0.2">
      <c r="A38" s="38" t="s">
        <v>872</v>
      </c>
      <c r="B38" s="38" t="s">
        <v>1533</v>
      </c>
      <c r="C38" s="38" t="s">
        <v>728</v>
      </c>
      <c r="D38" s="38">
        <v>250</v>
      </c>
      <c r="E38" s="63">
        <v>2494.62</v>
      </c>
      <c r="F38" s="63">
        <v>0.39385999608452399</v>
      </c>
    </row>
    <row r="39" spans="1:6" x14ac:dyDescent="0.2">
      <c r="A39" s="38" t="s">
        <v>825</v>
      </c>
      <c r="B39" s="38" t="s">
        <v>1475</v>
      </c>
      <c r="C39" s="38" t="s">
        <v>713</v>
      </c>
      <c r="D39" s="38">
        <v>250</v>
      </c>
      <c r="E39" s="63">
        <v>2281.1075000000001</v>
      </c>
      <c r="F39" s="63">
        <v>0.36014983886058</v>
      </c>
    </row>
    <row r="40" spans="1:6" x14ac:dyDescent="0.2">
      <c r="A40" s="38" t="s">
        <v>866</v>
      </c>
      <c r="B40" s="38" t="s">
        <v>1528</v>
      </c>
      <c r="C40" s="38" t="s">
        <v>728</v>
      </c>
      <c r="D40" s="38">
        <v>200</v>
      </c>
      <c r="E40" s="63">
        <v>1938.2560000000001</v>
      </c>
      <c r="F40" s="63">
        <v>0.30601915344653902</v>
      </c>
    </row>
    <row r="41" spans="1:6" x14ac:dyDescent="0.2">
      <c r="A41" s="38" t="s">
        <v>804</v>
      </c>
      <c r="B41" s="38" t="s">
        <v>1495</v>
      </c>
      <c r="C41" s="38" t="s">
        <v>798</v>
      </c>
      <c r="D41" s="38">
        <v>176</v>
      </c>
      <c r="E41" s="63">
        <v>1749.7673600000001</v>
      </c>
      <c r="F41" s="63">
        <v>0.276259857436575</v>
      </c>
    </row>
    <row r="42" spans="1:6" x14ac:dyDescent="0.2">
      <c r="A42" s="38" t="s">
        <v>1101</v>
      </c>
      <c r="B42" s="38" t="s">
        <v>1667</v>
      </c>
      <c r="C42" s="38" t="s">
        <v>798</v>
      </c>
      <c r="D42" s="38">
        <v>174</v>
      </c>
      <c r="E42" s="63">
        <v>1732.3440000000001</v>
      </c>
      <c r="F42" s="63">
        <v>0.273508991773115</v>
      </c>
    </row>
    <row r="43" spans="1:6" x14ac:dyDescent="0.2">
      <c r="A43" s="38" t="s">
        <v>692</v>
      </c>
      <c r="B43" s="38" t="s">
        <v>1428</v>
      </c>
      <c r="C43" s="38" t="s">
        <v>691</v>
      </c>
      <c r="D43" s="38">
        <v>150</v>
      </c>
      <c r="E43" s="63">
        <v>1496.3879999999999</v>
      </c>
      <c r="F43" s="63">
        <v>0.236255370285225</v>
      </c>
    </row>
    <row r="44" spans="1:6" x14ac:dyDescent="0.2">
      <c r="A44" s="38" t="s">
        <v>906</v>
      </c>
      <c r="B44" s="38" t="s">
        <v>1563</v>
      </c>
      <c r="C44" s="38" t="s">
        <v>905</v>
      </c>
      <c r="D44" s="38">
        <v>150</v>
      </c>
      <c r="E44" s="63">
        <v>1396.95</v>
      </c>
      <c r="F44" s="63">
        <v>0.22055572453130201</v>
      </c>
    </row>
    <row r="45" spans="1:6" x14ac:dyDescent="0.2">
      <c r="A45" s="38" t="s">
        <v>876</v>
      </c>
      <c r="B45" s="38" t="s">
        <v>1529</v>
      </c>
      <c r="C45" s="38" t="s">
        <v>791</v>
      </c>
      <c r="D45" s="38">
        <v>150</v>
      </c>
      <c r="E45" s="63">
        <v>1136.499</v>
      </c>
      <c r="F45" s="63">
        <v>0.179434740237016</v>
      </c>
    </row>
    <row r="46" spans="1:6" x14ac:dyDescent="0.2">
      <c r="A46" s="38" t="s">
        <v>1045</v>
      </c>
      <c r="B46" s="38" t="s">
        <v>1713</v>
      </c>
      <c r="C46" s="38" t="s">
        <v>693</v>
      </c>
      <c r="D46" s="38">
        <v>100</v>
      </c>
      <c r="E46" s="63">
        <v>1005.3680000000001</v>
      </c>
      <c r="F46" s="63">
        <v>0.15873128434130501</v>
      </c>
    </row>
    <row r="47" spans="1:6" x14ac:dyDescent="0.2">
      <c r="A47" s="38" t="s">
        <v>1098</v>
      </c>
      <c r="B47" s="38" t="s">
        <v>1670</v>
      </c>
      <c r="C47" s="38" t="s">
        <v>798</v>
      </c>
      <c r="D47" s="38">
        <v>88</v>
      </c>
      <c r="E47" s="63">
        <v>880.93719999999996</v>
      </c>
      <c r="F47" s="63">
        <v>0.13908568124312001</v>
      </c>
    </row>
    <row r="48" spans="1:6" x14ac:dyDescent="0.2">
      <c r="A48" s="38" t="s">
        <v>1290</v>
      </c>
      <c r="B48" s="38" t="s">
        <v>1841</v>
      </c>
      <c r="C48" s="38" t="s">
        <v>693</v>
      </c>
      <c r="D48" s="38">
        <v>73</v>
      </c>
      <c r="E48" s="63">
        <v>727.56836999999996</v>
      </c>
      <c r="F48" s="63">
        <v>0.114871233037266</v>
      </c>
    </row>
    <row r="49" spans="1:6" x14ac:dyDescent="0.2">
      <c r="A49" s="38" t="s">
        <v>903</v>
      </c>
      <c r="B49" s="38" t="s">
        <v>1571</v>
      </c>
      <c r="C49" s="38" t="s">
        <v>798</v>
      </c>
      <c r="D49" s="38">
        <v>62</v>
      </c>
      <c r="E49" s="63">
        <v>611.28093999999999</v>
      </c>
      <c r="F49" s="63">
        <v>9.6511335848724206E-2</v>
      </c>
    </row>
    <row r="50" spans="1:6" x14ac:dyDescent="0.2">
      <c r="A50" s="38" t="s">
        <v>902</v>
      </c>
      <c r="B50" s="38" t="s">
        <v>1572</v>
      </c>
      <c r="C50" s="38" t="s">
        <v>798</v>
      </c>
      <c r="D50" s="38">
        <v>62</v>
      </c>
      <c r="E50" s="63">
        <v>608.55355999999995</v>
      </c>
      <c r="F50" s="63">
        <v>9.6080726827662402E-2</v>
      </c>
    </row>
    <row r="51" spans="1:6" x14ac:dyDescent="0.2">
      <c r="A51" s="38" t="s">
        <v>812</v>
      </c>
      <c r="B51" s="38" t="s">
        <v>1487</v>
      </c>
      <c r="C51" s="38" t="s">
        <v>798</v>
      </c>
      <c r="D51" s="38">
        <v>55</v>
      </c>
      <c r="E51" s="63">
        <v>544.45489999999995</v>
      </c>
      <c r="F51" s="63">
        <v>8.5960589100624596E-2</v>
      </c>
    </row>
    <row r="52" spans="1:6" x14ac:dyDescent="0.2">
      <c r="A52" s="38" t="s">
        <v>720</v>
      </c>
      <c r="B52" s="38" t="s">
        <v>1920</v>
      </c>
      <c r="C52" s="38" t="s">
        <v>693</v>
      </c>
      <c r="D52" s="38">
        <v>20</v>
      </c>
      <c r="E52" s="63">
        <v>204.172</v>
      </c>
      <c r="F52" s="63">
        <v>3.22354439235513E-2</v>
      </c>
    </row>
    <row r="53" spans="1:6" x14ac:dyDescent="0.2">
      <c r="A53" s="37" t="s">
        <v>43</v>
      </c>
      <c r="B53" s="38"/>
      <c r="C53" s="38"/>
      <c r="D53" s="38"/>
      <c r="E53" s="64">
        <f>SUM(E8:E52)</f>
        <v>274671.33733330003</v>
      </c>
      <c r="F53" s="64">
        <f>SUM(F8:F52)</f>
        <v>43.366144682005519</v>
      </c>
    </row>
    <row r="54" spans="1:6" x14ac:dyDescent="0.2">
      <c r="A54" s="38"/>
      <c r="B54" s="38"/>
      <c r="C54" s="38"/>
      <c r="D54" s="38"/>
      <c r="E54" s="63"/>
      <c r="F54" s="63"/>
    </row>
    <row r="55" spans="1:6" x14ac:dyDescent="0.2">
      <c r="A55" s="37" t="s">
        <v>717</v>
      </c>
      <c r="B55" s="38"/>
      <c r="C55" s="38"/>
      <c r="D55" s="38"/>
      <c r="E55" s="63"/>
      <c r="F55" s="63"/>
    </row>
    <row r="56" spans="1:6" x14ac:dyDescent="0.2">
      <c r="A56" s="38" t="s">
        <v>1289</v>
      </c>
      <c r="B56" s="38" t="s">
        <v>1835</v>
      </c>
      <c r="C56" s="38" t="s">
        <v>758</v>
      </c>
      <c r="D56" s="38">
        <v>30000</v>
      </c>
      <c r="E56" s="63">
        <v>29940.66</v>
      </c>
      <c r="F56" s="63">
        <v>4.7271441062639097</v>
      </c>
    </row>
    <row r="57" spans="1:6" x14ac:dyDescent="0.2">
      <c r="A57" s="38" t="s">
        <v>1030</v>
      </c>
      <c r="B57" s="38" t="s">
        <v>1647</v>
      </c>
      <c r="C57" s="38" t="s">
        <v>801</v>
      </c>
      <c r="D57" s="38">
        <v>2500</v>
      </c>
      <c r="E57" s="63">
        <v>24465.875</v>
      </c>
      <c r="F57" s="63">
        <v>3.8627644417604499</v>
      </c>
    </row>
    <row r="58" spans="1:6" x14ac:dyDescent="0.2">
      <c r="A58" s="38" t="s">
        <v>1042</v>
      </c>
      <c r="B58" s="38" t="s">
        <v>1635</v>
      </c>
      <c r="C58" s="38" t="s">
        <v>849</v>
      </c>
      <c r="D58" s="38">
        <v>1260</v>
      </c>
      <c r="E58" s="63">
        <v>22392.2916</v>
      </c>
      <c r="F58" s="63">
        <v>3.53537928898972</v>
      </c>
    </row>
    <row r="59" spans="1:6" x14ac:dyDescent="0.2">
      <c r="A59" s="38" t="s">
        <v>842</v>
      </c>
      <c r="B59" s="38" t="s">
        <v>1512</v>
      </c>
      <c r="C59" s="38" t="s">
        <v>841</v>
      </c>
      <c r="D59" s="38">
        <v>133</v>
      </c>
      <c r="E59" s="63">
        <v>19436.088</v>
      </c>
      <c r="F59" s="63">
        <v>3.06864273660055</v>
      </c>
    </row>
    <row r="60" spans="1:6" x14ac:dyDescent="0.2">
      <c r="A60" s="38" t="s">
        <v>778</v>
      </c>
      <c r="B60" s="38" t="s">
        <v>1455</v>
      </c>
      <c r="C60" s="38" t="s">
        <v>777</v>
      </c>
      <c r="D60" s="38">
        <v>1970</v>
      </c>
      <c r="E60" s="63">
        <v>19096.2935</v>
      </c>
      <c r="F60" s="63">
        <v>3.01499470185396</v>
      </c>
    </row>
    <row r="61" spans="1:6" x14ac:dyDescent="0.2">
      <c r="A61" s="38" t="s">
        <v>759</v>
      </c>
      <c r="B61" s="38" t="s">
        <v>1467</v>
      </c>
      <c r="C61" s="38" t="s">
        <v>758</v>
      </c>
      <c r="D61" s="38">
        <v>1498</v>
      </c>
      <c r="E61" s="63">
        <v>15033.074140000001</v>
      </c>
      <c r="F61" s="63">
        <v>2.3734783341425798</v>
      </c>
    </row>
    <row r="62" spans="1:6" x14ac:dyDescent="0.2">
      <c r="A62" s="38" t="s">
        <v>1038</v>
      </c>
      <c r="B62" s="38" t="s">
        <v>1639</v>
      </c>
      <c r="C62" s="38" t="s">
        <v>791</v>
      </c>
      <c r="D62" s="38">
        <v>1020</v>
      </c>
      <c r="E62" s="63">
        <v>12047.128199999999</v>
      </c>
      <c r="F62" s="63">
        <v>1.9020459491552899</v>
      </c>
    </row>
    <row r="63" spans="1:6" x14ac:dyDescent="0.2">
      <c r="A63" s="38" t="s">
        <v>890</v>
      </c>
      <c r="B63" s="38" t="s">
        <v>1553</v>
      </c>
      <c r="C63" s="38" t="s">
        <v>841</v>
      </c>
      <c r="D63" s="38">
        <v>68</v>
      </c>
      <c r="E63" s="63">
        <v>10039.588</v>
      </c>
      <c r="F63" s="63">
        <v>1.58508794540661</v>
      </c>
    </row>
    <row r="64" spans="1:6" x14ac:dyDescent="0.2">
      <c r="A64" s="38" t="s">
        <v>716</v>
      </c>
      <c r="B64" s="38" t="s">
        <v>1429</v>
      </c>
      <c r="C64" s="38" t="s">
        <v>715</v>
      </c>
      <c r="D64" s="38">
        <v>850</v>
      </c>
      <c r="E64" s="63">
        <v>8517.6715000000004</v>
      </c>
      <c r="F64" s="63">
        <v>1.3448020394445901</v>
      </c>
    </row>
    <row r="65" spans="1:6" x14ac:dyDescent="0.2">
      <c r="A65" s="38" t="s">
        <v>757</v>
      </c>
      <c r="B65" s="38" t="s">
        <v>1468</v>
      </c>
      <c r="C65" s="38" t="s">
        <v>756</v>
      </c>
      <c r="D65" s="38">
        <v>800</v>
      </c>
      <c r="E65" s="63">
        <v>8006.2640000000001</v>
      </c>
      <c r="F65" s="63">
        <v>1.26405909825611</v>
      </c>
    </row>
    <row r="66" spans="1:6" x14ac:dyDescent="0.2">
      <c r="A66" s="38" t="s">
        <v>1037</v>
      </c>
      <c r="B66" s="38" t="s">
        <v>1640</v>
      </c>
      <c r="C66" s="38" t="s">
        <v>715</v>
      </c>
      <c r="D66" s="38">
        <v>650</v>
      </c>
      <c r="E66" s="63">
        <v>6509.2039999999997</v>
      </c>
      <c r="F66" s="63">
        <v>1.0276976300812799</v>
      </c>
    </row>
    <row r="67" spans="1:6" x14ac:dyDescent="0.2">
      <c r="A67" s="38" t="s">
        <v>891</v>
      </c>
      <c r="B67" s="38" t="s">
        <v>1552</v>
      </c>
      <c r="C67" s="38" t="s">
        <v>769</v>
      </c>
      <c r="D67" s="38">
        <v>1214</v>
      </c>
      <c r="E67" s="63">
        <v>6070</v>
      </c>
      <c r="F67" s="63">
        <v>0.95835444926805002</v>
      </c>
    </row>
    <row r="68" spans="1:6" x14ac:dyDescent="0.2">
      <c r="A68" s="38" t="s">
        <v>848</v>
      </c>
      <c r="B68" s="38" t="s">
        <v>1451</v>
      </c>
      <c r="C68" s="38" t="s">
        <v>700</v>
      </c>
      <c r="D68" s="38">
        <v>600</v>
      </c>
      <c r="E68" s="63">
        <v>6018.81</v>
      </c>
      <c r="F68" s="63">
        <v>0.95027237937381104</v>
      </c>
    </row>
    <row r="69" spans="1:6" x14ac:dyDescent="0.2">
      <c r="A69" s="38" t="s">
        <v>763</v>
      </c>
      <c r="B69" s="38" t="s">
        <v>1464</v>
      </c>
      <c r="C69" s="38" t="s">
        <v>752</v>
      </c>
      <c r="D69" s="38">
        <v>12</v>
      </c>
      <c r="E69" s="63">
        <v>5992.6080000000002</v>
      </c>
      <c r="F69" s="63">
        <v>0.94613550898176402</v>
      </c>
    </row>
    <row r="70" spans="1:6" x14ac:dyDescent="0.2">
      <c r="A70" s="38" t="s">
        <v>1288</v>
      </c>
      <c r="B70" s="38" t="s">
        <v>1836</v>
      </c>
      <c r="C70" s="38" t="s">
        <v>752</v>
      </c>
      <c r="D70" s="38">
        <v>500</v>
      </c>
      <c r="E70" s="63">
        <v>5024.6049999999996</v>
      </c>
      <c r="F70" s="63">
        <v>0.79330355149332599</v>
      </c>
    </row>
    <row r="71" spans="1:6" x14ac:dyDescent="0.2">
      <c r="A71" s="38" t="s">
        <v>768</v>
      </c>
      <c r="B71" s="38" t="s">
        <v>1461</v>
      </c>
      <c r="C71" s="38" t="s">
        <v>767</v>
      </c>
      <c r="D71" s="38">
        <v>5150</v>
      </c>
      <c r="E71" s="63">
        <v>4966.0780500000001</v>
      </c>
      <c r="F71" s="63">
        <v>0.78406309631464599</v>
      </c>
    </row>
    <row r="72" spans="1:6" x14ac:dyDescent="0.2">
      <c r="A72" s="38" t="s">
        <v>1031</v>
      </c>
      <c r="B72" s="38" t="s">
        <v>1646</v>
      </c>
      <c r="C72" s="38" t="s">
        <v>752</v>
      </c>
      <c r="D72" s="38">
        <v>310</v>
      </c>
      <c r="E72" s="63">
        <v>4204.5145000000002</v>
      </c>
      <c r="F72" s="63">
        <v>0.66382457629110903</v>
      </c>
    </row>
    <row r="73" spans="1:6" x14ac:dyDescent="0.2">
      <c r="A73" s="38" t="s">
        <v>753</v>
      </c>
      <c r="B73" s="38" t="s">
        <v>1470</v>
      </c>
      <c r="C73" s="38" t="s">
        <v>752</v>
      </c>
      <c r="D73" s="38">
        <v>240</v>
      </c>
      <c r="E73" s="63">
        <v>2408.7887999999998</v>
      </c>
      <c r="F73" s="63">
        <v>0.380308643134604</v>
      </c>
    </row>
    <row r="74" spans="1:6" x14ac:dyDescent="0.2">
      <c r="A74" s="38" t="s">
        <v>1129</v>
      </c>
      <c r="B74" s="38" t="s">
        <v>1722</v>
      </c>
      <c r="C74" s="38" t="s">
        <v>779</v>
      </c>
      <c r="D74" s="38">
        <v>16</v>
      </c>
      <c r="E74" s="63">
        <v>2302.1840000000002</v>
      </c>
      <c r="F74" s="63">
        <v>0.36347747601873398</v>
      </c>
    </row>
    <row r="75" spans="1:6" x14ac:dyDescent="0.2">
      <c r="A75" s="38" t="s">
        <v>887</v>
      </c>
      <c r="B75" s="38" t="s">
        <v>1556</v>
      </c>
      <c r="C75" s="38" t="s">
        <v>758</v>
      </c>
      <c r="D75" s="38">
        <v>320</v>
      </c>
      <c r="E75" s="63">
        <v>2140.1632</v>
      </c>
      <c r="F75" s="63">
        <v>0.33789702222071599</v>
      </c>
    </row>
    <row r="76" spans="1:6" x14ac:dyDescent="0.2">
      <c r="A76" s="38" t="s">
        <v>1118</v>
      </c>
      <c r="B76" s="38" t="s">
        <v>1733</v>
      </c>
      <c r="C76" s="38" t="s">
        <v>769</v>
      </c>
      <c r="D76" s="38">
        <v>365</v>
      </c>
      <c r="E76" s="63">
        <v>1825</v>
      </c>
      <c r="F76" s="63">
        <v>0.28813786983759299</v>
      </c>
    </row>
    <row r="77" spans="1:6" x14ac:dyDescent="0.2">
      <c r="A77" s="38" t="s">
        <v>782</v>
      </c>
      <c r="B77" s="38" t="s">
        <v>1452</v>
      </c>
      <c r="C77" s="38" t="s">
        <v>758</v>
      </c>
      <c r="D77" s="38">
        <v>180</v>
      </c>
      <c r="E77" s="63">
        <v>1636.713</v>
      </c>
      <c r="F77" s="63">
        <v>0.25841040950986099</v>
      </c>
    </row>
    <row r="78" spans="1:6" x14ac:dyDescent="0.2">
      <c r="A78" s="38" t="s">
        <v>764</v>
      </c>
      <c r="B78" s="38" t="s">
        <v>1463</v>
      </c>
      <c r="C78" s="38" t="s">
        <v>758</v>
      </c>
      <c r="D78" s="38">
        <v>120</v>
      </c>
      <c r="E78" s="63">
        <v>1132.2216000000001</v>
      </c>
      <c r="F78" s="63">
        <v>0.17875940822362299</v>
      </c>
    </row>
    <row r="79" spans="1:6" x14ac:dyDescent="0.2">
      <c r="A79" s="38" t="s">
        <v>1017</v>
      </c>
      <c r="B79" s="38" t="s">
        <v>1660</v>
      </c>
      <c r="C79" s="38" t="s">
        <v>775</v>
      </c>
      <c r="D79" s="38">
        <v>307</v>
      </c>
      <c r="E79" s="63">
        <v>510.35066</v>
      </c>
      <c r="F79" s="63">
        <v>8.0576083311019106E-2</v>
      </c>
    </row>
    <row r="80" spans="1:6" x14ac:dyDescent="0.2">
      <c r="A80" s="38" t="s">
        <v>1040</v>
      </c>
      <c r="B80" s="38" t="s">
        <v>1637</v>
      </c>
      <c r="C80" s="38" t="s">
        <v>756</v>
      </c>
      <c r="D80" s="38">
        <v>50</v>
      </c>
      <c r="E80" s="63">
        <v>500.0215</v>
      </c>
      <c r="F80" s="63">
        <v>7.8945276648218099E-2</v>
      </c>
    </row>
    <row r="81" spans="1:6" x14ac:dyDescent="0.2">
      <c r="A81" s="38" t="s">
        <v>1135</v>
      </c>
      <c r="B81" s="38" t="s">
        <v>1716</v>
      </c>
      <c r="C81" s="38" t="s">
        <v>758</v>
      </c>
      <c r="D81" s="38">
        <v>40</v>
      </c>
      <c r="E81" s="63">
        <v>364.83960000000002</v>
      </c>
      <c r="F81" s="63">
        <v>5.76022494117258E-2</v>
      </c>
    </row>
    <row r="82" spans="1:6" x14ac:dyDescent="0.2">
      <c r="A82" s="37" t="s">
        <v>43</v>
      </c>
      <c r="B82" s="38"/>
      <c r="C82" s="38"/>
      <c r="D82" s="38"/>
      <c r="E82" s="64">
        <f>SUM(E56:E81)</f>
        <v>220581.03585000001</v>
      </c>
      <c r="F82" s="64">
        <f>SUM(F56:F81)</f>
        <v>34.826164271993846</v>
      </c>
    </row>
    <row r="83" spans="1:6" x14ac:dyDescent="0.2">
      <c r="A83" s="38"/>
      <c r="B83" s="38"/>
      <c r="C83" s="38"/>
      <c r="D83" s="38"/>
      <c r="E83" s="63"/>
      <c r="F83" s="63"/>
    </row>
    <row r="84" spans="1:6" x14ac:dyDescent="0.2">
      <c r="A84" s="37" t="s">
        <v>973</v>
      </c>
      <c r="B84" s="38"/>
      <c r="C84" s="38"/>
      <c r="D84" s="38"/>
      <c r="E84" s="63"/>
      <c r="F84" s="63"/>
    </row>
    <row r="85" spans="1:6" x14ac:dyDescent="0.2">
      <c r="A85" s="37" t="s">
        <v>972</v>
      </c>
      <c r="B85" s="38"/>
      <c r="C85" s="38"/>
      <c r="D85" s="38"/>
      <c r="E85" s="63"/>
      <c r="F85" s="63"/>
    </row>
    <row r="86" spans="1:6" x14ac:dyDescent="0.2">
      <c r="A86" s="38" t="s">
        <v>1287</v>
      </c>
      <c r="B86" s="38" t="s">
        <v>1832</v>
      </c>
      <c r="C86" s="38" t="s">
        <v>688</v>
      </c>
      <c r="D86" s="38">
        <v>10000</v>
      </c>
      <c r="E86" s="63">
        <v>9749.9500000000007</v>
      </c>
      <c r="F86" s="63">
        <v>1.53935880768386</v>
      </c>
    </row>
    <row r="87" spans="1:6" x14ac:dyDescent="0.2">
      <c r="A87" s="38" t="s">
        <v>1265</v>
      </c>
      <c r="B87" s="38" t="s">
        <v>1818</v>
      </c>
      <c r="C87" s="38" t="s">
        <v>999</v>
      </c>
      <c r="D87" s="38">
        <v>5000</v>
      </c>
      <c r="E87" s="63">
        <v>4994.2749999999996</v>
      </c>
      <c r="F87" s="63">
        <v>0.78851493692227204</v>
      </c>
    </row>
    <row r="88" spans="1:6" x14ac:dyDescent="0.2">
      <c r="A88" s="38" t="s">
        <v>1286</v>
      </c>
      <c r="B88" s="38" t="s">
        <v>1833</v>
      </c>
      <c r="C88" s="38" t="s">
        <v>688</v>
      </c>
      <c r="D88" s="38">
        <v>5000</v>
      </c>
      <c r="E88" s="63">
        <v>4913.08</v>
      </c>
      <c r="F88" s="63">
        <v>0.77569556468037404</v>
      </c>
    </row>
    <row r="89" spans="1:6" x14ac:dyDescent="0.2">
      <c r="A89" s="38" t="s">
        <v>1285</v>
      </c>
      <c r="B89" s="38" t="s">
        <v>1834</v>
      </c>
      <c r="C89" s="38" t="s">
        <v>688</v>
      </c>
      <c r="D89" s="38">
        <v>5000</v>
      </c>
      <c r="E89" s="63">
        <v>4902.53</v>
      </c>
      <c r="F89" s="63">
        <v>0.77402989096706598</v>
      </c>
    </row>
    <row r="90" spans="1:6" x14ac:dyDescent="0.2">
      <c r="A90" s="38" t="s">
        <v>1196</v>
      </c>
      <c r="B90" s="38" t="s">
        <v>1971</v>
      </c>
      <c r="C90" s="38" t="s">
        <v>688</v>
      </c>
      <c r="D90" s="38">
        <v>2000</v>
      </c>
      <c r="E90" s="63">
        <v>1927.752</v>
      </c>
      <c r="F90" s="63">
        <v>0.30436074238638899</v>
      </c>
    </row>
    <row r="91" spans="1:6" x14ac:dyDescent="0.2">
      <c r="A91" s="38" t="s">
        <v>1184</v>
      </c>
      <c r="B91" s="38" t="s">
        <v>1777</v>
      </c>
      <c r="C91" s="38" t="s">
        <v>1183</v>
      </c>
      <c r="D91" s="38">
        <v>2000</v>
      </c>
      <c r="E91" s="63">
        <v>1924.2059999999999</v>
      </c>
      <c r="F91" s="63">
        <v>0.30380088655819998</v>
      </c>
    </row>
    <row r="92" spans="1:6" x14ac:dyDescent="0.2">
      <c r="A92" s="37" t="s">
        <v>43</v>
      </c>
      <c r="B92" s="38"/>
      <c r="C92" s="38"/>
      <c r="D92" s="38"/>
      <c r="E92" s="64">
        <f>SUM(E86:E91)</f>
        <v>28411.792999999998</v>
      </c>
      <c r="F92" s="64">
        <f>SUM(F86:F91)</f>
        <v>4.4857608291981608</v>
      </c>
    </row>
    <row r="93" spans="1:6" x14ac:dyDescent="0.2">
      <c r="A93" s="38"/>
      <c r="B93" s="38"/>
      <c r="C93" s="38"/>
      <c r="D93" s="38"/>
      <c r="E93" s="63"/>
      <c r="F93" s="63"/>
    </row>
    <row r="94" spans="1:6" x14ac:dyDescent="0.2">
      <c r="A94" s="37" t="s">
        <v>690</v>
      </c>
      <c r="B94" s="38"/>
      <c r="C94" s="38"/>
      <c r="D94" s="38"/>
      <c r="E94" s="63"/>
      <c r="F94" s="63"/>
    </row>
    <row r="95" spans="1:6" x14ac:dyDescent="0.2">
      <c r="A95" s="38" t="s">
        <v>1284</v>
      </c>
      <c r="B95" s="38" t="s">
        <v>1829</v>
      </c>
      <c r="C95" s="38" t="s">
        <v>688</v>
      </c>
      <c r="D95" s="38">
        <v>3500</v>
      </c>
      <c r="E95" s="63">
        <v>16879.1175</v>
      </c>
      <c r="F95" s="63">
        <v>2.6649386088703801</v>
      </c>
    </row>
    <row r="96" spans="1:6" x14ac:dyDescent="0.2">
      <c r="A96" s="38" t="s">
        <v>1283</v>
      </c>
      <c r="B96" s="38" t="s">
        <v>1830</v>
      </c>
      <c r="C96" s="38" t="s">
        <v>999</v>
      </c>
      <c r="D96" s="38">
        <v>3000</v>
      </c>
      <c r="E96" s="63">
        <v>14205.51</v>
      </c>
      <c r="F96" s="63">
        <v>2.2428193925241802</v>
      </c>
    </row>
    <row r="97" spans="1:6" x14ac:dyDescent="0.2">
      <c r="A97" s="38" t="s">
        <v>1282</v>
      </c>
      <c r="B97" s="38" t="s">
        <v>1831</v>
      </c>
      <c r="C97" s="38" t="s">
        <v>688</v>
      </c>
      <c r="D97" s="38">
        <v>2000</v>
      </c>
      <c r="E97" s="63">
        <v>9619.1</v>
      </c>
      <c r="F97" s="63">
        <v>1.51869971712591</v>
      </c>
    </row>
    <row r="98" spans="1:6" x14ac:dyDescent="0.2">
      <c r="A98" s="38" t="s">
        <v>1002</v>
      </c>
      <c r="B98" s="38" t="s">
        <v>1630</v>
      </c>
      <c r="C98" s="38" t="s">
        <v>999</v>
      </c>
      <c r="D98" s="38">
        <v>2000</v>
      </c>
      <c r="E98" s="63">
        <v>9485.24</v>
      </c>
      <c r="F98" s="63">
        <v>1.49756539643744</v>
      </c>
    </row>
    <row r="99" spans="1:6" x14ac:dyDescent="0.2">
      <c r="A99" s="38" t="s">
        <v>1003</v>
      </c>
      <c r="B99" s="38" t="s">
        <v>1629</v>
      </c>
      <c r="C99" s="38" t="s">
        <v>999</v>
      </c>
      <c r="D99" s="38">
        <v>1500</v>
      </c>
      <c r="E99" s="63">
        <v>7365.1424999999999</v>
      </c>
      <c r="F99" s="63">
        <v>1.16283642246593</v>
      </c>
    </row>
    <row r="100" spans="1:6" x14ac:dyDescent="0.2">
      <c r="A100" s="38" t="s">
        <v>1010</v>
      </c>
      <c r="B100" s="38" t="s">
        <v>1623</v>
      </c>
      <c r="C100" s="38" t="s">
        <v>1007</v>
      </c>
      <c r="D100" s="38">
        <v>1500</v>
      </c>
      <c r="E100" s="63">
        <v>7267.0050000000001</v>
      </c>
      <c r="F100" s="63">
        <v>1.1473421045474701</v>
      </c>
    </row>
    <row r="101" spans="1:6" x14ac:dyDescent="0.2">
      <c r="A101" s="38" t="s">
        <v>1167</v>
      </c>
      <c r="B101" s="38" t="s">
        <v>1948</v>
      </c>
      <c r="C101" s="38" t="s">
        <v>999</v>
      </c>
      <c r="D101" s="38">
        <v>520</v>
      </c>
      <c r="E101" s="63">
        <v>2492.2507999999998</v>
      </c>
      <c r="F101" s="63">
        <v>0.39348593787015801</v>
      </c>
    </row>
    <row r="102" spans="1:6" x14ac:dyDescent="0.2">
      <c r="A102" s="38" t="s">
        <v>1000</v>
      </c>
      <c r="B102" s="38" t="s">
        <v>1632</v>
      </c>
      <c r="C102" s="38" t="s">
        <v>999</v>
      </c>
      <c r="D102" s="38">
        <v>500</v>
      </c>
      <c r="E102" s="63">
        <v>2403.4724999999999</v>
      </c>
      <c r="F102" s="63">
        <v>0.37946928567848498</v>
      </c>
    </row>
    <row r="103" spans="1:6" x14ac:dyDescent="0.2">
      <c r="A103" s="38" t="s">
        <v>1178</v>
      </c>
      <c r="B103" s="38" t="s">
        <v>1931</v>
      </c>
      <c r="C103" s="38" t="s">
        <v>688</v>
      </c>
      <c r="D103" s="38">
        <v>400</v>
      </c>
      <c r="E103" s="63">
        <v>1923.1780000000001</v>
      </c>
      <c r="F103" s="63">
        <v>0.30363858204850602</v>
      </c>
    </row>
    <row r="104" spans="1:6" x14ac:dyDescent="0.2">
      <c r="A104" s="38" t="s">
        <v>1182</v>
      </c>
      <c r="B104" s="38" t="s">
        <v>1754</v>
      </c>
      <c r="C104" s="38" t="s">
        <v>1007</v>
      </c>
      <c r="D104" s="38">
        <v>400</v>
      </c>
      <c r="E104" s="63">
        <v>1922.8820000000001</v>
      </c>
      <c r="F104" s="63">
        <v>0.303591848454274</v>
      </c>
    </row>
    <row r="105" spans="1:6" x14ac:dyDescent="0.2">
      <c r="A105" s="37" t="s">
        <v>43</v>
      </c>
      <c r="B105" s="38"/>
      <c r="C105" s="38"/>
      <c r="D105" s="38"/>
      <c r="E105" s="64">
        <f>SUM(E95:E104)</f>
        <v>73562.898300000001</v>
      </c>
      <c r="F105" s="64">
        <f>SUM(F95:F104)</f>
        <v>11.614387296022736</v>
      </c>
    </row>
    <row r="106" spans="1:6" x14ac:dyDescent="0.2">
      <c r="A106" s="38"/>
      <c r="B106" s="38"/>
      <c r="C106" s="38"/>
      <c r="D106" s="38"/>
      <c r="E106" s="63"/>
      <c r="F106" s="63"/>
    </row>
    <row r="107" spans="1:6" x14ac:dyDescent="0.2">
      <c r="A107" s="37" t="s">
        <v>43</v>
      </c>
      <c r="B107" s="38"/>
      <c r="C107" s="38"/>
      <c r="D107" s="38"/>
      <c r="E107" s="64">
        <v>597227.06448329997</v>
      </c>
      <c r="F107" s="64">
        <v>94.292457079220242</v>
      </c>
    </row>
    <row r="108" spans="1:6" x14ac:dyDescent="0.2">
      <c r="A108" s="38"/>
      <c r="B108" s="38"/>
      <c r="C108" s="38"/>
      <c r="D108" s="38"/>
      <c r="E108" s="63"/>
      <c r="F108" s="63"/>
    </row>
    <row r="109" spans="1:6" x14ac:dyDescent="0.2">
      <c r="A109" s="37" t="s">
        <v>101</v>
      </c>
      <c r="B109" s="38"/>
      <c r="C109" s="38"/>
      <c r="D109" s="38"/>
      <c r="E109" s="64">
        <v>36150.288499399998</v>
      </c>
      <c r="F109" s="64">
        <v>5.71</v>
      </c>
    </row>
    <row r="110" spans="1:6" x14ac:dyDescent="0.2">
      <c r="A110" s="38"/>
      <c r="B110" s="38"/>
      <c r="C110" s="38"/>
      <c r="D110" s="38"/>
      <c r="E110" s="63"/>
      <c r="F110" s="63"/>
    </row>
    <row r="111" spans="1:6" x14ac:dyDescent="0.2">
      <c r="A111" s="80" t="s">
        <v>102</v>
      </c>
      <c r="B111" s="79"/>
      <c r="C111" s="79"/>
      <c r="D111" s="79"/>
      <c r="E111" s="61">
        <v>633377.34849939996</v>
      </c>
      <c r="F111" s="61">
        <f xml:space="preserve"> ROUND(SUM(F107:F110),2)</f>
        <v>100</v>
      </c>
    </row>
    <row r="112" spans="1:6" x14ac:dyDescent="0.2">
      <c r="A112" s="4" t="s">
        <v>686</v>
      </c>
    </row>
    <row r="114" spans="1:4" x14ac:dyDescent="0.2">
      <c r="A114" s="4" t="s">
        <v>103</v>
      </c>
    </row>
    <row r="115" spans="1:4" x14ac:dyDescent="0.2">
      <c r="A115" s="4" t="s">
        <v>685</v>
      </c>
    </row>
    <row r="116" spans="1:4" x14ac:dyDescent="0.2">
      <c r="A116" s="4" t="s">
        <v>608</v>
      </c>
    </row>
    <row r="117" spans="1:4" x14ac:dyDescent="0.2">
      <c r="A117" s="2" t="s">
        <v>600</v>
      </c>
      <c r="D117" s="10">
        <v>21.4008</v>
      </c>
    </row>
    <row r="118" spans="1:4" x14ac:dyDescent="0.2">
      <c r="A118" s="2" t="s">
        <v>682</v>
      </c>
      <c r="D118" s="10">
        <v>10.639099999999999</v>
      </c>
    </row>
    <row r="119" spans="1:4" x14ac:dyDescent="0.2">
      <c r="A119" s="2" t="s">
        <v>684</v>
      </c>
      <c r="D119" s="10">
        <v>10.4587</v>
      </c>
    </row>
    <row r="120" spans="1:4" x14ac:dyDescent="0.2">
      <c r="A120" s="2" t="s">
        <v>602</v>
      </c>
      <c r="D120" s="10">
        <v>21.810500000000001</v>
      </c>
    </row>
    <row r="121" spans="1:4" x14ac:dyDescent="0.2">
      <c r="A121" s="2" t="s">
        <v>681</v>
      </c>
      <c r="D121" s="10">
        <v>10.9062</v>
      </c>
    </row>
    <row r="122" spans="1:4" x14ac:dyDescent="0.2">
      <c r="A122" s="2" t="s">
        <v>683</v>
      </c>
      <c r="D122" s="10">
        <v>10.726599999999999</v>
      </c>
    </row>
    <row r="124" spans="1:4" x14ac:dyDescent="0.2">
      <c r="A124" s="4" t="s">
        <v>105</v>
      </c>
    </row>
    <row r="125" spans="1:4" x14ac:dyDescent="0.2">
      <c r="A125" s="2" t="s">
        <v>600</v>
      </c>
      <c r="D125" s="10">
        <v>22.136500000000002</v>
      </c>
    </row>
    <row r="126" spans="1:4" x14ac:dyDescent="0.2">
      <c r="A126" s="2" t="s">
        <v>682</v>
      </c>
      <c r="D126" s="10">
        <v>10.553100000000001</v>
      </c>
    </row>
    <row r="127" spans="1:4" x14ac:dyDescent="0.2">
      <c r="A127" s="2" t="s">
        <v>684</v>
      </c>
      <c r="D127" s="10">
        <v>10.371499999999999</v>
      </c>
    </row>
    <row r="128" spans="1:4" x14ac:dyDescent="0.2">
      <c r="A128" s="2" t="s">
        <v>602</v>
      </c>
      <c r="D128" s="10">
        <v>22.601700000000001</v>
      </c>
    </row>
    <row r="129" spans="1:5" x14ac:dyDescent="0.2">
      <c r="A129" s="2" t="s">
        <v>681</v>
      </c>
      <c r="D129" s="10">
        <v>10.8497</v>
      </c>
    </row>
    <row r="130" spans="1:5" x14ac:dyDescent="0.2">
      <c r="A130" s="2" t="s">
        <v>683</v>
      </c>
      <c r="D130" s="10">
        <v>10.668699999999999</v>
      </c>
    </row>
    <row r="132" spans="1:5" x14ac:dyDescent="0.2">
      <c r="A132" s="4" t="s">
        <v>106</v>
      </c>
      <c r="D132" s="20" t="s">
        <v>311</v>
      </c>
    </row>
    <row r="133" spans="1:5" x14ac:dyDescent="0.2">
      <c r="A133" s="107" t="s">
        <v>604</v>
      </c>
      <c r="B133" s="108"/>
      <c r="C133" s="114" t="s">
        <v>605</v>
      </c>
      <c r="D133" s="114"/>
    </row>
    <row r="134" spans="1:5" x14ac:dyDescent="0.2">
      <c r="A134" s="115"/>
      <c r="B134" s="115"/>
      <c r="C134" s="23" t="s">
        <v>606</v>
      </c>
      <c r="D134" s="23" t="s">
        <v>607</v>
      </c>
    </row>
    <row r="135" spans="1:5" x14ac:dyDescent="0.2">
      <c r="A135" s="24" t="s">
        <v>682</v>
      </c>
      <c r="B135" s="25"/>
      <c r="C135" s="59">
        <v>0.3205436015</v>
      </c>
      <c r="D135" s="59">
        <v>0.29682497250000001</v>
      </c>
    </row>
    <row r="136" spans="1:5" x14ac:dyDescent="0.2">
      <c r="A136" s="24" t="s">
        <v>684</v>
      </c>
      <c r="B136" s="25"/>
      <c r="C136" s="59">
        <v>0.31694198800000006</v>
      </c>
      <c r="D136" s="59">
        <v>0.29348986040000002</v>
      </c>
    </row>
    <row r="137" spans="1:5" x14ac:dyDescent="0.2">
      <c r="A137" s="24" t="s">
        <v>681</v>
      </c>
      <c r="B137" s="25"/>
      <c r="C137" s="59">
        <v>0.3205436015</v>
      </c>
      <c r="D137" s="59">
        <v>0.29682497250000001</v>
      </c>
    </row>
    <row r="138" spans="1:5" x14ac:dyDescent="0.2">
      <c r="A138" s="24" t="s">
        <v>683</v>
      </c>
      <c r="B138" s="25"/>
      <c r="C138" s="59">
        <v>0.31694198800000006</v>
      </c>
      <c r="D138" s="59">
        <v>0.29348986040000002</v>
      </c>
    </row>
    <row r="140" spans="1:5" x14ac:dyDescent="0.2">
      <c r="A140" s="4" t="s">
        <v>680</v>
      </c>
      <c r="D140" s="15">
        <v>1.0777899896733303</v>
      </c>
      <c r="E140" s="72" t="s">
        <v>679</v>
      </c>
    </row>
  </sheetData>
  <mergeCells count="4">
    <mergeCell ref="A134:B134"/>
    <mergeCell ref="A1:F1"/>
    <mergeCell ref="A133:B133"/>
    <mergeCell ref="C133:D13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E1D3-0082-46BA-8866-EDD2DCB1097E}">
  <dimension ref="A1:F3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23" style="2" bestFit="1" customWidth="1"/>
    <col min="3" max="3" width="11.7109375" style="2" bestFit="1" customWidth="1"/>
    <col min="4" max="4" width="7.8554687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1307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1306</v>
      </c>
      <c r="B5" s="38"/>
      <c r="C5" s="38"/>
      <c r="D5" s="38"/>
      <c r="E5" s="63"/>
      <c r="F5" s="63"/>
    </row>
    <row r="6" spans="1:6" x14ac:dyDescent="0.2">
      <c r="A6" s="38" t="s">
        <v>1305</v>
      </c>
      <c r="B6" s="38" t="s">
        <v>1304</v>
      </c>
      <c r="C6" s="38" t="s">
        <v>1301</v>
      </c>
      <c r="D6" s="38">
        <v>15500000</v>
      </c>
      <c r="E6" s="63">
        <v>16467.974999999999</v>
      </c>
      <c r="F6" s="63">
        <v>66.039428737498298</v>
      </c>
    </row>
    <row r="7" spans="1:6" x14ac:dyDescent="0.2">
      <c r="A7" s="38" t="s">
        <v>1303</v>
      </c>
      <c r="B7" s="38" t="s">
        <v>1302</v>
      </c>
      <c r="C7" s="38" t="s">
        <v>1301</v>
      </c>
      <c r="D7" s="38">
        <v>7000000</v>
      </c>
      <c r="E7" s="63">
        <v>7274.75</v>
      </c>
      <c r="F7" s="63">
        <v>29.173006044040999</v>
      </c>
    </row>
    <row r="8" spans="1:6" x14ac:dyDescent="0.2">
      <c r="A8" s="37" t="s">
        <v>43</v>
      </c>
      <c r="B8" s="38"/>
      <c r="C8" s="38"/>
      <c r="D8" s="38"/>
      <c r="E8" s="64">
        <f>SUM(E6:E7)</f>
        <v>23742.724999999999</v>
      </c>
      <c r="F8" s="64">
        <f>SUM(F6:F7)</f>
        <v>95.212434781539301</v>
      </c>
    </row>
    <row r="9" spans="1:6" x14ac:dyDescent="0.2">
      <c r="A9" s="38"/>
      <c r="B9" s="38"/>
      <c r="C9" s="38"/>
      <c r="D9" s="38"/>
      <c r="E9" s="63"/>
      <c r="F9" s="63"/>
    </row>
    <row r="10" spans="1:6" x14ac:dyDescent="0.2">
      <c r="A10" s="37" t="s">
        <v>43</v>
      </c>
      <c r="B10" s="38"/>
      <c r="C10" s="38"/>
      <c r="D10" s="38"/>
      <c r="E10" s="64">
        <v>23742.724999999999</v>
      </c>
      <c r="F10" s="64">
        <v>95.212434781539301</v>
      </c>
    </row>
    <row r="11" spans="1:6" x14ac:dyDescent="0.2">
      <c r="A11" s="38"/>
      <c r="B11" s="38"/>
      <c r="C11" s="38"/>
      <c r="D11" s="38"/>
      <c r="E11" s="63"/>
      <c r="F11" s="63"/>
    </row>
    <row r="12" spans="1:6" x14ac:dyDescent="0.2">
      <c r="A12" s="37" t="s">
        <v>101</v>
      </c>
      <c r="B12" s="38"/>
      <c r="C12" s="38"/>
      <c r="D12" s="38"/>
      <c r="E12" s="64">
        <v>1193.8600323000001</v>
      </c>
      <c r="F12" s="64">
        <v>4.79</v>
      </c>
    </row>
    <row r="13" spans="1:6" x14ac:dyDescent="0.2">
      <c r="A13" s="38"/>
      <c r="B13" s="38"/>
      <c r="C13" s="38"/>
      <c r="D13" s="38"/>
      <c r="E13" s="63"/>
      <c r="F13" s="63"/>
    </row>
    <row r="14" spans="1:6" x14ac:dyDescent="0.2">
      <c r="A14" s="80" t="s">
        <v>102</v>
      </c>
      <c r="B14" s="79"/>
      <c r="C14" s="79"/>
      <c r="D14" s="79"/>
      <c r="E14" s="61">
        <v>24936.5800323</v>
      </c>
      <c r="F14" s="61">
        <f xml:space="preserve"> ROUND(SUM(F10:F13),2)</f>
        <v>100</v>
      </c>
    </row>
    <row r="16" spans="1:6" x14ac:dyDescent="0.2">
      <c r="A16" s="4" t="s">
        <v>103</v>
      </c>
    </row>
    <row r="17" spans="1:4" x14ac:dyDescent="0.2">
      <c r="A17" s="4" t="s">
        <v>685</v>
      </c>
    </row>
    <row r="18" spans="1:4" x14ac:dyDescent="0.2">
      <c r="A18" s="4" t="s">
        <v>608</v>
      </c>
    </row>
    <row r="19" spans="1:4" x14ac:dyDescent="0.2">
      <c r="A19" s="2" t="s">
        <v>1300</v>
      </c>
      <c r="D19" s="10">
        <v>40.528100000000002</v>
      </c>
    </row>
    <row r="20" spans="1:4" x14ac:dyDescent="0.2">
      <c r="A20" s="2" t="s">
        <v>1298</v>
      </c>
      <c r="D20" s="10">
        <v>10.712400000000001</v>
      </c>
    </row>
    <row r="21" spans="1:4" x14ac:dyDescent="0.2">
      <c r="A21" s="2" t="s">
        <v>1299</v>
      </c>
      <c r="D21" s="10">
        <v>43.012500000000003</v>
      </c>
    </row>
    <row r="22" spans="1:4" x14ac:dyDescent="0.2">
      <c r="A22" s="2" t="s">
        <v>1297</v>
      </c>
      <c r="D22" s="10">
        <v>11.5389</v>
      </c>
    </row>
    <row r="24" spans="1:4" x14ac:dyDescent="0.2">
      <c r="A24" s="4" t="s">
        <v>105</v>
      </c>
    </row>
    <row r="25" spans="1:4" x14ac:dyDescent="0.2">
      <c r="A25" s="2" t="s">
        <v>1300</v>
      </c>
      <c r="D25" s="10">
        <v>43.588000000000001</v>
      </c>
    </row>
    <row r="26" spans="1:4" x14ac:dyDescent="0.2">
      <c r="A26" s="2" t="s">
        <v>1298</v>
      </c>
      <c r="D26" s="10">
        <v>11.087</v>
      </c>
    </row>
    <row r="27" spans="1:4" x14ac:dyDescent="0.2">
      <c r="A27" s="2" t="s">
        <v>1299</v>
      </c>
      <c r="D27" s="10">
        <v>46.415999999999997</v>
      </c>
    </row>
    <row r="28" spans="1:4" x14ac:dyDescent="0.2">
      <c r="A28" s="2" t="s">
        <v>1297</v>
      </c>
      <c r="D28" s="10">
        <v>12.017200000000001</v>
      </c>
    </row>
    <row r="30" spans="1:4" x14ac:dyDescent="0.2">
      <c r="A30" s="4" t="s">
        <v>106</v>
      </c>
      <c r="D30" s="20" t="s">
        <v>311</v>
      </c>
    </row>
    <row r="31" spans="1:4" x14ac:dyDescent="0.2">
      <c r="A31" s="77" t="s">
        <v>604</v>
      </c>
      <c r="B31" s="76"/>
      <c r="C31" s="114" t="s">
        <v>605</v>
      </c>
      <c r="D31" s="114"/>
    </row>
    <row r="32" spans="1:4" x14ac:dyDescent="0.2">
      <c r="A32" s="115"/>
      <c r="B32" s="115"/>
      <c r="C32" s="23" t="s">
        <v>606</v>
      </c>
      <c r="D32" s="23" t="s">
        <v>607</v>
      </c>
    </row>
    <row r="33" spans="1:5" x14ac:dyDescent="0.2">
      <c r="A33" s="24" t="s">
        <v>1298</v>
      </c>
      <c r="B33" s="25"/>
      <c r="C33" s="59">
        <v>0.30253553399999999</v>
      </c>
      <c r="D33" s="59">
        <v>0.2801494122</v>
      </c>
    </row>
    <row r="34" spans="1:5" x14ac:dyDescent="0.2">
      <c r="A34" s="24" t="s">
        <v>1297</v>
      </c>
      <c r="B34" s="25"/>
      <c r="C34" s="59">
        <v>0.30253553399999999</v>
      </c>
      <c r="D34" s="59">
        <v>0.2801494122</v>
      </c>
    </row>
    <row r="36" spans="1:5" x14ac:dyDescent="0.2">
      <c r="A36" s="4" t="s">
        <v>680</v>
      </c>
      <c r="D36" s="15">
        <v>7.5428482748169552</v>
      </c>
      <c r="E36" s="72" t="s">
        <v>679</v>
      </c>
    </row>
  </sheetData>
  <mergeCells count="3">
    <mergeCell ref="A1:F1"/>
    <mergeCell ref="C31:D31"/>
    <mergeCell ref="A32:B3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E7B6-BBEB-4651-8DE8-3F827A2F637B}">
  <dimension ref="A1:F6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11.7109375" style="2" bestFit="1" customWidth="1"/>
    <col min="4" max="4" width="11.285156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1310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1044</v>
      </c>
      <c r="B8" s="38" t="s">
        <v>1714</v>
      </c>
      <c r="C8" s="38" t="s">
        <v>693</v>
      </c>
      <c r="D8" s="38">
        <v>200</v>
      </c>
      <c r="E8" s="63">
        <v>1977.5920000000001</v>
      </c>
      <c r="F8" s="63">
        <f t="shared" ref="F8:F14" si="0">E8/$E$39*100</f>
        <v>8.043545808652933</v>
      </c>
    </row>
    <row r="9" spans="1:6" x14ac:dyDescent="0.2">
      <c r="A9" s="38" t="s">
        <v>1108</v>
      </c>
      <c r="B9" s="38" t="s">
        <v>1661</v>
      </c>
      <c r="C9" s="38" t="s">
        <v>695</v>
      </c>
      <c r="D9" s="38">
        <v>100</v>
      </c>
      <c r="E9" s="63">
        <v>998.72</v>
      </c>
      <c r="F9" s="63">
        <f t="shared" si="0"/>
        <v>4.062137220426588</v>
      </c>
    </row>
    <row r="10" spans="1:6" x14ac:dyDescent="0.2">
      <c r="A10" s="38" t="s">
        <v>732</v>
      </c>
      <c r="B10" s="38" t="s">
        <v>1433</v>
      </c>
      <c r="C10" s="38" t="s">
        <v>715</v>
      </c>
      <c r="D10" s="38">
        <v>100</v>
      </c>
      <c r="E10" s="63">
        <v>998.30200000000002</v>
      </c>
      <c r="F10" s="63">
        <f t="shared" si="0"/>
        <v>4.0604370708770254</v>
      </c>
    </row>
    <row r="11" spans="1:6" x14ac:dyDescent="0.2">
      <c r="A11" s="38" t="s">
        <v>1094</v>
      </c>
      <c r="B11" s="38" t="s">
        <v>1674</v>
      </c>
      <c r="C11" s="38" t="s">
        <v>718</v>
      </c>
      <c r="D11" s="38">
        <v>85</v>
      </c>
      <c r="E11" s="63">
        <v>841.66234999999995</v>
      </c>
      <c r="F11" s="63">
        <f t="shared" si="0"/>
        <v>3.4233298211377661</v>
      </c>
    </row>
    <row r="12" spans="1:6" x14ac:dyDescent="0.2">
      <c r="A12" s="38" t="s">
        <v>1079</v>
      </c>
      <c r="B12" s="38" t="s">
        <v>1688</v>
      </c>
      <c r="C12" s="38" t="s">
        <v>752</v>
      </c>
      <c r="D12" s="38">
        <v>60</v>
      </c>
      <c r="E12" s="63">
        <v>601.62779999999998</v>
      </c>
      <c r="F12" s="63">
        <f t="shared" si="0"/>
        <v>2.4470268736215988</v>
      </c>
    </row>
    <row r="13" spans="1:6" x14ac:dyDescent="0.2">
      <c r="A13" s="38" t="s">
        <v>976</v>
      </c>
      <c r="B13" s="38" t="s">
        <v>1619</v>
      </c>
      <c r="C13" s="38" t="s">
        <v>693</v>
      </c>
      <c r="D13" s="38">
        <v>20</v>
      </c>
      <c r="E13" s="63">
        <v>201.0274</v>
      </c>
      <c r="F13" s="63">
        <f t="shared" si="0"/>
        <v>0.81764747263055104</v>
      </c>
    </row>
    <row r="14" spans="1:6" x14ac:dyDescent="0.2">
      <c r="A14" s="38" t="s">
        <v>1279</v>
      </c>
      <c r="B14" s="38" t="s">
        <v>1822</v>
      </c>
      <c r="C14" s="38" t="s">
        <v>1055</v>
      </c>
      <c r="D14" s="38">
        <v>10</v>
      </c>
      <c r="E14" s="63">
        <v>99.989138299999993</v>
      </c>
      <c r="F14" s="63">
        <f t="shared" si="0"/>
        <v>0.40669016373639422</v>
      </c>
    </row>
    <row r="15" spans="1:6" x14ac:dyDescent="0.2">
      <c r="A15" s="37" t="s">
        <v>43</v>
      </c>
      <c r="B15" s="38"/>
      <c r="C15" s="38"/>
      <c r="D15" s="38"/>
      <c r="E15" s="64">
        <f>SUM(E8:E14)</f>
        <v>5718.9206883000006</v>
      </c>
      <c r="F15" s="64">
        <f>SUM(F8:F14)</f>
        <v>23.260814431082856</v>
      </c>
    </row>
    <row r="16" spans="1:6" x14ac:dyDescent="0.2">
      <c r="A16" s="37"/>
      <c r="B16" s="38"/>
      <c r="C16" s="38"/>
      <c r="D16" s="38"/>
      <c r="E16" s="64"/>
      <c r="F16" s="64"/>
    </row>
    <row r="17" spans="1:6" x14ac:dyDescent="0.2">
      <c r="A17" s="37" t="s">
        <v>1306</v>
      </c>
      <c r="B17" s="38"/>
      <c r="C17" s="38"/>
      <c r="D17" s="12"/>
      <c r="E17" s="64"/>
      <c r="F17" s="64"/>
    </row>
    <row r="18" spans="1:6" x14ac:dyDescent="0.2">
      <c r="A18" s="38" t="s">
        <v>1309</v>
      </c>
      <c r="B18" s="38" t="s">
        <v>1308</v>
      </c>
      <c r="C18" s="38" t="s">
        <v>1301</v>
      </c>
      <c r="D18" s="38">
        <v>10500000</v>
      </c>
      <c r="E18" s="63">
        <v>10460.1525</v>
      </c>
      <c r="F18" s="63">
        <f>E18/$E$39*100</f>
        <v>42.54503244311541</v>
      </c>
    </row>
    <row r="19" spans="1:6" x14ac:dyDescent="0.2">
      <c r="A19" s="37" t="s">
        <v>43</v>
      </c>
      <c r="B19" s="38"/>
      <c r="C19" s="38"/>
      <c r="D19" s="12"/>
      <c r="E19" s="64">
        <f>SUM(E18)</f>
        <v>10460.1525</v>
      </c>
      <c r="F19" s="64">
        <f>F18</f>
        <v>42.54503244311541</v>
      </c>
    </row>
    <row r="20" spans="1:6" x14ac:dyDescent="0.2">
      <c r="A20" s="38"/>
      <c r="B20" s="38"/>
      <c r="C20" s="38"/>
      <c r="D20" s="38"/>
      <c r="E20" s="63"/>
      <c r="F20" s="63"/>
    </row>
    <row r="21" spans="1:6" x14ac:dyDescent="0.2">
      <c r="A21" s="37" t="s">
        <v>973</v>
      </c>
      <c r="B21" s="38"/>
      <c r="C21" s="38"/>
      <c r="D21" s="38"/>
      <c r="E21" s="63"/>
      <c r="F21" s="63"/>
    </row>
    <row r="22" spans="1:6" x14ac:dyDescent="0.2">
      <c r="A22" s="37" t="s">
        <v>972</v>
      </c>
      <c r="B22" s="38"/>
      <c r="C22" s="38"/>
      <c r="D22" s="38"/>
      <c r="E22" s="63"/>
      <c r="F22" s="63"/>
    </row>
    <row r="23" spans="1:6" x14ac:dyDescent="0.2">
      <c r="A23" s="38" t="s">
        <v>1016</v>
      </c>
      <c r="B23" s="38" t="s">
        <v>1633</v>
      </c>
      <c r="C23" s="38" t="s">
        <v>999</v>
      </c>
      <c r="D23" s="38">
        <v>2100</v>
      </c>
      <c r="E23" s="63">
        <v>2100.4409999999998</v>
      </c>
      <c r="F23" s="63">
        <f>E23/$E$39*100</f>
        <v>8.5432148804570271</v>
      </c>
    </row>
    <row r="24" spans="1:6" x14ac:dyDescent="0.2">
      <c r="A24" s="38" t="s">
        <v>1185</v>
      </c>
      <c r="B24" s="38" t="s">
        <v>1776</v>
      </c>
      <c r="C24" s="38" t="s">
        <v>688</v>
      </c>
      <c r="D24" s="38">
        <v>500</v>
      </c>
      <c r="E24" s="63">
        <v>483.43200000000002</v>
      </c>
      <c r="F24" s="63">
        <f>E24/$E$39*100</f>
        <v>1.9662839642194669</v>
      </c>
    </row>
    <row r="25" spans="1:6" x14ac:dyDescent="0.2">
      <c r="A25" s="37" t="s">
        <v>43</v>
      </c>
      <c r="B25" s="38"/>
      <c r="C25" s="38"/>
      <c r="D25" s="38"/>
      <c r="E25" s="64">
        <f>SUM(E23:E24)</f>
        <v>2583.8729999999996</v>
      </c>
      <c r="F25" s="64">
        <f>SUM(F23:F24)</f>
        <v>10.509498844676495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690</v>
      </c>
      <c r="B27" s="38"/>
      <c r="C27" s="38"/>
      <c r="D27" s="38"/>
      <c r="E27" s="63"/>
      <c r="F27" s="63"/>
    </row>
    <row r="28" spans="1:6" x14ac:dyDescent="0.2">
      <c r="A28" s="38" t="s">
        <v>1261</v>
      </c>
      <c r="B28" s="38" t="s">
        <v>1779</v>
      </c>
      <c r="C28" s="38" t="s">
        <v>1007</v>
      </c>
      <c r="D28" s="38">
        <v>420</v>
      </c>
      <c r="E28" s="63">
        <v>2095.779</v>
      </c>
      <c r="F28" s="63">
        <f>E28/$E$39*100</f>
        <v>8.5242529254329682</v>
      </c>
    </row>
    <row r="29" spans="1:6" x14ac:dyDescent="0.2">
      <c r="A29" s="38" t="s">
        <v>1242</v>
      </c>
      <c r="B29" s="38" t="s">
        <v>1797</v>
      </c>
      <c r="C29" s="38" t="s">
        <v>688</v>
      </c>
      <c r="D29" s="38">
        <v>200</v>
      </c>
      <c r="E29" s="63">
        <v>995.20100000000002</v>
      </c>
      <c r="F29" s="63">
        <f>E29/$E$39*100</f>
        <v>4.047824238931593</v>
      </c>
    </row>
    <row r="30" spans="1:6" x14ac:dyDescent="0.2">
      <c r="A30" s="38" t="s">
        <v>689</v>
      </c>
      <c r="B30" s="38" t="s">
        <v>1937</v>
      </c>
      <c r="C30" s="38" t="s">
        <v>688</v>
      </c>
      <c r="D30" s="38">
        <v>200</v>
      </c>
      <c r="E30" s="63">
        <v>943.76900000000001</v>
      </c>
      <c r="F30" s="63">
        <f>E30/$E$39*100</f>
        <v>3.8386326321539377</v>
      </c>
    </row>
    <row r="31" spans="1:6" x14ac:dyDescent="0.2">
      <c r="A31" s="38" t="s">
        <v>1165</v>
      </c>
      <c r="B31" s="38" t="s">
        <v>1949</v>
      </c>
      <c r="C31" s="38" t="s">
        <v>999</v>
      </c>
      <c r="D31" s="38">
        <v>100</v>
      </c>
      <c r="E31" s="63">
        <v>471.17399999999998</v>
      </c>
      <c r="F31" s="63">
        <f>E31/$E$39*100</f>
        <v>1.9164264685770556</v>
      </c>
    </row>
    <row r="32" spans="1:6" x14ac:dyDescent="0.2">
      <c r="A32" s="38" t="s">
        <v>1164</v>
      </c>
      <c r="B32" s="38" t="s">
        <v>1767</v>
      </c>
      <c r="C32" s="38" t="s">
        <v>999</v>
      </c>
      <c r="D32" s="38">
        <v>60</v>
      </c>
      <c r="E32" s="63">
        <v>297.92579999999998</v>
      </c>
      <c r="F32" s="63">
        <f>E32/$E$39*100</f>
        <v>1.211766542279485</v>
      </c>
    </row>
    <row r="33" spans="1:6" x14ac:dyDescent="0.2">
      <c r="A33" s="37" t="s">
        <v>43</v>
      </c>
      <c r="B33" s="38"/>
      <c r="C33" s="38"/>
      <c r="D33" s="38"/>
      <c r="E33" s="64">
        <f>SUM(E28:E32)</f>
        <v>4803.8487999999998</v>
      </c>
      <c r="F33" s="64">
        <f>SUM(F28:F32)</f>
        <v>19.538902807375038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37" t="s">
        <v>43</v>
      </c>
      <c r="B35" s="38"/>
      <c r="C35" s="38"/>
      <c r="D35" s="38"/>
      <c r="E35" s="64">
        <f>E15+E19+E25+E33</f>
        <v>23566.7949883</v>
      </c>
      <c r="F35" s="64">
        <f>F15+F19+F25+F33</f>
        <v>95.854248526249805</v>
      </c>
    </row>
    <row r="36" spans="1:6" x14ac:dyDescent="0.2">
      <c r="A36" s="38"/>
      <c r="B36" s="38"/>
      <c r="C36" s="38"/>
      <c r="D36" s="38"/>
      <c r="E36" s="63"/>
      <c r="F36" s="63"/>
    </row>
    <row r="37" spans="1:6" x14ac:dyDescent="0.2">
      <c r="A37" s="37" t="s">
        <v>101</v>
      </c>
      <c r="B37" s="38"/>
      <c r="C37" s="38"/>
      <c r="D37" s="38"/>
      <c r="E37" s="64">
        <v>1019.2774609000001</v>
      </c>
      <c r="F37" s="64">
        <f>E37/$E$39*100</f>
        <v>4.1457514737501961</v>
      </c>
    </row>
    <row r="38" spans="1:6" x14ac:dyDescent="0.2">
      <c r="A38" s="38"/>
      <c r="B38" s="38"/>
      <c r="C38" s="38"/>
      <c r="D38" s="38"/>
      <c r="E38" s="63"/>
      <c r="F38" s="63"/>
    </row>
    <row r="39" spans="1:6" x14ac:dyDescent="0.2">
      <c r="A39" s="80" t="s">
        <v>102</v>
      </c>
      <c r="B39" s="79"/>
      <c r="C39" s="79"/>
      <c r="D39" s="79"/>
      <c r="E39" s="61">
        <f>E35+E37</f>
        <v>24586.072449200001</v>
      </c>
      <c r="F39" s="61">
        <f xml:space="preserve"> ROUND(SUM(F35:F38),2)</f>
        <v>100</v>
      </c>
    </row>
    <row r="40" spans="1:6" x14ac:dyDescent="0.2">
      <c r="A40" s="4" t="s">
        <v>686</v>
      </c>
    </row>
    <row r="42" spans="1:6" x14ac:dyDescent="0.2">
      <c r="A42" s="4" t="s">
        <v>103</v>
      </c>
    </row>
    <row r="43" spans="1:6" x14ac:dyDescent="0.2">
      <c r="A43" s="4" t="s">
        <v>685</v>
      </c>
    </row>
    <row r="44" spans="1:6" x14ac:dyDescent="0.2">
      <c r="A44" s="4" t="s">
        <v>608</v>
      </c>
    </row>
    <row r="45" spans="1:6" x14ac:dyDescent="0.2">
      <c r="A45" s="2" t="s">
        <v>600</v>
      </c>
      <c r="D45" s="10">
        <v>27.543199999999999</v>
      </c>
    </row>
    <row r="46" spans="1:6" x14ac:dyDescent="0.2">
      <c r="A46" s="2" t="s">
        <v>601</v>
      </c>
      <c r="D46" s="10">
        <v>10</v>
      </c>
    </row>
    <row r="47" spans="1:6" x14ac:dyDescent="0.2">
      <c r="A47" s="2" t="s">
        <v>602</v>
      </c>
      <c r="D47" s="10">
        <v>28.788900000000002</v>
      </c>
    </row>
    <row r="48" spans="1:6" x14ac:dyDescent="0.2">
      <c r="A48" s="2" t="s">
        <v>603</v>
      </c>
      <c r="D48" s="10">
        <v>10</v>
      </c>
    </row>
    <row r="50" spans="1:5" x14ac:dyDescent="0.2">
      <c r="A50" s="4" t="s">
        <v>105</v>
      </c>
    </row>
    <row r="51" spans="1:5" x14ac:dyDescent="0.2">
      <c r="A51" s="2" t="s">
        <v>600</v>
      </c>
      <c r="D51" s="10">
        <v>28.562200000000001</v>
      </c>
    </row>
    <row r="52" spans="1:5" x14ac:dyDescent="0.2">
      <c r="A52" s="2" t="s">
        <v>601</v>
      </c>
      <c r="D52" s="10">
        <v>10.015000000000001</v>
      </c>
    </row>
    <row r="53" spans="1:5" x14ac:dyDescent="0.2">
      <c r="A53" s="2" t="s">
        <v>602</v>
      </c>
      <c r="D53" s="10">
        <v>29.930599999999998</v>
      </c>
    </row>
    <row r="54" spans="1:5" x14ac:dyDescent="0.2">
      <c r="A54" s="2" t="s">
        <v>603</v>
      </c>
      <c r="D54" s="10">
        <v>10.0303</v>
      </c>
    </row>
    <row r="56" spans="1:5" x14ac:dyDescent="0.2">
      <c r="A56" s="4" t="s">
        <v>106</v>
      </c>
      <c r="D56" s="20" t="s">
        <v>311</v>
      </c>
    </row>
    <row r="57" spans="1:5" x14ac:dyDescent="0.2">
      <c r="A57" s="77" t="s">
        <v>604</v>
      </c>
      <c r="B57" s="76"/>
      <c r="C57" s="114" t="s">
        <v>605</v>
      </c>
      <c r="D57" s="114"/>
    </row>
    <row r="58" spans="1:5" x14ac:dyDescent="0.2">
      <c r="A58" s="115"/>
      <c r="B58" s="115"/>
      <c r="C58" s="23" t="s">
        <v>606</v>
      </c>
      <c r="D58" s="23" t="s">
        <v>607</v>
      </c>
    </row>
    <row r="59" spans="1:5" x14ac:dyDescent="0.2">
      <c r="A59" s="24" t="s">
        <v>601</v>
      </c>
      <c r="B59" s="25"/>
      <c r="C59" s="59">
        <v>0.25097203910000015</v>
      </c>
      <c r="D59" s="59">
        <v>0.23240135879999996</v>
      </c>
    </row>
    <row r="60" spans="1:5" x14ac:dyDescent="0.2">
      <c r="A60" s="24" t="s">
        <v>603</v>
      </c>
      <c r="B60" s="25"/>
      <c r="C60" s="59">
        <v>0.25826921799999997</v>
      </c>
      <c r="D60" s="59">
        <v>0.23915858389999989</v>
      </c>
    </row>
    <row r="62" spans="1:5" x14ac:dyDescent="0.2">
      <c r="A62" s="4" t="s">
        <v>680</v>
      </c>
      <c r="D62" s="15">
        <v>0.9269866341963281</v>
      </c>
      <c r="E62" s="72" t="s">
        <v>679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0D3C-E7AC-48B9-AE5A-1976F5899645}"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1318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1317</v>
      </c>
      <c r="B8" s="38" t="s">
        <v>1842</v>
      </c>
      <c r="C8" s="38" t="s">
        <v>1139</v>
      </c>
      <c r="D8" s="38">
        <v>40</v>
      </c>
      <c r="E8" s="63">
        <v>446.2056</v>
      </c>
      <c r="F8" s="63">
        <v>10.0111253871271</v>
      </c>
    </row>
    <row r="9" spans="1:6" x14ac:dyDescent="0.2">
      <c r="A9" s="38" t="s">
        <v>1316</v>
      </c>
      <c r="B9" s="38" t="s">
        <v>1843</v>
      </c>
      <c r="C9" s="38" t="s">
        <v>693</v>
      </c>
      <c r="D9" s="38">
        <v>40</v>
      </c>
      <c r="E9" s="63">
        <v>443.20600000000002</v>
      </c>
      <c r="F9" s="63">
        <v>9.9438259814019201</v>
      </c>
    </row>
    <row r="10" spans="1:6" x14ac:dyDescent="0.2">
      <c r="A10" s="38" t="s">
        <v>975</v>
      </c>
      <c r="B10" s="38" t="s">
        <v>1924</v>
      </c>
      <c r="C10" s="38" t="s">
        <v>721</v>
      </c>
      <c r="D10" s="38">
        <v>42</v>
      </c>
      <c r="E10" s="63">
        <v>425.31132000000002</v>
      </c>
      <c r="F10" s="63">
        <v>9.5423386732136901</v>
      </c>
    </row>
    <row r="11" spans="1:6" x14ac:dyDescent="0.2">
      <c r="A11" s="38" t="s">
        <v>966</v>
      </c>
      <c r="B11" s="38" t="s">
        <v>1583</v>
      </c>
      <c r="C11" s="38" t="s">
        <v>693</v>
      </c>
      <c r="D11" s="38">
        <v>41</v>
      </c>
      <c r="E11" s="63">
        <v>423.59231999999997</v>
      </c>
      <c r="F11" s="63">
        <v>9.5037709713729406</v>
      </c>
    </row>
    <row r="12" spans="1:6" x14ac:dyDescent="0.2">
      <c r="A12" s="38" t="s">
        <v>951</v>
      </c>
      <c r="B12" s="38" t="s">
        <v>1593</v>
      </c>
      <c r="C12" s="38" t="s">
        <v>933</v>
      </c>
      <c r="D12" s="38">
        <v>40</v>
      </c>
      <c r="E12" s="63">
        <v>403.53480000000002</v>
      </c>
      <c r="F12" s="63">
        <v>9.05375791085822</v>
      </c>
    </row>
    <row r="13" spans="1:6" x14ac:dyDescent="0.2">
      <c r="A13" s="38" t="s">
        <v>961</v>
      </c>
      <c r="B13" s="38" t="s">
        <v>1959</v>
      </c>
      <c r="C13" s="38" t="s">
        <v>933</v>
      </c>
      <c r="D13" s="38">
        <v>40</v>
      </c>
      <c r="E13" s="63">
        <v>403.01600000000002</v>
      </c>
      <c r="F13" s="63">
        <v>9.0421180483131494</v>
      </c>
    </row>
    <row r="14" spans="1:6" x14ac:dyDescent="0.2">
      <c r="A14" s="38" t="s">
        <v>941</v>
      </c>
      <c r="B14" s="38" t="s">
        <v>1601</v>
      </c>
      <c r="C14" s="38" t="s">
        <v>940</v>
      </c>
      <c r="D14" s="38">
        <v>37</v>
      </c>
      <c r="E14" s="63">
        <v>394.27237000000002</v>
      </c>
      <c r="F14" s="63">
        <v>8.8459448575942403</v>
      </c>
    </row>
    <row r="15" spans="1:6" x14ac:dyDescent="0.2">
      <c r="A15" s="38" t="s">
        <v>947</v>
      </c>
      <c r="B15" s="38" t="s">
        <v>1939</v>
      </c>
      <c r="C15" s="38" t="s">
        <v>693</v>
      </c>
      <c r="D15" s="38">
        <v>30</v>
      </c>
      <c r="E15" s="63">
        <v>319.22640000000001</v>
      </c>
      <c r="F15" s="63">
        <v>7.1622039644531004</v>
      </c>
    </row>
    <row r="16" spans="1:6" x14ac:dyDescent="0.2">
      <c r="A16" s="38" t="s">
        <v>945</v>
      </c>
      <c r="B16" s="38" t="s">
        <v>1598</v>
      </c>
      <c r="C16" s="38" t="s">
        <v>693</v>
      </c>
      <c r="D16" s="38">
        <v>30</v>
      </c>
      <c r="E16" s="63">
        <v>308.26949999999999</v>
      </c>
      <c r="F16" s="63">
        <v>6.91637356753695</v>
      </c>
    </row>
    <row r="17" spans="1:6" x14ac:dyDescent="0.2">
      <c r="A17" s="38" t="s">
        <v>1315</v>
      </c>
      <c r="B17" s="38" t="s">
        <v>1844</v>
      </c>
      <c r="C17" s="38" t="s">
        <v>1139</v>
      </c>
      <c r="D17" s="38">
        <v>21</v>
      </c>
      <c r="E17" s="63">
        <v>229.02305999999999</v>
      </c>
      <c r="F17" s="63">
        <v>5.1383903971700997</v>
      </c>
    </row>
    <row r="18" spans="1:6" x14ac:dyDescent="0.2">
      <c r="A18" s="38" t="s">
        <v>942</v>
      </c>
      <c r="B18" s="38" t="s">
        <v>1600</v>
      </c>
      <c r="C18" s="38" t="s">
        <v>693</v>
      </c>
      <c r="D18" s="38">
        <v>19</v>
      </c>
      <c r="E18" s="63">
        <v>207.53908999999999</v>
      </c>
      <c r="F18" s="63">
        <v>4.6563733236881104</v>
      </c>
    </row>
    <row r="19" spans="1:6" x14ac:dyDescent="0.2">
      <c r="A19" s="38" t="s">
        <v>1314</v>
      </c>
      <c r="B19" s="38" t="s">
        <v>1845</v>
      </c>
      <c r="C19" s="38" t="s">
        <v>933</v>
      </c>
      <c r="D19" s="38">
        <v>19</v>
      </c>
      <c r="E19" s="63">
        <v>194.14503999999999</v>
      </c>
      <c r="F19" s="63">
        <v>4.3558627205234499</v>
      </c>
    </row>
    <row r="20" spans="1:6" x14ac:dyDescent="0.2">
      <c r="A20" s="38" t="s">
        <v>1313</v>
      </c>
      <c r="B20" s="38" t="s">
        <v>1846</v>
      </c>
      <c r="C20" s="38" t="s">
        <v>693</v>
      </c>
      <c r="D20" s="38">
        <v>12</v>
      </c>
      <c r="E20" s="63">
        <v>126.76596000000001</v>
      </c>
      <c r="F20" s="63">
        <v>2.84413714301105</v>
      </c>
    </row>
    <row r="21" spans="1:6" x14ac:dyDescent="0.2">
      <c r="A21" s="37" t="s">
        <v>43</v>
      </c>
      <c r="B21" s="38"/>
      <c r="C21" s="38"/>
      <c r="D21" s="38"/>
      <c r="E21" s="64">
        <f>SUM(E8:E20)</f>
        <v>4324.1074600000002</v>
      </c>
      <c r="F21" s="64">
        <f>SUM(F8:F20)</f>
        <v>97.016222946264023</v>
      </c>
    </row>
    <row r="22" spans="1:6" x14ac:dyDescent="0.2">
      <c r="A22" s="38"/>
      <c r="B22" s="38"/>
      <c r="C22" s="38"/>
      <c r="D22" s="38"/>
      <c r="E22" s="63"/>
      <c r="F22" s="63"/>
    </row>
    <row r="23" spans="1:6" x14ac:dyDescent="0.2">
      <c r="A23" s="37" t="s">
        <v>43</v>
      </c>
      <c r="B23" s="38"/>
      <c r="C23" s="38"/>
      <c r="D23" s="38"/>
      <c r="E23" s="64">
        <v>4324.1074600000002</v>
      </c>
      <c r="F23" s="64">
        <v>97.016222946264023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101</v>
      </c>
      <c r="B25" s="38"/>
      <c r="C25" s="38"/>
      <c r="D25" s="38"/>
      <c r="E25" s="64">
        <v>132.9873067</v>
      </c>
      <c r="F25" s="64">
        <v>2.98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80" t="s">
        <v>102</v>
      </c>
      <c r="B27" s="79"/>
      <c r="C27" s="79"/>
      <c r="D27" s="79"/>
      <c r="E27" s="61">
        <v>4457.0973067000004</v>
      </c>
      <c r="F27" s="61">
        <f xml:space="preserve"> ROUND(SUM(F23:F26),2)</f>
        <v>100</v>
      </c>
    </row>
    <row r="28" spans="1:6" x14ac:dyDescent="0.2">
      <c r="A28" s="88" t="s">
        <v>686</v>
      </c>
    </row>
    <row r="30" spans="1:6" x14ac:dyDescent="0.2">
      <c r="A30" s="4" t="s">
        <v>103</v>
      </c>
    </row>
    <row r="31" spans="1:6" x14ac:dyDescent="0.2">
      <c r="A31" s="4" t="s">
        <v>685</v>
      </c>
    </row>
    <row r="32" spans="1:6" x14ac:dyDescent="0.2">
      <c r="A32" s="4" t="s">
        <v>608</v>
      </c>
      <c r="D32" s="11" t="s">
        <v>1422</v>
      </c>
    </row>
    <row r="34" spans="1:5" x14ac:dyDescent="0.2">
      <c r="A34" s="4" t="s">
        <v>105</v>
      </c>
    </row>
    <row r="35" spans="1:5" x14ac:dyDescent="0.2">
      <c r="A35" s="2" t="s">
        <v>600</v>
      </c>
      <c r="D35" s="10">
        <v>10.3957</v>
      </c>
    </row>
    <row r="36" spans="1:5" x14ac:dyDescent="0.2">
      <c r="A36" s="2" t="s">
        <v>601</v>
      </c>
      <c r="D36" s="10">
        <v>10.3957</v>
      </c>
    </row>
    <row r="37" spans="1:5" x14ac:dyDescent="0.2">
      <c r="A37" s="2" t="s">
        <v>684</v>
      </c>
      <c r="D37" s="10">
        <v>10.248699999999999</v>
      </c>
    </row>
    <row r="38" spans="1:5" x14ac:dyDescent="0.2">
      <c r="A38" s="2" t="s">
        <v>602</v>
      </c>
      <c r="D38" s="10">
        <v>10.4034</v>
      </c>
    </row>
    <row r="40" spans="1:5" x14ac:dyDescent="0.2">
      <c r="A40" s="4" t="s">
        <v>106</v>
      </c>
      <c r="D40" s="20" t="s">
        <v>311</v>
      </c>
    </row>
    <row r="41" spans="1:5" x14ac:dyDescent="0.2">
      <c r="A41" s="21" t="s">
        <v>604</v>
      </c>
      <c r="B41" s="22"/>
      <c r="C41" s="94" t="s">
        <v>605</v>
      </c>
      <c r="D41" s="93"/>
    </row>
    <row r="42" spans="1:5" x14ac:dyDescent="0.2">
      <c r="A42" s="87"/>
      <c r="B42" s="86"/>
      <c r="C42" s="23" t="s">
        <v>606</v>
      </c>
      <c r="D42" s="23" t="s">
        <v>607</v>
      </c>
    </row>
    <row r="43" spans="1:5" x14ac:dyDescent="0.2">
      <c r="A43" s="24" t="s">
        <v>684</v>
      </c>
      <c r="B43" s="25"/>
      <c r="C43" s="26">
        <v>0.1044467915</v>
      </c>
      <c r="D43" s="26">
        <v>9.6718249500000006E-2</v>
      </c>
    </row>
    <row r="45" spans="1:5" x14ac:dyDescent="0.2">
      <c r="A45" s="4" t="s">
        <v>680</v>
      </c>
      <c r="D45" s="15">
        <v>2.5203339411723169</v>
      </c>
      <c r="E45" s="72" t="s">
        <v>1312</v>
      </c>
    </row>
    <row r="47" spans="1:5" x14ac:dyDescent="0.2">
      <c r="A47" s="9" t="s">
        <v>1311</v>
      </c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CC7C-0470-4F05-A768-716F8D34C521}">
  <dimension ref="A1:F5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1322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947</v>
      </c>
      <c r="B8" s="38" t="s">
        <v>1939</v>
      </c>
      <c r="C8" s="38" t="s">
        <v>693</v>
      </c>
      <c r="D8" s="38">
        <v>39</v>
      </c>
      <c r="E8" s="63">
        <v>414.99432000000002</v>
      </c>
      <c r="F8" s="63">
        <v>11.9241309938503</v>
      </c>
    </row>
    <row r="9" spans="1:6" x14ac:dyDescent="0.2">
      <c r="A9" s="38" t="s">
        <v>1321</v>
      </c>
      <c r="B9" s="38" t="s">
        <v>1933</v>
      </c>
      <c r="C9" s="38" t="s">
        <v>693</v>
      </c>
      <c r="D9" s="38">
        <v>39</v>
      </c>
      <c r="E9" s="63">
        <v>397.55117999999999</v>
      </c>
      <c r="F9" s="63">
        <v>11.4229330827462</v>
      </c>
    </row>
    <row r="10" spans="1:6" x14ac:dyDescent="0.2">
      <c r="A10" s="38" t="s">
        <v>954</v>
      </c>
      <c r="B10" s="38" t="s">
        <v>1590</v>
      </c>
      <c r="C10" s="38" t="s">
        <v>693</v>
      </c>
      <c r="D10" s="38">
        <v>39</v>
      </c>
      <c r="E10" s="63">
        <v>396.49779000000001</v>
      </c>
      <c r="F10" s="63">
        <v>11.3926657760813</v>
      </c>
    </row>
    <row r="11" spans="1:6" x14ac:dyDescent="0.2">
      <c r="A11" s="38" t="s">
        <v>966</v>
      </c>
      <c r="B11" s="38" t="s">
        <v>1583</v>
      </c>
      <c r="C11" s="38" t="s">
        <v>693</v>
      </c>
      <c r="D11" s="38">
        <v>38</v>
      </c>
      <c r="E11" s="63">
        <v>392.59775999999999</v>
      </c>
      <c r="F11" s="63">
        <v>11.2806052818559</v>
      </c>
    </row>
    <row r="12" spans="1:6" x14ac:dyDescent="0.2">
      <c r="A12" s="38" t="s">
        <v>1314</v>
      </c>
      <c r="B12" s="38" t="s">
        <v>1845</v>
      </c>
      <c r="C12" s="38" t="s">
        <v>933</v>
      </c>
      <c r="D12" s="38">
        <v>37</v>
      </c>
      <c r="E12" s="63">
        <v>378.07191999999998</v>
      </c>
      <c r="F12" s="63">
        <v>10.863230848982401</v>
      </c>
    </row>
    <row r="13" spans="1:6" x14ac:dyDescent="0.2">
      <c r="A13" s="38" t="s">
        <v>964</v>
      </c>
      <c r="B13" s="38" t="s">
        <v>1958</v>
      </c>
      <c r="C13" s="38" t="s">
        <v>963</v>
      </c>
      <c r="D13" s="38">
        <v>32</v>
      </c>
      <c r="E13" s="63">
        <v>320.79903999999999</v>
      </c>
      <c r="F13" s="63">
        <v>9.2175954978405894</v>
      </c>
    </row>
    <row r="14" spans="1:6" x14ac:dyDescent="0.2">
      <c r="A14" s="38" t="s">
        <v>1315</v>
      </c>
      <c r="B14" s="38" t="s">
        <v>1844</v>
      </c>
      <c r="C14" s="38" t="s">
        <v>1139</v>
      </c>
      <c r="D14" s="38">
        <v>29</v>
      </c>
      <c r="E14" s="63">
        <v>316.26994000000002</v>
      </c>
      <c r="F14" s="63">
        <v>9.0874597849367404</v>
      </c>
    </row>
    <row r="15" spans="1:6" x14ac:dyDescent="0.2">
      <c r="A15" s="38" t="s">
        <v>943</v>
      </c>
      <c r="B15" s="38" t="s">
        <v>1961</v>
      </c>
      <c r="C15" s="38" t="s">
        <v>693</v>
      </c>
      <c r="D15" s="38">
        <v>27</v>
      </c>
      <c r="E15" s="63">
        <v>298.84302000000002</v>
      </c>
      <c r="F15" s="63">
        <v>8.5867279269697505</v>
      </c>
    </row>
    <row r="16" spans="1:6" x14ac:dyDescent="0.2">
      <c r="A16" s="38" t="s">
        <v>1313</v>
      </c>
      <c r="B16" s="38" t="s">
        <v>1846</v>
      </c>
      <c r="C16" s="38" t="s">
        <v>693</v>
      </c>
      <c r="D16" s="38">
        <v>24</v>
      </c>
      <c r="E16" s="63">
        <v>253.53192000000001</v>
      </c>
      <c r="F16" s="63">
        <v>7.28479325982671</v>
      </c>
    </row>
    <row r="17" spans="1:6" x14ac:dyDescent="0.2">
      <c r="A17" s="38" t="s">
        <v>945</v>
      </c>
      <c r="B17" s="38" t="s">
        <v>1598</v>
      </c>
      <c r="C17" s="38" t="s">
        <v>693</v>
      </c>
      <c r="D17" s="38">
        <v>13</v>
      </c>
      <c r="E17" s="63">
        <v>133.58345</v>
      </c>
      <c r="F17" s="63">
        <v>3.8382851996876699</v>
      </c>
    </row>
    <row r="18" spans="1:6" x14ac:dyDescent="0.2">
      <c r="A18" s="38" t="s">
        <v>1316</v>
      </c>
      <c r="B18" s="38" t="s">
        <v>1843</v>
      </c>
      <c r="C18" s="38" t="s">
        <v>693</v>
      </c>
      <c r="D18" s="38">
        <v>4</v>
      </c>
      <c r="E18" s="63">
        <v>44.320599999999999</v>
      </c>
      <c r="F18" s="63">
        <v>1.2734743938809601</v>
      </c>
    </row>
    <row r="19" spans="1:6" x14ac:dyDescent="0.2">
      <c r="A19" s="38" t="s">
        <v>1320</v>
      </c>
      <c r="B19" s="38" t="s">
        <v>1847</v>
      </c>
      <c r="C19" s="38" t="s">
        <v>1139</v>
      </c>
      <c r="D19" s="38">
        <v>1</v>
      </c>
      <c r="E19" s="63">
        <v>10.82671</v>
      </c>
      <c r="F19" s="63">
        <v>0.31108644636974497</v>
      </c>
    </row>
    <row r="20" spans="1:6" x14ac:dyDescent="0.2">
      <c r="A20" s="38" t="s">
        <v>961</v>
      </c>
      <c r="B20" s="38" t="s">
        <v>1959</v>
      </c>
      <c r="C20" s="38" t="s">
        <v>933</v>
      </c>
      <c r="D20" s="38">
        <v>1</v>
      </c>
      <c r="E20" s="63">
        <v>10.0754</v>
      </c>
      <c r="F20" s="63">
        <v>0.289498876551947</v>
      </c>
    </row>
    <row r="21" spans="1:6" x14ac:dyDescent="0.2">
      <c r="A21" s="37" t="s">
        <v>43</v>
      </c>
      <c r="B21" s="38"/>
      <c r="C21" s="38"/>
      <c r="D21" s="38"/>
      <c r="E21" s="64">
        <f>SUM(E8:E20)</f>
        <v>3367.9630499999998</v>
      </c>
      <c r="F21" s="64">
        <f>SUM(F8:F20)</f>
        <v>96.772487369580205</v>
      </c>
    </row>
    <row r="22" spans="1:6" x14ac:dyDescent="0.2">
      <c r="A22" s="38"/>
      <c r="B22" s="38"/>
      <c r="C22" s="38"/>
      <c r="D22" s="38"/>
      <c r="E22" s="63"/>
      <c r="F22" s="63"/>
    </row>
    <row r="23" spans="1:6" x14ac:dyDescent="0.2">
      <c r="A23" s="37" t="s">
        <v>43</v>
      </c>
      <c r="B23" s="38"/>
      <c r="C23" s="38"/>
      <c r="D23" s="38"/>
      <c r="E23" s="64">
        <v>3367.9630499999998</v>
      </c>
      <c r="F23" s="64">
        <v>96.772487369580205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101</v>
      </c>
      <c r="B25" s="38"/>
      <c r="C25" s="38"/>
      <c r="D25" s="38"/>
      <c r="E25" s="64">
        <v>112.3298443</v>
      </c>
      <c r="F25" s="64">
        <v>3.23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80" t="s">
        <v>102</v>
      </c>
      <c r="B27" s="79"/>
      <c r="C27" s="79"/>
      <c r="D27" s="79"/>
      <c r="E27" s="61">
        <v>3480.2898442999999</v>
      </c>
      <c r="F27" s="61">
        <f xml:space="preserve"> ROUND(SUM(F23:F26),2)</f>
        <v>100</v>
      </c>
    </row>
    <row r="28" spans="1:6" x14ac:dyDescent="0.2">
      <c r="A28" s="88" t="s">
        <v>686</v>
      </c>
    </row>
    <row r="30" spans="1:6" x14ac:dyDescent="0.2">
      <c r="A30" s="4" t="s">
        <v>103</v>
      </c>
    </row>
    <row r="31" spans="1:6" x14ac:dyDescent="0.2">
      <c r="A31" s="4" t="s">
        <v>685</v>
      </c>
    </row>
    <row r="32" spans="1:6" x14ac:dyDescent="0.2">
      <c r="A32" s="4" t="s">
        <v>608</v>
      </c>
      <c r="D32" s="11" t="s">
        <v>1422</v>
      </c>
    </row>
    <row r="34" spans="1:5" x14ac:dyDescent="0.2">
      <c r="A34" s="4" t="s">
        <v>105</v>
      </c>
    </row>
    <row r="35" spans="1:5" x14ac:dyDescent="0.2">
      <c r="A35" s="2" t="s">
        <v>600</v>
      </c>
      <c r="D35" s="10">
        <v>10.5167</v>
      </c>
    </row>
    <row r="36" spans="1:5" x14ac:dyDescent="0.2">
      <c r="A36" s="2" t="s">
        <v>601</v>
      </c>
      <c r="D36" s="10">
        <v>10.5167</v>
      </c>
    </row>
    <row r="37" spans="1:5" x14ac:dyDescent="0.2">
      <c r="A37" s="2" t="s">
        <v>684</v>
      </c>
      <c r="D37" s="10">
        <v>10.3485</v>
      </c>
    </row>
    <row r="38" spans="1:5" x14ac:dyDescent="0.2">
      <c r="A38" s="2" t="s">
        <v>602</v>
      </c>
      <c r="D38" s="10">
        <v>10.526400000000001</v>
      </c>
    </row>
    <row r="39" spans="1:5" x14ac:dyDescent="0.2">
      <c r="A39" s="2" t="s">
        <v>603</v>
      </c>
      <c r="D39" s="10">
        <v>10.526400000000001</v>
      </c>
    </row>
    <row r="40" spans="1:5" x14ac:dyDescent="0.2">
      <c r="A40" s="2" t="s">
        <v>683</v>
      </c>
      <c r="D40" s="10">
        <v>10.3581</v>
      </c>
    </row>
    <row r="42" spans="1:5" x14ac:dyDescent="0.2">
      <c r="A42" s="4" t="s">
        <v>106</v>
      </c>
      <c r="D42" s="20" t="s">
        <v>311</v>
      </c>
    </row>
    <row r="43" spans="1:5" x14ac:dyDescent="0.2">
      <c r="A43" s="21" t="s">
        <v>604</v>
      </c>
      <c r="B43" s="22"/>
      <c r="C43" s="94" t="s">
        <v>605</v>
      </c>
      <c r="D43" s="93"/>
    </row>
    <row r="44" spans="1:5" x14ac:dyDescent="0.2">
      <c r="A44" s="87"/>
      <c r="B44" s="86"/>
      <c r="C44" s="23" t="s">
        <v>606</v>
      </c>
      <c r="D44" s="23" t="s">
        <v>607</v>
      </c>
    </row>
    <row r="45" spans="1:5" x14ac:dyDescent="0.2">
      <c r="A45" s="24" t="s">
        <v>684</v>
      </c>
      <c r="B45" s="25"/>
      <c r="C45" s="26">
        <v>0.11885324550000001</v>
      </c>
      <c r="D45" s="26">
        <v>0.1100586977</v>
      </c>
    </row>
    <row r="46" spans="1:5" x14ac:dyDescent="0.2">
      <c r="A46" s="24" t="s">
        <v>683</v>
      </c>
      <c r="B46" s="25"/>
      <c r="C46" s="26">
        <v>0.11885324550000001</v>
      </c>
      <c r="D46" s="26">
        <v>0.1100586977</v>
      </c>
    </row>
    <row r="48" spans="1:5" x14ac:dyDescent="0.2">
      <c r="A48" s="4" t="s">
        <v>680</v>
      </c>
      <c r="D48" s="15">
        <v>2.4404577558124636</v>
      </c>
      <c r="E48" s="72" t="s">
        <v>1312</v>
      </c>
    </row>
    <row r="50" spans="1:1" x14ac:dyDescent="0.2">
      <c r="A50" s="9" t="s">
        <v>1319</v>
      </c>
    </row>
  </sheetData>
  <mergeCells count="1">
    <mergeCell ref="A1:F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3837-223E-489E-B201-DB3E1B23F1ED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1327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1326</v>
      </c>
      <c r="B8" s="38" t="s">
        <v>1848</v>
      </c>
      <c r="C8" s="38" t="s">
        <v>693</v>
      </c>
      <c r="D8" s="38">
        <v>23</v>
      </c>
      <c r="E8" s="63">
        <v>252.02341999999999</v>
      </c>
      <c r="F8" s="63">
        <v>11.7875514264679</v>
      </c>
    </row>
    <row r="9" spans="1:6" x14ac:dyDescent="0.2">
      <c r="A9" s="38" t="s">
        <v>1325</v>
      </c>
      <c r="B9" s="38" t="s">
        <v>1963</v>
      </c>
      <c r="C9" s="38" t="s">
        <v>693</v>
      </c>
      <c r="D9" s="38">
        <v>23</v>
      </c>
      <c r="E9" s="63">
        <v>251.14505</v>
      </c>
      <c r="F9" s="63">
        <v>11.746468611440401</v>
      </c>
    </row>
    <row r="10" spans="1:6" x14ac:dyDescent="0.2">
      <c r="A10" s="38" t="s">
        <v>1314</v>
      </c>
      <c r="B10" s="38" t="s">
        <v>1845</v>
      </c>
      <c r="C10" s="38" t="s">
        <v>933</v>
      </c>
      <c r="D10" s="38">
        <v>24</v>
      </c>
      <c r="E10" s="63">
        <v>245.23584</v>
      </c>
      <c r="F10" s="63">
        <v>11.4700851040473</v>
      </c>
    </row>
    <row r="11" spans="1:6" x14ac:dyDescent="0.2">
      <c r="A11" s="38" t="s">
        <v>954</v>
      </c>
      <c r="B11" s="38" t="s">
        <v>1590</v>
      </c>
      <c r="C11" s="38" t="s">
        <v>693</v>
      </c>
      <c r="D11" s="38">
        <v>24</v>
      </c>
      <c r="E11" s="63">
        <v>243.99863999999999</v>
      </c>
      <c r="F11" s="63">
        <v>11.412219217516499</v>
      </c>
    </row>
    <row r="12" spans="1:6" x14ac:dyDescent="0.2">
      <c r="A12" s="38" t="s">
        <v>966</v>
      </c>
      <c r="B12" s="38" t="s">
        <v>1583</v>
      </c>
      <c r="C12" s="38" t="s">
        <v>693</v>
      </c>
      <c r="D12" s="38">
        <v>23</v>
      </c>
      <c r="E12" s="63">
        <v>237.62495999999999</v>
      </c>
      <c r="F12" s="63">
        <v>11.114111681415899</v>
      </c>
    </row>
    <row r="13" spans="1:6" x14ac:dyDescent="0.2">
      <c r="A13" s="38" t="s">
        <v>1321</v>
      </c>
      <c r="B13" s="38" t="s">
        <v>1933</v>
      </c>
      <c r="C13" s="38" t="s">
        <v>693</v>
      </c>
      <c r="D13" s="38">
        <v>23</v>
      </c>
      <c r="E13" s="63">
        <v>234.45326</v>
      </c>
      <c r="F13" s="63">
        <v>10.9657660361607</v>
      </c>
    </row>
    <row r="14" spans="1:6" x14ac:dyDescent="0.2">
      <c r="A14" s="38" t="s">
        <v>964</v>
      </c>
      <c r="B14" s="38" t="s">
        <v>1958</v>
      </c>
      <c r="C14" s="38" t="s">
        <v>963</v>
      </c>
      <c r="D14" s="38">
        <v>20</v>
      </c>
      <c r="E14" s="63">
        <v>200.49940000000001</v>
      </c>
      <c r="F14" s="63">
        <v>9.3776879485087807</v>
      </c>
    </row>
    <row r="15" spans="1:6" x14ac:dyDescent="0.2">
      <c r="A15" s="38" t="s">
        <v>1320</v>
      </c>
      <c r="B15" s="38" t="s">
        <v>1847</v>
      </c>
      <c r="C15" s="38" t="s">
        <v>1139</v>
      </c>
      <c r="D15" s="38">
        <v>18</v>
      </c>
      <c r="E15" s="63">
        <v>194.88077999999999</v>
      </c>
      <c r="F15" s="63">
        <v>9.1148958151594996</v>
      </c>
    </row>
    <row r="16" spans="1:6" x14ac:dyDescent="0.2">
      <c r="A16" s="38" t="s">
        <v>1313</v>
      </c>
      <c r="B16" s="38" t="s">
        <v>1846</v>
      </c>
      <c r="C16" s="38" t="s">
        <v>693</v>
      </c>
      <c r="D16" s="38">
        <v>14</v>
      </c>
      <c r="E16" s="63">
        <v>147.89362</v>
      </c>
      <c r="F16" s="63">
        <v>6.9172287694393999</v>
      </c>
    </row>
    <row r="17" spans="1:6" x14ac:dyDescent="0.2">
      <c r="A17" s="38" t="s">
        <v>945</v>
      </c>
      <c r="B17" s="38" t="s">
        <v>1598</v>
      </c>
      <c r="C17" s="38" t="s">
        <v>693</v>
      </c>
      <c r="D17" s="38">
        <v>3</v>
      </c>
      <c r="E17" s="63">
        <v>30.82695</v>
      </c>
      <c r="F17" s="63">
        <v>1.4418273446418399</v>
      </c>
    </row>
    <row r="18" spans="1:6" x14ac:dyDescent="0.2">
      <c r="A18" s="38" t="s">
        <v>1324</v>
      </c>
      <c r="B18" s="38" t="s">
        <v>1849</v>
      </c>
      <c r="C18" s="38" t="s">
        <v>693</v>
      </c>
      <c r="D18" s="38">
        <v>2</v>
      </c>
      <c r="E18" s="63">
        <v>20.31842</v>
      </c>
      <c r="F18" s="63">
        <v>0.95032604769261098</v>
      </c>
    </row>
    <row r="19" spans="1:6" x14ac:dyDescent="0.2">
      <c r="A19" s="38" t="s">
        <v>1323</v>
      </c>
      <c r="B19" s="38" t="s">
        <v>1850</v>
      </c>
      <c r="C19" s="38" t="s">
        <v>933</v>
      </c>
      <c r="D19" s="38">
        <v>1</v>
      </c>
      <c r="E19" s="63">
        <v>10.364660000000001</v>
      </c>
      <c r="F19" s="63">
        <v>0.48477225952990899</v>
      </c>
    </row>
    <row r="20" spans="1:6" x14ac:dyDescent="0.2">
      <c r="A20" s="37" t="s">
        <v>43</v>
      </c>
      <c r="B20" s="38"/>
      <c r="C20" s="38"/>
      <c r="D20" s="38"/>
      <c r="E20" s="64">
        <f>SUM(E8:E19)</f>
        <v>2069.2649999999999</v>
      </c>
      <c r="F20" s="64">
        <f>SUM(F8:F19)</f>
        <v>96.78294026202073</v>
      </c>
    </row>
    <row r="21" spans="1:6" x14ac:dyDescent="0.2">
      <c r="A21" s="38"/>
      <c r="B21" s="38"/>
      <c r="C21" s="38"/>
      <c r="D21" s="38"/>
      <c r="E21" s="63"/>
      <c r="F21" s="63"/>
    </row>
    <row r="22" spans="1:6" x14ac:dyDescent="0.2">
      <c r="A22" s="37" t="s">
        <v>43</v>
      </c>
      <c r="B22" s="38"/>
      <c r="C22" s="38"/>
      <c r="D22" s="38"/>
      <c r="E22" s="64">
        <v>2069.2649999999999</v>
      </c>
      <c r="F22" s="64">
        <v>96.78294026202073</v>
      </c>
    </row>
    <row r="23" spans="1:6" x14ac:dyDescent="0.2">
      <c r="A23" s="38"/>
      <c r="B23" s="38"/>
      <c r="C23" s="38"/>
      <c r="D23" s="38"/>
      <c r="E23" s="63"/>
      <c r="F23" s="63"/>
    </row>
    <row r="24" spans="1:6" x14ac:dyDescent="0.2">
      <c r="A24" s="37" t="s">
        <v>101</v>
      </c>
      <c r="B24" s="38"/>
      <c r="C24" s="38"/>
      <c r="D24" s="38"/>
      <c r="E24" s="64">
        <v>68.787257499999996</v>
      </c>
      <c r="F24" s="64">
        <v>3.22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80" t="s">
        <v>102</v>
      </c>
      <c r="B26" s="79"/>
      <c r="C26" s="79"/>
      <c r="D26" s="79"/>
      <c r="E26" s="61">
        <v>2138.0472574999999</v>
      </c>
      <c r="F26" s="61">
        <f xml:space="preserve"> ROUND(SUM(F22:F25),2)</f>
        <v>100</v>
      </c>
    </row>
    <row r="27" spans="1:6" x14ac:dyDescent="0.2">
      <c r="A27" s="88" t="s">
        <v>686</v>
      </c>
    </row>
    <row r="29" spans="1:6" x14ac:dyDescent="0.2">
      <c r="A29" s="4" t="s">
        <v>103</v>
      </c>
    </row>
    <row r="30" spans="1:6" x14ac:dyDescent="0.2">
      <c r="A30" s="4" t="s">
        <v>685</v>
      </c>
    </row>
    <row r="31" spans="1:6" x14ac:dyDescent="0.2">
      <c r="A31" s="4" t="s">
        <v>608</v>
      </c>
      <c r="D31" s="95"/>
    </row>
    <row r="32" spans="1:6" x14ac:dyDescent="0.2">
      <c r="A32" s="2" t="s">
        <v>600</v>
      </c>
      <c r="D32" s="95">
        <v>10.000299999999999</v>
      </c>
    </row>
    <row r="33" spans="1:4" x14ac:dyDescent="0.2">
      <c r="A33" s="2" t="s">
        <v>601</v>
      </c>
      <c r="D33" s="95">
        <v>10.000299999999999</v>
      </c>
    </row>
    <row r="34" spans="1:4" x14ac:dyDescent="0.2">
      <c r="A34" s="2" t="s">
        <v>684</v>
      </c>
      <c r="D34" s="95">
        <v>10.000299999999999</v>
      </c>
    </row>
    <row r="35" spans="1:4" x14ac:dyDescent="0.2">
      <c r="A35" s="2" t="s">
        <v>602</v>
      </c>
      <c r="D35" s="95">
        <v>10.0009</v>
      </c>
    </row>
    <row r="36" spans="1:4" x14ac:dyDescent="0.2">
      <c r="A36" s="2" t="s">
        <v>603</v>
      </c>
      <c r="D36" s="95">
        <v>10.0009</v>
      </c>
    </row>
    <row r="37" spans="1:4" x14ac:dyDescent="0.2">
      <c r="A37" s="2" t="s">
        <v>683</v>
      </c>
      <c r="D37" s="95">
        <v>10.0009</v>
      </c>
    </row>
    <row r="39" spans="1:4" x14ac:dyDescent="0.2">
      <c r="A39" s="4" t="s">
        <v>105</v>
      </c>
    </row>
    <row r="40" spans="1:4" x14ac:dyDescent="0.2">
      <c r="A40" s="2" t="s">
        <v>600</v>
      </c>
      <c r="D40" s="10">
        <v>10.567500000000001</v>
      </c>
    </row>
    <row r="41" spans="1:4" x14ac:dyDescent="0.2">
      <c r="A41" s="2" t="s">
        <v>601</v>
      </c>
      <c r="D41" s="10">
        <v>10.567500000000001</v>
      </c>
    </row>
    <row r="42" spans="1:4" x14ac:dyDescent="0.2">
      <c r="A42" s="2" t="s">
        <v>684</v>
      </c>
      <c r="D42" s="10">
        <v>10.2227</v>
      </c>
    </row>
    <row r="43" spans="1:4" x14ac:dyDescent="0.2">
      <c r="A43" s="2" t="s">
        <v>602</v>
      </c>
      <c r="D43" s="10">
        <v>10.581200000000001</v>
      </c>
    </row>
    <row r="44" spans="1:4" x14ac:dyDescent="0.2">
      <c r="A44" s="2" t="s">
        <v>603</v>
      </c>
      <c r="D44" s="10">
        <v>10.581200000000001</v>
      </c>
    </row>
    <row r="45" spans="1:4" x14ac:dyDescent="0.2">
      <c r="A45" s="2" t="s">
        <v>683</v>
      </c>
      <c r="D45" s="10">
        <v>10.2362</v>
      </c>
    </row>
    <row r="47" spans="1:4" x14ac:dyDescent="0.2">
      <c r="A47" s="4" t="s">
        <v>106</v>
      </c>
      <c r="D47" s="20" t="s">
        <v>311</v>
      </c>
    </row>
    <row r="48" spans="1:4" x14ac:dyDescent="0.2">
      <c r="A48" s="21" t="s">
        <v>604</v>
      </c>
      <c r="B48" s="22"/>
      <c r="C48" s="94" t="s">
        <v>605</v>
      </c>
      <c r="D48" s="93"/>
    </row>
    <row r="49" spans="1:5" x14ac:dyDescent="0.2">
      <c r="A49" s="87"/>
      <c r="B49" s="86"/>
      <c r="C49" s="23" t="s">
        <v>606</v>
      </c>
      <c r="D49" s="23" t="s">
        <v>607</v>
      </c>
    </row>
    <row r="50" spans="1:5" x14ac:dyDescent="0.2">
      <c r="A50" s="24" t="s">
        <v>684</v>
      </c>
      <c r="B50" s="25"/>
      <c r="C50" s="26">
        <v>0.244909718</v>
      </c>
      <c r="D50" s="26">
        <v>0.2267876194</v>
      </c>
    </row>
    <row r="51" spans="1:5" x14ac:dyDescent="0.2">
      <c r="A51" s="24" t="s">
        <v>683</v>
      </c>
      <c r="B51" s="25"/>
      <c r="C51" s="26">
        <v>0.244909718</v>
      </c>
      <c r="D51" s="26">
        <v>0.2267876194</v>
      </c>
    </row>
    <row r="53" spans="1:5" x14ac:dyDescent="0.2">
      <c r="A53" s="4" t="s">
        <v>680</v>
      </c>
      <c r="D53" s="15">
        <v>2.4864469883320326</v>
      </c>
      <c r="E53" s="72" t="s">
        <v>1312</v>
      </c>
    </row>
    <row r="55" spans="1:5" x14ac:dyDescent="0.2">
      <c r="A55" s="9"/>
    </row>
  </sheetData>
  <mergeCells count="1">
    <mergeCell ref="A1:F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930D-30CB-4760-B4C4-82BCA910BC3F}">
  <dimension ref="A1:F5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1329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1326</v>
      </c>
      <c r="B8" s="38" t="s">
        <v>1848</v>
      </c>
      <c r="C8" s="38" t="s">
        <v>693</v>
      </c>
      <c r="D8" s="38">
        <v>68</v>
      </c>
      <c r="E8" s="63">
        <v>745.11271999999997</v>
      </c>
      <c r="F8" s="63">
        <v>11.720771468351799</v>
      </c>
    </row>
    <row r="9" spans="1:6" x14ac:dyDescent="0.2">
      <c r="A9" s="38" t="s">
        <v>954</v>
      </c>
      <c r="B9" s="38" t="s">
        <v>1590</v>
      </c>
      <c r="C9" s="38" t="s">
        <v>693</v>
      </c>
      <c r="D9" s="38">
        <v>71</v>
      </c>
      <c r="E9" s="63">
        <v>721.82930999999996</v>
      </c>
      <c r="F9" s="63">
        <v>11.3545187923621</v>
      </c>
    </row>
    <row r="10" spans="1:6" x14ac:dyDescent="0.2">
      <c r="A10" s="38" t="s">
        <v>1314</v>
      </c>
      <c r="B10" s="38" t="s">
        <v>1845</v>
      </c>
      <c r="C10" s="38" t="s">
        <v>933</v>
      </c>
      <c r="D10" s="38">
        <v>70</v>
      </c>
      <c r="E10" s="63">
        <v>715.27120000000002</v>
      </c>
      <c r="F10" s="63">
        <v>11.2513584160713</v>
      </c>
    </row>
    <row r="11" spans="1:6" x14ac:dyDescent="0.2">
      <c r="A11" s="38" t="s">
        <v>1328</v>
      </c>
      <c r="B11" s="38" t="s">
        <v>1851</v>
      </c>
      <c r="C11" s="38" t="s">
        <v>721</v>
      </c>
      <c r="D11" s="38">
        <v>70000</v>
      </c>
      <c r="E11" s="63">
        <v>715.0136</v>
      </c>
      <c r="F11" s="63">
        <v>11.2473063167725</v>
      </c>
    </row>
    <row r="12" spans="1:6" x14ac:dyDescent="0.2">
      <c r="A12" s="38" t="s">
        <v>1321</v>
      </c>
      <c r="B12" s="38" t="s">
        <v>1933</v>
      </c>
      <c r="C12" s="38" t="s">
        <v>693</v>
      </c>
      <c r="D12" s="38">
        <v>70</v>
      </c>
      <c r="E12" s="63">
        <v>713.55340000000001</v>
      </c>
      <c r="F12" s="63">
        <v>11.2243370799863</v>
      </c>
    </row>
    <row r="13" spans="1:6" x14ac:dyDescent="0.2">
      <c r="A13" s="38" t="s">
        <v>966</v>
      </c>
      <c r="B13" s="38" t="s">
        <v>1583</v>
      </c>
      <c r="C13" s="38" t="s">
        <v>693</v>
      </c>
      <c r="D13" s="38">
        <v>69</v>
      </c>
      <c r="E13" s="63">
        <v>712.87487999999996</v>
      </c>
      <c r="F13" s="63">
        <v>11.2136638252649</v>
      </c>
    </row>
    <row r="14" spans="1:6" x14ac:dyDescent="0.2">
      <c r="A14" s="38" t="s">
        <v>964</v>
      </c>
      <c r="B14" s="38" t="s">
        <v>1958</v>
      </c>
      <c r="C14" s="38" t="s">
        <v>963</v>
      </c>
      <c r="D14" s="38">
        <v>70</v>
      </c>
      <c r="E14" s="63">
        <v>701.74789999999996</v>
      </c>
      <c r="F14" s="63">
        <v>11.0386342140231</v>
      </c>
    </row>
    <row r="15" spans="1:6" x14ac:dyDescent="0.2">
      <c r="A15" s="38" t="s">
        <v>934</v>
      </c>
      <c r="B15" s="38" t="s">
        <v>1606</v>
      </c>
      <c r="C15" s="38" t="s">
        <v>933</v>
      </c>
      <c r="D15" s="38">
        <v>47</v>
      </c>
      <c r="E15" s="63">
        <v>520.67868999999996</v>
      </c>
      <c r="F15" s="63">
        <v>8.1903794823564304</v>
      </c>
    </row>
    <row r="16" spans="1:6" x14ac:dyDescent="0.2">
      <c r="A16" s="38" t="s">
        <v>1323</v>
      </c>
      <c r="B16" s="38" t="s">
        <v>1850</v>
      </c>
      <c r="C16" s="38" t="s">
        <v>933</v>
      </c>
      <c r="D16" s="38">
        <v>31</v>
      </c>
      <c r="E16" s="63">
        <v>321.30446000000001</v>
      </c>
      <c r="F16" s="63">
        <v>5.0541831408034197</v>
      </c>
    </row>
    <row r="17" spans="1:6" x14ac:dyDescent="0.2">
      <c r="A17" s="38" t="s">
        <v>1320</v>
      </c>
      <c r="B17" s="38" t="s">
        <v>1847</v>
      </c>
      <c r="C17" s="38" t="s">
        <v>1139</v>
      </c>
      <c r="D17" s="38">
        <v>20</v>
      </c>
      <c r="E17" s="63">
        <v>216.5342</v>
      </c>
      <c r="F17" s="63">
        <v>3.40612608691257</v>
      </c>
    </row>
    <row r="18" spans="1:6" x14ac:dyDescent="0.2">
      <c r="A18" s="38" t="s">
        <v>941</v>
      </c>
      <c r="B18" s="38" t="s">
        <v>1601</v>
      </c>
      <c r="C18" s="38" t="s">
        <v>940</v>
      </c>
      <c r="D18" s="38">
        <v>1</v>
      </c>
      <c r="E18" s="63">
        <v>10.65601</v>
      </c>
      <c r="F18" s="63">
        <v>0.16762115935220001</v>
      </c>
    </row>
    <row r="19" spans="1:6" x14ac:dyDescent="0.2">
      <c r="A19" s="38" t="s">
        <v>945</v>
      </c>
      <c r="B19" s="38" t="s">
        <v>1598</v>
      </c>
      <c r="C19" s="38" t="s">
        <v>693</v>
      </c>
      <c r="D19" s="38">
        <v>1</v>
      </c>
      <c r="E19" s="63">
        <v>10.275650000000001</v>
      </c>
      <c r="F19" s="63">
        <v>0.16163802080679701</v>
      </c>
    </row>
    <row r="20" spans="1:6" x14ac:dyDescent="0.2">
      <c r="A20" s="37" t="s">
        <v>43</v>
      </c>
      <c r="B20" s="38"/>
      <c r="C20" s="38"/>
      <c r="D20" s="38"/>
      <c r="E20" s="64">
        <f>SUM(E8:E19)</f>
        <v>6104.8520199999994</v>
      </c>
      <c r="F20" s="64">
        <f>SUM(F8:F19)</f>
        <v>96.030538003063398</v>
      </c>
    </row>
    <row r="21" spans="1:6" x14ac:dyDescent="0.2">
      <c r="A21" s="38"/>
      <c r="B21" s="38"/>
      <c r="C21" s="38"/>
      <c r="D21" s="38"/>
      <c r="E21" s="63"/>
      <c r="F21" s="63"/>
    </row>
    <row r="22" spans="1:6" x14ac:dyDescent="0.2">
      <c r="A22" s="37" t="s">
        <v>43</v>
      </c>
      <c r="B22" s="38"/>
      <c r="C22" s="38"/>
      <c r="D22" s="38"/>
      <c r="E22" s="64">
        <v>6104.8520199999994</v>
      </c>
      <c r="F22" s="64">
        <v>96.030538003063398</v>
      </c>
    </row>
    <row r="23" spans="1:6" x14ac:dyDescent="0.2">
      <c r="A23" s="38"/>
      <c r="B23" s="38"/>
      <c r="C23" s="38"/>
      <c r="D23" s="38"/>
      <c r="E23" s="63"/>
      <c r="F23" s="63"/>
    </row>
    <row r="24" spans="1:6" x14ac:dyDescent="0.2">
      <c r="A24" s="37" t="s">
        <v>101</v>
      </c>
      <c r="B24" s="38"/>
      <c r="C24" s="38"/>
      <c r="D24" s="38"/>
      <c r="E24" s="64">
        <v>252.34860259999999</v>
      </c>
      <c r="F24" s="64">
        <v>3.97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80" t="s">
        <v>102</v>
      </c>
      <c r="B26" s="79"/>
      <c r="C26" s="79"/>
      <c r="D26" s="79"/>
      <c r="E26" s="61">
        <v>6357.1986026000004</v>
      </c>
      <c r="F26" s="61">
        <f xml:space="preserve"> ROUND(SUM(F22:F25),2)</f>
        <v>100</v>
      </c>
    </row>
    <row r="27" spans="1:6" x14ac:dyDescent="0.2">
      <c r="A27" s="88" t="s">
        <v>686</v>
      </c>
    </row>
    <row r="29" spans="1:6" x14ac:dyDescent="0.2">
      <c r="A29" s="4" t="s">
        <v>103</v>
      </c>
    </row>
    <row r="30" spans="1:6" x14ac:dyDescent="0.2">
      <c r="A30" s="4" t="s">
        <v>685</v>
      </c>
    </row>
    <row r="31" spans="1:6" x14ac:dyDescent="0.2">
      <c r="A31" s="4" t="s">
        <v>608</v>
      </c>
      <c r="D31" s="95"/>
    </row>
    <row r="32" spans="1:6" x14ac:dyDescent="0.2">
      <c r="A32" s="2" t="s">
        <v>600</v>
      </c>
      <c r="D32" s="95">
        <v>10.028700000000001</v>
      </c>
    </row>
    <row r="33" spans="1:4" x14ac:dyDescent="0.2">
      <c r="A33" s="2" t="s">
        <v>601</v>
      </c>
      <c r="D33" s="95">
        <v>10.028700000000001</v>
      </c>
    </row>
    <row r="34" spans="1:4" x14ac:dyDescent="0.2">
      <c r="A34" s="2" t="s">
        <v>684</v>
      </c>
      <c r="D34" s="95">
        <v>10.028700000000001</v>
      </c>
    </row>
    <row r="35" spans="1:4" x14ac:dyDescent="0.2">
      <c r="A35" s="2" t="s">
        <v>602</v>
      </c>
      <c r="D35" s="95">
        <v>10.030200000000001</v>
      </c>
    </row>
    <row r="36" spans="1:4" x14ac:dyDescent="0.2">
      <c r="A36" s="2" t="s">
        <v>603</v>
      </c>
      <c r="D36" s="95">
        <v>10.030200000000001</v>
      </c>
    </row>
    <row r="38" spans="1:4" x14ac:dyDescent="0.2">
      <c r="A38" s="4" t="s">
        <v>105</v>
      </c>
    </row>
    <row r="39" spans="1:4" x14ac:dyDescent="0.2">
      <c r="A39" s="2" t="s">
        <v>600</v>
      </c>
      <c r="D39" s="10">
        <v>10.615</v>
      </c>
    </row>
    <row r="40" spans="1:4" x14ac:dyDescent="0.2">
      <c r="A40" s="2" t="s">
        <v>601</v>
      </c>
      <c r="D40" s="10">
        <v>10.615</v>
      </c>
    </row>
    <row r="41" spans="1:4" x14ac:dyDescent="0.2">
      <c r="A41" s="2" t="s">
        <v>684</v>
      </c>
      <c r="D41" s="10">
        <v>10.244</v>
      </c>
    </row>
    <row r="42" spans="1:4" x14ac:dyDescent="0.2">
      <c r="A42" s="2" t="s">
        <v>602</v>
      </c>
      <c r="D42" s="10">
        <v>10.6297</v>
      </c>
    </row>
    <row r="43" spans="1:4" x14ac:dyDescent="0.2">
      <c r="A43" s="2" t="s">
        <v>603</v>
      </c>
      <c r="D43" s="10">
        <v>10.6297</v>
      </c>
    </row>
    <row r="45" spans="1:4" x14ac:dyDescent="0.2">
      <c r="A45" s="4" t="s">
        <v>106</v>
      </c>
      <c r="D45" s="20" t="s">
        <v>311</v>
      </c>
    </row>
    <row r="46" spans="1:4" x14ac:dyDescent="0.2">
      <c r="A46" s="21" t="s">
        <v>604</v>
      </c>
      <c r="B46" s="22"/>
      <c r="C46" s="103" t="s">
        <v>605</v>
      </c>
      <c r="D46" s="104"/>
    </row>
    <row r="47" spans="1:4" x14ac:dyDescent="0.2">
      <c r="A47" s="105"/>
      <c r="B47" s="106"/>
      <c r="C47" s="23" t="s">
        <v>606</v>
      </c>
      <c r="D47" s="23" t="s">
        <v>607</v>
      </c>
    </row>
    <row r="48" spans="1:4" x14ac:dyDescent="0.2">
      <c r="A48" s="24" t="s">
        <v>684</v>
      </c>
      <c r="B48" s="25"/>
      <c r="C48" s="26">
        <v>0.2629177855</v>
      </c>
      <c r="D48" s="26">
        <v>0.24346317970000003</v>
      </c>
    </row>
    <row r="49" spans="1:5" x14ac:dyDescent="0.2">
      <c r="A49" s="4"/>
      <c r="D49" s="20"/>
    </row>
    <row r="50" spans="1:5" x14ac:dyDescent="0.2">
      <c r="A50" s="4" t="s">
        <v>680</v>
      </c>
      <c r="D50" s="15">
        <v>2.4694022745619488</v>
      </c>
      <c r="E50" s="72" t="s">
        <v>1312</v>
      </c>
    </row>
    <row r="52" spans="1:5" x14ac:dyDescent="0.2">
      <c r="A52" s="9"/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2823-722B-420C-A2CA-03C2A013351D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1332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958</v>
      </c>
      <c r="B8" s="38" t="s">
        <v>1938</v>
      </c>
      <c r="C8" s="38" t="s">
        <v>693</v>
      </c>
      <c r="D8" s="38">
        <v>37</v>
      </c>
      <c r="E8" s="63">
        <v>405.62470999999999</v>
      </c>
      <c r="F8" s="63">
        <v>11.9461563824648</v>
      </c>
    </row>
    <row r="9" spans="1:6" x14ac:dyDescent="0.2">
      <c r="A9" s="38" t="s">
        <v>932</v>
      </c>
      <c r="B9" s="38" t="s">
        <v>1607</v>
      </c>
      <c r="C9" s="38" t="s">
        <v>693</v>
      </c>
      <c r="D9" s="38">
        <v>37</v>
      </c>
      <c r="E9" s="63">
        <v>374.67975999999999</v>
      </c>
      <c r="F9" s="63">
        <v>11.0347887985039</v>
      </c>
    </row>
    <row r="10" spans="1:6" x14ac:dyDescent="0.2">
      <c r="A10" s="38" t="s">
        <v>975</v>
      </c>
      <c r="B10" s="38" t="s">
        <v>1924</v>
      </c>
      <c r="C10" s="38" t="s">
        <v>721</v>
      </c>
      <c r="D10" s="38">
        <v>37</v>
      </c>
      <c r="E10" s="63">
        <v>374.67901999999998</v>
      </c>
      <c r="F10" s="63">
        <v>11.034767004575899</v>
      </c>
    </row>
    <row r="11" spans="1:6" x14ac:dyDescent="0.2">
      <c r="A11" s="38" t="s">
        <v>1323</v>
      </c>
      <c r="B11" s="38" t="s">
        <v>1850</v>
      </c>
      <c r="C11" s="38" t="s">
        <v>933</v>
      </c>
      <c r="D11" s="38">
        <v>36</v>
      </c>
      <c r="E11" s="63">
        <v>373.12776000000002</v>
      </c>
      <c r="F11" s="63">
        <v>10.989080452221</v>
      </c>
    </row>
    <row r="12" spans="1:6" x14ac:dyDescent="0.2">
      <c r="A12" s="38" t="s">
        <v>966</v>
      </c>
      <c r="B12" s="38" t="s">
        <v>1583</v>
      </c>
      <c r="C12" s="38" t="s">
        <v>693</v>
      </c>
      <c r="D12" s="38">
        <v>36</v>
      </c>
      <c r="E12" s="63">
        <v>371.93472000000003</v>
      </c>
      <c r="F12" s="63">
        <v>10.953943928091199</v>
      </c>
    </row>
    <row r="13" spans="1:6" x14ac:dyDescent="0.2">
      <c r="A13" s="38" t="s">
        <v>964</v>
      </c>
      <c r="B13" s="38" t="s">
        <v>1958</v>
      </c>
      <c r="C13" s="38" t="s">
        <v>963</v>
      </c>
      <c r="D13" s="38">
        <v>31</v>
      </c>
      <c r="E13" s="63">
        <v>310.77406999999999</v>
      </c>
      <c r="F13" s="63">
        <v>9.1526860871840494</v>
      </c>
    </row>
    <row r="14" spans="1:6" x14ac:dyDescent="0.2">
      <c r="A14" s="38" t="s">
        <v>945</v>
      </c>
      <c r="B14" s="38" t="s">
        <v>1598</v>
      </c>
      <c r="C14" s="38" t="s">
        <v>693</v>
      </c>
      <c r="D14" s="38">
        <v>27</v>
      </c>
      <c r="E14" s="63">
        <v>277.44254999999998</v>
      </c>
      <c r="F14" s="63">
        <v>8.1710310238491406</v>
      </c>
    </row>
    <row r="15" spans="1:6" x14ac:dyDescent="0.2">
      <c r="A15" s="38" t="s">
        <v>1331</v>
      </c>
      <c r="B15" s="38" t="s">
        <v>1852</v>
      </c>
      <c r="C15" s="38" t="s">
        <v>693</v>
      </c>
      <c r="D15" s="38">
        <v>21</v>
      </c>
      <c r="E15" s="63">
        <v>224.59184999999999</v>
      </c>
      <c r="F15" s="63">
        <v>6.6145116315203696</v>
      </c>
    </row>
    <row r="16" spans="1:6" x14ac:dyDescent="0.2">
      <c r="A16" s="38" t="s">
        <v>977</v>
      </c>
      <c r="B16" s="38" t="s">
        <v>1618</v>
      </c>
      <c r="C16" s="38" t="s">
        <v>721</v>
      </c>
      <c r="D16" s="38">
        <v>20</v>
      </c>
      <c r="E16" s="63">
        <v>207.0052</v>
      </c>
      <c r="F16" s="63">
        <v>6.0965627345124096</v>
      </c>
    </row>
    <row r="17" spans="1:6" x14ac:dyDescent="0.2">
      <c r="A17" s="38" t="s">
        <v>934</v>
      </c>
      <c r="B17" s="38" t="s">
        <v>1606</v>
      </c>
      <c r="C17" s="38" t="s">
        <v>933</v>
      </c>
      <c r="D17" s="38">
        <v>12</v>
      </c>
      <c r="E17" s="63">
        <v>132.93924000000001</v>
      </c>
      <c r="F17" s="63">
        <v>3.9152273302235998</v>
      </c>
    </row>
    <row r="18" spans="1:6" x14ac:dyDescent="0.2">
      <c r="A18" s="38" t="s">
        <v>943</v>
      </c>
      <c r="B18" s="38" t="s">
        <v>1961</v>
      </c>
      <c r="C18" s="38" t="s">
        <v>693</v>
      </c>
      <c r="D18" s="38">
        <v>8</v>
      </c>
      <c r="E18" s="63">
        <v>88.546080000000003</v>
      </c>
      <c r="F18" s="63">
        <v>2.6077930970582099</v>
      </c>
    </row>
    <row r="19" spans="1:6" x14ac:dyDescent="0.2">
      <c r="A19" s="38" t="s">
        <v>1316</v>
      </c>
      <c r="B19" s="38" t="s">
        <v>1843</v>
      </c>
      <c r="C19" s="38" t="s">
        <v>693</v>
      </c>
      <c r="D19" s="38">
        <v>3</v>
      </c>
      <c r="E19" s="63">
        <v>33.240450000000003</v>
      </c>
      <c r="F19" s="63">
        <v>0.97897293762873205</v>
      </c>
    </row>
    <row r="20" spans="1:6" x14ac:dyDescent="0.2">
      <c r="A20" s="38" t="s">
        <v>1320</v>
      </c>
      <c r="B20" s="38" t="s">
        <v>1847</v>
      </c>
      <c r="C20" s="38" t="s">
        <v>1139</v>
      </c>
      <c r="D20" s="38">
        <v>3</v>
      </c>
      <c r="E20" s="63">
        <v>32.480130000000003</v>
      </c>
      <c r="F20" s="63">
        <v>0.95658056015075299</v>
      </c>
    </row>
    <row r="21" spans="1:6" x14ac:dyDescent="0.2">
      <c r="A21" s="38" t="s">
        <v>1330</v>
      </c>
      <c r="B21" s="38" t="s">
        <v>1853</v>
      </c>
      <c r="C21" s="38" t="s">
        <v>933</v>
      </c>
      <c r="D21" s="38">
        <v>3</v>
      </c>
      <c r="E21" s="63">
        <v>30.554279999999999</v>
      </c>
      <c r="F21" s="63">
        <v>0.89986186254189704</v>
      </c>
    </row>
    <row r="22" spans="1:6" x14ac:dyDescent="0.2">
      <c r="A22" s="38" t="s">
        <v>1324</v>
      </c>
      <c r="B22" s="38" t="s">
        <v>1849</v>
      </c>
      <c r="C22" s="38" t="s">
        <v>693</v>
      </c>
      <c r="D22" s="38">
        <v>3</v>
      </c>
      <c r="E22" s="63">
        <v>30.477630000000001</v>
      </c>
      <c r="F22" s="63">
        <v>0.89760442391909701</v>
      </c>
    </row>
    <row r="23" spans="1:6" x14ac:dyDescent="0.2">
      <c r="A23" s="37" t="s">
        <v>43</v>
      </c>
      <c r="B23" s="38"/>
      <c r="C23" s="38"/>
      <c r="D23" s="38"/>
      <c r="E23" s="64">
        <f>SUM(E8:E22)</f>
        <v>3268.0974499999998</v>
      </c>
      <c r="F23" s="64">
        <f>SUM(F8:F22)</f>
        <v>96.249568254445037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43</v>
      </c>
      <c r="B25" s="38"/>
      <c r="C25" s="38"/>
      <c r="D25" s="38"/>
      <c r="E25" s="64">
        <v>3268.0974499999998</v>
      </c>
      <c r="F25" s="64">
        <v>96.249568254445037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101</v>
      </c>
      <c r="B27" s="38"/>
      <c r="C27" s="38"/>
      <c r="D27" s="38"/>
      <c r="E27" s="64">
        <v>127.3411529</v>
      </c>
      <c r="F27" s="64">
        <v>3.75</v>
      </c>
    </row>
    <row r="28" spans="1:6" x14ac:dyDescent="0.2">
      <c r="A28" s="38"/>
      <c r="B28" s="38"/>
      <c r="C28" s="38"/>
      <c r="D28" s="38"/>
      <c r="E28" s="63"/>
      <c r="F28" s="63"/>
    </row>
    <row r="29" spans="1:6" x14ac:dyDescent="0.2">
      <c r="A29" s="80" t="s">
        <v>102</v>
      </c>
      <c r="B29" s="79"/>
      <c r="C29" s="79"/>
      <c r="D29" s="79"/>
      <c r="E29" s="61">
        <v>3395.4411528999999</v>
      </c>
      <c r="F29" s="61">
        <f xml:space="preserve"> ROUND(SUM(F25:F28),2)</f>
        <v>100</v>
      </c>
    </row>
    <row r="30" spans="1:6" x14ac:dyDescent="0.2">
      <c r="A30" s="88" t="s">
        <v>686</v>
      </c>
    </row>
    <row r="32" spans="1:6" x14ac:dyDescent="0.2">
      <c r="A32" s="4" t="s">
        <v>103</v>
      </c>
    </row>
    <row r="33" spans="1:4" x14ac:dyDescent="0.2">
      <c r="A33" s="4" t="s">
        <v>685</v>
      </c>
    </row>
    <row r="34" spans="1:4" x14ac:dyDescent="0.2">
      <c r="A34" s="4" t="s">
        <v>608</v>
      </c>
      <c r="D34" s="95"/>
    </row>
    <row r="35" spans="1:4" x14ac:dyDescent="0.2">
      <c r="A35" s="2" t="s">
        <v>600</v>
      </c>
      <c r="D35" s="95">
        <v>10.1153</v>
      </c>
    </row>
    <row r="36" spans="1:4" x14ac:dyDescent="0.2">
      <c r="A36" s="2" t="s">
        <v>601</v>
      </c>
      <c r="D36" s="95">
        <v>10.1153</v>
      </c>
    </row>
    <row r="37" spans="1:4" x14ac:dyDescent="0.2">
      <c r="A37" s="2" t="s">
        <v>684</v>
      </c>
      <c r="D37" s="95">
        <v>10.1153</v>
      </c>
    </row>
    <row r="38" spans="1:4" x14ac:dyDescent="0.2">
      <c r="A38" s="2" t="s">
        <v>602</v>
      </c>
      <c r="D38" s="95">
        <v>10.1182</v>
      </c>
    </row>
    <row r="39" spans="1:4" x14ac:dyDescent="0.2">
      <c r="A39" s="2" t="s">
        <v>603</v>
      </c>
      <c r="D39" s="95">
        <v>10.1182</v>
      </c>
    </row>
    <row r="40" spans="1:4" x14ac:dyDescent="0.2">
      <c r="A40" s="2" t="s">
        <v>683</v>
      </c>
      <c r="D40" s="95">
        <v>10.1182</v>
      </c>
    </row>
    <row r="42" spans="1:4" x14ac:dyDescent="0.2">
      <c r="A42" s="4" t="s">
        <v>105</v>
      </c>
    </row>
    <row r="43" spans="1:4" x14ac:dyDescent="0.2">
      <c r="A43" s="2" t="s">
        <v>600</v>
      </c>
      <c r="D43" s="10">
        <v>10.6983</v>
      </c>
    </row>
    <row r="44" spans="1:4" x14ac:dyDescent="0.2">
      <c r="A44" s="2" t="s">
        <v>601</v>
      </c>
      <c r="D44" s="10">
        <v>10.6983</v>
      </c>
    </row>
    <row r="45" spans="1:4" x14ac:dyDescent="0.2">
      <c r="A45" s="2" t="s">
        <v>684</v>
      </c>
      <c r="D45" s="10">
        <v>10.3249</v>
      </c>
    </row>
    <row r="46" spans="1:4" x14ac:dyDescent="0.2">
      <c r="A46" s="2" t="s">
        <v>602</v>
      </c>
      <c r="D46" s="10">
        <v>10.714700000000001</v>
      </c>
    </row>
    <row r="47" spans="1:4" x14ac:dyDescent="0.2">
      <c r="A47" s="2" t="s">
        <v>603</v>
      </c>
      <c r="D47" s="10">
        <v>10.714700000000001</v>
      </c>
    </row>
    <row r="48" spans="1:4" x14ac:dyDescent="0.2">
      <c r="A48" s="2" t="s">
        <v>683</v>
      </c>
      <c r="D48" s="10">
        <v>10.341100000000001</v>
      </c>
    </row>
    <row r="50" spans="1:5" x14ac:dyDescent="0.2">
      <c r="A50" s="4" t="s">
        <v>106</v>
      </c>
      <c r="D50" s="20" t="s">
        <v>311</v>
      </c>
    </row>
    <row r="51" spans="1:5" x14ac:dyDescent="0.2">
      <c r="A51" s="21" t="s">
        <v>604</v>
      </c>
      <c r="B51" s="22"/>
      <c r="C51" s="103" t="s">
        <v>605</v>
      </c>
      <c r="D51" s="104"/>
    </row>
    <row r="52" spans="1:5" x14ac:dyDescent="0.2">
      <c r="A52" s="105"/>
      <c r="B52" s="106"/>
      <c r="C52" s="23" t="s">
        <v>606</v>
      </c>
      <c r="D52" s="23" t="s">
        <v>607</v>
      </c>
    </row>
    <row r="53" spans="1:5" x14ac:dyDescent="0.2">
      <c r="A53" s="24" t="s">
        <v>684</v>
      </c>
      <c r="B53" s="25"/>
      <c r="C53" s="26">
        <v>0.2629177855</v>
      </c>
      <c r="D53" s="26">
        <v>0.24346317970000003</v>
      </c>
    </row>
    <row r="54" spans="1:5" x14ac:dyDescent="0.2">
      <c r="A54" s="24" t="s">
        <v>683</v>
      </c>
      <c r="B54" s="25"/>
      <c r="C54" s="26">
        <v>0.2629177855</v>
      </c>
      <c r="D54" s="26">
        <v>0.24346317970000003</v>
      </c>
    </row>
    <row r="56" spans="1:5" x14ac:dyDescent="0.2">
      <c r="A56" s="4" t="s">
        <v>680</v>
      </c>
      <c r="D56" s="15">
        <v>2.4382483796819892</v>
      </c>
      <c r="E56" s="72" t="s">
        <v>1312</v>
      </c>
    </row>
    <row r="58" spans="1:5" x14ac:dyDescent="0.2">
      <c r="A58" s="9"/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A531-27E3-40EB-8F1F-B38077F9372F}">
  <dimension ref="A1:F5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1334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958</v>
      </c>
      <c r="B8" s="38" t="s">
        <v>1938</v>
      </c>
      <c r="C8" s="38" t="s">
        <v>693</v>
      </c>
      <c r="D8" s="38">
        <v>47</v>
      </c>
      <c r="E8" s="63">
        <v>515.25301000000002</v>
      </c>
      <c r="F8" s="63">
        <v>11.949463854051</v>
      </c>
    </row>
    <row r="9" spans="1:6" x14ac:dyDescent="0.2">
      <c r="A9" s="38" t="s">
        <v>975</v>
      </c>
      <c r="B9" s="38" t="s">
        <v>1924</v>
      </c>
      <c r="C9" s="38" t="s">
        <v>721</v>
      </c>
      <c r="D9" s="38">
        <v>47</v>
      </c>
      <c r="E9" s="63">
        <v>475.94362000000001</v>
      </c>
      <c r="F9" s="63">
        <v>11.0378221444183</v>
      </c>
    </row>
    <row r="10" spans="1:6" x14ac:dyDescent="0.2">
      <c r="A10" s="38" t="s">
        <v>966</v>
      </c>
      <c r="B10" s="38" t="s">
        <v>1583</v>
      </c>
      <c r="C10" s="38" t="s">
        <v>693</v>
      </c>
      <c r="D10" s="38">
        <v>46</v>
      </c>
      <c r="E10" s="63">
        <v>475.24991999999997</v>
      </c>
      <c r="F10" s="63">
        <v>11.0217342363136</v>
      </c>
    </row>
    <row r="11" spans="1:6" x14ac:dyDescent="0.2">
      <c r="A11" s="38" t="s">
        <v>931</v>
      </c>
      <c r="B11" s="38" t="s">
        <v>1608</v>
      </c>
      <c r="C11" s="38" t="s">
        <v>693</v>
      </c>
      <c r="D11" s="38">
        <v>47</v>
      </c>
      <c r="E11" s="63">
        <v>467.52686</v>
      </c>
      <c r="F11" s="63">
        <v>10.842625284941001</v>
      </c>
    </row>
    <row r="12" spans="1:6" x14ac:dyDescent="0.2">
      <c r="A12" s="38" t="s">
        <v>1324</v>
      </c>
      <c r="B12" s="38" t="s">
        <v>1849</v>
      </c>
      <c r="C12" s="38" t="s">
        <v>693</v>
      </c>
      <c r="D12" s="38">
        <v>45</v>
      </c>
      <c r="E12" s="63">
        <v>457.16444999999999</v>
      </c>
      <c r="F12" s="63">
        <v>10.6023059829036</v>
      </c>
    </row>
    <row r="13" spans="1:6" x14ac:dyDescent="0.2">
      <c r="A13" s="38" t="s">
        <v>934</v>
      </c>
      <c r="B13" s="38" t="s">
        <v>1606</v>
      </c>
      <c r="C13" s="38" t="s">
        <v>933</v>
      </c>
      <c r="D13" s="38">
        <v>38</v>
      </c>
      <c r="E13" s="63">
        <v>420.97426000000002</v>
      </c>
      <c r="F13" s="63">
        <v>9.7630030406923005</v>
      </c>
    </row>
    <row r="14" spans="1:6" x14ac:dyDescent="0.2">
      <c r="A14" s="38" t="s">
        <v>1333</v>
      </c>
      <c r="B14" s="38" t="s">
        <v>1854</v>
      </c>
      <c r="C14" s="38" t="s">
        <v>693</v>
      </c>
      <c r="D14" s="38">
        <v>35</v>
      </c>
      <c r="E14" s="63">
        <v>357.84735000000001</v>
      </c>
      <c r="F14" s="63">
        <v>8.2989985329594305</v>
      </c>
    </row>
    <row r="15" spans="1:6" x14ac:dyDescent="0.2">
      <c r="A15" s="38" t="s">
        <v>1331</v>
      </c>
      <c r="B15" s="38" t="s">
        <v>1852</v>
      </c>
      <c r="C15" s="38" t="s">
        <v>693</v>
      </c>
      <c r="D15" s="38">
        <v>29</v>
      </c>
      <c r="E15" s="63">
        <v>310.15064999999998</v>
      </c>
      <c r="F15" s="63">
        <v>7.1928429520196602</v>
      </c>
    </row>
    <row r="16" spans="1:6" x14ac:dyDescent="0.2">
      <c r="A16" s="38" t="s">
        <v>945</v>
      </c>
      <c r="B16" s="38" t="s">
        <v>1598</v>
      </c>
      <c r="C16" s="38" t="s">
        <v>693</v>
      </c>
      <c r="D16" s="38">
        <v>24</v>
      </c>
      <c r="E16" s="63">
        <v>246.6156</v>
      </c>
      <c r="F16" s="63">
        <v>5.7193730863311103</v>
      </c>
    </row>
    <row r="17" spans="1:6" x14ac:dyDescent="0.2">
      <c r="A17" s="38" t="s">
        <v>941</v>
      </c>
      <c r="B17" s="38" t="s">
        <v>1601</v>
      </c>
      <c r="C17" s="38" t="s">
        <v>940</v>
      </c>
      <c r="D17" s="38">
        <v>22</v>
      </c>
      <c r="E17" s="63">
        <v>234.43222</v>
      </c>
      <c r="F17" s="63">
        <v>5.4368228515830097</v>
      </c>
    </row>
    <row r="18" spans="1:6" x14ac:dyDescent="0.2">
      <c r="A18" s="38" t="s">
        <v>932</v>
      </c>
      <c r="B18" s="38" t="s">
        <v>1607</v>
      </c>
      <c r="C18" s="38" t="s">
        <v>693</v>
      </c>
      <c r="D18" s="38">
        <v>10</v>
      </c>
      <c r="E18" s="63">
        <v>101.26479999999999</v>
      </c>
      <c r="F18" s="63">
        <v>2.3484774349745199</v>
      </c>
    </row>
    <row r="19" spans="1:6" x14ac:dyDescent="0.2">
      <c r="A19" s="38" t="s">
        <v>1320</v>
      </c>
      <c r="B19" s="38" t="s">
        <v>1847</v>
      </c>
      <c r="C19" s="38" t="s">
        <v>1139</v>
      </c>
      <c r="D19" s="38">
        <v>5</v>
      </c>
      <c r="E19" s="63">
        <v>54.13355</v>
      </c>
      <c r="F19" s="63">
        <v>1.25543545881753</v>
      </c>
    </row>
    <row r="20" spans="1:6" x14ac:dyDescent="0.2">
      <c r="A20" s="38" t="s">
        <v>1323</v>
      </c>
      <c r="B20" s="38" t="s">
        <v>1850</v>
      </c>
      <c r="C20" s="38" t="s">
        <v>933</v>
      </c>
      <c r="D20" s="38">
        <v>4</v>
      </c>
      <c r="E20" s="63">
        <v>41.458640000000003</v>
      </c>
      <c r="F20" s="63">
        <v>0.96148593118963499</v>
      </c>
    </row>
    <row r="21" spans="1:6" x14ac:dyDescent="0.2">
      <c r="A21" s="38" t="s">
        <v>961</v>
      </c>
      <c r="B21" s="38" t="s">
        <v>1959</v>
      </c>
      <c r="C21" s="38" t="s">
        <v>933</v>
      </c>
      <c r="D21" s="38">
        <v>1</v>
      </c>
      <c r="E21" s="63">
        <v>10.0754</v>
      </c>
      <c r="F21" s="63">
        <v>0.23366312428743599</v>
      </c>
    </row>
    <row r="22" spans="1:6" x14ac:dyDescent="0.2">
      <c r="A22" s="37" t="s">
        <v>43</v>
      </c>
      <c r="B22" s="38"/>
      <c r="C22" s="38"/>
      <c r="D22" s="38"/>
      <c r="E22" s="64">
        <f>SUM(E8:E21)</f>
        <v>4168.0903299999991</v>
      </c>
      <c r="F22" s="64">
        <f>SUM(F8:F21)</f>
        <v>96.664053915482128</v>
      </c>
    </row>
    <row r="23" spans="1:6" x14ac:dyDescent="0.2">
      <c r="A23" s="38"/>
      <c r="B23" s="38"/>
      <c r="C23" s="38"/>
      <c r="D23" s="38"/>
      <c r="E23" s="63"/>
      <c r="F23" s="63"/>
    </row>
    <row r="24" spans="1:6" x14ac:dyDescent="0.2">
      <c r="A24" s="37" t="s">
        <v>43</v>
      </c>
      <c r="B24" s="38"/>
      <c r="C24" s="38"/>
      <c r="D24" s="38"/>
      <c r="E24" s="64">
        <v>4168.0903299999991</v>
      </c>
      <c r="F24" s="64">
        <v>96.664053915482128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37" t="s">
        <v>101</v>
      </c>
      <c r="B26" s="38"/>
      <c r="C26" s="38"/>
      <c r="D26" s="38"/>
      <c r="E26" s="64">
        <v>143.8441277</v>
      </c>
      <c r="F26" s="64">
        <v>3.34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80" t="s">
        <v>102</v>
      </c>
      <c r="B28" s="79"/>
      <c r="C28" s="79"/>
      <c r="D28" s="79"/>
      <c r="E28" s="61">
        <v>4311.9341277000003</v>
      </c>
      <c r="F28" s="61">
        <f xml:space="preserve"> ROUND(SUM(F24:F27),2)</f>
        <v>100</v>
      </c>
    </row>
    <row r="29" spans="1:6" x14ac:dyDescent="0.2">
      <c r="A29" s="88" t="s">
        <v>686</v>
      </c>
    </row>
    <row r="31" spans="1:6" x14ac:dyDescent="0.2">
      <c r="A31" s="4" t="s">
        <v>103</v>
      </c>
    </row>
    <row r="32" spans="1:6" x14ac:dyDescent="0.2">
      <c r="A32" s="4" t="s">
        <v>685</v>
      </c>
    </row>
    <row r="33" spans="1:4" x14ac:dyDescent="0.2">
      <c r="A33" s="4" t="s">
        <v>608</v>
      </c>
      <c r="D33" s="95"/>
    </row>
    <row r="34" spans="1:4" x14ac:dyDescent="0.2">
      <c r="A34" s="2" t="s">
        <v>600</v>
      </c>
      <c r="D34" s="95">
        <v>10.1967</v>
      </c>
    </row>
    <row r="35" spans="1:4" x14ac:dyDescent="0.2">
      <c r="A35" s="2" t="s">
        <v>601</v>
      </c>
      <c r="D35" s="95">
        <v>10.1967</v>
      </c>
    </row>
    <row r="36" spans="1:4" x14ac:dyDescent="0.2">
      <c r="A36" s="2" t="s">
        <v>684</v>
      </c>
      <c r="D36" s="95">
        <v>10.1967</v>
      </c>
    </row>
    <row r="37" spans="1:4" x14ac:dyDescent="0.2">
      <c r="A37" s="2" t="s">
        <v>602</v>
      </c>
      <c r="D37" s="95">
        <v>10.2021</v>
      </c>
    </row>
    <row r="39" spans="1:4" x14ac:dyDescent="0.2">
      <c r="A39" s="4" t="s">
        <v>105</v>
      </c>
    </row>
    <row r="40" spans="1:4" x14ac:dyDescent="0.2">
      <c r="A40" s="2" t="s">
        <v>600</v>
      </c>
      <c r="D40" s="10">
        <v>10.796799999999999</v>
      </c>
    </row>
    <row r="41" spans="1:4" x14ac:dyDescent="0.2">
      <c r="A41" s="2" t="s">
        <v>601</v>
      </c>
      <c r="D41" s="10">
        <v>10.796799999999999</v>
      </c>
    </row>
    <row r="42" spans="1:4" x14ac:dyDescent="0.2">
      <c r="A42" s="2" t="s">
        <v>684</v>
      </c>
      <c r="D42" s="10">
        <v>10.4459</v>
      </c>
    </row>
    <row r="43" spans="1:4" x14ac:dyDescent="0.2">
      <c r="A43" s="2" t="s">
        <v>602</v>
      </c>
      <c r="D43" s="10">
        <v>10.8185</v>
      </c>
    </row>
    <row r="45" spans="1:4" x14ac:dyDescent="0.2">
      <c r="A45" s="4" t="s">
        <v>106</v>
      </c>
      <c r="D45" s="20" t="s">
        <v>311</v>
      </c>
    </row>
    <row r="46" spans="1:4" x14ac:dyDescent="0.2">
      <c r="A46" s="21" t="s">
        <v>604</v>
      </c>
      <c r="B46" s="22"/>
      <c r="C46" s="103" t="s">
        <v>605</v>
      </c>
      <c r="D46" s="104"/>
    </row>
    <row r="47" spans="1:4" x14ac:dyDescent="0.2">
      <c r="A47" s="105"/>
      <c r="B47" s="106"/>
      <c r="C47" s="23" t="s">
        <v>606</v>
      </c>
      <c r="D47" s="23" t="s">
        <v>607</v>
      </c>
    </row>
    <row r="48" spans="1:4" x14ac:dyDescent="0.2">
      <c r="A48" s="24" t="s">
        <v>684</v>
      </c>
      <c r="B48" s="25"/>
      <c r="C48" s="26">
        <v>0.244909718</v>
      </c>
      <c r="D48" s="26">
        <v>0.22678761950000001</v>
      </c>
    </row>
    <row r="49" spans="1:5" x14ac:dyDescent="0.2">
      <c r="A49" s="4"/>
      <c r="D49" s="20"/>
    </row>
    <row r="50" spans="1:5" x14ac:dyDescent="0.2">
      <c r="A50" s="4" t="s">
        <v>680</v>
      </c>
      <c r="D50" s="15">
        <v>2.442813092473799</v>
      </c>
      <c r="E50" s="72" t="s">
        <v>1312</v>
      </c>
    </row>
    <row r="52" spans="1:5" x14ac:dyDescent="0.2">
      <c r="A52" s="9"/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F718-0DCF-4812-8679-2318D27E03C3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1336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934</v>
      </c>
      <c r="B8" s="38" t="s">
        <v>1606</v>
      </c>
      <c r="C8" s="38" t="s">
        <v>933</v>
      </c>
      <c r="D8" s="38">
        <v>26</v>
      </c>
      <c r="E8" s="63">
        <v>288.03501999999997</v>
      </c>
      <c r="F8" s="63">
        <v>11.841492515812901</v>
      </c>
    </row>
    <row r="9" spans="1:6" x14ac:dyDescent="0.2">
      <c r="A9" s="38" t="s">
        <v>931</v>
      </c>
      <c r="B9" s="38" t="s">
        <v>1608</v>
      </c>
      <c r="C9" s="38" t="s">
        <v>693</v>
      </c>
      <c r="D9" s="38">
        <v>28</v>
      </c>
      <c r="E9" s="63">
        <v>278.52663999999999</v>
      </c>
      <c r="F9" s="63">
        <v>11.450590706</v>
      </c>
    </row>
    <row r="10" spans="1:6" x14ac:dyDescent="0.2">
      <c r="A10" s="38" t="s">
        <v>975</v>
      </c>
      <c r="B10" s="38" t="s">
        <v>1924</v>
      </c>
      <c r="C10" s="38" t="s">
        <v>721</v>
      </c>
      <c r="D10" s="38">
        <v>27</v>
      </c>
      <c r="E10" s="63">
        <v>273.41442000000001</v>
      </c>
      <c r="F10" s="63">
        <v>11.2404207243457</v>
      </c>
    </row>
    <row r="11" spans="1:6" x14ac:dyDescent="0.2">
      <c r="A11" s="38" t="s">
        <v>977</v>
      </c>
      <c r="B11" s="38" t="s">
        <v>1618</v>
      </c>
      <c r="C11" s="38" t="s">
        <v>721</v>
      </c>
      <c r="D11" s="38">
        <v>26</v>
      </c>
      <c r="E11" s="63">
        <v>269.10676000000001</v>
      </c>
      <c r="F11" s="63">
        <v>11.0633272457448</v>
      </c>
    </row>
    <row r="12" spans="1:6" x14ac:dyDescent="0.2">
      <c r="A12" s="38" t="s">
        <v>966</v>
      </c>
      <c r="B12" s="38" t="s">
        <v>1583</v>
      </c>
      <c r="C12" s="38" t="s">
        <v>693</v>
      </c>
      <c r="D12" s="38">
        <v>26</v>
      </c>
      <c r="E12" s="63">
        <v>268.61952000000002</v>
      </c>
      <c r="F12" s="63">
        <v>11.043296178642599</v>
      </c>
    </row>
    <row r="13" spans="1:6" x14ac:dyDescent="0.2">
      <c r="A13" s="38" t="s">
        <v>945</v>
      </c>
      <c r="B13" s="38" t="s">
        <v>1598</v>
      </c>
      <c r="C13" s="38" t="s">
        <v>693</v>
      </c>
      <c r="D13" s="38">
        <v>26</v>
      </c>
      <c r="E13" s="63">
        <v>267.1669</v>
      </c>
      <c r="F13" s="63">
        <v>10.9835770901154</v>
      </c>
    </row>
    <row r="14" spans="1:6" x14ac:dyDescent="0.2">
      <c r="A14" s="38" t="s">
        <v>1330</v>
      </c>
      <c r="B14" s="38" t="s">
        <v>1853</v>
      </c>
      <c r="C14" s="38" t="s">
        <v>933</v>
      </c>
      <c r="D14" s="38">
        <v>26</v>
      </c>
      <c r="E14" s="63">
        <v>264.80376000000001</v>
      </c>
      <c r="F14" s="63">
        <v>10.8864253457761</v>
      </c>
    </row>
    <row r="15" spans="1:6" x14ac:dyDescent="0.2">
      <c r="A15" s="38" t="s">
        <v>1331</v>
      </c>
      <c r="B15" s="38" t="s">
        <v>1852</v>
      </c>
      <c r="C15" s="38" t="s">
        <v>693</v>
      </c>
      <c r="D15" s="38">
        <v>10</v>
      </c>
      <c r="E15" s="63">
        <v>106.9485</v>
      </c>
      <c r="F15" s="63">
        <v>4.3967912732535597</v>
      </c>
    </row>
    <row r="16" spans="1:6" x14ac:dyDescent="0.2">
      <c r="A16" s="38" t="s">
        <v>1323</v>
      </c>
      <c r="B16" s="38" t="s">
        <v>1850</v>
      </c>
      <c r="C16" s="38" t="s">
        <v>933</v>
      </c>
      <c r="D16" s="38">
        <v>2</v>
      </c>
      <c r="E16" s="63">
        <v>20.729320000000001</v>
      </c>
      <c r="F16" s="63">
        <v>0.85220917802943097</v>
      </c>
    </row>
    <row r="17" spans="1:6" x14ac:dyDescent="0.2">
      <c r="A17" s="38" t="s">
        <v>954</v>
      </c>
      <c r="B17" s="38" t="s">
        <v>1590</v>
      </c>
      <c r="C17" s="38" t="s">
        <v>693</v>
      </c>
      <c r="D17" s="38">
        <v>1</v>
      </c>
      <c r="E17" s="63">
        <v>10.16661</v>
      </c>
      <c r="F17" s="63">
        <v>0.41796249715117501</v>
      </c>
    </row>
    <row r="18" spans="1:6" x14ac:dyDescent="0.2">
      <c r="A18" s="37" t="s">
        <v>43</v>
      </c>
      <c r="B18" s="38"/>
      <c r="C18" s="38"/>
      <c r="D18" s="38"/>
      <c r="E18" s="64">
        <f>SUM(E8:E17)</f>
        <v>2047.5174499999998</v>
      </c>
      <c r="F18" s="64">
        <f>SUM(F8:F17)</f>
        <v>84.176092754871661</v>
      </c>
    </row>
    <row r="19" spans="1:6" x14ac:dyDescent="0.2">
      <c r="A19" s="38"/>
      <c r="B19" s="38"/>
      <c r="C19" s="38"/>
      <c r="D19" s="38"/>
      <c r="E19" s="63"/>
      <c r="F19" s="63"/>
    </row>
    <row r="20" spans="1:6" x14ac:dyDescent="0.2">
      <c r="A20" s="37" t="s">
        <v>717</v>
      </c>
      <c r="B20" s="38"/>
      <c r="C20" s="38"/>
      <c r="D20" s="38"/>
      <c r="E20" s="63"/>
      <c r="F20" s="63"/>
    </row>
    <row r="21" spans="1:6" x14ac:dyDescent="0.2">
      <c r="A21" s="38" t="s">
        <v>1335</v>
      </c>
      <c r="B21" s="38" t="s">
        <v>1855</v>
      </c>
      <c r="C21" s="38" t="s">
        <v>933</v>
      </c>
      <c r="D21" s="38">
        <v>52</v>
      </c>
      <c r="E21" s="63">
        <v>269.46296000000001</v>
      </c>
      <c r="F21" s="63">
        <v>11.0779710888238</v>
      </c>
    </row>
    <row r="22" spans="1:6" x14ac:dyDescent="0.2">
      <c r="A22" s="37" t="s">
        <v>43</v>
      </c>
      <c r="B22" s="38"/>
      <c r="C22" s="38"/>
      <c r="D22" s="38"/>
      <c r="E22" s="64">
        <f>SUM(E21:E21)</f>
        <v>269.46296000000001</v>
      </c>
      <c r="F22" s="64">
        <f>SUM(F21:F21)</f>
        <v>11.0779710888238</v>
      </c>
    </row>
    <row r="23" spans="1:6" x14ac:dyDescent="0.2">
      <c r="A23" s="38"/>
      <c r="B23" s="38"/>
      <c r="C23" s="38"/>
      <c r="D23" s="38"/>
      <c r="E23" s="63"/>
      <c r="F23" s="63"/>
    </row>
    <row r="24" spans="1:6" x14ac:dyDescent="0.2">
      <c r="A24" s="37" t="s">
        <v>43</v>
      </c>
      <c r="B24" s="38"/>
      <c r="C24" s="38"/>
      <c r="D24" s="38"/>
      <c r="E24" s="64">
        <v>2316.9804099999997</v>
      </c>
      <c r="F24" s="64">
        <v>95.254063843695462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37" t="s">
        <v>101</v>
      </c>
      <c r="B26" s="38"/>
      <c r="C26" s="38"/>
      <c r="D26" s="38"/>
      <c r="E26" s="64">
        <v>115.4415855</v>
      </c>
      <c r="F26" s="64">
        <v>4.75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80" t="s">
        <v>102</v>
      </c>
      <c r="B28" s="79"/>
      <c r="C28" s="79"/>
      <c r="D28" s="79"/>
      <c r="E28" s="61">
        <v>2432.4215855000002</v>
      </c>
      <c r="F28" s="61">
        <f xml:space="preserve"> ROUND(SUM(F24:F27),2)</f>
        <v>100</v>
      </c>
    </row>
    <row r="29" spans="1:6" x14ac:dyDescent="0.2">
      <c r="A29" s="88" t="s">
        <v>686</v>
      </c>
    </row>
    <row r="31" spans="1:6" x14ac:dyDescent="0.2">
      <c r="A31" s="4" t="s">
        <v>103</v>
      </c>
    </row>
    <row r="32" spans="1:6" x14ac:dyDescent="0.2">
      <c r="A32" s="4" t="s">
        <v>685</v>
      </c>
    </row>
    <row r="33" spans="1:4" x14ac:dyDescent="0.2">
      <c r="A33" s="4" t="s">
        <v>608</v>
      </c>
      <c r="D33" s="95"/>
    </row>
    <row r="34" spans="1:4" x14ac:dyDescent="0.2">
      <c r="A34" s="2" t="s">
        <v>600</v>
      </c>
      <c r="D34" s="95">
        <v>10.321999999999999</v>
      </c>
    </row>
    <row r="35" spans="1:4" x14ac:dyDescent="0.2">
      <c r="A35" s="2" t="s">
        <v>601</v>
      </c>
      <c r="D35" s="95">
        <v>10.321999999999999</v>
      </c>
    </row>
    <row r="36" spans="1:4" x14ac:dyDescent="0.2">
      <c r="A36" s="2" t="s">
        <v>684</v>
      </c>
      <c r="D36" s="95">
        <v>10.1867</v>
      </c>
    </row>
    <row r="37" spans="1:4" x14ac:dyDescent="0.2">
      <c r="A37" s="2" t="s">
        <v>602</v>
      </c>
      <c r="D37" s="95">
        <v>10.3299</v>
      </c>
    </row>
    <row r="38" spans="1:4" x14ac:dyDescent="0.2">
      <c r="A38" s="2" t="s">
        <v>603</v>
      </c>
      <c r="D38" s="95">
        <v>10.3299</v>
      </c>
    </row>
    <row r="39" spans="1:4" x14ac:dyDescent="0.2">
      <c r="A39" s="2" t="s">
        <v>683</v>
      </c>
      <c r="D39" s="95">
        <v>10.194599999999999</v>
      </c>
    </row>
    <row r="41" spans="1:4" x14ac:dyDescent="0.2">
      <c r="A41" s="4" t="s">
        <v>105</v>
      </c>
    </row>
    <row r="42" spans="1:4" x14ac:dyDescent="0.2">
      <c r="A42" s="2" t="s">
        <v>600</v>
      </c>
      <c r="D42" s="10">
        <v>10.9214</v>
      </c>
    </row>
    <row r="43" spans="1:4" x14ac:dyDescent="0.2">
      <c r="A43" s="2" t="s">
        <v>601</v>
      </c>
      <c r="D43" s="10">
        <v>10.9214</v>
      </c>
    </row>
    <row r="44" spans="1:4" x14ac:dyDescent="0.2">
      <c r="A44" s="2" t="s">
        <v>684</v>
      </c>
      <c r="D44" s="10">
        <v>10.3354</v>
      </c>
    </row>
    <row r="45" spans="1:4" x14ac:dyDescent="0.2">
      <c r="A45" s="2" t="s">
        <v>602</v>
      </c>
      <c r="D45" s="10">
        <v>10.946</v>
      </c>
    </row>
    <row r="46" spans="1:4" x14ac:dyDescent="0.2">
      <c r="A46" s="2" t="s">
        <v>603</v>
      </c>
      <c r="D46" s="10">
        <v>10.946</v>
      </c>
    </row>
    <row r="47" spans="1:4" x14ac:dyDescent="0.2">
      <c r="A47" s="2" t="s">
        <v>683</v>
      </c>
      <c r="D47" s="10">
        <v>10.359500000000001</v>
      </c>
    </row>
    <row r="49" spans="1:5" x14ac:dyDescent="0.2">
      <c r="A49" s="4" t="s">
        <v>106</v>
      </c>
      <c r="D49" s="20" t="s">
        <v>311</v>
      </c>
    </row>
    <row r="50" spans="1:5" x14ac:dyDescent="0.2">
      <c r="A50" s="21" t="s">
        <v>604</v>
      </c>
      <c r="B50" s="22"/>
      <c r="C50" s="103" t="s">
        <v>605</v>
      </c>
      <c r="D50" s="104"/>
    </row>
    <row r="51" spans="1:5" x14ac:dyDescent="0.2">
      <c r="A51" s="105"/>
      <c r="B51" s="106"/>
      <c r="C51" s="23" t="s">
        <v>606</v>
      </c>
      <c r="D51" s="23" t="s">
        <v>607</v>
      </c>
    </row>
    <row r="52" spans="1:5" x14ac:dyDescent="0.2">
      <c r="A52" s="24" t="s">
        <v>684</v>
      </c>
      <c r="B52" s="25"/>
      <c r="C52" s="26">
        <v>0.31334037449999996</v>
      </c>
      <c r="D52" s="26">
        <v>0.2901547484</v>
      </c>
    </row>
    <row r="53" spans="1:5" x14ac:dyDescent="0.2">
      <c r="A53" s="24" t="s">
        <v>683</v>
      </c>
      <c r="B53" s="25"/>
      <c r="C53" s="26">
        <v>0.31334037449999996</v>
      </c>
      <c r="D53" s="26">
        <v>0.2901547484</v>
      </c>
    </row>
    <row r="54" spans="1:5" x14ac:dyDescent="0.2">
      <c r="A54" s="4"/>
      <c r="D54" s="20"/>
    </row>
    <row r="55" spans="1:5" x14ac:dyDescent="0.2">
      <c r="A55" s="4" t="s">
        <v>680</v>
      </c>
      <c r="D55" s="15">
        <v>2.3846368970303478</v>
      </c>
      <c r="E55" s="72" t="s">
        <v>1312</v>
      </c>
    </row>
    <row r="57" spans="1:5" x14ac:dyDescent="0.2">
      <c r="A57" s="9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EB01-FD6B-4AFC-85A9-408AE4ED167F}">
  <dimension ref="A1:F6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1339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934</v>
      </c>
      <c r="B8" s="38" t="s">
        <v>1606</v>
      </c>
      <c r="C8" s="38" t="s">
        <v>933</v>
      </c>
      <c r="D8" s="38">
        <v>50</v>
      </c>
      <c r="E8" s="63">
        <v>553.9135</v>
      </c>
      <c r="F8" s="63">
        <v>11.9083606754917</v>
      </c>
    </row>
    <row r="9" spans="1:6" x14ac:dyDescent="0.2">
      <c r="A9" s="38" t="s">
        <v>945</v>
      </c>
      <c r="B9" s="38" t="s">
        <v>1598</v>
      </c>
      <c r="C9" s="38" t="s">
        <v>693</v>
      </c>
      <c r="D9" s="38">
        <v>50</v>
      </c>
      <c r="E9" s="63">
        <v>513.78250000000003</v>
      </c>
      <c r="F9" s="63">
        <v>11.0456006556183</v>
      </c>
    </row>
    <row r="10" spans="1:6" x14ac:dyDescent="0.2">
      <c r="A10" s="38" t="s">
        <v>941</v>
      </c>
      <c r="B10" s="38" t="s">
        <v>1601</v>
      </c>
      <c r="C10" s="38" t="s">
        <v>940</v>
      </c>
      <c r="D10" s="38">
        <v>48</v>
      </c>
      <c r="E10" s="63">
        <v>511.48847999999998</v>
      </c>
      <c r="F10" s="63">
        <v>10.996282454208201</v>
      </c>
    </row>
    <row r="11" spans="1:6" x14ac:dyDescent="0.2">
      <c r="A11" s="38" t="s">
        <v>975</v>
      </c>
      <c r="B11" s="38" t="s">
        <v>1924</v>
      </c>
      <c r="C11" s="38" t="s">
        <v>721</v>
      </c>
      <c r="D11" s="38">
        <v>50</v>
      </c>
      <c r="E11" s="63">
        <v>506.32299999999998</v>
      </c>
      <c r="F11" s="63">
        <v>10.8852319040735</v>
      </c>
    </row>
    <row r="12" spans="1:6" x14ac:dyDescent="0.2">
      <c r="A12" s="38" t="s">
        <v>966</v>
      </c>
      <c r="B12" s="38" t="s">
        <v>1583</v>
      </c>
      <c r="C12" s="38" t="s">
        <v>693</v>
      </c>
      <c r="D12" s="38">
        <v>49</v>
      </c>
      <c r="E12" s="63">
        <v>506.24448000000001</v>
      </c>
      <c r="F12" s="63">
        <v>10.883543834581999</v>
      </c>
    </row>
    <row r="13" spans="1:6" x14ac:dyDescent="0.2">
      <c r="A13" s="38" t="s">
        <v>1338</v>
      </c>
      <c r="B13" s="38" t="s">
        <v>1943</v>
      </c>
      <c r="C13" s="38" t="s">
        <v>693</v>
      </c>
      <c r="D13" s="38">
        <v>50</v>
      </c>
      <c r="E13" s="63">
        <v>502.78899999999999</v>
      </c>
      <c r="F13" s="63">
        <v>10.8092558778037</v>
      </c>
    </row>
    <row r="14" spans="1:6" x14ac:dyDescent="0.2">
      <c r="A14" s="38" t="s">
        <v>723</v>
      </c>
      <c r="B14" s="38" t="s">
        <v>1439</v>
      </c>
      <c r="C14" s="38" t="s">
        <v>693</v>
      </c>
      <c r="D14" s="38">
        <v>50</v>
      </c>
      <c r="E14" s="63">
        <v>494.98649999999998</v>
      </c>
      <c r="F14" s="63">
        <v>10.641513108994999</v>
      </c>
    </row>
    <row r="15" spans="1:6" x14ac:dyDescent="0.2">
      <c r="A15" s="38" t="s">
        <v>1330</v>
      </c>
      <c r="B15" s="38" t="s">
        <v>1853</v>
      </c>
      <c r="C15" s="38" t="s">
        <v>933</v>
      </c>
      <c r="D15" s="38">
        <v>15</v>
      </c>
      <c r="E15" s="63">
        <v>152.7714</v>
      </c>
      <c r="F15" s="63">
        <v>3.2843700904560298</v>
      </c>
    </row>
    <row r="16" spans="1:6" x14ac:dyDescent="0.2">
      <c r="A16" s="38" t="s">
        <v>1323</v>
      </c>
      <c r="B16" s="38" t="s">
        <v>1850</v>
      </c>
      <c r="C16" s="38" t="s">
        <v>933</v>
      </c>
      <c r="D16" s="38">
        <v>6</v>
      </c>
      <c r="E16" s="63">
        <v>62.187959999999997</v>
      </c>
      <c r="F16" s="63">
        <v>1.33695361704138</v>
      </c>
    </row>
    <row r="17" spans="1:6" x14ac:dyDescent="0.2">
      <c r="A17" s="38" t="s">
        <v>977</v>
      </c>
      <c r="B17" s="38" t="s">
        <v>1618</v>
      </c>
      <c r="C17" s="38" t="s">
        <v>721</v>
      </c>
      <c r="D17" s="38">
        <v>4</v>
      </c>
      <c r="E17" s="63">
        <v>41.401040000000002</v>
      </c>
      <c r="F17" s="63">
        <v>0.89006409242681295</v>
      </c>
    </row>
    <row r="18" spans="1:6" x14ac:dyDescent="0.2">
      <c r="A18" s="38" t="s">
        <v>954</v>
      </c>
      <c r="B18" s="38" t="s">
        <v>1590</v>
      </c>
      <c r="C18" s="38" t="s">
        <v>693</v>
      </c>
      <c r="D18" s="38">
        <v>4</v>
      </c>
      <c r="E18" s="63">
        <v>40.666440000000001</v>
      </c>
      <c r="F18" s="63">
        <v>0.87427122629840803</v>
      </c>
    </row>
    <row r="19" spans="1:6" x14ac:dyDescent="0.2">
      <c r="A19" s="38" t="s">
        <v>1316</v>
      </c>
      <c r="B19" s="38" t="s">
        <v>1843</v>
      </c>
      <c r="C19" s="38" t="s">
        <v>693</v>
      </c>
      <c r="D19" s="38">
        <v>3</v>
      </c>
      <c r="E19" s="63">
        <v>33.240450000000003</v>
      </c>
      <c r="F19" s="63">
        <v>0.71462289259180101</v>
      </c>
    </row>
    <row r="20" spans="1:6" x14ac:dyDescent="0.2">
      <c r="A20" s="38" t="s">
        <v>1320</v>
      </c>
      <c r="B20" s="38" t="s">
        <v>1847</v>
      </c>
      <c r="C20" s="38" t="s">
        <v>1139</v>
      </c>
      <c r="D20" s="38">
        <v>3</v>
      </c>
      <c r="E20" s="63">
        <v>32.480130000000003</v>
      </c>
      <c r="F20" s="63">
        <v>0.69827708266156896</v>
      </c>
    </row>
    <row r="21" spans="1:6" x14ac:dyDescent="0.2">
      <c r="A21" s="38" t="s">
        <v>957</v>
      </c>
      <c r="B21" s="38" t="s">
        <v>1588</v>
      </c>
      <c r="C21" s="38" t="s">
        <v>721</v>
      </c>
      <c r="D21" s="38">
        <v>2</v>
      </c>
      <c r="E21" s="63">
        <v>20.69922</v>
      </c>
      <c r="F21" s="63">
        <v>0.44500409804301899</v>
      </c>
    </row>
    <row r="22" spans="1:6" x14ac:dyDescent="0.2">
      <c r="A22" s="37" t="s">
        <v>43</v>
      </c>
      <c r="B22" s="38"/>
      <c r="C22" s="38"/>
      <c r="D22" s="38"/>
      <c r="E22" s="64">
        <f>SUM(E8:E21)</f>
        <v>3972.9740999999995</v>
      </c>
      <c r="F22" s="64">
        <f>SUM(F8:F21)</f>
        <v>85.4133516102914</v>
      </c>
    </row>
    <row r="23" spans="1:6" x14ac:dyDescent="0.2">
      <c r="A23" s="38"/>
      <c r="B23" s="38"/>
      <c r="C23" s="38"/>
      <c r="D23" s="38"/>
      <c r="E23" s="63"/>
      <c r="F23" s="63"/>
    </row>
    <row r="24" spans="1:6" x14ac:dyDescent="0.2">
      <c r="A24" s="37" t="s">
        <v>717</v>
      </c>
      <c r="B24" s="38"/>
      <c r="C24" s="38"/>
      <c r="D24" s="38"/>
      <c r="E24" s="63"/>
      <c r="F24" s="63"/>
    </row>
    <row r="25" spans="1:6" x14ac:dyDescent="0.2">
      <c r="A25" s="38" t="s">
        <v>1337</v>
      </c>
      <c r="B25" s="38" t="s">
        <v>1856</v>
      </c>
      <c r="C25" s="38" t="s">
        <v>693</v>
      </c>
      <c r="D25" s="38">
        <v>50</v>
      </c>
      <c r="E25" s="63">
        <v>497.66</v>
      </c>
      <c r="F25" s="63">
        <v>10.6989895963272</v>
      </c>
    </row>
    <row r="26" spans="1:6" x14ac:dyDescent="0.2">
      <c r="A26" s="37" t="s">
        <v>43</v>
      </c>
      <c r="B26" s="38"/>
      <c r="C26" s="38"/>
      <c r="D26" s="38"/>
      <c r="E26" s="64">
        <f>SUM(E25:E25)</f>
        <v>497.66</v>
      </c>
      <c r="F26" s="64">
        <f>SUM(F25:F25)</f>
        <v>10.6989895963272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37" t="s">
        <v>43</v>
      </c>
      <c r="B28" s="38"/>
      <c r="C28" s="38"/>
      <c r="D28" s="38"/>
      <c r="E28" s="64">
        <v>4470.6340999999993</v>
      </c>
      <c r="F28" s="64">
        <v>96.112341206618595</v>
      </c>
    </row>
    <row r="29" spans="1:6" x14ac:dyDescent="0.2">
      <c r="A29" s="38"/>
      <c r="B29" s="38"/>
      <c r="C29" s="38"/>
      <c r="D29" s="38"/>
      <c r="E29" s="63"/>
      <c r="F29" s="63"/>
    </row>
    <row r="30" spans="1:6" x14ac:dyDescent="0.2">
      <c r="A30" s="37" t="s">
        <v>101</v>
      </c>
      <c r="B30" s="38"/>
      <c r="C30" s="38"/>
      <c r="D30" s="38"/>
      <c r="E30" s="64">
        <v>180.8372766</v>
      </c>
      <c r="F30" s="64">
        <v>3.89</v>
      </c>
    </row>
    <row r="31" spans="1:6" x14ac:dyDescent="0.2">
      <c r="A31" s="38"/>
      <c r="B31" s="38"/>
      <c r="C31" s="38"/>
      <c r="D31" s="38"/>
      <c r="E31" s="63"/>
      <c r="F31" s="63"/>
    </row>
    <row r="32" spans="1:6" x14ac:dyDescent="0.2">
      <c r="A32" s="80" t="s">
        <v>102</v>
      </c>
      <c r="B32" s="79"/>
      <c r="C32" s="79"/>
      <c r="D32" s="79"/>
      <c r="E32" s="61">
        <v>4651.4672766000003</v>
      </c>
      <c r="F32" s="61">
        <f xml:space="preserve"> ROUND(SUM(F28:F31),2)</f>
        <v>100</v>
      </c>
    </row>
    <row r="33" spans="1:4" x14ac:dyDescent="0.2">
      <c r="A33" s="88" t="s">
        <v>686</v>
      </c>
    </row>
    <row r="35" spans="1:4" x14ac:dyDescent="0.2">
      <c r="A35" s="4" t="s">
        <v>103</v>
      </c>
    </row>
    <row r="36" spans="1:4" x14ac:dyDescent="0.2">
      <c r="A36" s="4" t="s">
        <v>685</v>
      </c>
    </row>
    <row r="37" spans="1:4" x14ac:dyDescent="0.2">
      <c r="A37" s="4" t="s">
        <v>608</v>
      </c>
      <c r="D37" s="95"/>
    </row>
    <row r="38" spans="1:4" x14ac:dyDescent="0.2">
      <c r="A38" s="2" t="s">
        <v>600</v>
      </c>
      <c r="D38" s="95">
        <v>10.329000000000001</v>
      </c>
    </row>
    <row r="39" spans="1:4" x14ac:dyDescent="0.2">
      <c r="A39" s="2" t="s">
        <v>601</v>
      </c>
      <c r="D39" s="95">
        <v>10.329000000000001</v>
      </c>
    </row>
    <row r="40" spans="1:4" x14ac:dyDescent="0.2">
      <c r="A40" s="2" t="s">
        <v>684</v>
      </c>
      <c r="D40" s="95">
        <v>10.168699999999999</v>
      </c>
    </row>
    <row r="41" spans="1:4" x14ac:dyDescent="0.2">
      <c r="A41" s="2" t="s">
        <v>602</v>
      </c>
      <c r="D41" s="95">
        <v>10.3626</v>
      </c>
    </row>
    <row r="42" spans="1:4" x14ac:dyDescent="0.2">
      <c r="A42" s="2" t="s">
        <v>603</v>
      </c>
      <c r="D42" s="95">
        <v>10.3626</v>
      </c>
    </row>
    <row r="43" spans="1:4" x14ac:dyDescent="0.2">
      <c r="A43" s="2" t="s">
        <v>683</v>
      </c>
      <c r="D43" s="95">
        <v>10.202299999999999</v>
      </c>
    </row>
    <row r="45" spans="1:4" x14ac:dyDescent="0.2">
      <c r="A45" s="4" t="s">
        <v>105</v>
      </c>
    </row>
    <row r="46" spans="1:4" x14ac:dyDescent="0.2">
      <c r="A46" s="2" t="s">
        <v>600</v>
      </c>
      <c r="D46" s="10">
        <v>10.898400000000001</v>
      </c>
    </row>
    <row r="47" spans="1:4" x14ac:dyDescent="0.2">
      <c r="A47" s="2" t="s">
        <v>601</v>
      </c>
      <c r="D47" s="10">
        <v>10.898400000000001</v>
      </c>
    </row>
    <row r="48" spans="1:4" x14ac:dyDescent="0.2">
      <c r="A48" s="2" t="s">
        <v>684</v>
      </c>
      <c r="D48" s="10">
        <v>10.322699999999999</v>
      </c>
    </row>
    <row r="49" spans="1:5" x14ac:dyDescent="0.2">
      <c r="A49" s="2" t="s">
        <v>602</v>
      </c>
      <c r="D49" s="10">
        <v>10.9854</v>
      </c>
    </row>
    <row r="50" spans="1:5" x14ac:dyDescent="0.2">
      <c r="A50" s="2" t="s">
        <v>603</v>
      </c>
      <c r="D50" s="10">
        <v>10.9854</v>
      </c>
    </row>
    <row r="51" spans="1:5" x14ac:dyDescent="0.2">
      <c r="A51" s="2" t="s">
        <v>683</v>
      </c>
      <c r="D51" s="10">
        <v>10.409000000000001</v>
      </c>
    </row>
    <row r="53" spans="1:5" x14ac:dyDescent="0.2">
      <c r="A53" s="4" t="s">
        <v>106</v>
      </c>
      <c r="D53" s="20" t="s">
        <v>311</v>
      </c>
    </row>
    <row r="54" spans="1:5" x14ac:dyDescent="0.2">
      <c r="A54" s="21" t="s">
        <v>604</v>
      </c>
      <c r="B54" s="22"/>
      <c r="C54" s="103" t="s">
        <v>605</v>
      </c>
      <c r="D54" s="104"/>
    </row>
    <row r="55" spans="1:5" x14ac:dyDescent="0.2">
      <c r="A55" s="105"/>
      <c r="B55" s="106"/>
      <c r="C55" s="23" t="s">
        <v>606</v>
      </c>
      <c r="D55" s="23" t="s">
        <v>607</v>
      </c>
    </row>
    <row r="56" spans="1:5" x14ac:dyDescent="0.2">
      <c r="A56" s="24" t="s">
        <v>684</v>
      </c>
      <c r="B56" s="25"/>
      <c r="C56" s="26">
        <v>0.28812908000000004</v>
      </c>
      <c r="D56" s="26">
        <v>0.26680896400000004</v>
      </c>
    </row>
    <row r="57" spans="1:5" x14ac:dyDescent="0.2">
      <c r="A57" s="24" t="s">
        <v>683</v>
      </c>
      <c r="B57" s="25"/>
      <c r="C57" s="26">
        <v>0.28812908000000004</v>
      </c>
      <c r="D57" s="26">
        <v>0.26680896400000004</v>
      </c>
    </row>
    <row r="59" spans="1:5" x14ac:dyDescent="0.2">
      <c r="A59" s="4" t="s">
        <v>680</v>
      </c>
      <c r="D59" s="15">
        <v>2.421946417736355</v>
      </c>
      <c r="E59" s="72" t="s">
        <v>679</v>
      </c>
    </row>
    <row r="61" spans="1:5" x14ac:dyDescent="0.2">
      <c r="A61" s="9"/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B20A-C99F-4164-9131-FDDE24541935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1344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944</v>
      </c>
      <c r="B8" s="38" t="s">
        <v>1599</v>
      </c>
      <c r="C8" s="38" t="s">
        <v>721</v>
      </c>
      <c r="D8" s="38">
        <v>31</v>
      </c>
      <c r="E8" s="63">
        <v>319.28449999999998</v>
      </c>
      <c r="F8" s="63">
        <v>11.0784364817337</v>
      </c>
    </row>
    <row r="9" spans="1:6" x14ac:dyDescent="0.2">
      <c r="A9" s="38" t="s">
        <v>937</v>
      </c>
      <c r="B9" s="38" t="s">
        <v>1603</v>
      </c>
      <c r="C9" s="38" t="s">
        <v>693</v>
      </c>
      <c r="D9" s="38">
        <v>31</v>
      </c>
      <c r="E9" s="63">
        <v>315.60325</v>
      </c>
      <c r="F9" s="63">
        <v>10.950705588757801</v>
      </c>
    </row>
    <row r="10" spans="1:6" x14ac:dyDescent="0.2">
      <c r="A10" s="38" t="s">
        <v>966</v>
      </c>
      <c r="B10" s="38" t="s">
        <v>1583</v>
      </c>
      <c r="C10" s="38" t="s">
        <v>693</v>
      </c>
      <c r="D10" s="38">
        <v>30</v>
      </c>
      <c r="E10" s="63">
        <v>309.94560000000001</v>
      </c>
      <c r="F10" s="63">
        <v>10.754398169635101</v>
      </c>
    </row>
    <row r="11" spans="1:6" x14ac:dyDescent="0.2">
      <c r="A11" s="38" t="s">
        <v>946</v>
      </c>
      <c r="B11" s="38" t="s">
        <v>1597</v>
      </c>
      <c r="C11" s="38" t="s">
        <v>693</v>
      </c>
      <c r="D11" s="38">
        <v>31</v>
      </c>
      <c r="E11" s="63">
        <v>308.74977000000001</v>
      </c>
      <c r="F11" s="63">
        <v>10.712905623965099</v>
      </c>
    </row>
    <row r="12" spans="1:6" x14ac:dyDescent="0.2">
      <c r="A12" s="38" t="s">
        <v>898</v>
      </c>
      <c r="B12" s="38" t="s">
        <v>1576</v>
      </c>
      <c r="C12" s="38" t="s">
        <v>721</v>
      </c>
      <c r="D12" s="38">
        <v>26</v>
      </c>
      <c r="E12" s="63">
        <v>263.36700000000002</v>
      </c>
      <c r="F12" s="63">
        <v>9.1382280720948295</v>
      </c>
    </row>
    <row r="13" spans="1:6" x14ac:dyDescent="0.2">
      <c r="A13" s="38" t="s">
        <v>1141</v>
      </c>
      <c r="B13" s="38" t="s">
        <v>1750</v>
      </c>
      <c r="C13" s="38" t="s">
        <v>693</v>
      </c>
      <c r="D13" s="38">
        <v>20</v>
      </c>
      <c r="E13" s="63">
        <v>202.0608</v>
      </c>
      <c r="F13" s="63">
        <v>7.0110441886414803</v>
      </c>
    </row>
    <row r="14" spans="1:6" x14ac:dyDescent="0.2">
      <c r="A14" s="38" t="s">
        <v>1343</v>
      </c>
      <c r="B14" s="38" t="s">
        <v>1857</v>
      </c>
      <c r="C14" s="38" t="s">
        <v>721</v>
      </c>
      <c r="D14" s="38">
        <v>19</v>
      </c>
      <c r="E14" s="63">
        <v>194.39185000000001</v>
      </c>
      <c r="F14" s="63">
        <v>6.7449492937856599</v>
      </c>
    </row>
    <row r="15" spans="1:6" x14ac:dyDescent="0.2">
      <c r="A15" s="38" t="s">
        <v>1342</v>
      </c>
      <c r="B15" s="38" t="s">
        <v>1858</v>
      </c>
      <c r="C15" s="38" t="s">
        <v>693</v>
      </c>
      <c r="D15" s="38">
        <v>19</v>
      </c>
      <c r="E15" s="63">
        <v>193.7886</v>
      </c>
      <c r="F15" s="63">
        <v>6.72401790874315</v>
      </c>
    </row>
    <row r="16" spans="1:6" x14ac:dyDescent="0.2">
      <c r="A16" s="38" t="s">
        <v>949</v>
      </c>
      <c r="B16" s="38" t="s">
        <v>1595</v>
      </c>
      <c r="C16" s="38" t="s">
        <v>721</v>
      </c>
      <c r="D16" s="38">
        <v>16</v>
      </c>
      <c r="E16" s="63">
        <v>176.12352000000001</v>
      </c>
      <c r="F16" s="63">
        <v>6.1110803351223</v>
      </c>
    </row>
    <row r="17" spans="1:6" x14ac:dyDescent="0.2">
      <c r="A17" s="38" t="s">
        <v>1341</v>
      </c>
      <c r="B17" s="38" t="s">
        <v>1859</v>
      </c>
      <c r="C17" s="38" t="s">
        <v>693</v>
      </c>
      <c r="D17" s="38">
        <v>20</v>
      </c>
      <c r="E17" s="63">
        <v>170.63339999999999</v>
      </c>
      <c r="F17" s="63">
        <v>5.9205858209911897</v>
      </c>
    </row>
    <row r="18" spans="1:6" x14ac:dyDescent="0.2">
      <c r="A18" s="38" t="s">
        <v>928</v>
      </c>
      <c r="B18" s="38" t="s">
        <v>1923</v>
      </c>
      <c r="C18" s="38" t="s">
        <v>693</v>
      </c>
      <c r="D18" s="38">
        <v>16</v>
      </c>
      <c r="E18" s="63">
        <v>158.6712</v>
      </c>
      <c r="F18" s="63">
        <v>5.5055250432779097</v>
      </c>
    </row>
    <row r="19" spans="1:6" x14ac:dyDescent="0.2">
      <c r="A19" s="38" t="s">
        <v>1340</v>
      </c>
      <c r="B19" s="38" t="s">
        <v>1860</v>
      </c>
      <c r="C19" s="38" t="s">
        <v>1139</v>
      </c>
      <c r="D19" s="38">
        <v>7</v>
      </c>
      <c r="E19" s="63">
        <v>77.038499999999999</v>
      </c>
      <c r="F19" s="63">
        <v>2.6730584444219598</v>
      </c>
    </row>
    <row r="20" spans="1:6" x14ac:dyDescent="0.2">
      <c r="A20" s="37" t="s">
        <v>43</v>
      </c>
      <c r="B20" s="38"/>
      <c r="C20" s="38"/>
      <c r="D20" s="38"/>
      <c r="E20" s="64">
        <f>SUM(E8:E19)</f>
        <v>2689.6579900000002</v>
      </c>
      <c r="F20" s="64">
        <f>SUM(F8:F19)</f>
        <v>93.32493497117018</v>
      </c>
    </row>
    <row r="21" spans="1:6" x14ac:dyDescent="0.2">
      <c r="A21" s="38"/>
      <c r="B21" s="38"/>
      <c r="C21" s="38"/>
      <c r="D21" s="38"/>
      <c r="E21" s="63"/>
      <c r="F21" s="63"/>
    </row>
    <row r="22" spans="1:6" x14ac:dyDescent="0.2">
      <c r="A22" s="37" t="s">
        <v>717</v>
      </c>
      <c r="B22" s="38"/>
      <c r="C22" s="38"/>
      <c r="D22" s="38"/>
      <c r="E22" s="63"/>
      <c r="F22" s="63"/>
    </row>
    <row r="23" spans="1:6" x14ac:dyDescent="0.2">
      <c r="A23" s="38" t="s">
        <v>1117</v>
      </c>
      <c r="B23" s="38" t="s">
        <v>1734</v>
      </c>
      <c r="C23" s="38" t="s">
        <v>693</v>
      </c>
      <c r="D23" s="38">
        <v>3</v>
      </c>
      <c r="E23" s="63">
        <v>29.815860000000001</v>
      </c>
      <c r="F23" s="63">
        <v>1.0345416428240799</v>
      </c>
    </row>
    <row r="24" spans="1:6" x14ac:dyDescent="0.2">
      <c r="A24" s="37" t="s">
        <v>43</v>
      </c>
      <c r="B24" s="38"/>
      <c r="C24" s="38"/>
      <c r="D24" s="38"/>
      <c r="E24" s="64">
        <f>SUM(E23:E23)</f>
        <v>29.815860000000001</v>
      </c>
      <c r="F24" s="64">
        <f>SUM(F23:F23)</f>
        <v>1.0345416428240799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37" t="s">
        <v>43</v>
      </c>
      <c r="B26" s="38"/>
      <c r="C26" s="38"/>
      <c r="D26" s="38"/>
      <c r="E26" s="64">
        <v>2719.4738500000003</v>
      </c>
      <c r="F26" s="64">
        <v>94.359476613994261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37" t="s">
        <v>101</v>
      </c>
      <c r="B28" s="38"/>
      <c r="C28" s="38"/>
      <c r="D28" s="38"/>
      <c r="E28" s="64">
        <v>162.56575050000001</v>
      </c>
      <c r="F28" s="64">
        <v>5.64</v>
      </c>
    </row>
    <row r="29" spans="1:6" x14ac:dyDescent="0.2">
      <c r="A29" s="38"/>
      <c r="B29" s="38"/>
      <c r="C29" s="38"/>
      <c r="D29" s="38"/>
      <c r="E29" s="63"/>
      <c r="F29" s="63"/>
    </row>
    <row r="30" spans="1:6" x14ac:dyDescent="0.2">
      <c r="A30" s="80" t="s">
        <v>102</v>
      </c>
      <c r="B30" s="79"/>
      <c r="C30" s="79"/>
      <c r="D30" s="79"/>
      <c r="E30" s="61">
        <v>2882.0357505000002</v>
      </c>
      <c r="F30" s="61">
        <f xml:space="preserve"> ROUND(SUM(F26:F29),2)</f>
        <v>100</v>
      </c>
    </row>
    <row r="31" spans="1:6" x14ac:dyDescent="0.2">
      <c r="A31" s="88" t="s">
        <v>686</v>
      </c>
    </row>
    <row r="32" spans="1:6" x14ac:dyDescent="0.2">
      <c r="A32" s="4"/>
    </row>
    <row r="33" spans="1:4" x14ac:dyDescent="0.2">
      <c r="A33" s="4" t="s">
        <v>103</v>
      </c>
    </row>
    <row r="34" spans="1:4" x14ac:dyDescent="0.2">
      <c r="A34" s="4" t="s">
        <v>685</v>
      </c>
    </row>
    <row r="35" spans="1:4" x14ac:dyDescent="0.2">
      <c r="A35" s="4" t="s">
        <v>608</v>
      </c>
      <c r="D35" s="95"/>
    </row>
    <row r="36" spans="1:4" x14ac:dyDescent="0.2">
      <c r="A36" s="2" t="s">
        <v>600</v>
      </c>
      <c r="D36" s="95">
        <v>10.397399999999999</v>
      </c>
    </row>
    <row r="37" spans="1:4" x14ac:dyDescent="0.2">
      <c r="A37" s="2" t="s">
        <v>601</v>
      </c>
      <c r="D37" s="95">
        <v>10.397399999999999</v>
      </c>
    </row>
    <row r="38" spans="1:4" x14ac:dyDescent="0.2">
      <c r="A38" s="2" t="s">
        <v>684</v>
      </c>
      <c r="D38" s="95">
        <v>10.2959</v>
      </c>
    </row>
    <row r="39" spans="1:4" x14ac:dyDescent="0.2">
      <c r="A39" s="2" t="s">
        <v>602</v>
      </c>
      <c r="D39" s="95">
        <v>10.4337</v>
      </c>
    </row>
    <row r="40" spans="1:4" x14ac:dyDescent="0.2">
      <c r="A40" s="2" t="s">
        <v>683</v>
      </c>
      <c r="D40" s="95">
        <v>10.332100000000001</v>
      </c>
    </row>
    <row r="42" spans="1:4" x14ac:dyDescent="0.2">
      <c r="A42" s="4" t="s">
        <v>105</v>
      </c>
    </row>
    <row r="43" spans="1:4" x14ac:dyDescent="0.2">
      <c r="A43" s="2" t="s">
        <v>600</v>
      </c>
      <c r="D43" s="10">
        <v>10.933400000000001</v>
      </c>
    </row>
    <row r="44" spans="1:4" x14ac:dyDescent="0.2">
      <c r="A44" s="2" t="s">
        <v>601</v>
      </c>
      <c r="D44" s="10">
        <v>10.933400000000001</v>
      </c>
    </row>
    <row r="45" spans="1:4" x14ac:dyDescent="0.2">
      <c r="A45" s="2" t="s">
        <v>684</v>
      </c>
      <c r="D45" s="10">
        <v>10.396800000000001</v>
      </c>
    </row>
    <row r="46" spans="1:4" x14ac:dyDescent="0.2">
      <c r="A46" s="2" t="s">
        <v>602</v>
      </c>
      <c r="D46" s="10">
        <v>11.0223</v>
      </c>
    </row>
    <row r="47" spans="1:4" x14ac:dyDescent="0.2">
      <c r="A47" s="2" t="s">
        <v>683</v>
      </c>
      <c r="D47" s="10">
        <v>10.4842</v>
      </c>
    </row>
    <row r="49" spans="1:5" x14ac:dyDescent="0.2">
      <c r="A49" s="4" t="s">
        <v>106</v>
      </c>
      <c r="D49" s="20" t="s">
        <v>311</v>
      </c>
    </row>
    <row r="50" spans="1:5" x14ac:dyDescent="0.2">
      <c r="A50" s="21" t="s">
        <v>604</v>
      </c>
      <c r="B50" s="22"/>
      <c r="C50" s="103" t="s">
        <v>605</v>
      </c>
      <c r="D50" s="104"/>
    </row>
    <row r="51" spans="1:5" x14ac:dyDescent="0.2">
      <c r="A51" s="105"/>
      <c r="B51" s="106"/>
      <c r="C51" s="23" t="s">
        <v>606</v>
      </c>
      <c r="D51" s="23" t="s">
        <v>607</v>
      </c>
    </row>
    <row r="52" spans="1:5" x14ac:dyDescent="0.2">
      <c r="A52" s="24" t="s">
        <v>684</v>
      </c>
      <c r="B52" s="25"/>
      <c r="C52" s="26">
        <v>0.30253553399999999</v>
      </c>
      <c r="D52" s="26">
        <v>0.28014941230000001</v>
      </c>
    </row>
    <row r="53" spans="1:5" x14ac:dyDescent="0.2">
      <c r="A53" s="24" t="s">
        <v>683</v>
      </c>
      <c r="B53" s="25"/>
      <c r="C53" s="26">
        <v>0.30253553399999999</v>
      </c>
      <c r="D53" s="26">
        <v>0.28014941230000001</v>
      </c>
    </row>
    <row r="55" spans="1:5" x14ac:dyDescent="0.2">
      <c r="A55" s="4" t="s">
        <v>680</v>
      </c>
      <c r="D55" s="15">
        <v>1.8710715081603007</v>
      </c>
      <c r="E55" s="72" t="s">
        <v>1312</v>
      </c>
    </row>
    <row r="57" spans="1:5" x14ac:dyDescent="0.2">
      <c r="A57" s="9"/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AF9B-F595-4A31-B710-7750BEF33338}">
  <dimension ref="A1:F5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1350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946</v>
      </c>
      <c r="B8" s="38" t="s">
        <v>1597</v>
      </c>
      <c r="C8" s="38" t="s">
        <v>693</v>
      </c>
      <c r="D8" s="38">
        <v>44</v>
      </c>
      <c r="E8" s="63">
        <v>438.22548</v>
      </c>
      <c r="F8" s="63">
        <v>12.350934802303501</v>
      </c>
    </row>
    <row r="9" spans="1:6" x14ac:dyDescent="0.2">
      <c r="A9" s="38" t="s">
        <v>1343</v>
      </c>
      <c r="B9" s="38" t="s">
        <v>1857</v>
      </c>
      <c r="C9" s="38" t="s">
        <v>721</v>
      </c>
      <c r="D9" s="38">
        <v>41</v>
      </c>
      <c r="E9" s="63">
        <v>419.47714999999999</v>
      </c>
      <c r="F9" s="63">
        <v>11.822532388363401</v>
      </c>
    </row>
    <row r="10" spans="1:6" x14ac:dyDescent="0.2">
      <c r="A10" s="38" t="s">
        <v>1342</v>
      </c>
      <c r="B10" s="38" t="s">
        <v>1858</v>
      </c>
      <c r="C10" s="38" t="s">
        <v>693</v>
      </c>
      <c r="D10" s="38">
        <v>41</v>
      </c>
      <c r="E10" s="63">
        <v>418.17540000000002</v>
      </c>
      <c r="F10" s="63">
        <v>11.7858439023838</v>
      </c>
    </row>
    <row r="11" spans="1:6" x14ac:dyDescent="0.2">
      <c r="A11" s="38" t="s">
        <v>966</v>
      </c>
      <c r="B11" s="38" t="s">
        <v>1583</v>
      </c>
      <c r="C11" s="38" t="s">
        <v>693</v>
      </c>
      <c r="D11" s="38">
        <v>40</v>
      </c>
      <c r="E11" s="63">
        <v>413.26080000000002</v>
      </c>
      <c r="F11" s="63">
        <v>11.6473309519743</v>
      </c>
    </row>
    <row r="12" spans="1:6" x14ac:dyDescent="0.2">
      <c r="A12" s="38" t="s">
        <v>1141</v>
      </c>
      <c r="B12" s="38" t="s">
        <v>1750</v>
      </c>
      <c r="C12" s="38" t="s">
        <v>693</v>
      </c>
      <c r="D12" s="38">
        <v>28</v>
      </c>
      <c r="E12" s="63">
        <v>282.88511999999997</v>
      </c>
      <c r="F12" s="63">
        <v>7.9728263944438096</v>
      </c>
    </row>
    <row r="13" spans="1:6" x14ac:dyDescent="0.2">
      <c r="A13" s="38" t="s">
        <v>1341</v>
      </c>
      <c r="B13" s="38" t="s">
        <v>1859</v>
      </c>
      <c r="C13" s="38" t="s">
        <v>693</v>
      </c>
      <c r="D13" s="38">
        <v>33</v>
      </c>
      <c r="E13" s="63">
        <v>281.54511000000002</v>
      </c>
      <c r="F13" s="63">
        <v>7.9350595896828597</v>
      </c>
    </row>
    <row r="14" spans="1:6" x14ac:dyDescent="0.2">
      <c r="A14" s="38" t="s">
        <v>1349</v>
      </c>
      <c r="B14" s="38" t="s">
        <v>1861</v>
      </c>
      <c r="C14" s="38" t="s">
        <v>693</v>
      </c>
      <c r="D14" s="38">
        <v>26</v>
      </c>
      <c r="E14" s="63">
        <v>260.58188000000001</v>
      </c>
      <c r="F14" s="63">
        <v>7.34423249543062</v>
      </c>
    </row>
    <row r="15" spans="1:6" x14ac:dyDescent="0.2">
      <c r="A15" s="38" t="s">
        <v>1050</v>
      </c>
      <c r="B15" s="38" t="s">
        <v>1709</v>
      </c>
      <c r="C15" s="38" t="s">
        <v>713</v>
      </c>
      <c r="D15" s="38">
        <v>26000</v>
      </c>
      <c r="E15" s="63">
        <v>246.84322</v>
      </c>
      <c r="F15" s="63">
        <v>6.9570224821492896</v>
      </c>
    </row>
    <row r="16" spans="1:6" x14ac:dyDescent="0.2">
      <c r="A16" s="38" t="s">
        <v>938</v>
      </c>
      <c r="B16" s="38" t="s">
        <v>1602</v>
      </c>
      <c r="C16" s="38" t="s">
        <v>721</v>
      </c>
      <c r="D16" s="38">
        <v>150</v>
      </c>
      <c r="E16" s="63">
        <v>153.97004999999999</v>
      </c>
      <c r="F16" s="63">
        <v>4.3394876287371797</v>
      </c>
    </row>
    <row r="17" spans="1:6" x14ac:dyDescent="0.2">
      <c r="A17" s="38" t="s">
        <v>1137</v>
      </c>
      <c r="B17" s="38" t="s">
        <v>1753</v>
      </c>
      <c r="C17" s="38" t="s">
        <v>1136</v>
      </c>
      <c r="D17" s="38">
        <v>26000</v>
      </c>
      <c r="E17" s="63">
        <v>65</v>
      </c>
      <c r="F17" s="63">
        <v>1.8319582014029201</v>
      </c>
    </row>
    <row r="18" spans="1:6" x14ac:dyDescent="0.2">
      <c r="A18" s="37" t="s">
        <v>43</v>
      </c>
      <c r="B18" s="38"/>
      <c r="C18" s="38"/>
      <c r="D18" s="38"/>
      <c r="E18" s="64">
        <f>SUM(E8:E17)</f>
        <v>2979.9642100000001</v>
      </c>
      <c r="F18" s="64">
        <f>SUM(F8:F17)</f>
        <v>83.987228836871665</v>
      </c>
    </row>
    <row r="19" spans="1:6" x14ac:dyDescent="0.2">
      <c r="A19" s="38"/>
      <c r="B19" s="38"/>
      <c r="C19" s="38"/>
      <c r="D19" s="38"/>
      <c r="E19" s="63"/>
      <c r="F19" s="63"/>
    </row>
    <row r="20" spans="1:6" x14ac:dyDescent="0.2">
      <c r="A20" s="37" t="s">
        <v>717</v>
      </c>
      <c r="B20" s="38"/>
      <c r="C20" s="38"/>
      <c r="D20" s="38"/>
      <c r="E20" s="63"/>
      <c r="F20" s="63"/>
    </row>
    <row r="21" spans="1:6" x14ac:dyDescent="0.2">
      <c r="A21" s="38" t="s">
        <v>1117</v>
      </c>
      <c r="B21" s="38" t="s">
        <v>1734</v>
      </c>
      <c r="C21" s="38" t="s">
        <v>693</v>
      </c>
      <c r="D21" s="38">
        <v>34</v>
      </c>
      <c r="E21" s="63">
        <v>337.91307999999998</v>
      </c>
      <c r="F21" s="63">
        <v>9.5237328964203005</v>
      </c>
    </row>
    <row r="22" spans="1:6" x14ac:dyDescent="0.2">
      <c r="A22" s="38" t="s">
        <v>925</v>
      </c>
      <c r="B22" s="38" t="s">
        <v>1581</v>
      </c>
      <c r="C22" s="38" t="s">
        <v>693</v>
      </c>
      <c r="D22" s="38">
        <v>7</v>
      </c>
      <c r="E22" s="63">
        <v>69.673310000000001</v>
      </c>
      <c r="F22" s="63">
        <v>1.9636706411290401</v>
      </c>
    </row>
    <row r="23" spans="1:6" x14ac:dyDescent="0.2">
      <c r="A23" s="37" t="s">
        <v>43</v>
      </c>
      <c r="B23" s="38"/>
      <c r="C23" s="38"/>
      <c r="D23" s="38"/>
      <c r="E23" s="64">
        <f>SUM(E21:E22)</f>
        <v>407.58638999999999</v>
      </c>
      <c r="F23" s="64">
        <f>SUM(F21:F22)</f>
        <v>11.487403537549341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43</v>
      </c>
      <c r="B25" s="38"/>
      <c r="C25" s="38"/>
      <c r="D25" s="38"/>
      <c r="E25" s="64">
        <v>3387.5506</v>
      </c>
      <c r="F25" s="64">
        <v>95.474632374421006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101</v>
      </c>
      <c r="B27" s="38"/>
      <c r="C27" s="38"/>
      <c r="D27" s="38"/>
      <c r="E27" s="64">
        <v>160.56588769999999</v>
      </c>
      <c r="F27" s="64">
        <v>4.53</v>
      </c>
    </row>
    <row r="28" spans="1:6" x14ac:dyDescent="0.2">
      <c r="A28" s="38"/>
      <c r="B28" s="38"/>
      <c r="C28" s="38"/>
      <c r="D28" s="38"/>
      <c r="E28" s="63"/>
      <c r="F28" s="63"/>
    </row>
    <row r="29" spans="1:6" x14ac:dyDescent="0.2">
      <c r="A29" s="80" t="s">
        <v>102</v>
      </c>
      <c r="B29" s="79"/>
      <c r="C29" s="79"/>
      <c r="D29" s="79"/>
      <c r="E29" s="61">
        <v>3548.1158876999998</v>
      </c>
      <c r="F29" s="61">
        <f xml:space="preserve"> ROUND(SUM(F25:F28),2)</f>
        <v>100</v>
      </c>
    </row>
    <row r="30" spans="1:6" x14ac:dyDescent="0.2">
      <c r="A30" s="88" t="s">
        <v>686</v>
      </c>
    </row>
    <row r="31" spans="1:6" x14ac:dyDescent="0.2">
      <c r="A31" s="4"/>
    </row>
    <row r="32" spans="1:6" x14ac:dyDescent="0.2">
      <c r="A32" s="4" t="s">
        <v>103</v>
      </c>
    </row>
    <row r="33" spans="1:4" x14ac:dyDescent="0.2">
      <c r="A33" s="4" t="s">
        <v>685</v>
      </c>
    </row>
    <row r="34" spans="1:4" x14ac:dyDescent="0.2">
      <c r="A34" s="4" t="s">
        <v>608</v>
      </c>
      <c r="D34" s="95"/>
    </row>
    <row r="35" spans="1:4" x14ac:dyDescent="0.2">
      <c r="A35" s="2" t="s">
        <v>1348</v>
      </c>
      <c r="D35" s="95">
        <v>10.320499999999999</v>
      </c>
    </row>
    <row r="36" spans="1:4" x14ac:dyDescent="0.2">
      <c r="A36" s="2" t="s">
        <v>1347</v>
      </c>
      <c r="D36" s="95">
        <v>10.320499999999999</v>
      </c>
    </row>
    <row r="37" spans="1:4" x14ac:dyDescent="0.2">
      <c r="A37" s="2" t="s">
        <v>1346</v>
      </c>
      <c r="D37" s="95">
        <v>10.1737</v>
      </c>
    </row>
    <row r="38" spans="1:4" x14ac:dyDescent="0.2">
      <c r="A38" s="2" t="s">
        <v>1345</v>
      </c>
      <c r="D38" s="95">
        <v>10.3607</v>
      </c>
    </row>
    <row r="40" spans="1:4" x14ac:dyDescent="0.2">
      <c r="A40" s="4" t="s">
        <v>105</v>
      </c>
    </row>
    <row r="41" spans="1:4" x14ac:dyDescent="0.2">
      <c r="A41" s="2" t="s">
        <v>1348</v>
      </c>
      <c r="D41" s="10">
        <v>10.258699999999999</v>
      </c>
    </row>
    <row r="42" spans="1:4" x14ac:dyDescent="0.2">
      <c r="A42" s="2" t="s">
        <v>1347</v>
      </c>
      <c r="D42" s="10">
        <v>10.258699999999999</v>
      </c>
    </row>
    <row r="43" spans="1:4" x14ac:dyDescent="0.2">
      <c r="A43" s="2" t="s">
        <v>1346</v>
      </c>
      <c r="D43" s="10">
        <v>9.8925999999999998</v>
      </c>
    </row>
    <row r="44" spans="1:4" x14ac:dyDescent="0.2">
      <c r="A44" s="2" t="s">
        <v>1345</v>
      </c>
      <c r="D44" s="10">
        <v>10.346399999999999</v>
      </c>
    </row>
    <row r="47" spans="1:4" x14ac:dyDescent="0.2">
      <c r="A47" s="4" t="s">
        <v>106</v>
      </c>
      <c r="D47" s="20" t="s">
        <v>311</v>
      </c>
    </row>
    <row r="48" spans="1:4" x14ac:dyDescent="0.2">
      <c r="A48" s="21" t="s">
        <v>604</v>
      </c>
      <c r="B48" s="22"/>
      <c r="C48" s="103" t="s">
        <v>605</v>
      </c>
      <c r="D48" s="104"/>
    </row>
    <row r="49" spans="1:5" x14ac:dyDescent="0.2">
      <c r="A49" s="105"/>
      <c r="B49" s="106"/>
      <c r="C49" s="23" t="s">
        <v>606</v>
      </c>
      <c r="D49" s="23" t="s">
        <v>607</v>
      </c>
    </row>
    <row r="50" spans="1:5" x14ac:dyDescent="0.2">
      <c r="A50" s="24" t="s">
        <v>684</v>
      </c>
      <c r="B50" s="25"/>
      <c r="C50" s="26">
        <v>0.16207260749999999</v>
      </c>
      <c r="D50" s="26">
        <v>0.15008004229999999</v>
      </c>
    </row>
    <row r="51" spans="1:5" x14ac:dyDescent="0.2">
      <c r="A51" s="75"/>
      <c r="B51" s="75"/>
      <c r="C51" s="74"/>
      <c r="D51" s="74"/>
    </row>
    <row r="52" spans="1:5" x14ac:dyDescent="0.2">
      <c r="A52" s="4" t="s">
        <v>680</v>
      </c>
      <c r="D52" s="15">
        <v>1.9135647136296761</v>
      </c>
      <c r="E52" s="72" t="s">
        <v>679</v>
      </c>
    </row>
    <row r="54" spans="1:5" x14ac:dyDescent="0.2">
      <c r="A54" s="9"/>
    </row>
  </sheetData>
  <mergeCells count="3">
    <mergeCell ref="A1:F1"/>
    <mergeCell ref="C48:D48"/>
    <mergeCell ref="A49:B49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E0B0-BA84-4A3B-98FE-70325F2D4152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1355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1354</v>
      </c>
      <c r="B8" s="38" t="s">
        <v>1862</v>
      </c>
      <c r="C8" s="38" t="s">
        <v>693</v>
      </c>
      <c r="D8" s="38">
        <v>90</v>
      </c>
      <c r="E8" s="63">
        <v>1012.6179</v>
      </c>
      <c r="F8" s="63">
        <v>11.953750681211901</v>
      </c>
    </row>
    <row r="9" spans="1:6" x14ac:dyDescent="0.2">
      <c r="A9" s="38" t="s">
        <v>966</v>
      </c>
      <c r="B9" s="38" t="s">
        <v>1583</v>
      </c>
      <c r="C9" s="38" t="s">
        <v>693</v>
      </c>
      <c r="D9" s="38">
        <v>90</v>
      </c>
      <c r="E9" s="63">
        <v>929.83680000000004</v>
      </c>
      <c r="F9" s="63">
        <v>10.9765364422414</v>
      </c>
    </row>
    <row r="10" spans="1:6" x14ac:dyDescent="0.2">
      <c r="A10" s="38" t="s">
        <v>1343</v>
      </c>
      <c r="B10" s="38" t="s">
        <v>1857</v>
      </c>
      <c r="C10" s="38" t="s">
        <v>721</v>
      </c>
      <c r="D10" s="38">
        <v>90</v>
      </c>
      <c r="E10" s="63">
        <v>920.80349999999999</v>
      </c>
      <c r="F10" s="63">
        <v>10.8699001522562</v>
      </c>
    </row>
    <row r="11" spans="1:6" x14ac:dyDescent="0.2">
      <c r="A11" s="38" t="s">
        <v>1342</v>
      </c>
      <c r="B11" s="38" t="s">
        <v>1858</v>
      </c>
      <c r="C11" s="38" t="s">
        <v>693</v>
      </c>
      <c r="D11" s="38">
        <v>90</v>
      </c>
      <c r="E11" s="63">
        <v>917.94600000000003</v>
      </c>
      <c r="F11" s="63">
        <v>10.8361679393735</v>
      </c>
    </row>
    <row r="12" spans="1:6" x14ac:dyDescent="0.2">
      <c r="A12" s="38" t="s">
        <v>946</v>
      </c>
      <c r="B12" s="38" t="s">
        <v>1597</v>
      </c>
      <c r="C12" s="38" t="s">
        <v>693</v>
      </c>
      <c r="D12" s="38">
        <v>92</v>
      </c>
      <c r="E12" s="63">
        <v>916.28963999999996</v>
      </c>
      <c r="F12" s="63">
        <v>10.8166149426525</v>
      </c>
    </row>
    <row r="13" spans="1:6" x14ac:dyDescent="0.2">
      <c r="A13" s="38" t="s">
        <v>1353</v>
      </c>
      <c r="B13" s="38" t="s">
        <v>1863</v>
      </c>
      <c r="C13" s="38" t="s">
        <v>693</v>
      </c>
      <c r="D13" s="38">
        <v>60</v>
      </c>
      <c r="E13" s="63">
        <v>656.65560000000005</v>
      </c>
      <c r="F13" s="63">
        <v>7.7516873105063899</v>
      </c>
    </row>
    <row r="14" spans="1:6" x14ac:dyDescent="0.2">
      <c r="A14" s="38" t="s">
        <v>1341</v>
      </c>
      <c r="B14" s="38" t="s">
        <v>1859</v>
      </c>
      <c r="C14" s="38" t="s">
        <v>693</v>
      </c>
      <c r="D14" s="38">
        <v>75</v>
      </c>
      <c r="E14" s="63">
        <v>639.87525000000005</v>
      </c>
      <c r="F14" s="63">
        <v>7.5535986531327897</v>
      </c>
    </row>
    <row r="15" spans="1:6" x14ac:dyDescent="0.2">
      <c r="A15" s="38" t="s">
        <v>1340</v>
      </c>
      <c r="B15" s="38" t="s">
        <v>1860</v>
      </c>
      <c r="C15" s="38" t="s">
        <v>1139</v>
      </c>
      <c r="D15" s="38">
        <v>58</v>
      </c>
      <c r="E15" s="63">
        <v>638.31899999999996</v>
      </c>
      <c r="F15" s="63">
        <v>7.5352274348305697</v>
      </c>
    </row>
    <row r="16" spans="1:6" x14ac:dyDescent="0.2">
      <c r="A16" s="38" t="s">
        <v>1141</v>
      </c>
      <c r="B16" s="38" t="s">
        <v>1750</v>
      </c>
      <c r="C16" s="38" t="s">
        <v>693</v>
      </c>
      <c r="D16" s="38">
        <v>60</v>
      </c>
      <c r="E16" s="63">
        <v>606.18240000000003</v>
      </c>
      <c r="F16" s="63">
        <v>7.1558613342097601</v>
      </c>
    </row>
    <row r="17" spans="1:6" x14ac:dyDescent="0.2">
      <c r="A17" s="38" t="s">
        <v>938</v>
      </c>
      <c r="B17" s="38" t="s">
        <v>1602</v>
      </c>
      <c r="C17" s="38" t="s">
        <v>721</v>
      </c>
      <c r="D17" s="38">
        <v>470</v>
      </c>
      <c r="E17" s="63">
        <v>482.43948999999998</v>
      </c>
      <c r="F17" s="63">
        <v>5.6951011652381798</v>
      </c>
    </row>
    <row r="18" spans="1:6" x14ac:dyDescent="0.2">
      <c r="A18" s="38" t="s">
        <v>897</v>
      </c>
      <c r="B18" s="38" t="s">
        <v>1577</v>
      </c>
      <c r="C18" s="38" t="s">
        <v>693</v>
      </c>
      <c r="D18" s="38">
        <v>2</v>
      </c>
      <c r="E18" s="63">
        <v>203.09899999999999</v>
      </c>
      <c r="F18" s="63">
        <v>2.39754285363064</v>
      </c>
    </row>
    <row r="19" spans="1:6" x14ac:dyDescent="0.2">
      <c r="A19" s="38" t="s">
        <v>1352</v>
      </c>
      <c r="B19" s="38" t="s">
        <v>1864</v>
      </c>
      <c r="C19" s="38" t="s">
        <v>1139</v>
      </c>
      <c r="D19" s="38">
        <v>10</v>
      </c>
      <c r="E19" s="63">
        <v>109.792</v>
      </c>
      <c r="F19" s="63">
        <v>1.2960724818232201</v>
      </c>
    </row>
    <row r="20" spans="1:6" x14ac:dyDescent="0.2">
      <c r="A20" s="38" t="s">
        <v>949</v>
      </c>
      <c r="B20" s="38" t="s">
        <v>1595</v>
      </c>
      <c r="C20" s="38" t="s">
        <v>721</v>
      </c>
      <c r="D20" s="38">
        <v>6</v>
      </c>
      <c r="E20" s="63">
        <v>66.046319999999994</v>
      </c>
      <c r="F20" s="63">
        <v>0.77966352628325197</v>
      </c>
    </row>
    <row r="21" spans="1:6" x14ac:dyDescent="0.2">
      <c r="A21" s="38" t="s">
        <v>1349</v>
      </c>
      <c r="B21" s="38" t="s">
        <v>1861</v>
      </c>
      <c r="C21" s="38" t="s">
        <v>693</v>
      </c>
      <c r="D21" s="38">
        <v>4</v>
      </c>
      <c r="E21" s="63">
        <v>40.08952</v>
      </c>
      <c r="F21" s="63">
        <v>0.473248721960632</v>
      </c>
    </row>
    <row r="22" spans="1:6" x14ac:dyDescent="0.2">
      <c r="A22" s="38" t="s">
        <v>1142</v>
      </c>
      <c r="B22" s="38" t="s">
        <v>1749</v>
      </c>
      <c r="C22" s="38" t="s">
        <v>693</v>
      </c>
      <c r="D22" s="38">
        <v>1</v>
      </c>
      <c r="E22" s="63">
        <v>9.9803200000000007</v>
      </c>
      <c r="F22" s="63">
        <v>0.11781567064804301</v>
      </c>
    </row>
    <row r="23" spans="1:6" x14ac:dyDescent="0.2">
      <c r="A23" s="37" t="s">
        <v>43</v>
      </c>
      <c r="B23" s="38"/>
      <c r="C23" s="38"/>
      <c r="D23" s="38"/>
      <c r="E23" s="64">
        <f>SUM(E8:E22)</f>
        <v>8149.9727400000002</v>
      </c>
      <c r="F23" s="64">
        <f>SUM(F8:F22)</f>
        <v>96.208789309998991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43</v>
      </c>
      <c r="B25" s="38"/>
      <c r="C25" s="38"/>
      <c r="D25" s="38"/>
      <c r="E25" s="64">
        <v>8149.9727400000002</v>
      </c>
      <c r="F25" s="64">
        <v>96.208789309998991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101</v>
      </c>
      <c r="B27" s="38"/>
      <c r="C27" s="38"/>
      <c r="D27" s="38"/>
      <c r="E27" s="64">
        <v>321.16117050000003</v>
      </c>
      <c r="F27" s="64">
        <v>3.79</v>
      </c>
    </row>
    <row r="28" spans="1:6" x14ac:dyDescent="0.2">
      <c r="A28" s="38"/>
      <c r="B28" s="38"/>
      <c r="C28" s="38"/>
      <c r="D28" s="38"/>
      <c r="E28" s="63"/>
      <c r="F28" s="63"/>
    </row>
    <row r="29" spans="1:6" x14ac:dyDescent="0.2">
      <c r="A29" s="80" t="s">
        <v>102</v>
      </c>
      <c r="B29" s="79"/>
      <c r="C29" s="79"/>
      <c r="D29" s="79"/>
      <c r="E29" s="61">
        <v>8471.1311705000007</v>
      </c>
      <c r="F29" s="61">
        <f xml:space="preserve"> ROUND(SUM(F25:F28),2)</f>
        <v>100</v>
      </c>
    </row>
    <row r="30" spans="1:6" x14ac:dyDescent="0.2">
      <c r="A30" s="88" t="s">
        <v>686</v>
      </c>
    </row>
    <row r="32" spans="1:6" x14ac:dyDescent="0.2">
      <c r="A32" s="4" t="s">
        <v>103</v>
      </c>
    </row>
    <row r="33" spans="1:4" x14ac:dyDescent="0.2">
      <c r="A33" s="4" t="s">
        <v>685</v>
      </c>
    </row>
    <row r="34" spans="1:4" x14ac:dyDescent="0.2">
      <c r="A34" s="4" t="s">
        <v>608</v>
      </c>
      <c r="D34" s="95"/>
    </row>
    <row r="35" spans="1:4" x14ac:dyDescent="0.2">
      <c r="A35" s="2" t="s">
        <v>1348</v>
      </c>
      <c r="D35" s="95">
        <v>10.329700000000001</v>
      </c>
    </row>
    <row r="36" spans="1:4" x14ac:dyDescent="0.2">
      <c r="A36" s="2" t="s">
        <v>1347</v>
      </c>
      <c r="D36" s="95">
        <v>10.329700000000001</v>
      </c>
    </row>
    <row r="37" spans="1:4" x14ac:dyDescent="0.2">
      <c r="A37" s="2" t="s">
        <v>1346</v>
      </c>
      <c r="D37" s="95">
        <v>10.2736</v>
      </c>
    </row>
    <row r="38" spans="1:4" x14ac:dyDescent="0.2">
      <c r="A38" s="2" t="s">
        <v>1345</v>
      </c>
      <c r="D38" s="95">
        <v>10.369300000000001</v>
      </c>
    </row>
    <row r="39" spans="1:4" x14ac:dyDescent="0.2">
      <c r="A39" s="2" t="s">
        <v>1351</v>
      </c>
      <c r="D39" s="95">
        <v>10.3132</v>
      </c>
    </row>
    <row r="41" spans="1:4" x14ac:dyDescent="0.2">
      <c r="A41" s="4" t="s">
        <v>105</v>
      </c>
    </row>
    <row r="42" spans="1:4" x14ac:dyDescent="0.2">
      <c r="A42" s="2" t="s">
        <v>1348</v>
      </c>
      <c r="D42" s="10">
        <v>10.881399999999999</v>
      </c>
    </row>
    <row r="43" spans="1:4" x14ac:dyDescent="0.2">
      <c r="A43" s="2" t="s">
        <v>1347</v>
      </c>
      <c r="D43" s="10">
        <v>10.881399999999999</v>
      </c>
    </row>
    <row r="44" spans="1:4" x14ac:dyDescent="0.2">
      <c r="A44" s="2" t="s">
        <v>1346</v>
      </c>
      <c r="D44" s="10">
        <v>10.367599999999999</v>
      </c>
    </row>
    <row r="45" spans="1:4" x14ac:dyDescent="0.2">
      <c r="A45" s="2" t="s">
        <v>1345</v>
      </c>
      <c r="D45" s="10">
        <v>10.9719</v>
      </c>
    </row>
    <row r="46" spans="1:4" x14ac:dyDescent="0.2">
      <c r="A46" s="2" t="s">
        <v>1351</v>
      </c>
      <c r="D46" s="10">
        <v>10.457100000000001</v>
      </c>
    </row>
    <row r="48" spans="1:4" x14ac:dyDescent="0.2">
      <c r="A48" s="4" t="s">
        <v>106</v>
      </c>
      <c r="D48" s="20" t="s">
        <v>311</v>
      </c>
    </row>
    <row r="49" spans="1:5" x14ac:dyDescent="0.2">
      <c r="A49" s="21" t="s">
        <v>604</v>
      </c>
      <c r="B49" s="22"/>
      <c r="C49" s="103" t="s">
        <v>605</v>
      </c>
      <c r="D49" s="104"/>
    </row>
    <row r="50" spans="1:5" x14ac:dyDescent="0.2">
      <c r="A50" s="105"/>
      <c r="B50" s="106"/>
      <c r="C50" s="23" t="s">
        <v>606</v>
      </c>
      <c r="D50" s="23" t="s">
        <v>607</v>
      </c>
    </row>
    <row r="51" spans="1:5" x14ac:dyDescent="0.2">
      <c r="A51" s="24" t="s">
        <v>1346</v>
      </c>
      <c r="B51" s="25"/>
      <c r="C51" s="26">
        <v>0.31694198800000001</v>
      </c>
      <c r="D51" s="26">
        <v>0.29348986050000003</v>
      </c>
    </row>
    <row r="52" spans="1:5" x14ac:dyDescent="0.2">
      <c r="A52" s="24" t="s">
        <v>1351</v>
      </c>
      <c r="B52" s="25"/>
      <c r="C52" s="26">
        <v>0.31694198800000001</v>
      </c>
      <c r="D52" s="26">
        <v>0.29348986050000003</v>
      </c>
    </row>
    <row r="53" spans="1:5" x14ac:dyDescent="0.2">
      <c r="A53" s="75"/>
      <c r="B53" s="75"/>
      <c r="C53" s="74"/>
      <c r="D53" s="74"/>
    </row>
    <row r="54" spans="1:5" x14ac:dyDescent="0.2">
      <c r="A54" s="4" t="s">
        <v>680</v>
      </c>
      <c r="D54" s="15">
        <v>1.8861703902561366</v>
      </c>
      <c r="E54" s="72" t="s">
        <v>679</v>
      </c>
    </row>
    <row r="56" spans="1:5" x14ac:dyDescent="0.2">
      <c r="A56" s="9"/>
    </row>
  </sheetData>
  <mergeCells count="3">
    <mergeCell ref="A1:F1"/>
    <mergeCell ref="C49:D49"/>
    <mergeCell ref="A50:B5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4E71-130F-43C3-A992-C64BC5DDFE06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28515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1365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1141</v>
      </c>
      <c r="B8" s="38" t="s">
        <v>1750</v>
      </c>
      <c r="C8" s="38" t="s">
        <v>693</v>
      </c>
      <c r="D8" s="38">
        <v>115</v>
      </c>
      <c r="E8" s="63">
        <v>1161.8496</v>
      </c>
      <c r="F8" s="63">
        <v>11.269353927759999</v>
      </c>
    </row>
    <row r="9" spans="1:6" x14ac:dyDescent="0.2">
      <c r="A9" s="38" t="s">
        <v>955</v>
      </c>
      <c r="B9" s="38" t="s">
        <v>1589</v>
      </c>
      <c r="C9" s="38" t="s">
        <v>693</v>
      </c>
      <c r="D9" s="38">
        <v>112</v>
      </c>
      <c r="E9" s="63">
        <v>1142.7147199999999</v>
      </c>
      <c r="F9" s="63">
        <v>11.0837552624205</v>
      </c>
    </row>
    <row r="10" spans="1:6" x14ac:dyDescent="0.2">
      <c r="A10" s="38" t="s">
        <v>1352</v>
      </c>
      <c r="B10" s="38" t="s">
        <v>1864</v>
      </c>
      <c r="C10" s="38" t="s">
        <v>1139</v>
      </c>
      <c r="D10" s="38">
        <v>103</v>
      </c>
      <c r="E10" s="63">
        <v>1130.8576</v>
      </c>
      <c r="F10" s="63">
        <v>10.9687471909421</v>
      </c>
    </row>
    <row r="11" spans="1:6" x14ac:dyDescent="0.2">
      <c r="A11" s="38" t="s">
        <v>1364</v>
      </c>
      <c r="B11" s="38" t="s">
        <v>1934</v>
      </c>
      <c r="C11" s="38" t="s">
        <v>693</v>
      </c>
      <c r="D11" s="38">
        <v>100</v>
      </c>
      <c r="E11" s="63">
        <v>1029.9069999999999</v>
      </c>
      <c r="F11" s="63">
        <v>9.9895773908064101</v>
      </c>
    </row>
    <row r="12" spans="1:6" x14ac:dyDescent="0.2">
      <c r="A12" s="38" t="s">
        <v>1340</v>
      </c>
      <c r="B12" s="38" t="s">
        <v>1860</v>
      </c>
      <c r="C12" s="38" t="s">
        <v>1139</v>
      </c>
      <c r="D12" s="38">
        <v>85</v>
      </c>
      <c r="E12" s="63">
        <v>935.46749999999997</v>
      </c>
      <c r="F12" s="63">
        <v>9.0735619699974794</v>
      </c>
    </row>
    <row r="13" spans="1:6" x14ac:dyDescent="0.2">
      <c r="A13" s="38" t="s">
        <v>1363</v>
      </c>
      <c r="B13" s="38" t="s">
        <v>1865</v>
      </c>
      <c r="C13" s="38" t="s">
        <v>693</v>
      </c>
      <c r="D13" s="38">
        <v>77</v>
      </c>
      <c r="E13" s="63">
        <v>795.83735000000001</v>
      </c>
      <c r="F13" s="63">
        <v>7.7192200832883904</v>
      </c>
    </row>
    <row r="14" spans="1:6" x14ac:dyDescent="0.2">
      <c r="A14" s="38" t="s">
        <v>957</v>
      </c>
      <c r="B14" s="38" t="s">
        <v>1588</v>
      </c>
      <c r="C14" s="38" t="s">
        <v>721</v>
      </c>
      <c r="D14" s="38">
        <v>75</v>
      </c>
      <c r="E14" s="63">
        <v>776.22074999999995</v>
      </c>
      <c r="F14" s="63">
        <v>7.5289489774074703</v>
      </c>
    </row>
    <row r="15" spans="1:6" x14ac:dyDescent="0.2">
      <c r="A15" s="38" t="s">
        <v>1362</v>
      </c>
      <c r="B15" s="38" t="s">
        <v>1866</v>
      </c>
      <c r="C15" s="38" t="s">
        <v>693</v>
      </c>
      <c r="D15" s="38">
        <v>70</v>
      </c>
      <c r="E15" s="63">
        <v>762.8075</v>
      </c>
      <c r="F15" s="63">
        <v>7.3988472313884301</v>
      </c>
    </row>
    <row r="16" spans="1:6" x14ac:dyDescent="0.2">
      <c r="A16" s="38" t="s">
        <v>1361</v>
      </c>
      <c r="B16" s="38" t="s">
        <v>1867</v>
      </c>
      <c r="C16" s="38" t="s">
        <v>721</v>
      </c>
      <c r="D16" s="38">
        <v>21</v>
      </c>
      <c r="E16" s="63">
        <v>524.17049999999995</v>
      </c>
      <c r="F16" s="63">
        <v>5.0841889371833497</v>
      </c>
    </row>
    <row r="17" spans="1:6" x14ac:dyDescent="0.2">
      <c r="A17" s="38" t="s">
        <v>1360</v>
      </c>
      <c r="B17" s="38" t="s">
        <v>1868</v>
      </c>
      <c r="C17" s="38" t="s">
        <v>693</v>
      </c>
      <c r="D17" s="38">
        <v>33</v>
      </c>
      <c r="E17" s="63">
        <v>331.81533000000002</v>
      </c>
      <c r="F17" s="63">
        <v>3.2184410034022202</v>
      </c>
    </row>
    <row r="18" spans="1:6" x14ac:dyDescent="0.2">
      <c r="A18" s="38" t="s">
        <v>930</v>
      </c>
      <c r="B18" s="38" t="s">
        <v>1609</v>
      </c>
      <c r="C18" s="38" t="s">
        <v>693</v>
      </c>
      <c r="D18" s="38">
        <v>32</v>
      </c>
      <c r="E18" s="63">
        <v>328.25664</v>
      </c>
      <c r="F18" s="63">
        <v>3.18392350894409</v>
      </c>
    </row>
    <row r="19" spans="1:6" x14ac:dyDescent="0.2">
      <c r="A19" s="38" t="s">
        <v>938</v>
      </c>
      <c r="B19" s="38" t="s">
        <v>1602</v>
      </c>
      <c r="C19" s="38" t="s">
        <v>721</v>
      </c>
      <c r="D19" s="38">
        <v>310</v>
      </c>
      <c r="E19" s="63">
        <v>318.20477</v>
      </c>
      <c r="F19" s="63">
        <v>3.0864254501025399</v>
      </c>
    </row>
    <row r="20" spans="1:6" x14ac:dyDescent="0.2">
      <c r="A20" s="38" t="s">
        <v>1359</v>
      </c>
      <c r="B20" s="38" t="s">
        <v>1869</v>
      </c>
      <c r="C20" s="38" t="s">
        <v>933</v>
      </c>
      <c r="D20" s="38">
        <v>32</v>
      </c>
      <c r="E20" s="63">
        <v>277.43776000000003</v>
      </c>
      <c r="F20" s="63">
        <v>2.6910060565196399</v>
      </c>
    </row>
    <row r="21" spans="1:6" x14ac:dyDescent="0.2">
      <c r="A21" s="38" t="s">
        <v>897</v>
      </c>
      <c r="B21" s="38" t="s">
        <v>1577</v>
      </c>
      <c r="C21" s="38" t="s">
        <v>693</v>
      </c>
      <c r="D21" s="38">
        <v>2</v>
      </c>
      <c r="E21" s="63">
        <v>203.09899999999999</v>
      </c>
      <c r="F21" s="63">
        <v>1.96995765491</v>
      </c>
    </row>
    <row r="22" spans="1:6" x14ac:dyDescent="0.2">
      <c r="A22" s="38" t="s">
        <v>1358</v>
      </c>
      <c r="B22" s="38" t="s">
        <v>1870</v>
      </c>
      <c r="C22" s="38" t="s">
        <v>933</v>
      </c>
      <c r="D22" s="38">
        <v>26</v>
      </c>
      <c r="E22" s="63">
        <v>129.39953</v>
      </c>
      <c r="F22" s="63">
        <v>1.2551100432067901</v>
      </c>
    </row>
    <row r="23" spans="1:6" x14ac:dyDescent="0.2">
      <c r="A23" s="38" t="s">
        <v>1142</v>
      </c>
      <c r="B23" s="38" t="s">
        <v>1749</v>
      </c>
      <c r="C23" s="38" t="s">
        <v>693</v>
      </c>
      <c r="D23" s="38">
        <v>4</v>
      </c>
      <c r="E23" s="63">
        <v>39.921280000000003</v>
      </c>
      <c r="F23" s="63">
        <v>0.38721624001007099</v>
      </c>
    </row>
    <row r="24" spans="1:6" x14ac:dyDescent="0.2">
      <c r="A24" s="38" t="s">
        <v>1357</v>
      </c>
      <c r="B24" s="38" t="s">
        <v>1871</v>
      </c>
      <c r="C24" s="38" t="s">
        <v>693</v>
      </c>
      <c r="D24" s="38">
        <v>2</v>
      </c>
      <c r="E24" s="63">
        <v>22.5289</v>
      </c>
      <c r="F24" s="63">
        <v>0.21851894402090499</v>
      </c>
    </row>
    <row r="25" spans="1:6" x14ac:dyDescent="0.2">
      <c r="A25" s="38" t="s">
        <v>1140</v>
      </c>
      <c r="B25" s="38" t="s">
        <v>1751</v>
      </c>
      <c r="C25" s="38" t="s">
        <v>1139</v>
      </c>
      <c r="D25" s="38">
        <v>2</v>
      </c>
      <c r="E25" s="63">
        <v>22.276879999999998</v>
      </c>
      <c r="F25" s="63">
        <v>0.21607447739039301</v>
      </c>
    </row>
    <row r="26" spans="1:6" x14ac:dyDescent="0.2">
      <c r="A26" s="38" t="s">
        <v>1356</v>
      </c>
      <c r="B26" s="38" t="s">
        <v>1872</v>
      </c>
      <c r="C26" s="38" t="s">
        <v>693</v>
      </c>
      <c r="D26" s="38">
        <v>1</v>
      </c>
      <c r="E26" s="63">
        <v>10.021649999999999</v>
      </c>
      <c r="F26" s="63">
        <v>9.7204940114568705E-2</v>
      </c>
    </row>
    <row r="27" spans="1:6" x14ac:dyDescent="0.2">
      <c r="A27" s="37" t="s">
        <v>43</v>
      </c>
      <c r="B27" s="38"/>
      <c r="C27" s="38"/>
      <c r="D27" s="38"/>
      <c r="E27" s="64">
        <f>SUM(E8:E26)</f>
        <v>9942.7942599999988</v>
      </c>
      <c r="F27" s="64">
        <f>SUM(F8:F26)</f>
        <v>96.440079289815344</v>
      </c>
    </row>
    <row r="28" spans="1:6" x14ac:dyDescent="0.2">
      <c r="A28" s="38"/>
      <c r="B28" s="38"/>
      <c r="C28" s="38"/>
      <c r="D28" s="38"/>
      <c r="E28" s="63"/>
      <c r="F28" s="63"/>
    </row>
    <row r="29" spans="1:6" x14ac:dyDescent="0.2">
      <c r="A29" s="37" t="s">
        <v>717</v>
      </c>
      <c r="B29" s="38"/>
      <c r="C29" s="38"/>
      <c r="D29" s="38"/>
      <c r="E29" s="63"/>
      <c r="F29" s="63"/>
    </row>
    <row r="30" spans="1:6" x14ac:dyDescent="0.2">
      <c r="A30" s="38" t="s">
        <v>925</v>
      </c>
      <c r="B30" s="38" t="s">
        <v>1581</v>
      </c>
      <c r="C30" s="38" t="s">
        <v>693</v>
      </c>
      <c r="D30" s="38">
        <v>29</v>
      </c>
      <c r="E30" s="63">
        <v>288.64657</v>
      </c>
      <c r="F30" s="63">
        <v>2.7997258486502399</v>
      </c>
    </row>
    <row r="31" spans="1:6" x14ac:dyDescent="0.2">
      <c r="A31" s="37" t="s">
        <v>43</v>
      </c>
      <c r="B31" s="38"/>
      <c r="C31" s="38"/>
      <c r="D31" s="38"/>
      <c r="E31" s="64">
        <f>SUM(E30:E30)</f>
        <v>288.64657</v>
      </c>
      <c r="F31" s="64">
        <f>SUM(F30:F30)</f>
        <v>2.7997258486502399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43</v>
      </c>
      <c r="B33" s="38"/>
      <c r="C33" s="38"/>
      <c r="D33" s="38"/>
      <c r="E33" s="64">
        <v>10231.44083</v>
      </c>
      <c r="F33" s="64">
        <v>99.239805138465584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37" t="s">
        <v>101</v>
      </c>
      <c r="B35" s="38"/>
      <c r="C35" s="38"/>
      <c r="D35" s="38"/>
      <c r="E35" s="64">
        <v>78.375517799999997</v>
      </c>
      <c r="F35" s="64">
        <v>0.76</v>
      </c>
    </row>
    <row r="36" spans="1:6" x14ac:dyDescent="0.2">
      <c r="A36" s="38"/>
      <c r="B36" s="38"/>
      <c r="C36" s="38"/>
      <c r="D36" s="38"/>
      <c r="E36" s="63"/>
      <c r="F36" s="63"/>
    </row>
    <row r="37" spans="1:6" x14ac:dyDescent="0.2">
      <c r="A37" s="80" t="s">
        <v>102</v>
      </c>
      <c r="B37" s="79"/>
      <c r="C37" s="79"/>
      <c r="D37" s="79"/>
      <c r="E37" s="61">
        <v>10309.8155178</v>
      </c>
      <c r="F37" s="61">
        <f xml:space="preserve"> ROUND(SUM(F33:F36),2)</f>
        <v>100</v>
      </c>
    </row>
    <row r="38" spans="1:6" x14ac:dyDescent="0.2">
      <c r="A38" s="88" t="s">
        <v>686</v>
      </c>
    </row>
    <row r="39" spans="1:6" x14ac:dyDescent="0.2">
      <c r="A39" s="4"/>
    </row>
    <row r="40" spans="1:6" x14ac:dyDescent="0.2">
      <c r="A40" s="4" t="s">
        <v>103</v>
      </c>
    </row>
    <row r="41" spans="1:6" x14ac:dyDescent="0.2">
      <c r="A41" s="4" t="s">
        <v>685</v>
      </c>
    </row>
    <row r="42" spans="1:6" x14ac:dyDescent="0.2">
      <c r="A42" s="4" t="s">
        <v>608</v>
      </c>
      <c r="D42" s="95"/>
    </row>
    <row r="43" spans="1:6" x14ac:dyDescent="0.2">
      <c r="A43" s="2" t="s">
        <v>600</v>
      </c>
      <c r="D43" s="95">
        <v>10.352499999999999</v>
      </c>
    </row>
    <row r="44" spans="1:6" x14ac:dyDescent="0.2">
      <c r="A44" s="2" t="s">
        <v>601</v>
      </c>
      <c r="D44" s="95">
        <v>10.352499999999999</v>
      </c>
    </row>
    <row r="45" spans="1:6" x14ac:dyDescent="0.2">
      <c r="A45" s="2" t="s">
        <v>684</v>
      </c>
      <c r="D45" s="95">
        <v>10.0869</v>
      </c>
    </row>
    <row r="46" spans="1:6" x14ac:dyDescent="0.2">
      <c r="A46" s="2" t="s">
        <v>602</v>
      </c>
      <c r="D46" s="95">
        <v>10.406499999999999</v>
      </c>
    </row>
    <row r="47" spans="1:6" x14ac:dyDescent="0.2">
      <c r="A47" s="2" t="s">
        <v>603</v>
      </c>
      <c r="D47" s="95">
        <v>10.406499999999999</v>
      </c>
    </row>
    <row r="49" spans="1:5" x14ac:dyDescent="0.2">
      <c r="A49" s="4" t="s">
        <v>105</v>
      </c>
    </row>
    <row r="50" spans="1:5" x14ac:dyDescent="0.2">
      <c r="A50" s="2" t="s">
        <v>600</v>
      </c>
      <c r="D50" s="10">
        <v>10.8779</v>
      </c>
    </row>
    <row r="51" spans="1:5" x14ac:dyDescent="0.2">
      <c r="A51" s="2" t="s">
        <v>601</v>
      </c>
      <c r="D51" s="10">
        <v>10.1761</v>
      </c>
    </row>
    <row r="52" spans="1:5" x14ac:dyDescent="0.2">
      <c r="A52" s="2" t="s">
        <v>684</v>
      </c>
      <c r="D52" s="10">
        <v>10.167299999999999</v>
      </c>
    </row>
    <row r="53" spans="1:5" x14ac:dyDescent="0.2">
      <c r="A53" s="2" t="s">
        <v>602</v>
      </c>
      <c r="D53" s="10">
        <v>10.9857</v>
      </c>
    </row>
    <row r="54" spans="1:5" x14ac:dyDescent="0.2">
      <c r="A54" s="2" t="s">
        <v>603</v>
      </c>
      <c r="D54" s="10">
        <v>10.2837</v>
      </c>
    </row>
    <row r="56" spans="1:5" x14ac:dyDescent="0.2">
      <c r="A56" s="4" t="s">
        <v>106</v>
      </c>
      <c r="D56" s="20" t="s">
        <v>311</v>
      </c>
    </row>
    <row r="57" spans="1:5" x14ac:dyDescent="0.2">
      <c r="A57" s="21" t="s">
        <v>604</v>
      </c>
      <c r="B57" s="22"/>
      <c r="C57" s="103" t="s">
        <v>605</v>
      </c>
      <c r="D57" s="104"/>
    </row>
    <row r="58" spans="1:5" x14ac:dyDescent="0.2">
      <c r="A58" s="105"/>
      <c r="B58" s="106"/>
      <c r="C58" s="23" t="s">
        <v>606</v>
      </c>
      <c r="D58" s="23" t="s">
        <v>607</v>
      </c>
    </row>
    <row r="59" spans="1:5" x14ac:dyDescent="0.2">
      <c r="A59" s="24" t="s">
        <v>601</v>
      </c>
      <c r="B59" s="25"/>
      <c r="C59" s="26">
        <v>0.50422589000000007</v>
      </c>
      <c r="D59" s="26">
        <v>0.46691568700000002</v>
      </c>
    </row>
    <row r="60" spans="1:5" x14ac:dyDescent="0.2">
      <c r="A60" s="24" t="s">
        <v>684</v>
      </c>
      <c r="B60" s="25"/>
      <c r="C60" s="26">
        <v>0.30613714749999998</v>
      </c>
      <c r="D60" s="26">
        <v>0.28348452430000004</v>
      </c>
    </row>
    <row r="61" spans="1:5" x14ac:dyDescent="0.2">
      <c r="A61" s="89" t="s">
        <v>603</v>
      </c>
      <c r="B61" s="25"/>
      <c r="C61" s="26">
        <v>0.50422589000000007</v>
      </c>
      <c r="D61" s="26">
        <v>0.46691568700000002</v>
      </c>
    </row>
    <row r="63" spans="1:5" x14ac:dyDescent="0.2">
      <c r="A63" s="4" t="s">
        <v>680</v>
      </c>
      <c r="D63" s="15">
        <v>1.9026404631434051</v>
      </c>
      <c r="E63" s="72" t="s">
        <v>1312</v>
      </c>
    </row>
    <row r="65" spans="1:1" x14ac:dyDescent="0.2">
      <c r="A65" s="9"/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C38B-D1B0-48E7-BFF5-518CDB6059AB}">
  <dimension ref="A1:F6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1371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1370</v>
      </c>
      <c r="B8" s="38" t="s">
        <v>1873</v>
      </c>
      <c r="C8" s="38" t="s">
        <v>693</v>
      </c>
      <c r="D8" s="38">
        <v>119</v>
      </c>
      <c r="E8" s="63">
        <v>1209.2910899999999</v>
      </c>
      <c r="F8" s="63">
        <v>10.9420750733136</v>
      </c>
    </row>
    <row r="9" spans="1:6" x14ac:dyDescent="0.2">
      <c r="A9" s="38" t="s">
        <v>937</v>
      </c>
      <c r="B9" s="38" t="s">
        <v>1603</v>
      </c>
      <c r="C9" s="38" t="s">
        <v>693</v>
      </c>
      <c r="D9" s="38">
        <v>114</v>
      </c>
      <c r="E9" s="63">
        <v>1160.6054999999999</v>
      </c>
      <c r="F9" s="63">
        <v>10.501551377097</v>
      </c>
    </row>
    <row r="10" spans="1:6" x14ac:dyDescent="0.2">
      <c r="A10" s="38" t="s">
        <v>1369</v>
      </c>
      <c r="B10" s="38" t="s">
        <v>1874</v>
      </c>
      <c r="C10" s="38" t="s">
        <v>693</v>
      </c>
      <c r="D10" s="38">
        <v>99</v>
      </c>
      <c r="E10" s="63">
        <v>1103.6559600000001</v>
      </c>
      <c r="F10" s="63">
        <v>9.9862526643026701</v>
      </c>
    </row>
    <row r="11" spans="1:6" x14ac:dyDescent="0.2">
      <c r="A11" s="38" t="s">
        <v>1368</v>
      </c>
      <c r="B11" s="38" t="s">
        <v>1875</v>
      </c>
      <c r="C11" s="38" t="s">
        <v>721</v>
      </c>
      <c r="D11" s="38">
        <v>100</v>
      </c>
      <c r="E11" s="63">
        <v>1023.752</v>
      </c>
      <c r="F11" s="63">
        <v>9.26325459030293</v>
      </c>
    </row>
    <row r="12" spans="1:6" x14ac:dyDescent="0.2">
      <c r="A12" s="38" t="s">
        <v>1367</v>
      </c>
      <c r="B12" s="38" t="s">
        <v>1876</v>
      </c>
      <c r="C12" s="38" t="s">
        <v>721</v>
      </c>
      <c r="D12" s="38">
        <v>100</v>
      </c>
      <c r="E12" s="63">
        <v>1004.172</v>
      </c>
      <c r="F12" s="63">
        <v>9.0860881233479098</v>
      </c>
    </row>
    <row r="13" spans="1:6" x14ac:dyDescent="0.2">
      <c r="A13" s="38" t="s">
        <v>1366</v>
      </c>
      <c r="B13" s="38" t="s">
        <v>1935</v>
      </c>
      <c r="C13" s="38" t="s">
        <v>693</v>
      </c>
      <c r="D13" s="38">
        <v>100</v>
      </c>
      <c r="E13" s="63">
        <v>1000.779</v>
      </c>
      <c r="F13" s="63">
        <v>9.0553871109690398</v>
      </c>
    </row>
    <row r="14" spans="1:6" x14ac:dyDescent="0.2">
      <c r="A14" s="38" t="s">
        <v>1359</v>
      </c>
      <c r="B14" s="38" t="s">
        <v>1869</v>
      </c>
      <c r="C14" s="38" t="s">
        <v>933</v>
      </c>
      <c r="D14" s="38">
        <v>96</v>
      </c>
      <c r="E14" s="63">
        <v>832.31327999999996</v>
      </c>
      <c r="F14" s="63">
        <v>7.5310522582911501</v>
      </c>
    </row>
    <row r="15" spans="1:6" x14ac:dyDescent="0.2">
      <c r="A15" s="38" t="s">
        <v>949</v>
      </c>
      <c r="B15" s="38" t="s">
        <v>1595</v>
      </c>
      <c r="C15" s="38" t="s">
        <v>721</v>
      </c>
      <c r="D15" s="38">
        <v>74</v>
      </c>
      <c r="E15" s="63">
        <v>814.57128</v>
      </c>
      <c r="F15" s="63">
        <v>7.3705166374170004</v>
      </c>
    </row>
    <row r="16" spans="1:6" x14ac:dyDescent="0.2">
      <c r="A16" s="38" t="s">
        <v>930</v>
      </c>
      <c r="B16" s="38" t="s">
        <v>1609</v>
      </c>
      <c r="C16" s="38" t="s">
        <v>693</v>
      </c>
      <c r="D16" s="38">
        <v>67</v>
      </c>
      <c r="E16" s="63">
        <v>687.28733999999997</v>
      </c>
      <c r="F16" s="63">
        <v>6.2188084683713303</v>
      </c>
    </row>
    <row r="17" spans="1:6" x14ac:dyDescent="0.2">
      <c r="A17" s="38" t="s">
        <v>897</v>
      </c>
      <c r="B17" s="38" t="s">
        <v>1577</v>
      </c>
      <c r="C17" s="38" t="s">
        <v>693</v>
      </c>
      <c r="D17" s="38">
        <v>5</v>
      </c>
      <c r="E17" s="63">
        <v>507.7475</v>
      </c>
      <c r="F17" s="63">
        <v>4.5942712298387098</v>
      </c>
    </row>
    <row r="18" spans="1:6" x14ac:dyDescent="0.2">
      <c r="A18" s="38" t="s">
        <v>935</v>
      </c>
      <c r="B18" s="38" t="s">
        <v>1605</v>
      </c>
      <c r="C18" s="38" t="s">
        <v>693</v>
      </c>
      <c r="D18" s="38">
        <v>46</v>
      </c>
      <c r="E18" s="63">
        <v>481.35273999999998</v>
      </c>
      <c r="F18" s="63">
        <v>4.3554425079119703</v>
      </c>
    </row>
    <row r="19" spans="1:6" x14ac:dyDescent="0.2">
      <c r="A19" s="38" t="s">
        <v>1363</v>
      </c>
      <c r="B19" s="38" t="s">
        <v>1865</v>
      </c>
      <c r="C19" s="38" t="s">
        <v>693</v>
      </c>
      <c r="D19" s="38">
        <v>23</v>
      </c>
      <c r="E19" s="63">
        <v>237.71764999999999</v>
      </c>
      <c r="F19" s="63">
        <v>2.1509497540014801</v>
      </c>
    </row>
    <row r="20" spans="1:6" x14ac:dyDescent="0.2">
      <c r="A20" s="38" t="s">
        <v>928</v>
      </c>
      <c r="B20" s="38" t="s">
        <v>1923</v>
      </c>
      <c r="C20" s="38" t="s">
        <v>693</v>
      </c>
      <c r="D20" s="38">
        <v>20</v>
      </c>
      <c r="E20" s="63">
        <v>198.339</v>
      </c>
      <c r="F20" s="63">
        <v>1.7946384008881999</v>
      </c>
    </row>
    <row r="21" spans="1:6" x14ac:dyDescent="0.2">
      <c r="A21" s="38" t="s">
        <v>1360</v>
      </c>
      <c r="B21" s="38" t="s">
        <v>1868</v>
      </c>
      <c r="C21" s="38" t="s">
        <v>693</v>
      </c>
      <c r="D21" s="38">
        <v>17</v>
      </c>
      <c r="E21" s="63">
        <v>170.93517</v>
      </c>
      <c r="F21" s="63">
        <v>1.54667927207635</v>
      </c>
    </row>
    <row r="22" spans="1:6" x14ac:dyDescent="0.2">
      <c r="A22" s="38" t="s">
        <v>1140</v>
      </c>
      <c r="B22" s="38" t="s">
        <v>1751</v>
      </c>
      <c r="C22" s="38" t="s">
        <v>1139</v>
      </c>
      <c r="D22" s="38">
        <v>2</v>
      </c>
      <c r="E22" s="63">
        <v>22.276879999999998</v>
      </c>
      <c r="F22" s="63">
        <v>0.20156874996837901</v>
      </c>
    </row>
    <row r="23" spans="1:6" x14ac:dyDescent="0.2">
      <c r="A23" s="38" t="s">
        <v>1358</v>
      </c>
      <c r="B23" s="38" t="s">
        <v>1870</v>
      </c>
      <c r="C23" s="38" t="s">
        <v>933</v>
      </c>
      <c r="D23" s="38">
        <v>4</v>
      </c>
      <c r="E23" s="63">
        <v>19.907620000000001</v>
      </c>
      <c r="F23" s="63">
        <v>0.180130883599745</v>
      </c>
    </row>
    <row r="24" spans="1:6" x14ac:dyDescent="0.2">
      <c r="A24" s="38" t="s">
        <v>1357</v>
      </c>
      <c r="B24" s="38" t="s">
        <v>1871</v>
      </c>
      <c r="C24" s="38" t="s">
        <v>693</v>
      </c>
      <c r="D24" s="38">
        <v>1</v>
      </c>
      <c r="E24" s="63">
        <v>11.26445</v>
      </c>
      <c r="F24" s="63">
        <v>0.101924556112943</v>
      </c>
    </row>
    <row r="25" spans="1:6" x14ac:dyDescent="0.2">
      <c r="A25" s="37" t="s">
        <v>43</v>
      </c>
      <c r="B25" s="38"/>
      <c r="C25" s="38"/>
      <c r="D25" s="38"/>
      <c r="E25" s="64">
        <f>SUM(E8:E24)</f>
        <v>10485.968460000002</v>
      </c>
      <c r="F25" s="64">
        <f>SUM(F8:F24)</f>
        <v>94.880591657810399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717</v>
      </c>
      <c r="B27" s="38"/>
      <c r="C27" s="38"/>
      <c r="D27" s="38"/>
      <c r="E27" s="63"/>
      <c r="F27" s="63"/>
    </row>
    <row r="28" spans="1:6" x14ac:dyDescent="0.2">
      <c r="A28" s="38" t="s">
        <v>925</v>
      </c>
      <c r="B28" s="38" t="s">
        <v>1581</v>
      </c>
      <c r="C28" s="38" t="s">
        <v>693</v>
      </c>
      <c r="D28" s="38">
        <v>37</v>
      </c>
      <c r="E28" s="63">
        <v>368.27321000000001</v>
      </c>
      <c r="F28" s="63">
        <v>3.3322606481043202</v>
      </c>
    </row>
    <row r="29" spans="1:6" x14ac:dyDescent="0.2">
      <c r="A29" s="37" t="s">
        <v>43</v>
      </c>
      <c r="B29" s="38"/>
      <c r="C29" s="38"/>
      <c r="D29" s="38"/>
      <c r="E29" s="64">
        <f>SUM(E28:E28)</f>
        <v>368.27321000000001</v>
      </c>
      <c r="F29" s="64">
        <f>SUM(F28:F28)</f>
        <v>3.3322606481043202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10854.241670000001</v>
      </c>
      <c r="F31" s="64">
        <v>98.212852305914723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197.51281560000001</v>
      </c>
      <c r="F33" s="64">
        <v>1.79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11051.752815600001</v>
      </c>
      <c r="F35" s="61">
        <f xml:space="preserve"> ROUND(SUM(F31:F34),2)</f>
        <v>100</v>
      </c>
    </row>
    <row r="36" spans="1:6" x14ac:dyDescent="0.2">
      <c r="A36" s="88" t="s">
        <v>686</v>
      </c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  <c r="D40" s="95"/>
    </row>
    <row r="41" spans="1:6" x14ac:dyDescent="0.2">
      <c r="A41" s="2" t="s">
        <v>600</v>
      </c>
      <c r="D41" s="95">
        <v>10.424200000000001</v>
      </c>
    </row>
    <row r="42" spans="1:6" x14ac:dyDescent="0.2">
      <c r="A42" s="2" t="s">
        <v>601</v>
      </c>
      <c r="D42" s="95">
        <v>10.424200000000001</v>
      </c>
    </row>
    <row r="43" spans="1:6" x14ac:dyDescent="0.2">
      <c r="A43" s="2" t="s">
        <v>684</v>
      </c>
      <c r="D43" s="95">
        <v>10.204599999999999</v>
      </c>
    </row>
    <row r="44" spans="1:6" x14ac:dyDescent="0.2">
      <c r="A44" s="2" t="s">
        <v>602</v>
      </c>
      <c r="D44" s="95">
        <v>10.486599999999999</v>
      </c>
    </row>
    <row r="45" spans="1:6" x14ac:dyDescent="0.2">
      <c r="A45" s="2" t="s">
        <v>603</v>
      </c>
      <c r="D45" s="95">
        <v>10.486599999999999</v>
      </c>
    </row>
    <row r="46" spans="1:6" x14ac:dyDescent="0.2">
      <c r="A46" s="2" t="s">
        <v>683</v>
      </c>
      <c r="D46" s="95">
        <v>10.2258</v>
      </c>
    </row>
    <row r="48" spans="1:6" x14ac:dyDescent="0.2">
      <c r="A48" s="4" t="s">
        <v>105</v>
      </c>
    </row>
    <row r="49" spans="1:5" x14ac:dyDescent="0.2">
      <c r="A49" s="2" t="s">
        <v>600</v>
      </c>
      <c r="D49" s="10">
        <v>10.9602</v>
      </c>
    </row>
    <row r="50" spans="1:5" x14ac:dyDescent="0.2">
      <c r="A50" s="2" t="s">
        <v>601</v>
      </c>
      <c r="D50" s="10">
        <v>10.3073</v>
      </c>
    </row>
    <row r="51" spans="1:5" x14ac:dyDescent="0.2">
      <c r="A51" s="2" t="s">
        <v>684</v>
      </c>
      <c r="D51" s="10">
        <v>10.273</v>
      </c>
    </row>
    <row r="52" spans="1:5" x14ac:dyDescent="0.2">
      <c r="A52" s="2" t="s">
        <v>602</v>
      </c>
      <c r="D52" s="10">
        <v>11.0701</v>
      </c>
    </row>
    <row r="53" spans="1:5" x14ac:dyDescent="0.2">
      <c r="A53" s="2" t="s">
        <v>603</v>
      </c>
      <c r="D53" s="10">
        <v>10.417</v>
      </c>
    </row>
    <row r="54" spans="1:5" x14ac:dyDescent="0.2">
      <c r="A54" s="2" t="s">
        <v>683</v>
      </c>
      <c r="D54" s="10">
        <v>10.3377</v>
      </c>
    </row>
    <row r="56" spans="1:5" x14ac:dyDescent="0.2">
      <c r="A56" s="4" t="s">
        <v>106</v>
      </c>
      <c r="D56" s="20" t="s">
        <v>311</v>
      </c>
    </row>
    <row r="57" spans="1:5" x14ac:dyDescent="0.2">
      <c r="A57" s="21" t="s">
        <v>604</v>
      </c>
      <c r="B57" s="22"/>
      <c r="C57" s="103" t="s">
        <v>605</v>
      </c>
      <c r="D57" s="104"/>
    </row>
    <row r="58" spans="1:5" x14ac:dyDescent="0.2">
      <c r="A58" s="105"/>
      <c r="B58" s="106"/>
      <c r="C58" s="23" t="s">
        <v>606</v>
      </c>
      <c r="D58" s="23" t="s">
        <v>607</v>
      </c>
    </row>
    <row r="59" spans="1:5" x14ac:dyDescent="0.2">
      <c r="A59" s="2" t="s">
        <v>601</v>
      </c>
      <c r="B59" s="58"/>
      <c r="C59" s="96">
        <v>0.46460814150000002</v>
      </c>
      <c r="D59" s="96">
        <v>0.4302294545</v>
      </c>
    </row>
    <row r="60" spans="1:5" x14ac:dyDescent="0.2">
      <c r="A60" s="24" t="s">
        <v>1346</v>
      </c>
      <c r="B60" s="25"/>
      <c r="C60" s="96">
        <v>0.3205436015</v>
      </c>
      <c r="D60" s="96">
        <v>0.29682497250000001</v>
      </c>
    </row>
    <row r="61" spans="1:5" x14ac:dyDescent="0.2">
      <c r="A61" s="2" t="s">
        <v>603</v>
      </c>
      <c r="B61" s="25"/>
      <c r="C61" s="96">
        <v>0.46460814150000002</v>
      </c>
      <c r="D61" s="96">
        <v>0.4302294545</v>
      </c>
    </row>
    <row r="62" spans="1:5" x14ac:dyDescent="0.2">
      <c r="A62" s="24" t="s">
        <v>1351</v>
      </c>
      <c r="B62" s="25"/>
      <c r="C62" s="96">
        <v>0.3205436015</v>
      </c>
      <c r="D62" s="96">
        <v>0.29682497250000001</v>
      </c>
    </row>
    <row r="64" spans="1:5" x14ac:dyDescent="0.2">
      <c r="A64" s="4" t="s">
        <v>680</v>
      </c>
      <c r="D64" s="15">
        <v>1.7985664469972367</v>
      </c>
      <c r="E64" s="72" t="s">
        <v>679</v>
      </c>
    </row>
    <row r="66" spans="1:1" x14ac:dyDescent="0.2">
      <c r="A66" s="9"/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E7E7-0AC4-4600-ABB4-D696C6D60B36}">
  <dimension ref="A1:F5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1379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928</v>
      </c>
      <c r="B8" s="38" t="s">
        <v>1923</v>
      </c>
      <c r="C8" s="38" t="s">
        <v>693</v>
      </c>
      <c r="D8" s="38">
        <v>105</v>
      </c>
      <c r="E8" s="63">
        <v>1041.2797499999999</v>
      </c>
      <c r="F8" s="63">
        <v>11.013096095069001</v>
      </c>
    </row>
    <row r="9" spans="1:6" x14ac:dyDescent="0.2">
      <c r="A9" s="38" t="s">
        <v>1378</v>
      </c>
      <c r="B9" s="38" t="s">
        <v>1878</v>
      </c>
      <c r="C9" s="38" t="s">
        <v>721</v>
      </c>
      <c r="D9" s="38">
        <v>100</v>
      </c>
      <c r="E9" s="63">
        <v>1008.223</v>
      </c>
      <c r="F9" s="63">
        <v>10.663471352687701</v>
      </c>
    </row>
    <row r="10" spans="1:6" x14ac:dyDescent="0.2">
      <c r="A10" s="38" t="s">
        <v>1358</v>
      </c>
      <c r="B10" s="38" t="s">
        <v>1870</v>
      </c>
      <c r="C10" s="38" t="s">
        <v>933</v>
      </c>
      <c r="D10" s="38">
        <v>170</v>
      </c>
      <c r="E10" s="63">
        <v>846.07384999999999</v>
      </c>
      <c r="F10" s="63">
        <v>8.9485007401469403</v>
      </c>
    </row>
    <row r="11" spans="1:6" x14ac:dyDescent="0.2">
      <c r="A11" s="38" t="s">
        <v>1377</v>
      </c>
      <c r="B11" s="38" t="s">
        <v>1879</v>
      </c>
      <c r="C11" s="38" t="s">
        <v>933</v>
      </c>
      <c r="D11" s="38">
        <v>78</v>
      </c>
      <c r="E11" s="63">
        <v>779.80499999999995</v>
      </c>
      <c r="F11" s="63">
        <v>8.2476081959870093</v>
      </c>
    </row>
    <row r="12" spans="1:6" x14ac:dyDescent="0.2">
      <c r="A12" s="38" t="s">
        <v>949</v>
      </c>
      <c r="B12" s="38" t="s">
        <v>1595</v>
      </c>
      <c r="C12" s="38" t="s">
        <v>721</v>
      </c>
      <c r="D12" s="38">
        <v>63</v>
      </c>
      <c r="E12" s="63">
        <v>693.48635999999999</v>
      </c>
      <c r="F12" s="63">
        <v>7.3346590321185401</v>
      </c>
    </row>
    <row r="13" spans="1:6" x14ac:dyDescent="0.2">
      <c r="A13" s="38" t="s">
        <v>1369</v>
      </c>
      <c r="B13" s="38" t="s">
        <v>1874</v>
      </c>
      <c r="C13" s="38" t="s">
        <v>693</v>
      </c>
      <c r="D13" s="38">
        <v>50</v>
      </c>
      <c r="E13" s="63">
        <v>557.40200000000004</v>
      </c>
      <c r="F13" s="63">
        <v>5.8953626915184598</v>
      </c>
    </row>
    <row r="14" spans="1:6" x14ac:dyDescent="0.2">
      <c r="A14" s="38" t="s">
        <v>929</v>
      </c>
      <c r="B14" s="38" t="s">
        <v>1610</v>
      </c>
      <c r="C14" s="38" t="s">
        <v>721</v>
      </c>
      <c r="D14" s="38">
        <v>52</v>
      </c>
      <c r="E14" s="63">
        <v>524.00036</v>
      </c>
      <c r="F14" s="63">
        <v>5.5420902197807704</v>
      </c>
    </row>
    <row r="15" spans="1:6" x14ac:dyDescent="0.2">
      <c r="A15" s="38" t="s">
        <v>1376</v>
      </c>
      <c r="B15" s="38" t="s">
        <v>1880</v>
      </c>
      <c r="C15" s="38" t="s">
        <v>721</v>
      </c>
      <c r="D15" s="38">
        <v>50</v>
      </c>
      <c r="E15" s="63">
        <v>518.59900000000005</v>
      </c>
      <c r="F15" s="63">
        <v>5.4849627314914198</v>
      </c>
    </row>
    <row r="16" spans="1:6" x14ac:dyDescent="0.2">
      <c r="A16" s="38" t="s">
        <v>1360</v>
      </c>
      <c r="B16" s="38" t="s">
        <v>1868</v>
      </c>
      <c r="C16" s="38" t="s">
        <v>693</v>
      </c>
      <c r="D16" s="38">
        <v>50</v>
      </c>
      <c r="E16" s="63">
        <v>502.75049999999999</v>
      </c>
      <c r="F16" s="63">
        <v>5.3173410587731098</v>
      </c>
    </row>
    <row r="17" spans="1:6" x14ac:dyDescent="0.2">
      <c r="A17" s="38" t="s">
        <v>1357</v>
      </c>
      <c r="B17" s="38" t="s">
        <v>1871</v>
      </c>
      <c r="C17" s="38" t="s">
        <v>693</v>
      </c>
      <c r="D17" s="38">
        <v>39</v>
      </c>
      <c r="E17" s="63">
        <v>439.31355000000002</v>
      </c>
      <c r="F17" s="63">
        <v>4.6464001071910896</v>
      </c>
    </row>
    <row r="18" spans="1:6" x14ac:dyDescent="0.2">
      <c r="A18" s="38" t="s">
        <v>1370</v>
      </c>
      <c r="B18" s="38" t="s">
        <v>1873</v>
      </c>
      <c r="C18" s="38" t="s">
        <v>693</v>
      </c>
      <c r="D18" s="38">
        <v>31</v>
      </c>
      <c r="E18" s="63">
        <v>315.02541000000002</v>
      </c>
      <c r="F18" s="63">
        <v>3.3318664967013198</v>
      </c>
    </row>
    <row r="19" spans="1:6" x14ac:dyDescent="0.2">
      <c r="A19" s="38" t="s">
        <v>895</v>
      </c>
      <c r="B19" s="38" t="s">
        <v>1579</v>
      </c>
      <c r="C19" s="38" t="s">
        <v>693</v>
      </c>
      <c r="D19" s="38">
        <v>28</v>
      </c>
      <c r="E19" s="63">
        <v>282.98255999999998</v>
      </c>
      <c r="F19" s="63">
        <v>2.9929652684676098</v>
      </c>
    </row>
    <row r="20" spans="1:6" x14ac:dyDescent="0.2">
      <c r="A20" s="38" t="s">
        <v>1375</v>
      </c>
      <c r="B20" s="38" t="s">
        <v>1881</v>
      </c>
      <c r="C20" s="38" t="s">
        <v>693</v>
      </c>
      <c r="D20" s="38">
        <v>26</v>
      </c>
      <c r="E20" s="63">
        <v>265.89783999999997</v>
      </c>
      <c r="F20" s="63">
        <v>2.8122687139467502</v>
      </c>
    </row>
    <row r="21" spans="1:6" x14ac:dyDescent="0.2">
      <c r="A21" s="38" t="s">
        <v>1374</v>
      </c>
      <c r="B21" s="38" t="s">
        <v>1882</v>
      </c>
      <c r="C21" s="38" t="s">
        <v>693</v>
      </c>
      <c r="D21" s="38">
        <v>21</v>
      </c>
      <c r="E21" s="63">
        <v>235.05447000000001</v>
      </c>
      <c r="F21" s="63">
        <v>2.4860537868766999</v>
      </c>
    </row>
    <row r="22" spans="1:6" x14ac:dyDescent="0.2">
      <c r="A22" s="38" t="s">
        <v>897</v>
      </c>
      <c r="B22" s="38" t="s">
        <v>1577</v>
      </c>
      <c r="C22" s="38" t="s">
        <v>693</v>
      </c>
      <c r="D22" s="38">
        <v>1</v>
      </c>
      <c r="E22" s="63">
        <v>101.54949999999999</v>
      </c>
      <c r="F22" s="63">
        <v>1.0740383666408699</v>
      </c>
    </row>
    <row r="23" spans="1:6" x14ac:dyDescent="0.2">
      <c r="A23" s="38" t="s">
        <v>1140</v>
      </c>
      <c r="B23" s="38" t="s">
        <v>1751</v>
      </c>
      <c r="C23" s="38" t="s">
        <v>1139</v>
      </c>
      <c r="D23" s="38">
        <v>6</v>
      </c>
      <c r="E23" s="63">
        <v>66.830640000000002</v>
      </c>
      <c r="F23" s="63">
        <v>0.70683431653689999</v>
      </c>
    </row>
    <row r="24" spans="1:6" x14ac:dyDescent="0.2">
      <c r="A24" s="38" t="s">
        <v>1373</v>
      </c>
      <c r="B24" s="38" t="s">
        <v>1944</v>
      </c>
      <c r="C24" s="38" t="s">
        <v>693</v>
      </c>
      <c r="D24" s="38">
        <v>1</v>
      </c>
      <c r="E24" s="63">
        <v>10.10468</v>
      </c>
      <c r="F24" s="63">
        <v>0.106872155969539</v>
      </c>
    </row>
    <row r="25" spans="1:6" x14ac:dyDescent="0.2">
      <c r="A25" s="38" t="s">
        <v>1142</v>
      </c>
      <c r="B25" s="38" t="s">
        <v>1749</v>
      </c>
      <c r="C25" s="38" t="s">
        <v>693</v>
      </c>
      <c r="D25" s="38">
        <v>1</v>
      </c>
      <c r="E25" s="63">
        <v>9.9803200000000007</v>
      </c>
      <c r="F25" s="63">
        <v>0.105556862331702</v>
      </c>
    </row>
    <row r="26" spans="1:6" x14ac:dyDescent="0.2">
      <c r="A26" s="37" t="s">
        <v>43</v>
      </c>
      <c r="B26" s="38"/>
      <c r="C26" s="38"/>
      <c r="D26" s="38"/>
      <c r="E26" s="64">
        <f>SUM(E8:E25)</f>
        <v>8198.3587900000002</v>
      </c>
      <c r="F26" s="64">
        <f>SUM(F8:F25)</f>
        <v>86.709948192235402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37" t="s">
        <v>717</v>
      </c>
      <c r="B28" s="38"/>
      <c r="C28" s="38"/>
      <c r="D28" s="38"/>
      <c r="E28" s="63"/>
      <c r="F28" s="63"/>
    </row>
    <row r="29" spans="1:6" x14ac:dyDescent="0.2">
      <c r="A29" s="38" t="s">
        <v>1372</v>
      </c>
      <c r="B29" s="38" t="s">
        <v>1877</v>
      </c>
      <c r="C29" s="38" t="s">
        <v>933</v>
      </c>
      <c r="D29" s="38">
        <v>95</v>
      </c>
      <c r="E29" s="63">
        <v>950.69444999999996</v>
      </c>
      <c r="F29" s="63">
        <v>10.0550205983539</v>
      </c>
    </row>
    <row r="30" spans="1:6" x14ac:dyDescent="0.2">
      <c r="A30" s="38" t="s">
        <v>925</v>
      </c>
      <c r="B30" s="38" t="s">
        <v>1581</v>
      </c>
      <c r="C30" s="38" t="s">
        <v>693</v>
      </c>
      <c r="D30" s="38">
        <v>3</v>
      </c>
      <c r="E30" s="63">
        <v>29.85999</v>
      </c>
      <c r="F30" s="63">
        <v>0.315814207726406</v>
      </c>
    </row>
    <row r="31" spans="1:6" x14ac:dyDescent="0.2">
      <c r="A31" s="37" t="s">
        <v>43</v>
      </c>
      <c r="B31" s="38"/>
      <c r="C31" s="38"/>
      <c r="D31" s="38"/>
      <c r="E31" s="64">
        <f>SUM(E29:E30)</f>
        <v>980.55444</v>
      </c>
      <c r="F31" s="64">
        <f>SUM(F29:F30)</f>
        <v>10.370834806080307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43</v>
      </c>
      <c r="B33" s="38"/>
      <c r="C33" s="38"/>
      <c r="D33" s="38"/>
      <c r="E33" s="64">
        <v>9178.9132300000001</v>
      </c>
      <c r="F33" s="64">
        <v>97.080782998315712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37" t="s">
        <v>101</v>
      </c>
      <c r="B35" s="38"/>
      <c r="C35" s="38"/>
      <c r="D35" s="38"/>
      <c r="E35" s="64">
        <v>276.01294819999998</v>
      </c>
      <c r="F35" s="64">
        <v>2.92</v>
      </c>
    </row>
    <row r="36" spans="1:6" x14ac:dyDescent="0.2">
      <c r="A36" s="38"/>
      <c r="B36" s="38"/>
      <c r="C36" s="38"/>
      <c r="D36" s="38"/>
      <c r="E36" s="63"/>
      <c r="F36" s="63"/>
    </row>
    <row r="37" spans="1:6" x14ac:dyDescent="0.2">
      <c r="A37" s="80" t="s">
        <v>102</v>
      </c>
      <c r="B37" s="79"/>
      <c r="C37" s="79"/>
      <c r="D37" s="79"/>
      <c r="E37" s="61">
        <v>9454.9229481999992</v>
      </c>
      <c r="F37" s="61">
        <f xml:space="preserve"> ROUND(SUM(F33:F36),2)</f>
        <v>100</v>
      </c>
    </row>
    <row r="38" spans="1:6" x14ac:dyDescent="0.2">
      <c r="A38" s="88" t="s">
        <v>686</v>
      </c>
    </row>
    <row r="40" spans="1:6" x14ac:dyDescent="0.2">
      <c r="A40" s="4" t="s">
        <v>103</v>
      </c>
    </row>
    <row r="41" spans="1:6" x14ac:dyDescent="0.2">
      <c r="A41" s="4" t="s">
        <v>685</v>
      </c>
    </row>
    <row r="42" spans="1:6" x14ac:dyDescent="0.2">
      <c r="A42" s="4" t="s">
        <v>608</v>
      </c>
      <c r="D42" s="95"/>
    </row>
    <row r="43" spans="1:6" x14ac:dyDescent="0.2">
      <c r="A43" s="2" t="s">
        <v>600</v>
      </c>
      <c r="D43" s="95">
        <v>10.4986</v>
      </c>
    </row>
    <row r="44" spans="1:6" x14ac:dyDescent="0.2">
      <c r="A44" s="2" t="s">
        <v>601</v>
      </c>
      <c r="D44" s="95">
        <v>10.4986</v>
      </c>
    </row>
    <row r="45" spans="1:6" x14ac:dyDescent="0.2">
      <c r="A45" s="2" t="s">
        <v>602</v>
      </c>
      <c r="D45" s="95">
        <v>10.5488</v>
      </c>
    </row>
    <row r="46" spans="1:6" x14ac:dyDescent="0.2">
      <c r="D46" s="11"/>
    </row>
    <row r="47" spans="1:6" x14ac:dyDescent="0.2">
      <c r="A47" s="4" t="s">
        <v>105</v>
      </c>
    </row>
    <row r="48" spans="1:6" x14ac:dyDescent="0.2">
      <c r="A48" s="2" t="s">
        <v>600</v>
      </c>
      <c r="D48" s="10">
        <v>11.038</v>
      </c>
    </row>
    <row r="49" spans="1:5" x14ac:dyDescent="0.2">
      <c r="A49" s="2" t="s">
        <v>601</v>
      </c>
      <c r="D49" s="10">
        <v>10.3803</v>
      </c>
    </row>
    <row r="50" spans="1:5" x14ac:dyDescent="0.2">
      <c r="A50" s="2" t="s">
        <v>602</v>
      </c>
      <c r="D50" s="10">
        <v>11.1211</v>
      </c>
    </row>
    <row r="52" spans="1:5" x14ac:dyDescent="0.2">
      <c r="A52" s="4" t="s">
        <v>106</v>
      </c>
      <c r="D52" s="20" t="s">
        <v>311</v>
      </c>
    </row>
    <row r="53" spans="1:5" x14ac:dyDescent="0.2">
      <c r="A53" s="21" t="s">
        <v>604</v>
      </c>
      <c r="B53" s="22"/>
      <c r="C53" s="103" t="s">
        <v>605</v>
      </c>
      <c r="D53" s="104"/>
    </row>
    <row r="54" spans="1:5" x14ac:dyDescent="0.2">
      <c r="A54" s="105"/>
      <c r="B54" s="106"/>
      <c r="C54" s="23" t="s">
        <v>606</v>
      </c>
      <c r="D54" s="23" t="s">
        <v>607</v>
      </c>
    </row>
    <row r="55" spans="1:5" x14ac:dyDescent="0.2">
      <c r="A55" s="89" t="s">
        <v>601</v>
      </c>
      <c r="B55" s="58"/>
      <c r="C55" s="99">
        <v>0.46820975500000001</v>
      </c>
      <c r="D55" s="99">
        <v>0.43356456650000003</v>
      </c>
    </row>
    <row r="56" spans="1:5" x14ac:dyDescent="0.2">
      <c r="B56" s="98"/>
      <c r="C56" s="97"/>
      <c r="D56" s="97"/>
    </row>
    <row r="57" spans="1:5" x14ac:dyDescent="0.2">
      <c r="A57" s="4" t="s">
        <v>680</v>
      </c>
      <c r="D57" s="15">
        <v>1.6790288575389607</v>
      </c>
      <c r="E57" s="72" t="s">
        <v>1312</v>
      </c>
    </row>
    <row r="59" spans="1:5" x14ac:dyDescent="0.2">
      <c r="A59" s="9"/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3D53-50A4-4B3B-89E5-1236011C97D9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1385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1384</v>
      </c>
      <c r="B8" s="38" t="s">
        <v>1884</v>
      </c>
      <c r="C8" s="38" t="s">
        <v>693</v>
      </c>
      <c r="D8" s="38">
        <v>173</v>
      </c>
      <c r="E8" s="63">
        <v>1731.4445499999999</v>
      </c>
      <c r="F8" s="63">
        <v>10.279231573333799</v>
      </c>
    </row>
    <row r="9" spans="1:6" x14ac:dyDescent="0.2">
      <c r="A9" s="38" t="s">
        <v>939</v>
      </c>
      <c r="B9" s="38" t="s">
        <v>1922</v>
      </c>
      <c r="C9" s="38" t="s">
        <v>693</v>
      </c>
      <c r="D9" s="38">
        <v>161</v>
      </c>
      <c r="E9" s="63">
        <v>1609.7552800000001</v>
      </c>
      <c r="F9" s="63">
        <v>9.5567873077522396</v>
      </c>
    </row>
    <row r="10" spans="1:6" x14ac:dyDescent="0.2">
      <c r="A10" s="38" t="s">
        <v>929</v>
      </c>
      <c r="B10" s="38" t="s">
        <v>1610</v>
      </c>
      <c r="C10" s="38" t="s">
        <v>721</v>
      </c>
      <c r="D10" s="38">
        <v>150</v>
      </c>
      <c r="E10" s="63">
        <v>1511.5395000000001</v>
      </c>
      <c r="F10" s="63">
        <v>8.9737003433007292</v>
      </c>
    </row>
    <row r="11" spans="1:6" x14ac:dyDescent="0.2">
      <c r="A11" s="38" t="s">
        <v>1383</v>
      </c>
      <c r="B11" s="38" t="s">
        <v>1885</v>
      </c>
      <c r="C11" s="38" t="s">
        <v>933</v>
      </c>
      <c r="D11" s="38">
        <v>149</v>
      </c>
      <c r="E11" s="63">
        <v>1499.0875100000001</v>
      </c>
      <c r="F11" s="63">
        <v>8.8997754297025207</v>
      </c>
    </row>
    <row r="12" spans="1:6" x14ac:dyDescent="0.2">
      <c r="A12" s="38" t="s">
        <v>1358</v>
      </c>
      <c r="B12" s="38" t="s">
        <v>1870</v>
      </c>
      <c r="C12" s="38" t="s">
        <v>933</v>
      </c>
      <c r="D12" s="38">
        <v>300</v>
      </c>
      <c r="E12" s="63">
        <v>1493.0715</v>
      </c>
      <c r="F12" s="63">
        <v>8.8640596108289191</v>
      </c>
    </row>
    <row r="13" spans="1:6" x14ac:dyDescent="0.2">
      <c r="A13" s="38" t="s">
        <v>1382</v>
      </c>
      <c r="B13" s="38" t="s">
        <v>1886</v>
      </c>
      <c r="C13" s="38" t="s">
        <v>693</v>
      </c>
      <c r="D13" s="38">
        <v>128</v>
      </c>
      <c r="E13" s="63">
        <v>1114.6278400000001</v>
      </c>
      <c r="F13" s="63">
        <v>6.61731713293669</v>
      </c>
    </row>
    <row r="14" spans="1:6" x14ac:dyDescent="0.2">
      <c r="A14" s="38" t="s">
        <v>930</v>
      </c>
      <c r="B14" s="38" t="s">
        <v>1609</v>
      </c>
      <c r="C14" s="38" t="s">
        <v>693</v>
      </c>
      <c r="D14" s="38">
        <v>100</v>
      </c>
      <c r="E14" s="63">
        <v>1025.8019999999999</v>
      </c>
      <c r="F14" s="63">
        <v>6.0899763185537497</v>
      </c>
    </row>
    <row r="15" spans="1:6" x14ac:dyDescent="0.2">
      <c r="A15" s="38" t="s">
        <v>1374</v>
      </c>
      <c r="B15" s="38" t="s">
        <v>1882</v>
      </c>
      <c r="C15" s="38" t="s">
        <v>693</v>
      </c>
      <c r="D15" s="38">
        <v>89</v>
      </c>
      <c r="E15" s="63">
        <v>996.18322999999998</v>
      </c>
      <c r="F15" s="63">
        <v>5.9141357490435604</v>
      </c>
    </row>
    <row r="16" spans="1:6" x14ac:dyDescent="0.2">
      <c r="A16" s="38" t="s">
        <v>1357</v>
      </c>
      <c r="B16" s="38" t="s">
        <v>1871</v>
      </c>
      <c r="C16" s="38" t="s">
        <v>693</v>
      </c>
      <c r="D16" s="38">
        <v>84</v>
      </c>
      <c r="E16" s="63">
        <v>946.21379999999999</v>
      </c>
      <c r="F16" s="63">
        <v>5.6174774803409999</v>
      </c>
    </row>
    <row r="17" spans="1:6" x14ac:dyDescent="0.2">
      <c r="A17" s="38" t="s">
        <v>1381</v>
      </c>
      <c r="B17" s="38" t="s">
        <v>1887</v>
      </c>
      <c r="C17" s="38" t="s">
        <v>693</v>
      </c>
      <c r="D17" s="38">
        <v>50</v>
      </c>
      <c r="E17" s="63">
        <v>500.935</v>
      </c>
      <c r="F17" s="63">
        <v>2.9739484687441902</v>
      </c>
    </row>
    <row r="18" spans="1:6" x14ac:dyDescent="0.2">
      <c r="A18" s="38" t="s">
        <v>895</v>
      </c>
      <c r="B18" s="38" t="s">
        <v>1579</v>
      </c>
      <c r="C18" s="38" t="s">
        <v>693</v>
      </c>
      <c r="D18" s="38">
        <v>29</v>
      </c>
      <c r="E18" s="63">
        <v>293.08908000000002</v>
      </c>
      <c r="F18" s="63">
        <v>1.7400098229743199</v>
      </c>
    </row>
    <row r="19" spans="1:6" x14ac:dyDescent="0.2">
      <c r="A19" s="38" t="s">
        <v>1142</v>
      </c>
      <c r="B19" s="38" t="s">
        <v>1749</v>
      </c>
      <c r="C19" s="38" t="s">
        <v>693</v>
      </c>
      <c r="D19" s="38">
        <v>24</v>
      </c>
      <c r="E19" s="63">
        <v>239.52768</v>
      </c>
      <c r="F19" s="63">
        <v>1.4220267642665201</v>
      </c>
    </row>
    <row r="20" spans="1:6" x14ac:dyDescent="0.2">
      <c r="A20" s="38" t="s">
        <v>1377</v>
      </c>
      <c r="B20" s="38" t="s">
        <v>1879</v>
      </c>
      <c r="C20" s="38" t="s">
        <v>933</v>
      </c>
      <c r="D20" s="38">
        <v>22</v>
      </c>
      <c r="E20" s="63">
        <v>219.94499999999999</v>
      </c>
      <c r="F20" s="63">
        <v>1.3057684049985301</v>
      </c>
    </row>
    <row r="21" spans="1:6" x14ac:dyDescent="0.2">
      <c r="A21" s="38" t="s">
        <v>1354</v>
      </c>
      <c r="B21" s="38" t="s">
        <v>1862</v>
      </c>
      <c r="C21" s="38" t="s">
        <v>693</v>
      </c>
      <c r="D21" s="38">
        <v>15</v>
      </c>
      <c r="E21" s="63">
        <v>168.76965000000001</v>
      </c>
      <c r="F21" s="63">
        <v>1.0019508363120799</v>
      </c>
    </row>
    <row r="22" spans="1:6" x14ac:dyDescent="0.2">
      <c r="A22" s="38" t="s">
        <v>928</v>
      </c>
      <c r="B22" s="38" t="s">
        <v>1923</v>
      </c>
      <c r="C22" s="38" t="s">
        <v>693</v>
      </c>
      <c r="D22" s="38">
        <v>8</v>
      </c>
      <c r="E22" s="63">
        <v>79.335599999999999</v>
      </c>
      <c r="F22" s="63">
        <v>0.47099920376276599</v>
      </c>
    </row>
    <row r="23" spans="1:6" x14ac:dyDescent="0.2">
      <c r="A23" s="37" t="s">
        <v>43</v>
      </c>
      <c r="B23" s="38"/>
      <c r="C23" s="38"/>
      <c r="D23" s="38"/>
      <c r="E23" s="64">
        <f>SUM(E8:E22)</f>
        <v>13429.327219999999</v>
      </c>
      <c r="F23" s="64">
        <f>SUM(F8:F22)</f>
        <v>79.727164446851603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717</v>
      </c>
      <c r="B25" s="38"/>
      <c r="C25" s="38"/>
      <c r="D25" s="38"/>
      <c r="E25" s="63"/>
      <c r="F25" s="63"/>
    </row>
    <row r="26" spans="1:6" x14ac:dyDescent="0.2">
      <c r="A26" s="38" t="s">
        <v>1372</v>
      </c>
      <c r="B26" s="38" t="s">
        <v>1877</v>
      </c>
      <c r="C26" s="38" t="s">
        <v>933</v>
      </c>
      <c r="D26" s="38">
        <v>150</v>
      </c>
      <c r="E26" s="63">
        <v>1501.0965000000001</v>
      </c>
      <c r="F26" s="63">
        <v>8.9117023917519393</v>
      </c>
    </row>
    <row r="27" spans="1:6" x14ac:dyDescent="0.2">
      <c r="A27" s="38" t="s">
        <v>1380</v>
      </c>
      <c r="B27" s="38" t="s">
        <v>1883</v>
      </c>
      <c r="C27" s="38" t="s">
        <v>693</v>
      </c>
      <c r="D27" s="38">
        <v>150</v>
      </c>
      <c r="E27" s="63">
        <v>1496.931</v>
      </c>
      <c r="F27" s="63">
        <v>8.8869726716354496</v>
      </c>
    </row>
    <row r="28" spans="1:6" x14ac:dyDescent="0.2">
      <c r="A28" s="38" t="s">
        <v>925</v>
      </c>
      <c r="B28" s="38" t="s">
        <v>1581</v>
      </c>
      <c r="C28" s="38" t="s">
        <v>693</v>
      </c>
      <c r="D28" s="38">
        <v>2</v>
      </c>
      <c r="E28" s="63">
        <v>19.906659999999999</v>
      </c>
      <c r="F28" s="63">
        <v>0.11818176215439399</v>
      </c>
    </row>
    <row r="29" spans="1:6" x14ac:dyDescent="0.2">
      <c r="A29" s="37" t="s">
        <v>43</v>
      </c>
      <c r="B29" s="38"/>
      <c r="C29" s="38"/>
      <c r="D29" s="38"/>
      <c r="E29" s="64">
        <f>SUM(E26:E28)</f>
        <v>3017.9341600000002</v>
      </c>
      <c r="F29" s="64">
        <f>SUM(F26:F28)</f>
        <v>17.916856825541782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16447.26138</v>
      </c>
      <c r="F31" s="64">
        <v>97.644021272393388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396.84490849999997</v>
      </c>
      <c r="F33" s="64">
        <v>2.36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16844.104908500001</v>
      </c>
      <c r="F35" s="61">
        <f xml:space="preserve"> ROUND(SUM(F31:F34),2)</f>
        <v>100</v>
      </c>
    </row>
    <row r="36" spans="1:6" x14ac:dyDescent="0.2">
      <c r="A36" s="88" t="s">
        <v>686</v>
      </c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</row>
    <row r="41" spans="1:6" x14ac:dyDescent="0.2">
      <c r="A41" s="2" t="s">
        <v>600</v>
      </c>
      <c r="D41" s="10">
        <v>10.5511</v>
      </c>
    </row>
    <row r="42" spans="1:6" x14ac:dyDescent="0.2">
      <c r="A42" s="2" t="s">
        <v>601</v>
      </c>
      <c r="D42" s="10">
        <v>10.5511</v>
      </c>
    </row>
    <row r="43" spans="1:6" x14ac:dyDescent="0.2">
      <c r="A43" s="2" t="s">
        <v>684</v>
      </c>
      <c r="D43" s="10">
        <v>10.192500000000001</v>
      </c>
    </row>
    <row r="44" spans="1:6" x14ac:dyDescent="0.2">
      <c r="A44" s="2" t="s">
        <v>602</v>
      </c>
      <c r="D44" s="10">
        <v>10.5951</v>
      </c>
    </row>
    <row r="45" spans="1:6" x14ac:dyDescent="0.2">
      <c r="A45" s="2" t="s">
        <v>603</v>
      </c>
      <c r="D45" s="10">
        <v>10.5951</v>
      </c>
    </row>
    <row r="46" spans="1:6" x14ac:dyDescent="0.2">
      <c r="A46" s="2" t="s">
        <v>683</v>
      </c>
      <c r="D46" s="10">
        <v>10.225899999999999</v>
      </c>
    </row>
    <row r="48" spans="1:6" x14ac:dyDescent="0.2">
      <c r="A48" s="4" t="s">
        <v>105</v>
      </c>
    </row>
    <row r="49" spans="1:4" x14ac:dyDescent="0.2">
      <c r="A49" s="2" t="s">
        <v>600</v>
      </c>
      <c r="D49" s="10">
        <v>11.098100000000001</v>
      </c>
    </row>
    <row r="50" spans="1:4" x14ac:dyDescent="0.2">
      <c r="A50" s="2" t="s">
        <v>601</v>
      </c>
      <c r="D50" s="10">
        <v>10.389699999999999</v>
      </c>
    </row>
    <row r="51" spans="1:4" x14ac:dyDescent="0.2">
      <c r="A51" s="2" t="s">
        <v>684</v>
      </c>
      <c r="D51" s="10">
        <v>10.2857</v>
      </c>
    </row>
    <row r="52" spans="1:4" x14ac:dyDescent="0.2">
      <c r="A52" s="2" t="s">
        <v>602</v>
      </c>
      <c r="D52" s="10">
        <v>11.164899999999999</v>
      </c>
    </row>
    <row r="53" spans="1:4" x14ac:dyDescent="0.2">
      <c r="A53" s="2" t="s">
        <v>603</v>
      </c>
      <c r="D53" s="10">
        <v>10.4565</v>
      </c>
    </row>
    <row r="54" spans="1:4" x14ac:dyDescent="0.2">
      <c r="A54" s="2" t="s">
        <v>683</v>
      </c>
      <c r="D54" s="10">
        <v>10.340999999999999</v>
      </c>
    </row>
    <row r="57" spans="1:4" x14ac:dyDescent="0.2">
      <c r="A57" s="4" t="s">
        <v>106</v>
      </c>
      <c r="D57" s="20" t="s">
        <v>311</v>
      </c>
    </row>
    <row r="58" spans="1:4" x14ac:dyDescent="0.2">
      <c r="A58" s="21" t="s">
        <v>604</v>
      </c>
      <c r="B58" s="22"/>
      <c r="C58" s="103" t="s">
        <v>605</v>
      </c>
      <c r="D58" s="104"/>
    </row>
    <row r="59" spans="1:4" x14ac:dyDescent="0.2">
      <c r="A59" s="105"/>
      <c r="B59" s="106"/>
      <c r="C59" s="23" t="s">
        <v>606</v>
      </c>
      <c r="D59" s="23" t="s">
        <v>607</v>
      </c>
    </row>
    <row r="60" spans="1:4" x14ac:dyDescent="0.2">
      <c r="A60" s="2" t="s">
        <v>601</v>
      </c>
      <c r="B60" s="58"/>
      <c r="C60" s="96">
        <v>0.50422589000000007</v>
      </c>
      <c r="D60" s="96">
        <v>0.46691568700000002</v>
      </c>
    </row>
    <row r="61" spans="1:4" x14ac:dyDescent="0.2">
      <c r="A61" s="24" t="s">
        <v>1346</v>
      </c>
      <c r="B61" s="25"/>
      <c r="C61" s="96">
        <v>0.30613714749999998</v>
      </c>
      <c r="D61" s="96">
        <v>0.28348452430000004</v>
      </c>
    </row>
    <row r="62" spans="1:4" x14ac:dyDescent="0.2">
      <c r="A62" s="89" t="s">
        <v>603</v>
      </c>
      <c r="B62" s="25"/>
      <c r="C62" s="96">
        <v>0.50422589000000007</v>
      </c>
      <c r="D62" s="96">
        <v>0.46691568700000002</v>
      </c>
    </row>
    <row r="63" spans="1:4" x14ac:dyDescent="0.2">
      <c r="A63" s="101" t="s">
        <v>683</v>
      </c>
      <c r="B63" s="25"/>
      <c r="C63" s="96">
        <v>0.30613714749999998</v>
      </c>
      <c r="D63" s="96">
        <v>0.28348452430000004</v>
      </c>
    </row>
    <row r="64" spans="1:4" x14ac:dyDescent="0.2">
      <c r="A64" s="4"/>
      <c r="D64" s="100"/>
    </row>
    <row r="65" spans="1:5" x14ac:dyDescent="0.2">
      <c r="A65" s="4" t="s">
        <v>680</v>
      </c>
      <c r="D65" s="15">
        <v>1.6498394797582159</v>
      </c>
      <c r="E65" s="72" t="s">
        <v>1312</v>
      </c>
    </row>
  </sheetData>
  <mergeCells count="3">
    <mergeCell ref="A1:F1"/>
    <mergeCell ref="C58:D58"/>
    <mergeCell ref="A59:B59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8E17-D6C1-4D97-95F9-7D9FF8EBA54D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1387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939</v>
      </c>
      <c r="B8" s="38" t="s">
        <v>1922</v>
      </c>
      <c r="C8" s="38" t="s">
        <v>693</v>
      </c>
      <c r="D8" s="38">
        <v>52</v>
      </c>
      <c r="E8" s="63">
        <v>519.92096000000004</v>
      </c>
      <c r="F8" s="63">
        <v>9.9980644279525404</v>
      </c>
    </row>
    <row r="9" spans="1:6" x14ac:dyDescent="0.2">
      <c r="A9" s="38" t="s">
        <v>1357</v>
      </c>
      <c r="B9" s="38" t="s">
        <v>1871</v>
      </c>
      <c r="C9" s="38" t="s">
        <v>693</v>
      </c>
      <c r="D9" s="38">
        <v>45</v>
      </c>
      <c r="E9" s="63">
        <v>506.90025000000003</v>
      </c>
      <c r="F9" s="63">
        <v>9.7476765661558407</v>
      </c>
    </row>
    <row r="10" spans="1:6" x14ac:dyDescent="0.2">
      <c r="A10" s="38" t="s">
        <v>1374</v>
      </c>
      <c r="B10" s="38" t="s">
        <v>1882</v>
      </c>
      <c r="C10" s="38" t="s">
        <v>693</v>
      </c>
      <c r="D10" s="38">
        <v>45</v>
      </c>
      <c r="E10" s="63">
        <v>503.68815000000001</v>
      </c>
      <c r="F10" s="63">
        <v>9.6859079797364203</v>
      </c>
    </row>
    <row r="11" spans="1:6" x14ac:dyDescent="0.2">
      <c r="A11" s="38" t="s">
        <v>929</v>
      </c>
      <c r="B11" s="38" t="s">
        <v>1610</v>
      </c>
      <c r="C11" s="38" t="s">
        <v>721</v>
      </c>
      <c r="D11" s="38">
        <v>46</v>
      </c>
      <c r="E11" s="63">
        <v>463.53877999999997</v>
      </c>
      <c r="F11" s="63">
        <v>8.9138368018371796</v>
      </c>
    </row>
    <row r="12" spans="1:6" x14ac:dyDescent="0.2">
      <c r="A12" s="38" t="s">
        <v>1381</v>
      </c>
      <c r="B12" s="38" t="s">
        <v>1887</v>
      </c>
      <c r="C12" s="38" t="s">
        <v>693</v>
      </c>
      <c r="D12" s="38">
        <v>46</v>
      </c>
      <c r="E12" s="63">
        <v>460.86020000000002</v>
      </c>
      <c r="F12" s="63">
        <v>8.8623277889760192</v>
      </c>
    </row>
    <row r="13" spans="1:6" x14ac:dyDescent="0.2">
      <c r="A13" s="38" t="s">
        <v>1384</v>
      </c>
      <c r="B13" s="38" t="s">
        <v>1884</v>
      </c>
      <c r="C13" s="38" t="s">
        <v>693</v>
      </c>
      <c r="D13" s="38">
        <v>45</v>
      </c>
      <c r="E13" s="63">
        <v>450.37574999999998</v>
      </c>
      <c r="F13" s="63">
        <v>8.6607121307197197</v>
      </c>
    </row>
    <row r="14" spans="1:6" x14ac:dyDescent="0.2">
      <c r="A14" s="38" t="s">
        <v>895</v>
      </c>
      <c r="B14" s="38" t="s">
        <v>1579</v>
      </c>
      <c r="C14" s="38" t="s">
        <v>693</v>
      </c>
      <c r="D14" s="38">
        <v>38</v>
      </c>
      <c r="E14" s="63">
        <v>384.04775999999998</v>
      </c>
      <c r="F14" s="63">
        <v>7.3852268773523804</v>
      </c>
    </row>
    <row r="15" spans="1:6" x14ac:dyDescent="0.2">
      <c r="A15" s="38" t="s">
        <v>949</v>
      </c>
      <c r="B15" s="38" t="s">
        <v>1595</v>
      </c>
      <c r="C15" s="38" t="s">
        <v>721</v>
      </c>
      <c r="D15" s="38">
        <v>34</v>
      </c>
      <c r="E15" s="63">
        <v>374.26247999999998</v>
      </c>
      <c r="F15" s="63">
        <v>7.1970562371736202</v>
      </c>
    </row>
    <row r="16" spans="1:6" x14ac:dyDescent="0.2">
      <c r="A16" s="38" t="s">
        <v>1354</v>
      </c>
      <c r="B16" s="38" t="s">
        <v>1862</v>
      </c>
      <c r="C16" s="38" t="s">
        <v>693</v>
      </c>
      <c r="D16" s="38">
        <v>28</v>
      </c>
      <c r="E16" s="63">
        <v>315.03667999999999</v>
      </c>
      <c r="F16" s="63">
        <v>6.0581458839594902</v>
      </c>
    </row>
    <row r="17" spans="1:6" x14ac:dyDescent="0.2">
      <c r="A17" s="38" t="s">
        <v>1140</v>
      </c>
      <c r="B17" s="38" t="s">
        <v>1751</v>
      </c>
      <c r="C17" s="38" t="s">
        <v>1139</v>
      </c>
      <c r="D17" s="38">
        <v>20</v>
      </c>
      <c r="E17" s="63">
        <v>222.7688</v>
      </c>
      <c r="F17" s="63">
        <v>4.2838373258459796</v>
      </c>
    </row>
    <row r="18" spans="1:6" x14ac:dyDescent="0.2">
      <c r="A18" s="38" t="s">
        <v>1378</v>
      </c>
      <c r="B18" s="38" t="s">
        <v>1878</v>
      </c>
      <c r="C18" s="38" t="s">
        <v>721</v>
      </c>
      <c r="D18" s="38">
        <v>20</v>
      </c>
      <c r="E18" s="63">
        <v>201.6446</v>
      </c>
      <c r="F18" s="63">
        <v>3.8776195950029</v>
      </c>
    </row>
    <row r="19" spans="1:6" x14ac:dyDescent="0.2">
      <c r="A19" s="38" t="s">
        <v>1386</v>
      </c>
      <c r="B19" s="38" t="s">
        <v>1888</v>
      </c>
      <c r="C19" s="38" t="s">
        <v>693</v>
      </c>
      <c r="D19" s="38">
        <v>17</v>
      </c>
      <c r="E19" s="63">
        <v>148.99429000000001</v>
      </c>
      <c r="F19" s="63">
        <v>2.8651557167786499</v>
      </c>
    </row>
    <row r="20" spans="1:6" x14ac:dyDescent="0.2">
      <c r="A20" s="38" t="s">
        <v>1142</v>
      </c>
      <c r="B20" s="38" t="s">
        <v>1749</v>
      </c>
      <c r="C20" s="38" t="s">
        <v>693</v>
      </c>
      <c r="D20" s="38">
        <v>1</v>
      </c>
      <c r="E20" s="63">
        <v>9.9803200000000007</v>
      </c>
      <c r="F20" s="63">
        <v>0.19192125351434799</v>
      </c>
    </row>
    <row r="21" spans="1:6" x14ac:dyDescent="0.2">
      <c r="A21" s="37" t="s">
        <v>43</v>
      </c>
      <c r="B21" s="38"/>
      <c r="C21" s="38"/>
      <c r="D21" s="38"/>
      <c r="E21" s="64">
        <f>SUM(E8:E20)</f>
        <v>4562.0190199999988</v>
      </c>
      <c r="F21" s="64">
        <f>SUM(F8:F20)</f>
        <v>87.727488585005091</v>
      </c>
    </row>
    <row r="22" spans="1:6" x14ac:dyDescent="0.2">
      <c r="A22" s="38"/>
      <c r="B22" s="38"/>
      <c r="C22" s="38"/>
      <c r="D22" s="38"/>
      <c r="E22" s="63"/>
      <c r="F22" s="63"/>
    </row>
    <row r="23" spans="1:6" x14ac:dyDescent="0.2">
      <c r="A23" s="37" t="s">
        <v>717</v>
      </c>
      <c r="B23" s="38"/>
      <c r="C23" s="38"/>
      <c r="D23" s="38"/>
      <c r="E23" s="63"/>
      <c r="F23" s="63"/>
    </row>
    <row r="24" spans="1:6" x14ac:dyDescent="0.2">
      <c r="A24" s="38" t="s">
        <v>1372</v>
      </c>
      <c r="B24" s="38" t="s">
        <v>1877</v>
      </c>
      <c r="C24" s="38" t="s">
        <v>933</v>
      </c>
      <c r="D24" s="38">
        <v>45</v>
      </c>
      <c r="E24" s="63">
        <v>450.32895000000002</v>
      </c>
      <c r="F24" s="63">
        <v>8.6598121681268907</v>
      </c>
    </row>
    <row r="25" spans="1:6" x14ac:dyDescent="0.2">
      <c r="A25" s="38" t="s">
        <v>925</v>
      </c>
      <c r="B25" s="38" t="s">
        <v>1581</v>
      </c>
      <c r="C25" s="38" t="s">
        <v>693</v>
      </c>
      <c r="D25" s="38">
        <v>6</v>
      </c>
      <c r="E25" s="63">
        <v>59.71998</v>
      </c>
      <c r="F25" s="63">
        <v>1.14841341975526</v>
      </c>
    </row>
    <row r="26" spans="1:6" x14ac:dyDescent="0.2">
      <c r="A26" s="37" t="s">
        <v>43</v>
      </c>
      <c r="B26" s="38"/>
      <c r="C26" s="38"/>
      <c r="D26" s="38"/>
      <c r="E26" s="64">
        <f>SUM(E24:E25)</f>
        <v>510.04893000000004</v>
      </c>
      <c r="F26" s="64">
        <f>SUM(F24:F25)</f>
        <v>9.8082255878821503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37" t="s">
        <v>43</v>
      </c>
      <c r="B28" s="38"/>
      <c r="C28" s="38"/>
      <c r="D28" s="38"/>
      <c r="E28" s="64">
        <v>5072.0679499999987</v>
      </c>
      <c r="F28" s="64">
        <v>97.535714172887239</v>
      </c>
    </row>
    <row r="29" spans="1:6" x14ac:dyDescent="0.2">
      <c r="A29" s="38"/>
      <c r="B29" s="38"/>
      <c r="C29" s="38"/>
      <c r="D29" s="38"/>
      <c r="E29" s="63"/>
      <c r="F29" s="63"/>
    </row>
    <row r="30" spans="1:6" x14ac:dyDescent="0.2">
      <c r="A30" s="37" t="s">
        <v>101</v>
      </c>
      <c r="B30" s="38"/>
      <c r="C30" s="38"/>
      <c r="D30" s="38"/>
      <c r="E30" s="64">
        <v>128.14613929999999</v>
      </c>
      <c r="F30" s="64">
        <v>2.46</v>
      </c>
    </row>
    <row r="31" spans="1:6" x14ac:dyDescent="0.2">
      <c r="A31" s="38"/>
      <c r="B31" s="38"/>
      <c r="C31" s="38"/>
      <c r="D31" s="38"/>
      <c r="E31" s="63"/>
      <c r="F31" s="63"/>
    </row>
    <row r="32" spans="1:6" x14ac:dyDescent="0.2">
      <c r="A32" s="80" t="s">
        <v>102</v>
      </c>
      <c r="B32" s="79"/>
      <c r="C32" s="79"/>
      <c r="D32" s="79"/>
      <c r="E32" s="61">
        <v>5200.2161392999997</v>
      </c>
      <c r="F32" s="61">
        <f xml:space="preserve"> ROUND(SUM(F28:F31),2)</f>
        <v>100</v>
      </c>
    </row>
    <row r="33" spans="1:4" x14ac:dyDescent="0.2">
      <c r="A33" s="88" t="s">
        <v>686</v>
      </c>
    </row>
    <row r="34" spans="1:4" x14ac:dyDescent="0.2">
      <c r="A34" s="4"/>
    </row>
    <row r="35" spans="1:4" x14ac:dyDescent="0.2">
      <c r="A35" s="4" t="s">
        <v>103</v>
      </c>
    </row>
    <row r="36" spans="1:4" x14ac:dyDescent="0.2">
      <c r="A36" s="4" t="s">
        <v>685</v>
      </c>
    </row>
    <row r="37" spans="1:4" x14ac:dyDescent="0.2">
      <c r="A37" s="4" t="s">
        <v>608</v>
      </c>
    </row>
    <row r="38" spans="1:4" x14ac:dyDescent="0.2">
      <c r="A38" s="2" t="s">
        <v>600</v>
      </c>
      <c r="D38" s="10">
        <v>10.479100000000001</v>
      </c>
    </row>
    <row r="39" spans="1:4" x14ac:dyDescent="0.2">
      <c r="A39" s="2" t="s">
        <v>601</v>
      </c>
      <c r="D39" s="10">
        <v>10.479100000000001</v>
      </c>
    </row>
    <row r="40" spans="1:4" x14ac:dyDescent="0.2">
      <c r="A40" s="2" t="s">
        <v>684</v>
      </c>
      <c r="D40" s="10">
        <v>10.198</v>
      </c>
    </row>
    <row r="41" spans="1:4" x14ac:dyDescent="0.2">
      <c r="A41" s="2" t="s">
        <v>602</v>
      </c>
      <c r="D41" s="10">
        <v>10.5336</v>
      </c>
    </row>
    <row r="42" spans="1:4" x14ac:dyDescent="0.2">
      <c r="A42" s="2" t="s">
        <v>683</v>
      </c>
      <c r="D42" s="10">
        <v>10.241899999999999</v>
      </c>
    </row>
    <row r="44" spans="1:4" x14ac:dyDescent="0.2">
      <c r="A44" s="4" t="s">
        <v>105</v>
      </c>
    </row>
    <row r="45" spans="1:4" x14ac:dyDescent="0.2">
      <c r="A45" s="2" t="s">
        <v>600</v>
      </c>
      <c r="D45" s="10">
        <v>11.0366</v>
      </c>
    </row>
    <row r="46" spans="1:4" x14ac:dyDescent="0.2">
      <c r="A46" s="2" t="s">
        <v>601</v>
      </c>
      <c r="D46" s="10">
        <v>10.4467</v>
      </c>
    </row>
    <row r="47" spans="1:4" x14ac:dyDescent="0.2">
      <c r="A47" s="2" t="s">
        <v>684</v>
      </c>
      <c r="D47" s="10">
        <v>10.1777</v>
      </c>
    </row>
    <row r="48" spans="1:4" x14ac:dyDescent="0.2">
      <c r="A48" s="2" t="s">
        <v>602</v>
      </c>
      <c r="D48" s="10">
        <v>11.1031</v>
      </c>
    </row>
    <row r="49" spans="1:5" x14ac:dyDescent="0.2">
      <c r="A49" s="2" t="s">
        <v>683</v>
      </c>
      <c r="D49" s="10">
        <v>10.232799999999999</v>
      </c>
    </row>
    <row r="51" spans="1:5" x14ac:dyDescent="0.2">
      <c r="A51" s="4" t="s">
        <v>106</v>
      </c>
      <c r="D51" s="20" t="s">
        <v>311</v>
      </c>
    </row>
    <row r="52" spans="1:5" x14ac:dyDescent="0.2">
      <c r="A52" s="21" t="s">
        <v>604</v>
      </c>
      <c r="B52" s="22"/>
      <c r="C52" s="103" t="s">
        <v>605</v>
      </c>
      <c r="D52" s="104"/>
    </row>
    <row r="53" spans="1:5" x14ac:dyDescent="0.2">
      <c r="A53" s="105"/>
      <c r="B53" s="106"/>
      <c r="C53" s="23" t="s">
        <v>606</v>
      </c>
      <c r="D53" s="23" t="s">
        <v>607</v>
      </c>
    </row>
    <row r="54" spans="1:5" x14ac:dyDescent="0.2">
      <c r="A54" s="2" t="s">
        <v>601</v>
      </c>
      <c r="B54" s="58"/>
      <c r="C54" s="96">
        <v>0.41058393900000001</v>
      </c>
      <c r="D54" s="96">
        <v>0.3802027737</v>
      </c>
    </row>
    <row r="55" spans="1:5" x14ac:dyDescent="0.2">
      <c r="A55" s="24" t="s">
        <v>684</v>
      </c>
      <c r="B55" s="25"/>
      <c r="C55" s="96">
        <v>0.396177485</v>
      </c>
      <c r="D55" s="96">
        <v>0.36686232560000004</v>
      </c>
    </row>
    <row r="56" spans="1:5" x14ac:dyDescent="0.2">
      <c r="A56" s="24" t="s">
        <v>683</v>
      </c>
      <c r="B56" s="25"/>
      <c r="C56" s="96">
        <v>0.396177485</v>
      </c>
      <c r="D56" s="96">
        <v>0.36686232560000004</v>
      </c>
    </row>
    <row r="58" spans="1:5" x14ac:dyDescent="0.2">
      <c r="A58" s="4" t="s">
        <v>680</v>
      </c>
      <c r="D58" s="15">
        <v>1.6089140099168051</v>
      </c>
      <c r="E58" s="72" t="s">
        <v>679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D4B5-466B-4641-A3B7-A834FB3C5DFF}">
  <dimension ref="A1:F6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1393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1357</v>
      </c>
      <c r="B8" s="38" t="s">
        <v>1871</v>
      </c>
      <c r="C8" s="38" t="s">
        <v>693</v>
      </c>
      <c r="D8" s="38">
        <v>100</v>
      </c>
      <c r="E8" s="63">
        <v>1126.4449999999999</v>
      </c>
      <c r="F8" s="63">
        <v>9.9066620265592302</v>
      </c>
    </row>
    <row r="9" spans="1:6" x14ac:dyDescent="0.2">
      <c r="A9" s="38" t="s">
        <v>939</v>
      </c>
      <c r="B9" s="38" t="s">
        <v>1922</v>
      </c>
      <c r="C9" s="38" t="s">
        <v>693</v>
      </c>
      <c r="D9" s="38">
        <v>111</v>
      </c>
      <c r="E9" s="63">
        <v>1109.8312800000001</v>
      </c>
      <c r="F9" s="63">
        <v>9.7605505794456295</v>
      </c>
    </row>
    <row r="10" spans="1:6" x14ac:dyDescent="0.2">
      <c r="A10" s="38" t="s">
        <v>895</v>
      </c>
      <c r="B10" s="38" t="s">
        <v>1579</v>
      </c>
      <c r="C10" s="38" t="s">
        <v>693</v>
      </c>
      <c r="D10" s="38">
        <v>103</v>
      </c>
      <c r="E10" s="63">
        <v>1040.97156</v>
      </c>
      <c r="F10" s="63">
        <v>9.1549551235791604</v>
      </c>
    </row>
    <row r="11" spans="1:6" x14ac:dyDescent="0.2">
      <c r="A11" s="38" t="s">
        <v>1378</v>
      </c>
      <c r="B11" s="38" t="s">
        <v>1878</v>
      </c>
      <c r="C11" s="38" t="s">
        <v>721</v>
      </c>
      <c r="D11" s="38">
        <v>101</v>
      </c>
      <c r="E11" s="63">
        <v>1018.3052300000001</v>
      </c>
      <c r="F11" s="63">
        <v>8.9556132376526794</v>
      </c>
    </row>
    <row r="12" spans="1:6" x14ac:dyDescent="0.2">
      <c r="A12" s="38" t="s">
        <v>1374</v>
      </c>
      <c r="B12" s="38" t="s">
        <v>1882</v>
      </c>
      <c r="C12" s="38" t="s">
        <v>693</v>
      </c>
      <c r="D12" s="38">
        <v>84</v>
      </c>
      <c r="E12" s="63">
        <v>940.21788000000004</v>
      </c>
      <c r="F12" s="63">
        <v>8.2688642308217695</v>
      </c>
    </row>
    <row r="13" spans="1:6" x14ac:dyDescent="0.2">
      <c r="A13" s="38" t="s">
        <v>1354</v>
      </c>
      <c r="B13" s="38" t="s">
        <v>1862</v>
      </c>
      <c r="C13" s="38" t="s">
        <v>693</v>
      </c>
      <c r="D13" s="38">
        <v>77</v>
      </c>
      <c r="E13" s="63">
        <v>866.35086999999999</v>
      </c>
      <c r="F13" s="63">
        <v>7.6192315341677199</v>
      </c>
    </row>
    <row r="14" spans="1:6" x14ac:dyDescent="0.2">
      <c r="A14" s="38" t="s">
        <v>949</v>
      </c>
      <c r="B14" s="38" t="s">
        <v>1595</v>
      </c>
      <c r="C14" s="38" t="s">
        <v>721</v>
      </c>
      <c r="D14" s="38">
        <v>70</v>
      </c>
      <c r="E14" s="63">
        <v>770.54039999999998</v>
      </c>
      <c r="F14" s="63">
        <v>6.7766143225898796</v>
      </c>
    </row>
    <row r="15" spans="1:6" x14ac:dyDescent="0.2">
      <c r="A15" s="38" t="s">
        <v>1392</v>
      </c>
      <c r="B15" s="38" t="s">
        <v>1890</v>
      </c>
      <c r="C15" s="38" t="s">
        <v>693</v>
      </c>
      <c r="D15" s="38">
        <v>75</v>
      </c>
      <c r="E15" s="63">
        <v>750.43799999999999</v>
      </c>
      <c r="F15" s="63">
        <v>6.5998212410610897</v>
      </c>
    </row>
    <row r="16" spans="1:6" x14ac:dyDescent="0.2">
      <c r="A16" s="38" t="s">
        <v>1391</v>
      </c>
      <c r="B16" s="38" t="s">
        <v>1891</v>
      </c>
      <c r="C16" s="38" t="s">
        <v>721</v>
      </c>
      <c r="D16" s="38">
        <v>56</v>
      </c>
      <c r="E16" s="63">
        <v>562.88343999999995</v>
      </c>
      <c r="F16" s="63">
        <v>4.9503491075259198</v>
      </c>
    </row>
    <row r="17" spans="1:6" x14ac:dyDescent="0.2">
      <c r="A17" s="38" t="s">
        <v>1290</v>
      </c>
      <c r="B17" s="38" t="s">
        <v>1841</v>
      </c>
      <c r="C17" s="38" t="s">
        <v>693</v>
      </c>
      <c r="D17" s="38">
        <v>45</v>
      </c>
      <c r="E17" s="63">
        <v>448.50105000000002</v>
      </c>
      <c r="F17" s="63">
        <v>3.9443988129974801</v>
      </c>
    </row>
    <row r="18" spans="1:6" x14ac:dyDescent="0.2">
      <c r="A18" s="38" t="s">
        <v>1384</v>
      </c>
      <c r="B18" s="38" t="s">
        <v>1884</v>
      </c>
      <c r="C18" s="38" t="s">
        <v>693</v>
      </c>
      <c r="D18" s="38">
        <v>27</v>
      </c>
      <c r="E18" s="63">
        <v>270.22545000000002</v>
      </c>
      <c r="F18" s="63">
        <v>2.3765316585584602</v>
      </c>
    </row>
    <row r="19" spans="1:6" x14ac:dyDescent="0.2">
      <c r="A19" s="38" t="s">
        <v>1375</v>
      </c>
      <c r="B19" s="38" t="s">
        <v>1881</v>
      </c>
      <c r="C19" s="38" t="s">
        <v>693</v>
      </c>
      <c r="D19" s="38">
        <v>11</v>
      </c>
      <c r="E19" s="63">
        <v>112.49524</v>
      </c>
      <c r="F19" s="63">
        <v>0.98935351683985195</v>
      </c>
    </row>
    <row r="20" spans="1:6" x14ac:dyDescent="0.2">
      <c r="A20" s="38" t="s">
        <v>1140</v>
      </c>
      <c r="B20" s="38" t="s">
        <v>1751</v>
      </c>
      <c r="C20" s="38" t="s">
        <v>1139</v>
      </c>
      <c r="D20" s="38">
        <v>9</v>
      </c>
      <c r="E20" s="63">
        <v>100.24596</v>
      </c>
      <c r="F20" s="63">
        <v>0.88162568545110997</v>
      </c>
    </row>
    <row r="21" spans="1:6" x14ac:dyDescent="0.2">
      <c r="A21" s="38" t="s">
        <v>1390</v>
      </c>
      <c r="B21" s="38" t="s">
        <v>1936</v>
      </c>
      <c r="C21" s="38" t="s">
        <v>693</v>
      </c>
      <c r="D21" s="38">
        <v>8</v>
      </c>
      <c r="E21" s="63">
        <v>79.873599999999996</v>
      </c>
      <c r="F21" s="63">
        <v>0.70245840679712002</v>
      </c>
    </row>
    <row r="22" spans="1:6" x14ac:dyDescent="0.2">
      <c r="A22" s="38" t="s">
        <v>1381</v>
      </c>
      <c r="B22" s="38" t="s">
        <v>1887</v>
      </c>
      <c r="C22" s="38" t="s">
        <v>693</v>
      </c>
      <c r="D22" s="38">
        <v>4</v>
      </c>
      <c r="E22" s="63">
        <v>40.074800000000003</v>
      </c>
      <c r="F22" s="63">
        <v>0.35244286173044898</v>
      </c>
    </row>
    <row r="23" spans="1:6" x14ac:dyDescent="0.2">
      <c r="A23" s="38" t="s">
        <v>1389</v>
      </c>
      <c r="B23" s="38" t="s">
        <v>1892</v>
      </c>
      <c r="C23" s="38" t="s">
        <v>693</v>
      </c>
      <c r="D23" s="38">
        <v>3</v>
      </c>
      <c r="E23" s="63">
        <v>38.626687500000003</v>
      </c>
      <c r="F23" s="63">
        <v>0.339707254475825</v>
      </c>
    </row>
    <row r="24" spans="1:6" x14ac:dyDescent="0.2">
      <c r="A24" s="38" t="s">
        <v>929</v>
      </c>
      <c r="B24" s="38" t="s">
        <v>1610</v>
      </c>
      <c r="C24" s="38" t="s">
        <v>721</v>
      </c>
      <c r="D24" s="38">
        <v>1</v>
      </c>
      <c r="E24" s="63">
        <v>10.076930000000001</v>
      </c>
      <c r="F24" s="63">
        <v>8.86228264809161E-2</v>
      </c>
    </row>
    <row r="25" spans="1:6" x14ac:dyDescent="0.2">
      <c r="A25" s="38" t="s">
        <v>1142</v>
      </c>
      <c r="B25" s="38" t="s">
        <v>1749</v>
      </c>
      <c r="C25" s="38" t="s">
        <v>693</v>
      </c>
      <c r="D25" s="38">
        <v>1</v>
      </c>
      <c r="E25" s="63">
        <v>9.9803200000000007</v>
      </c>
      <c r="F25" s="63">
        <v>8.7773177702337599E-2</v>
      </c>
    </row>
    <row r="26" spans="1:6" x14ac:dyDescent="0.2">
      <c r="A26" s="37" t="s">
        <v>43</v>
      </c>
      <c r="B26" s="38"/>
      <c r="C26" s="38"/>
      <c r="D26" s="38"/>
      <c r="E26" s="64">
        <f>SUM(E8:E25)</f>
        <v>9296.083697500002</v>
      </c>
      <c r="F26" s="64">
        <f>SUM(F8:F25)</f>
        <v>81.755575604436629</v>
      </c>
    </row>
    <row r="27" spans="1:6" x14ac:dyDescent="0.2">
      <c r="A27" s="38"/>
      <c r="B27" s="38"/>
      <c r="C27" s="38"/>
      <c r="D27" s="38"/>
      <c r="E27" s="63"/>
      <c r="F27" s="63"/>
    </row>
    <row r="28" spans="1:6" x14ac:dyDescent="0.2">
      <c r="A28" s="37" t="s">
        <v>717</v>
      </c>
      <c r="B28" s="38"/>
      <c r="C28" s="38"/>
      <c r="D28" s="38"/>
      <c r="E28" s="63"/>
      <c r="F28" s="63"/>
    </row>
    <row r="29" spans="1:6" x14ac:dyDescent="0.2">
      <c r="A29" s="38" t="s">
        <v>1372</v>
      </c>
      <c r="B29" s="38" t="s">
        <v>1877</v>
      </c>
      <c r="C29" s="38" t="s">
        <v>933</v>
      </c>
      <c r="D29" s="38">
        <v>100</v>
      </c>
      <c r="E29" s="63">
        <v>1000.731</v>
      </c>
      <c r="F29" s="63">
        <v>8.8010544647103508</v>
      </c>
    </row>
    <row r="30" spans="1:6" x14ac:dyDescent="0.2">
      <c r="A30" s="38" t="s">
        <v>1388</v>
      </c>
      <c r="B30" s="38" t="s">
        <v>1889</v>
      </c>
      <c r="C30" s="38" t="s">
        <v>693</v>
      </c>
      <c r="D30" s="38">
        <v>72</v>
      </c>
      <c r="E30" s="63">
        <v>718.51823999999999</v>
      </c>
      <c r="F30" s="63">
        <v>6.3190989028298503</v>
      </c>
    </row>
    <row r="31" spans="1:6" x14ac:dyDescent="0.2">
      <c r="A31" s="37" t="s">
        <v>43</v>
      </c>
      <c r="B31" s="38"/>
      <c r="C31" s="38"/>
      <c r="D31" s="38"/>
      <c r="E31" s="64">
        <f>SUM(E29:E30)</f>
        <v>1719.2492400000001</v>
      </c>
      <c r="F31" s="64">
        <f>SUM(F29:F30)</f>
        <v>15.120153367540201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43</v>
      </c>
      <c r="B33" s="38"/>
      <c r="C33" s="38"/>
      <c r="D33" s="38"/>
      <c r="E33" s="64">
        <v>11015.332937500003</v>
      </c>
      <c r="F33" s="64">
        <v>96.875728971976827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37" t="s">
        <v>101</v>
      </c>
      <c r="B35" s="38"/>
      <c r="C35" s="38"/>
      <c r="D35" s="38"/>
      <c r="E35" s="64">
        <v>355.25069589999998</v>
      </c>
      <c r="F35" s="64">
        <v>3.12</v>
      </c>
    </row>
    <row r="36" spans="1:6" x14ac:dyDescent="0.2">
      <c r="A36" s="38"/>
      <c r="B36" s="38"/>
      <c r="C36" s="38"/>
      <c r="D36" s="38"/>
      <c r="E36" s="63"/>
      <c r="F36" s="63"/>
    </row>
    <row r="37" spans="1:6" x14ac:dyDescent="0.2">
      <c r="A37" s="80" t="s">
        <v>102</v>
      </c>
      <c r="B37" s="79"/>
      <c r="C37" s="79"/>
      <c r="D37" s="79"/>
      <c r="E37" s="61">
        <v>11370.5806959</v>
      </c>
      <c r="F37" s="61">
        <f xml:space="preserve"> ROUND(SUM(F33:F36),2)</f>
        <v>100</v>
      </c>
    </row>
    <row r="38" spans="1:6" x14ac:dyDescent="0.2">
      <c r="A38" s="88" t="s">
        <v>686</v>
      </c>
    </row>
    <row r="40" spans="1:6" x14ac:dyDescent="0.2">
      <c r="A40" s="4" t="s">
        <v>103</v>
      </c>
    </row>
    <row r="41" spans="1:6" x14ac:dyDescent="0.2">
      <c r="A41" s="4" t="s">
        <v>685</v>
      </c>
    </row>
    <row r="42" spans="1:6" x14ac:dyDescent="0.2">
      <c r="A42" s="4" t="s">
        <v>608</v>
      </c>
    </row>
    <row r="43" spans="1:6" x14ac:dyDescent="0.2">
      <c r="A43" s="2" t="s">
        <v>600</v>
      </c>
      <c r="D43" s="10">
        <v>10.501300000000001</v>
      </c>
    </row>
    <row r="44" spans="1:6" x14ac:dyDescent="0.2">
      <c r="A44" s="2" t="s">
        <v>601</v>
      </c>
      <c r="D44" s="10">
        <v>10.501300000000001</v>
      </c>
    </row>
    <row r="45" spans="1:6" x14ac:dyDescent="0.2">
      <c r="A45" s="2" t="s">
        <v>684</v>
      </c>
      <c r="D45" s="10">
        <v>10.210000000000001</v>
      </c>
    </row>
    <row r="46" spans="1:6" x14ac:dyDescent="0.2">
      <c r="A46" s="2" t="s">
        <v>602</v>
      </c>
      <c r="D46" s="10">
        <v>10.5572</v>
      </c>
    </row>
    <row r="47" spans="1:6" x14ac:dyDescent="0.2">
      <c r="A47" s="2" t="s">
        <v>603</v>
      </c>
      <c r="D47" s="10">
        <v>10.5572</v>
      </c>
    </row>
    <row r="48" spans="1:6" x14ac:dyDescent="0.2">
      <c r="A48" s="2" t="s">
        <v>683</v>
      </c>
      <c r="D48" s="10">
        <v>10.2347</v>
      </c>
    </row>
    <row r="50" spans="1:4" x14ac:dyDescent="0.2">
      <c r="A50" s="4" t="s">
        <v>105</v>
      </c>
    </row>
    <row r="51" spans="1:4" x14ac:dyDescent="0.2">
      <c r="A51" s="2" t="s">
        <v>600</v>
      </c>
      <c r="D51" s="10">
        <v>11.0581</v>
      </c>
    </row>
    <row r="52" spans="1:4" x14ac:dyDescent="0.2">
      <c r="A52" s="2" t="s">
        <v>601</v>
      </c>
      <c r="D52" s="10">
        <v>10.462899999999999</v>
      </c>
    </row>
    <row r="53" spans="1:4" x14ac:dyDescent="0.2">
      <c r="A53" s="2" t="s">
        <v>684</v>
      </c>
      <c r="D53" s="10">
        <v>10.172700000000001</v>
      </c>
    </row>
    <row r="54" spans="1:4" x14ac:dyDescent="0.2">
      <c r="A54" s="2" t="s">
        <v>602</v>
      </c>
      <c r="D54" s="10">
        <v>11.124700000000001</v>
      </c>
    </row>
    <row r="55" spans="1:4" x14ac:dyDescent="0.2">
      <c r="A55" s="2" t="s">
        <v>603</v>
      </c>
      <c r="D55" s="10">
        <v>10.529500000000001</v>
      </c>
    </row>
    <row r="56" spans="1:4" x14ac:dyDescent="0.2">
      <c r="A56" s="2" t="s">
        <v>683</v>
      </c>
      <c r="D56" s="10">
        <v>10.206200000000001</v>
      </c>
    </row>
    <row r="58" spans="1:4" x14ac:dyDescent="0.2">
      <c r="A58" s="4" t="s">
        <v>106</v>
      </c>
      <c r="D58" s="100" t="s">
        <v>311</v>
      </c>
    </row>
    <row r="59" spans="1:4" x14ac:dyDescent="0.2">
      <c r="A59" s="21" t="s">
        <v>604</v>
      </c>
      <c r="B59" s="22"/>
      <c r="C59" s="103" t="s">
        <v>605</v>
      </c>
      <c r="D59" s="104"/>
    </row>
    <row r="60" spans="1:4" x14ac:dyDescent="0.2">
      <c r="A60" s="105"/>
      <c r="B60" s="106"/>
      <c r="C60" s="23" t="s">
        <v>606</v>
      </c>
      <c r="D60" s="23" t="s">
        <v>607</v>
      </c>
    </row>
    <row r="61" spans="1:4" x14ac:dyDescent="0.2">
      <c r="A61" s="2" t="s">
        <v>601</v>
      </c>
      <c r="B61" s="58"/>
      <c r="C61" s="99">
        <v>0.4141855525</v>
      </c>
      <c r="D61" s="99">
        <v>0.38353788580000003</v>
      </c>
    </row>
    <row r="62" spans="1:4" x14ac:dyDescent="0.2">
      <c r="A62" s="24" t="s">
        <v>684</v>
      </c>
      <c r="B62" s="25"/>
      <c r="C62" s="96">
        <v>0.40698232550000002</v>
      </c>
      <c r="D62" s="96">
        <v>0.37686766170000002</v>
      </c>
    </row>
    <row r="63" spans="1:4" x14ac:dyDescent="0.2">
      <c r="A63" s="2" t="s">
        <v>603</v>
      </c>
      <c r="B63" s="25"/>
      <c r="C63" s="96">
        <v>0.4141855525</v>
      </c>
      <c r="D63" s="96">
        <v>0.38353788580000003</v>
      </c>
    </row>
    <row r="64" spans="1:4" x14ac:dyDescent="0.2">
      <c r="A64" s="24" t="s">
        <v>683</v>
      </c>
      <c r="B64" s="25"/>
      <c r="C64" s="96">
        <v>0.40698232550000002</v>
      </c>
      <c r="D64" s="96">
        <v>0.37686766170000002</v>
      </c>
    </row>
    <row r="66" spans="1:5" x14ac:dyDescent="0.2">
      <c r="A66" s="4" t="s">
        <v>680</v>
      </c>
      <c r="D66" s="15">
        <v>1.5856388149174281</v>
      </c>
      <c r="E66" s="72" t="s">
        <v>679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C7B-4C20-493A-94DC-AF0F8090ABB8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1395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1357</v>
      </c>
      <c r="B8" s="38" t="s">
        <v>1871</v>
      </c>
      <c r="C8" s="38" t="s">
        <v>693</v>
      </c>
      <c r="D8" s="38">
        <v>61</v>
      </c>
      <c r="E8" s="63">
        <v>687.13144999999997</v>
      </c>
      <c r="F8" s="63">
        <v>9.9513087127271405</v>
      </c>
    </row>
    <row r="9" spans="1:6" x14ac:dyDescent="0.2">
      <c r="A9" s="38" t="s">
        <v>1378</v>
      </c>
      <c r="B9" s="38" t="s">
        <v>1878</v>
      </c>
      <c r="C9" s="38" t="s">
        <v>721</v>
      </c>
      <c r="D9" s="38">
        <v>61</v>
      </c>
      <c r="E9" s="63">
        <v>615.01603</v>
      </c>
      <c r="F9" s="63">
        <v>8.9069047528036407</v>
      </c>
    </row>
    <row r="10" spans="1:6" x14ac:dyDescent="0.2">
      <c r="A10" s="38" t="s">
        <v>1391</v>
      </c>
      <c r="B10" s="38" t="s">
        <v>1891</v>
      </c>
      <c r="C10" s="38" t="s">
        <v>721</v>
      </c>
      <c r="D10" s="38">
        <v>61</v>
      </c>
      <c r="E10" s="63">
        <v>613.14089000000001</v>
      </c>
      <c r="F10" s="63">
        <v>8.8797482356342101</v>
      </c>
    </row>
    <row r="11" spans="1:6" x14ac:dyDescent="0.2">
      <c r="A11" s="38" t="s">
        <v>1392</v>
      </c>
      <c r="B11" s="38" t="s">
        <v>1890</v>
      </c>
      <c r="C11" s="38" t="s">
        <v>693</v>
      </c>
      <c r="D11" s="38">
        <v>61</v>
      </c>
      <c r="E11" s="63">
        <v>610.35623999999996</v>
      </c>
      <c r="F11" s="63">
        <v>8.8394198358689309</v>
      </c>
    </row>
    <row r="12" spans="1:6" x14ac:dyDescent="0.2">
      <c r="A12" s="38" t="s">
        <v>1390</v>
      </c>
      <c r="B12" s="38" t="s">
        <v>1936</v>
      </c>
      <c r="C12" s="38" t="s">
        <v>693</v>
      </c>
      <c r="D12" s="38">
        <v>61</v>
      </c>
      <c r="E12" s="63">
        <v>609.03620000000001</v>
      </c>
      <c r="F12" s="63">
        <v>8.8203024958706706</v>
      </c>
    </row>
    <row r="13" spans="1:6" x14ac:dyDescent="0.2">
      <c r="A13" s="38" t="s">
        <v>897</v>
      </c>
      <c r="B13" s="38" t="s">
        <v>1577</v>
      </c>
      <c r="C13" s="38" t="s">
        <v>693</v>
      </c>
      <c r="D13" s="38">
        <v>5</v>
      </c>
      <c r="E13" s="63">
        <v>507.7475</v>
      </c>
      <c r="F13" s="63">
        <v>7.3533995869573801</v>
      </c>
    </row>
    <row r="14" spans="1:6" x14ac:dyDescent="0.2">
      <c r="A14" s="38" t="s">
        <v>949</v>
      </c>
      <c r="B14" s="38" t="s">
        <v>1595</v>
      </c>
      <c r="C14" s="38" t="s">
        <v>721</v>
      </c>
      <c r="D14" s="38">
        <v>40</v>
      </c>
      <c r="E14" s="63">
        <v>440.30880000000002</v>
      </c>
      <c r="F14" s="63">
        <v>6.3767257309070002</v>
      </c>
    </row>
    <row r="15" spans="1:6" x14ac:dyDescent="0.2">
      <c r="A15" s="38" t="s">
        <v>895</v>
      </c>
      <c r="B15" s="38" t="s">
        <v>1579</v>
      </c>
      <c r="C15" s="38" t="s">
        <v>693</v>
      </c>
      <c r="D15" s="38">
        <v>36</v>
      </c>
      <c r="E15" s="63">
        <v>363.83472</v>
      </c>
      <c r="F15" s="63">
        <v>5.2691979374960098</v>
      </c>
    </row>
    <row r="16" spans="1:6" x14ac:dyDescent="0.2">
      <c r="A16" s="38" t="s">
        <v>1290</v>
      </c>
      <c r="B16" s="38" t="s">
        <v>1841</v>
      </c>
      <c r="C16" s="38" t="s">
        <v>693</v>
      </c>
      <c r="D16" s="38">
        <v>36</v>
      </c>
      <c r="E16" s="63">
        <v>358.80083999999999</v>
      </c>
      <c r="F16" s="63">
        <v>5.1962953016134197</v>
      </c>
    </row>
    <row r="17" spans="1:6" x14ac:dyDescent="0.2">
      <c r="A17" s="38" t="s">
        <v>1354</v>
      </c>
      <c r="B17" s="38" t="s">
        <v>1862</v>
      </c>
      <c r="C17" s="38" t="s">
        <v>693</v>
      </c>
      <c r="D17" s="38">
        <v>30</v>
      </c>
      <c r="E17" s="63">
        <v>337.53930000000003</v>
      </c>
      <c r="F17" s="63">
        <v>4.8883772922601896</v>
      </c>
    </row>
    <row r="18" spans="1:6" x14ac:dyDescent="0.2">
      <c r="A18" s="38" t="s">
        <v>1140</v>
      </c>
      <c r="B18" s="38" t="s">
        <v>1751</v>
      </c>
      <c r="C18" s="38" t="s">
        <v>1139</v>
      </c>
      <c r="D18" s="38">
        <v>10</v>
      </c>
      <c r="E18" s="63">
        <v>111.3844</v>
      </c>
      <c r="F18" s="63">
        <v>1.6131128187799999</v>
      </c>
    </row>
    <row r="19" spans="1:6" x14ac:dyDescent="0.2">
      <c r="A19" s="38" t="s">
        <v>1375</v>
      </c>
      <c r="B19" s="38" t="s">
        <v>1881</v>
      </c>
      <c r="C19" s="38" t="s">
        <v>693</v>
      </c>
      <c r="D19" s="38">
        <v>10</v>
      </c>
      <c r="E19" s="63">
        <v>102.2684</v>
      </c>
      <c r="F19" s="63">
        <v>1.48109131077709</v>
      </c>
    </row>
    <row r="20" spans="1:6" x14ac:dyDescent="0.2">
      <c r="A20" s="38" t="s">
        <v>939</v>
      </c>
      <c r="B20" s="38" t="s">
        <v>1922</v>
      </c>
      <c r="C20" s="38" t="s">
        <v>693</v>
      </c>
      <c r="D20" s="38">
        <v>5</v>
      </c>
      <c r="E20" s="63">
        <v>49.992400000000004</v>
      </c>
      <c r="F20" s="63">
        <v>0.72400965738089895</v>
      </c>
    </row>
    <row r="21" spans="1:6" x14ac:dyDescent="0.2">
      <c r="A21" s="38" t="s">
        <v>1142</v>
      </c>
      <c r="B21" s="38" t="s">
        <v>1749</v>
      </c>
      <c r="C21" s="38" t="s">
        <v>693</v>
      </c>
      <c r="D21" s="38">
        <v>2</v>
      </c>
      <c r="E21" s="63">
        <v>19.960640000000001</v>
      </c>
      <c r="F21" s="63">
        <v>0.28907786238515198</v>
      </c>
    </row>
    <row r="22" spans="1:6" x14ac:dyDescent="0.2">
      <c r="A22" s="38" t="s">
        <v>1374</v>
      </c>
      <c r="B22" s="38" t="s">
        <v>1882</v>
      </c>
      <c r="C22" s="38" t="s">
        <v>693</v>
      </c>
      <c r="D22" s="38">
        <v>1</v>
      </c>
      <c r="E22" s="63">
        <v>11.193070000000001</v>
      </c>
      <c r="F22" s="63">
        <v>0.16210245508798199</v>
      </c>
    </row>
    <row r="23" spans="1:6" x14ac:dyDescent="0.2">
      <c r="A23" s="38" t="s">
        <v>1394</v>
      </c>
      <c r="B23" s="38" t="s">
        <v>1893</v>
      </c>
      <c r="C23" s="38" t="s">
        <v>693</v>
      </c>
      <c r="D23" s="38">
        <v>1</v>
      </c>
      <c r="E23" s="63">
        <v>9.9853900000000007</v>
      </c>
      <c r="F23" s="63">
        <v>0.14461235693254701</v>
      </c>
    </row>
    <row r="24" spans="1:6" x14ac:dyDescent="0.2">
      <c r="A24" s="37" t="s">
        <v>43</v>
      </c>
      <c r="B24" s="38"/>
      <c r="C24" s="38"/>
      <c r="D24" s="38"/>
      <c r="E24" s="64">
        <f>SUM(E8:E23)</f>
        <v>5447.6962700000004</v>
      </c>
      <c r="F24" s="64">
        <f>SUM(F8:F23)</f>
        <v>78.89568634348224</v>
      </c>
    </row>
    <row r="25" spans="1:6" x14ac:dyDescent="0.2">
      <c r="A25" s="38"/>
      <c r="B25" s="38"/>
      <c r="C25" s="38"/>
      <c r="D25" s="38"/>
      <c r="E25" s="63"/>
      <c r="F25" s="63"/>
    </row>
    <row r="26" spans="1:6" x14ac:dyDescent="0.2">
      <c r="A26" s="37" t="s">
        <v>717</v>
      </c>
      <c r="B26" s="38"/>
      <c r="C26" s="38"/>
      <c r="D26" s="38"/>
      <c r="E26" s="63"/>
      <c r="F26" s="63"/>
    </row>
    <row r="27" spans="1:6" x14ac:dyDescent="0.2">
      <c r="A27" s="38" t="s">
        <v>1372</v>
      </c>
      <c r="B27" s="38" t="s">
        <v>1877</v>
      </c>
      <c r="C27" s="38" t="s">
        <v>933</v>
      </c>
      <c r="D27" s="38">
        <v>61</v>
      </c>
      <c r="E27" s="63">
        <v>610.44591000000003</v>
      </c>
      <c r="F27" s="63">
        <v>8.8407184721811998</v>
      </c>
    </row>
    <row r="28" spans="1:6" x14ac:dyDescent="0.2">
      <c r="A28" s="38" t="s">
        <v>1388</v>
      </c>
      <c r="B28" s="38" t="s">
        <v>1889</v>
      </c>
      <c r="C28" s="38" t="s">
        <v>693</v>
      </c>
      <c r="D28" s="38">
        <v>61</v>
      </c>
      <c r="E28" s="63">
        <v>608.74462000000005</v>
      </c>
      <c r="F28" s="63">
        <v>8.8160797192906504</v>
      </c>
    </row>
    <row r="29" spans="1:6" x14ac:dyDescent="0.2">
      <c r="A29" s="37" t="s">
        <v>43</v>
      </c>
      <c r="B29" s="38"/>
      <c r="C29" s="38"/>
      <c r="D29" s="38"/>
      <c r="E29" s="64">
        <f>SUM(E27:E28)</f>
        <v>1219.1905300000001</v>
      </c>
      <c r="F29" s="64">
        <f>SUM(F27:F28)</f>
        <v>17.65679819147185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6666.8868000000002</v>
      </c>
      <c r="F31" s="64">
        <v>96.55248453495409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238.04551989999999</v>
      </c>
      <c r="F33" s="64">
        <v>3.45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6904.9355199000001</v>
      </c>
      <c r="F35" s="61">
        <f xml:space="preserve"> ROUND(SUM(F31:F34),2)</f>
        <v>100</v>
      </c>
    </row>
    <row r="36" spans="1:6" x14ac:dyDescent="0.2">
      <c r="A36" s="88" t="s">
        <v>686</v>
      </c>
    </row>
    <row r="37" spans="1:6" x14ac:dyDescent="0.2">
      <c r="A37" s="4"/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</row>
    <row r="41" spans="1:6" x14ac:dyDescent="0.2">
      <c r="A41" s="2" t="s">
        <v>600</v>
      </c>
      <c r="D41" s="10">
        <v>10.565</v>
      </c>
    </row>
    <row r="42" spans="1:6" x14ac:dyDescent="0.2">
      <c r="A42" s="2" t="s">
        <v>601</v>
      </c>
      <c r="D42" s="10">
        <v>10.565</v>
      </c>
    </row>
    <row r="43" spans="1:6" x14ac:dyDescent="0.2">
      <c r="A43" s="2" t="s">
        <v>684</v>
      </c>
      <c r="D43" s="10">
        <v>10.2067</v>
      </c>
    </row>
    <row r="44" spans="1:6" x14ac:dyDescent="0.2">
      <c r="A44" s="2" t="s">
        <v>602</v>
      </c>
      <c r="D44" s="10">
        <v>10.6129</v>
      </c>
    </row>
    <row r="46" spans="1:6" x14ac:dyDescent="0.2">
      <c r="A46" s="4" t="s">
        <v>105</v>
      </c>
    </row>
    <row r="47" spans="1:6" x14ac:dyDescent="0.2">
      <c r="A47" s="2" t="s">
        <v>600</v>
      </c>
      <c r="D47" s="10">
        <v>11.126300000000001</v>
      </c>
    </row>
    <row r="48" spans="1:6" x14ac:dyDescent="0.2">
      <c r="A48" s="2" t="s">
        <v>601</v>
      </c>
      <c r="D48" s="10">
        <v>10.4536</v>
      </c>
    </row>
    <row r="49" spans="1:5" x14ac:dyDescent="0.2">
      <c r="A49" s="2" t="s">
        <v>684</v>
      </c>
      <c r="D49" s="10">
        <v>10.1806</v>
      </c>
    </row>
    <row r="50" spans="1:5" x14ac:dyDescent="0.2">
      <c r="A50" s="2" t="s">
        <v>602</v>
      </c>
      <c r="D50" s="10">
        <v>11.1821</v>
      </c>
    </row>
    <row r="52" spans="1:5" x14ac:dyDescent="0.2">
      <c r="A52" s="4" t="s">
        <v>106</v>
      </c>
      <c r="D52" s="20" t="s">
        <v>311</v>
      </c>
    </row>
    <row r="53" spans="1:5" x14ac:dyDescent="0.2">
      <c r="A53" s="21" t="s">
        <v>604</v>
      </c>
      <c r="B53" s="22"/>
      <c r="C53" s="103" t="s">
        <v>605</v>
      </c>
      <c r="D53" s="104"/>
    </row>
    <row r="54" spans="1:5" x14ac:dyDescent="0.2">
      <c r="A54" s="105"/>
      <c r="B54" s="106"/>
      <c r="C54" s="23" t="s">
        <v>606</v>
      </c>
      <c r="D54" s="23" t="s">
        <v>607</v>
      </c>
    </row>
    <row r="55" spans="1:5" x14ac:dyDescent="0.2">
      <c r="A55" s="2" t="s">
        <v>601</v>
      </c>
      <c r="B55" s="58"/>
      <c r="C55" s="96">
        <v>0.46820975500000001</v>
      </c>
      <c r="D55" s="96">
        <v>0.43356456650000003</v>
      </c>
    </row>
    <row r="56" spans="1:5" x14ac:dyDescent="0.2">
      <c r="A56" s="24" t="s">
        <v>684</v>
      </c>
      <c r="B56" s="25"/>
      <c r="C56" s="96">
        <v>0.39977909850000004</v>
      </c>
      <c r="D56" s="96">
        <v>0.37019743760000001</v>
      </c>
    </row>
    <row r="58" spans="1:5" x14ac:dyDescent="0.2">
      <c r="A58" s="4" t="s">
        <v>680</v>
      </c>
      <c r="D58" s="15">
        <v>1.5733172651245673</v>
      </c>
      <c r="E58" s="72" t="s">
        <v>679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52A9-98C7-4B5C-941D-61912147FFDF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1398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1357</v>
      </c>
      <c r="B8" s="38" t="s">
        <v>1871</v>
      </c>
      <c r="C8" s="38" t="s">
        <v>693</v>
      </c>
      <c r="D8" s="38">
        <v>67</v>
      </c>
      <c r="E8" s="63">
        <v>754.71815000000004</v>
      </c>
      <c r="F8" s="63">
        <v>9.8947443819795797</v>
      </c>
    </row>
    <row r="9" spans="1:6" x14ac:dyDescent="0.2">
      <c r="A9" s="38" t="s">
        <v>1386</v>
      </c>
      <c r="B9" s="38" t="s">
        <v>1888</v>
      </c>
      <c r="C9" s="38" t="s">
        <v>693</v>
      </c>
      <c r="D9" s="38">
        <v>86</v>
      </c>
      <c r="E9" s="63">
        <v>753.73581999999999</v>
      </c>
      <c r="F9" s="63">
        <v>9.8818655287961104</v>
      </c>
    </row>
    <row r="10" spans="1:6" x14ac:dyDescent="0.2">
      <c r="A10" s="38" t="s">
        <v>895</v>
      </c>
      <c r="B10" s="38" t="s">
        <v>1579</v>
      </c>
      <c r="C10" s="38" t="s">
        <v>693</v>
      </c>
      <c r="D10" s="38">
        <v>72</v>
      </c>
      <c r="E10" s="63">
        <v>727.66944000000001</v>
      </c>
      <c r="F10" s="63">
        <v>9.5401218367124496</v>
      </c>
    </row>
    <row r="11" spans="1:6" x14ac:dyDescent="0.2">
      <c r="A11" s="38" t="s">
        <v>1378</v>
      </c>
      <c r="B11" s="38" t="s">
        <v>1878</v>
      </c>
      <c r="C11" s="38" t="s">
        <v>721</v>
      </c>
      <c r="D11" s="38">
        <v>68</v>
      </c>
      <c r="E11" s="63">
        <v>685.59163999999998</v>
      </c>
      <c r="F11" s="63">
        <v>8.9884601665166795</v>
      </c>
    </row>
    <row r="12" spans="1:6" x14ac:dyDescent="0.2">
      <c r="A12" s="38" t="s">
        <v>1391</v>
      </c>
      <c r="B12" s="38" t="s">
        <v>1891</v>
      </c>
      <c r="C12" s="38" t="s">
        <v>721</v>
      </c>
      <c r="D12" s="38">
        <v>68</v>
      </c>
      <c r="E12" s="63">
        <v>683.50131999999996</v>
      </c>
      <c r="F12" s="63">
        <v>8.9610549927090304</v>
      </c>
    </row>
    <row r="13" spans="1:6" x14ac:dyDescent="0.2">
      <c r="A13" s="38" t="s">
        <v>1392</v>
      </c>
      <c r="B13" s="38" t="s">
        <v>1890</v>
      </c>
      <c r="C13" s="38" t="s">
        <v>693</v>
      </c>
      <c r="D13" s="38">
        <v>68</v>
      </c>
      <c r="E13" s="63">
        <v>680.39711999999997</v>
      </c>
      <c r="F13" s="63">
        <v>8.9203573289380707</v>
      </c>
    </row>
    <row r="14" spans="1:6" x14ac:dyDescent="0.2">
      <c r="A14" s="38" t="s">
        <v>1390</v>
      </c>
      <c r="B14" s="38" t="s">
        <v>1936</v>
      </c>
      <c r="C14" s="38" t="s">
        <v>693</v>
      </c>
      <c r="D14" s="38">
        <v>68</v>
      </c>
      <c r="E14" s="63">
        <v>678.92560000000003</v>
      </c>
      <c r="F14" s="63">
        <v>8.9010649424319706</v>
      </c>
    </row>
    <row r="15" spans="1:6" x14ac:dyDescent="0.2">
      <c r="A15" s="38" t="s">
        <v>1397</v>
      </c>
      <c r="B15" s="38" t="s">
        <v>1894</v>
      </c>
      <c r="C15" s="38" t="s">
        <v>693</v>
      </c>
      <c r="D15" s="38">
        <v>50</v>
      </c>
      <c r="E15" s="63">
        <v>513.80949999999996</v>
      </c>
      <c r="F15" s="63">
        <v>6.7363076713243704</v>
      </c>
    </row>
    <row r="16" spans="1:6" x14ac:dyDescent="0.2">
      <c r="A16" s="38" t="s">
        <v>1356</v>
      </c>
      <c r="B16" s="38" t="s">
        <v>1872</v>
      </c>
      <c r="C16" s="38" t="s">
        <v>693</v>
      </c>
      <c r="D16" s="38">
        <v>16</v>
      </c>
      <c r="E16" s="63">
        <v>160.34639999999999</v>
      </c>
      <c r="F16" s="63">
        <v>2.1022240429366201</v>
      </c>
    </row>
    <row r="17" spans="1:6" x14ac:dyDescent="0.2">
      <c r="A17" s="38" t="s">
        <v>1142</v>
      </c>
      <c r="B17" s="38" t="s">
        <v>1749</v>
      </c>
      <c r="C17" s="38" t="s">
        <v>693</v>
      </c>
      <c r="D17" s="38">
        <v>7</v>
      </c>
      <c r="E17" s="63">
        <v>69.86224</v>
      </c>
      <c r="F17" s="63">
        <v>0.91593001540046304</v>
      </c>
    </row>
    <row r="18" spans="1:6" x14ac:dyDescent="0.2">
      <c r="A18" s="38" t="s">
        <v>939</v>
      </c>
      <c r="B18" s="38" t="s">
        <v>1922</v>
      </c>
      <c r="C18" s="38" t="s">
        <v>693</v>
      </c>
      <c r="D18" s="38">
        <v>6</v>
      </c>
      <c r="E18" s="63">
        <v>59.990879999999997</v>
      </c>
      <c r="F18" s="63">
        <v>0.78651139216674604</v>
      </c>
    </row>
    <row r="19" spans="1:6" x14ac:dyDescent="0.2">
      <c r="A19" s="38" t="s">
        <v>1374</v>
      </c>
      <c r="B19" s="38" t="s">
        <v>1882</v>
      </c>
      <c r="C19" s="38" t="s">
        <v>693</v>
      </c>
      <c r="D19" s="38">
        <v>4</v>
      </c>
      <c r="E19" s="63">
        <v>44.772280000000002</v>
      </c>
      <c r="F19" s="63">
        <v>0.58698769335071199</v>
      </c>
    </row>
    <row r="20" spans="1:6" x14ac:dyDescent="0.2">
      <c r="A20" s="38" t="s">
        <v>1140</v>
      </c>
      <c r="B20" s="38" t="s">
        <v>1751</v>
      </c>
      <c r="C20" s="38" t="s">
        <v>1139</v>
      </c>
      <c r="D20" s="38">
        <v>3</v>
      </c>
      <c r="E20" s="63">
        <v>33.415320000000001</v>
      </c>
      <c r="F20" s="63">
        <v>0.43809208754559498</v>
      </c>
    </row>
    <row r="21" spans="1:6" x14ac:dyDescent="0.2">
      <c r="A21" s="38" t="s">
        <v>1375</v>
      </c>
      <c r="B21" s="38" t="s">
        <v>1881</v>
      </c>
      <c r="C21" s="38" t="s">
        <v>693</v>
      </c>
      <c r="D21" s="38">
        <v>3</v>
      </c>
      <c r="E21" s="63">
        <v>30.680520000000001</v>
      </c>
      <c r="F21" s="63">
        <v>0.40223744838548298</v>
      </c>
    </row>
    <row r="22" spans="1:6" x14ac:dyDescent="0.2">
      <c r="A22" s="38" t="s">
        <v>1396</v>
      </c>
      <c r="B22" s="38" t="s">
        <v>1895</v>
      </c>
      <c r="C22" s="38" t="s">
        <v>721</v>
      </c>
      <c r="D22" s="38">
        <v>1</v>
      </c>
      <c r="E22" s="63">
        <v>9.9951000000000008</v>
      </c>
      <c r="F22" s="63">
        <v>0.131040918483707</v>
      </c>
    </row>
    <row r="23" spans="1:6" x14ac:dyDescent="0.2">
      <c r="A23" s="37" t="s">
        <v>43</v>
      </c>
      <c r="B23" s="38"/>
      <c r="C23" s="38"/>
      <c r="D23" s="38"/>
      <c r="E23" s="64">
        <f>SUM(E8:E22)</f>
        <v>5887.4113300000017</v>
      </c>
      <c r="F23" s="64">
        <f>SUM(F8:F22)</f>
        <v>77.18700044767759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717</v>
      </c>
      <c r="B25" s="38"/>
      <c r="C25" s="38"/>
      <c r="D25" s="38"/>
      <c r="E25" s="63"/>
      <c r="F25" s="63"/>
    </row>
    <row r="26" spans="1:6" x14ac:dyDescent="0.2">
      <c r="A26" s="38" t="s">
        <v>1388</v>
      </c>
      <c r="B26" s="38" t="s">
        <v>1889</v>
      </c>
      <c r="C26" s="38" t="s">
        <v>693</v>
      </c>
      <c r="D26" s="38">
        <v>68</v>
      </c>
      <c r="E26" s="63">
        <v>678.60055999999997</v>
      </c>
      <c r="F26" s="63">
        <v>8.8968035003109396</v>
      </c>
    </row>
    <row r="27" spans="1:6" x14ac:dyDescent="0.2">
      <c r="A27" s="38" t="s">
        <v>1372</v>
      </c>
      <c r="B27" s="38" t="s">
        <v>1877</v>
      </c>
      <c r="C27" s="38" t="s">
        <v>933</v>
      </c>
      <c r="D27" s="38">
        <v>67</v>
      </c>
      <c r="E27" s="63">
        <v>670.48977000000002</v>
      </c>
      <c r="F27" s="63">
        <v>8.7904668582334704</v>
      </c>
    </row>
    <row r="28" spans="1:6" x14ac:dyDescent="0.2">
      <c r="A28" s="38" t="s">
        <v>925</v>
      </c>
      <c r="B28" s="38" t="s">
        <v>1581</v>
      </c>
      <c r="C28" s="38" t="s">
        <v>693</v>
      </c>
      <c r="D28" s="38">
        <v>12</v>
      </c>
      <c r="E28" s="63">
        <v>119.43996</v>
      </c>
      <c r="F28" s="63">
        <v>1.5659195067640399</v>
      </c>
    </row>
    <row r="29" spans="1:6" x14ac:dyDescent="0.2">
      <c r="A29" s="37" t="s">
        <v>43</v>
      </c>
      <c r="B29" s="38"/>
      <c r="C29" s="38"/>
      <c r="D29" s="38"/>
      <c r="E29" s="64">
        <f>SUM(E26:E28)</f>
        <v>1468.5302899999999</v>
      </c>
      <c r="F29" s="64">
        <f>SUM(F26:F28)</f>
        <v>19.25318986530845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7355.9416200000014</v>
      </c>
      <c r="F31" s="64">
        <v>96.440190312986047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271.5248527</v>
      </c>
      <c r="F33" s="64">
        <v>3.56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7627.4648526999999</v>
      </c>
      <c r="F35" s="61">
        <f xml:space="preserve"> ROUND(SUM(F31:F34),2)</f>
        <v>100</v>
      </c>
    </row>
    <row r="36" spans="1:6" x14ac:dyDescent="0.2">
      <c r="A36" s="88" t="s">
        <v>686</v>
      </c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</row>
    <row r="41" spans="1:6" x14ac:dyDescent="0.2">
      <c r="A41" s="2" t="s">
        <v>600</v>
      </c>
      <c r="D41" s="10">
        <v>10.5815</v>
      </c>
    </row>
    <row r="42" spans="1:6" x14ac:dyDescent="0.2">
      <c r="A42" s="2" t="s">
        <v>601</v>
      </c>
      <c r="D42" s="10">
        <v>10.5815</v>
      </c>
    </row>
    <row r="43" spans="1:6" x14ac:dyDescent="0.2">
      <c r="A43" s="2" t="s">
        <v>602</v>
      </c>
      <c r="D43" s="10">
        <v>10.6335</v>
      </c>
    </row>
    <row r="45" spans="1:6" x14ac:dyDescent="0.2">
      <c r="A45" s="4" t="s">
        <v>105</v>
      </c>
    </row>
    <row r="46" spans="1:6" x14ac:dyDescent="0.2">
      <c r="A46" s="2" t="s">
        <v>600</v>
      </c>
      <c r="D46" s="10">
        <v>11.1511</v>
      </c>
    </row>
    <row r="47" spans="1:6" x14ac:dyDescent="0.2">
      <c r="A47" s="2" t="s">
        <v>601</v>
      </c>
      <c r="D47" s="10">
        <v>10.611000000000001</v>
      </c>
    </row>
    <row r="48" spans="1:6" x14ac:dyDescent="0.2">
      <c r="A48" s="2" t="s">
        <v>602</v>
      </c>
      <c r="D48" s="10">
        <v>11.2104</v>
      </c>
    </row>
    <row r="50" spans="1:5" x14ac:dyDescent="0.2">
      <c r="A50" s="4" t="s">
        <v>106</v>
      </c>
      <c r="D50" s="100" t="s">
        <v>311</v>
      </c>
    </row>
    <row r="51" spans="1:5" x14ac:dyDescent="0.2">
      <c r="A51" s="21" t="s">
        <v>604</v>
      </c>
      <c r="B51" s="22"/>
      <c r="C51" s="103" t="s">
        <v>605</v>
      </c>
      <c r="D51" s="104"/>
    </row>
    <row r="52" spans="1:5" x14ac:dyDescent="0.2">
      <c r="A52" s="105"/>
      <c r="B52" s="106"/>
      <c r="C52" s="23" t="s">
        <v>606</v>
      </c>
      <c r="D52" s="23" t="s">
        <v>607</v>
      </c>
    </row>
    <row r="53" spans="1:5" x14ac:dyDescent="0.2">
      <c r="A53" s="89" t="s">
        <v>601</v>
      </c>
      <c r="B53" s="58"/>
      <c r="C53" s="96">
        <v>0.37096619050000001</v>
      </c>
      <c r="D53" s="96">
        <v>0.34351654120000003</v>
      </c>
    </row>
    <row r="55" spans="1:5" x14ac:dyDescent="0.2">
      <c r="A55" s="4" t="s">
        <v>680</v>
      </c>
      <c r="D55" s="15">
        <v>1.5880015598913626</v>
      </c>
      <c r="E55" s="72" t="s">
        <v>679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1CA-15A7-4BBD-90AC-56B2B0AE490E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1400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1386</v>
      </c>
      <c r="B8" s="38" t="s">
        <v>1888</v>
      </c>
      <c r="C8" s="38" t="s">
        <v>693</v>
      </c>
      <c r="D8" s="38">
        <v>107</v>
      </c>
      <c r="E8" s="63">
        <v>937.78759000000002</v>
      </c>
      <c r="F8" s="63">
        <v>9.8487137105184992</v>
      </c>
    </row>
    <row r="9" spans="1:6" x14ac:dyDescent="0.2">
      <c r="A9" s="38" t="s">
        <v>1396</v>
      </c>
      <c r="B9" s="38" t="s">
        <v>1895</v>
      </c>
      <c r="C9" s="38" t="s">
        <v>721</v>
      </c>
      <c r="D9" s="38">
        <v>87</v>
      </c>
      <c r="E9" s="63">
        <v>869.57370000000003</v>
      </c>
      <c r="F9" s="63">
        <v>9.1323264594451494</v>
      </c>
    </row>
    <row r="10" spans="1:6" x14ac:dyDescent="0.2">
      <c r="A10" s="38" t="s">
        <v>1290</v>
      </c>
      <c r="B10" s="38" t="s">
        <v>1841</v>
      </c>
      <c r="C10" s="38" t="s">
        <v>693</v>
      </c>
      <c r="D10" s="38">
        <v>84</v>
      </c>
      <c r="E10" s="63">
        <v>837.20195999999999</v>
      </c>
      <c r="F10" s="63">
        <v>8.79235608345485</v>
      </c>
    </row>
    <row r="11" spans="1:6" x14ac:dyDescent="0.2">
      <c r="A11" s="38" t="s">
        <v>1356</v>
      </c>
      <c r="B11" s="38" t="s">
        <v>1872</v>
      </c>
      <c r="C11" s="38" t="s">
        <v>693</v>
      </c>
      <c r="D11" s="38">
        <v>83</v>
      </c>
      <c r="E11" s="63">
        <v>831.79695000000004</v>
      </c>
      <c r="F11" s="63">
        <v>8.7355922739737597</v>
      </c>
    </row>
    <row r="12" spans="1:6" x14ac:dyDescent="0.2">
      <c r="A12" s="38" t="s">
        <v>1381</v>
      </c>
      <c r="B12" s="38" t="s">
        <v>1887</v>
      </c>
      <c r="C12" s="38" t="s">
        <v>693</v>
      </c>
      <c r="D12" s="38">
        <v>83</v>
      </c>
      <c r="E12" s="63">
        <v>831.5521</v>
      </c>
      <c r="F12" s="63">
        <v>8.7330208414044499</v>
      </c>
    </row>
    <row r="13" spans="1:6" x14ac:dyDescent="0.2">
      <c r="A13" s="38" t="s">
        <v>1399</v>
      </c>
      <c r="B13" s="38" t="s">
        <v>1896</v>
      </c>
      <c r="C13" s="38" t="s">
        <v>693</v>
      </c>
      <c r="D13" s="38">
        <v>80</v>
      </c>
      <c r="E13" s="63">
        <v>799.92719999999997</v>
      </c>
      <c r="F13" s="63">
        <v>8.4008938335990102</v>
      </c>
    </row>
    <row r="14" spans="1:6" x14ac:dyDescent="0.2">
      <c r="A14" s="38" t="s">
        <v>1389</v>
      </c>
      <c r="B14" s="38" t="s">
        <v>1892</v>
      </c>
      <c r="C14" s="38" t="s">
        <v>693</v>
      </c>
      <c r="D14" s="38">
        <v>62</v>
      </c>
      <c r="E14" s="63">
        <v>798.28487500000006</v>
      </c>
      <c r="F14" s="63">
        <v>8.3836460165910793</v>
      </c>
    </row>
    <row r="15" spans="1:6" x14ac:dyDescent="0.2">
      <c r="A15" s="38" t="s">
        <v>1391</v>
      </c>
      <c r="B15" s="38" t="s">
        <v>1891</v>
      </c>
      <c r="C15" s="38" t="s">
        <v>721</v>
      </c>
      <c r="D15" s="38">
        <v>65</v>
      </c>
      <c r="E15" s="63">
        <v>653.34685000000002</v>
      </c>
      <c r="F15" s="63">
        <v>6.8614963003712601</v>
      </c>
    </row>
    <row r="16" spans="1:6" x14ac:dyDescent="0.2">
      <c r="A16" s="38" t="s">
        <v>897</v>
      </c>
      <c r="B16" s="38" t="s">
        <v>1577</v>
      </c>
      <c r="C16" s="38" t="s">
        <v>693</v>
      </c>
      <c r="D16" s="38">
        <v>5</v>
      </c>
      <c r="E16" s="63">
        <v>507.7475</v>
      </c>
      <c r="F16" s="63">
        <v>5.3324013007375104</v>
      </c>
    </row>
    <row r="17" spans="1:6" x14ac:dyDescent="0.2">
      <c r="A17" s="38" t="s">
        <v>1390</v>
      </c>
      <c r="B17" s="38" t="s">
        <v>1936</v>
      </c>
      <c r="C17" s="38" t="s">
        <v>693</v>
      </c>
      <c r="D17" s="38">
        <v>13</v>
      </c>
      <c r="E17" s="63">
        <v>129.7946</v>
      </c>
      <c r="F17" s="63">
        <v>1.3631123616929799</v>
      </c>
    </row>
    <row r="18" spans="1:6" x14ac:dyDescent="0.2">
      <c r="A18" s="38" t="s">
        <v>939</v>
      </c>
      <c r="B18" s="38" t="s">
        <v>1922</v>
      </c>
      <c r="C18" s="38" t="s">
        <v>693</v>
      </c>
      <c r="D18" s="38">
        <v>11</v>
      </c>
      <c r="E18" s="63">
        <v>109.98327999999999</v>
      </c>
      <c r="F18" s="63">
        <v>1.1550524332101599</v>
      </c>
    </row>
    <row r="19" spans="1:6" x14ac:dyDescent="0.2">
      <c r="A19" s="38" t="s">
        <v>1392</v>
      </c>
      <c r="B19" s="38" t="s">
        <v>1890</v>
      </c>
      <c r="C19" s="38" t="s">
        <v>693</v>
      </c>
      <c r="D19" s="38">
        <v>8</v>
      </c>
      <c r="E19" s="63">
        <v>80.046719999999993</v>
      </c>
      <c r="F19" s="63">
        <v>0.84065649530085595</v>
      </c>
    </row>
    <row r="20" spans="1:6" x14ac:dyDescent="0.2">
      <c r="A20" s="38" t="s">
        <v>1140</v>
      </c>
      <c r="B20" s="38" t="s">
        <v>1751</v>
      </c>
      <c r="C20" s="38" t="s">
        <v>1139</v>
      </c>
      <c r="D20" s="38">
        <v>6</v>
      </c>
      <c r="E20" s="63">
        <v>66.830640000000002</v>
      </c>
      <c r="F20" s="63">
        <v>0.70186025862287904</v>
      </c>
    </row>
    <row r="21" spans="1:6" x14ac:dyDescent="0.2">
      <c r="A21" s="38" t="s">
        <v>1384</v>
      </c>
      <c r="B21" s="38" t="s">
        <v>1884</v>
      </c>
      <c r="C21" s="38" t="s">
        <v>693</v>
      </c>
      <c r="D21" s="38">
        <v>5</v>
      </c>
      <c r="E21" s="63">
        <v>50.04175</v>
      </c>
      <c r="F21" s="63">
        <v>0.52554211057894196</v>
      </c>
    </row>
    <row r="22" spans="1:6" x14ac:dyDescent="0.2">
      <c r="A22" s="38" t="s">
        <v>1375</v>
      </c>
      <c r="B22" s="38" t="s">
        <v>1881</v>
      </c>
      <c r="C22" s="38" t="s">
        <v>693</v>
      </c>
      <c r="D22" s="38">
        <v>3</v>
      </c>
      <c r="E22" s="63">
        <v>30.680520000000001</v>
      </c>
      <c r="F22" s="63">
        <v>0.32220906012398498</v>
      </c>
    </row>
    <row r="23" spans="1:6" x14ac:dyDescent="0.2">
      <c r="A23" s="38" t="s">
        <v>1394</v>
      </c>
      <c r="B23" s="38" t="s">
        <v>1893</v>
      </c>
      <c r="C23" s="38" t="s">
        <v>693</v>
      </c>
      <c r="D23" s="38">
        <v>3</v>
      </c>
      <c r="E23" s="63">
        <v>29.95617</v>
      </c>
      <c r="F23" s="63">
        <v>0.31460188356045898</v>
      </c>
    </row>
    <row r="24" spans="1:6" x14ac:dyDescent="0.2">
      <c r="A24" s="38" t="s">
        <v>1142</v>
      </c>
      <c r="B24" s="38" t="s">
        <v>1749</v>
      </c>
      <c r="C24" s="38" t="s">
        <v>693</v>
      </c>
      <c r="D24" s="38">
        <v>3</v>
      </c>
      <c r="E24" s="63">
        <v>29.94096</v>
      </c>
      <c r="F24" s="63">
        <v>0.314442147030423</v>
      </c>
    </row>
    <row r="25" spans="1:6" x14ac:dyDescent="0.2">
      <c r="A25" s="38" t="s">
        <v>1357</v>
      </c>
      <c r="B25" s="38" t="s">
        <v>1871</v>
      </c>
      <c r="C25" s="38" t="s">
        <v>693</v>
      </c>
      <c r="D25" s="38">
        <v>1</v>
      </c>
      <c r="E25" s="63">
        <v>11.26445</v>
      </c>
      <c r="F25" s="63">
        <v>0.11830007598677</v>
      </c>
    </row>
    <row r="26" spans="1:6" x14ac:dyDescent="0.2">
      <c r="A26" s="38" t="s">
        <v>895</v>
      </c>
      <c r="B26" s="38" t="s">
        <v>1579</v>
      </c>
      <c r="C26" s="38" t="s">
        <v>693</v>
      </c>
      <c r="D26" s="38">
        <v>1</v>
      </c>
      <c r="E26" s="63">
        <v>10.10652</v>
      </c>
      <c r="F26" s="63">
        <v>0.106139410620298</v>
      </c>
    </row>
    <row r="27" spans="1:6" x14ac:dyDescent="0.2">
      <c r="A27" s="37" t="s">
        <v>43</v>
      </c>
      <c r="B27" s="38"/>
      <c r="C27" s="38"/>
      <c r="D27" s="38"/>
      <c r="E27" s="64">
        <f>SUM(E8:E26)</f>
        <v>7615.864335000002</v>
      </c>
      <c r="F27" s="64">
        <f>SUM(F8:F26)</f>
        <v>79.982363056823317</v>
      </c>
    </row>
    <row r="28" spans="1:6" x14ac:dyDescent="0.2">
      <c r="A28" s="38"/>
      <c r="B28" s="38"/>
      <c r="C28" s="38"/>
      <c r="D28" s="38"/>
      <c r="E28" s="63"/>
      <c r="F28" s="63"/>
    </row>
    <row r="29" spans="1:6" x14ac:dyDescent="0.2">
      <c r="A29" s="37" t="s">
        <v>717</v>
      </c>
      <c r="B29" s="38"/>
      <c r="C29" s="38"/>
      <c r="D29" s="38"/>
      <c r="E29" s="63"/>
      <c r="F29" s="63"/>
    </row>
    <row r="30" spans="1:6" x14ac:dyDescent="0.2">
      <c r="A30" s="38" t="s">
        <v>1372</v>
      </c>
      <c r="B30" s="38" t="s">
        <v>1877</v>
      </c>
      <c r="C30" s="38" t="s">
        <v>933</v>
      </c>
      <c r="D30" s="38">
        <v>82</v>
      </c>
      <c r="E30" s="63">
        <v>820.59942000000001</v>
      </c>
      <c r="F30" s="63">
        <v>8.6179949967108591</v>
      </c>
    </row>
    <row r="31" spans="1:6" x14ac:dyDescent="0.2">
      <c r="A31" s="38" t="s">
        <v>1388</v>
      </c>
      <c r="B31" s="38" t="s">
        <v>1889</v>
      </c>
      <c r="C31" s="38" t="s">
        <v>693</v>
      </c>
      <c r="D31" s="38">
        <v>49</v>
      </c>
      <c r="E31" s="63">
        <v>488.99158</v>
      </c>
      <c r="F31" s="63">
        <v>5.1354252600784598</v>
      </c>
    </row>
    <row r="32" spans="1:6" x14ac:dyDescent="0.2">
      <c r="A32" s="38" t="s">
        <v>925</v>
      </c>
      <c r="B32" s="38" t="s">
        <v>1581</v>
      </c>
      <c r="C32" s="38" t="s">
        <v>693</v>
      </c>
      <c r="D32" s="38">
        <v>27</v>
      </c>
      <c r="E32" s="63">
        <v>268.73991000000001</v>
      </c>
      <c r="F32" s="63">
        <v>2.8223261476306298</v>
      </c>
    </row>
    <row r="33" spans="1:6" x14ac:dyDescent="0.2">
      <c r="A33" s="37" t="s">
        <v>43</v>
      </c>
      <c r="B33" s="38"/>
      <c r="C33" s="38"/>
      <c r="D33" s="38"/>
      <c r="E33" s="64">
        <f>SUM(E30:E32)</f>
        <v>1578.3309099999999</v>
      </c>
      <c r="F33" s="64">
        <f>SUM(F30:F32)</f>
        <v>16.575746404419949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37" t="s">
        <v>43</v>
      </c>
      <c r="B35" s="38"/>
      <c r="C35" s="38"/>
      <c r="D35" s="38"/>
      <c r="E35" s="64">
        <v>9194.1952450000026</v>
      </c>
      <c r="F35" s="64">
        <v>96.558109461243276</v>
      </c>
    </row>
    <row r="36" spans="1:6" x14ac:dyDescent="0.2">
      <c r="A36" s="38"/>
      <c r="B36" s="38"/>
      <c r="C36" s="38"/>
      <c r="D36" s="38"/>
      <c r="E36" s="63"/>
      <c r="F36" s="63"/>
    </row>
    <row r="37" spans="1:6" x14ac:dyDescent="0.2">
      <c r="A37" s="37" t="s">
        <v>101</v>
      </c>
      <c r="B37" s="38"/>
      <c r="C37" s="38"/>
      <c r="D37" s="38"/>
      <c r="E37" s="64">
        <v>327.72964039999999</v>
      </c>
      <c r="F37" s="64">
        <v>3.44</v>
      </c>
    </row>
    <row r="38" spans="1:6" x14ac:dyDescent="0.2">
      <c r="A38" s="38"/>
      <c r="B38" s="38"/>
      <c r="C38" s="38"/>
      <c r="D38" s="38"/>
      <c r="E38" s="63"/>
      <c r="F38" s="63"/>
    </row>
    <row r="39" spans="1:6" x14ac:dyDescent="0.2">
      <c r="A39" s="80" t="s">
        <v>102</v>
      </c>
      <c r="B39" s="79"/>
      <c r="C39" s="79"/>
      <c r="D39" s="79"/>
      <c r="E39" s="61">
        <v>9521.9296403999997</v>
      </c>
      <c r="F39" s="61">
        <f xml:space="preserve"> ROUND(SUM(F35:F38),2)</f>
        <v>100</v>
      </c>
    </row>
    <row r="40" spans="1:6" x14ac:dyDescent="0.2">
      <c r="A40" s="88" t="s">
        <v>686</v>
      </c>
    </row>
    <row r="41" spans="1:6" x14ac:dyDescent="0.2">
      <c r="A41" s="4"/>
    </row>
    <row r="42" spans="1:6" x14ac:dyDescent="0.2">
      <c r="A42" s="4" t="s">
        <v>103</v>
      </c>
    </row>
    <row r="43" spans="1:6" x14ac:dyDescent="0.2">
      <c r="A43" s="4" t="s">
        <v>685</v>
      </c>
    </row>
    <row r="44" spans="1:6" x14ac:dyDescent="0.2">
      <c r="A44" s="4" t="s">
        <v>608</v>
      </c>
    </row>
    <row r="45" spans="1:6" x14ac:dyDescent="0.2">
      <c r="A45" s="2" t="s">
        <v>600</v>
      </c>
      <c r="D45" s="10">
        <v>10.636200000000001</v>
      </c>
    </row>
    <row r="46" spans="1:6" x14ac:dyDescent="0.2">
      <c r="A46" s="2" t="s">
        <v>601</v>
      </c>
      <c r="D46" s="10">
        <v>10.094799999999999</v>
      </c>
    </row>
    <row r="47" spans="1:6" x14ac:dyDescent="0.2">
      <c r="A47" s="2" t="s">
        <v>684</v>
      </c>
      <c r="D47" s="10">
        <v>10.0914</v>
      </c>
    </row>
    <row r="48" spans="1:6" x14ac:dyDescent="0.2">
      <c r="A48" s="2" t="s">
        <v>602</v>
      </c>
      <c r="D48" s="10">
        <v>10.689500000000001</v>
      </c>
    </row>
    <row r="49" spans="1:5" x14ac:dyDescent="0.2">
      <c r="A49" s="2" t="s">
        <v>603</v>
      </c>
      <c r="D49" s="10">
        <v>10.148099999999999</v>
      </c>
    </row>
    <row r="51" spans="1:5" x14ac:dyDescent="0.2">
      <c r="A51" s="4" t="s">
        <v>105</v>
      </c>
    </row>
    <row r="52" spans="1:5" x14ac:dyDescent="0.2">
      <c r="A52" s="2" t="s">
        <v>600</v>
      </c>
      <c r="D52" s="10">
        <v>11.206200000000001</v>
      </c>
    </row>
    <row r="53" spans="1:5" x14ac:dyDescent="0.2">
      <c r="A53" s="2" t="s">
        <v>601</v>
      </c>
      <c r="D53" s="10">
        <v>10.6358</v>
      </c>
    </row>
    <row r="54" spans="1:5" x14ac:dyDescent="0.2">
      <c r="A54" s="2" t="s">
        <v>684</v>
      </c>
      <c r="D54" s="10">
        <v>10.113</v>
      </c>
    </row>
    <row r="55" spans="1:5" x14ac:dyDescent="0.2">
      <c r="A55" s="2" t="s">
        <v>602</v>
      </c>
      <c r="D55" s="10">
        <v>11.2624</v>
      </c>
    </row>
    <row r="56" spans="1:5" x14ac:dyDescent="0.2">
      <c r="A56" s="2" t="s">
        <v>603</v>
      </c>
      <c r="D56" s="10">
        <v>10.692</v>
      </c>
    </row>
    <row r="58" spans="1:5" x14ac:dyDescent="0.2">
      <c r="A58" s="4" t="s">
        <v>106</v>
      </c>
      <c r="D58" s="20" t="s">
        <v>311</v>
      </c>
    </row>
    <row r="59" spans="1:5" x14ac:dyDescent="0.2">
      <c r="A59" s="21" t="s">
        <v>604</v>
      </c>
      <c r="B59" s="22"/>
      <c r="C59" s="103" t="s">
        <v>605</v>
      </c>
      <c r="D59" s="104"/>
    </row>
    <row r="60" spans="1:5" x14ac:dyDescent="0.2">
      <c r="A60" s="105"/>
      <c r="B60" s="106"/>
      <c r="C60" s="23" t="s">
        <v>606</v>
      </c>
      <c r="D60" s="23" t="s">
        <v>607</v>
      </c>
    </row>
    <row r="61" spans="1:5" x14ac:dyDescent="0.2">
      <c r="A61" s="24" t="s">
        <v>684</v>
      </c>
      <c r="B61" s="25"/>
      <c r="C61" s="26">
        <v>0.36736457700000003</v>
      </c>
      <c r="D61" s="26">
        <v>0.34018142910000004</v>
      </c>
    </row>
    <row r="63" spans="1:5" x14ac:dyDescent="0.2">
      <c r="A63" s="4" t="s">
        <v>680</v>
      </c>
      <c r="D63" s="15">
        <v>1.5178473303291307</v>
      </c>
      <c r="E63" s="72" t="s">
        <v>679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892B-EAF4-40A7-9E2C-D2E8655F2D82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1405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939</v>
      </c>
      <c r="B8" s="38" t="s">
        <v>1922</v>
      </c>
      <c r="C8" s="38" t="s">
        <v>693</v>
      </c>
      <c r="D8" s="38">
        <v>113</v>
      </c>
      <c r="E8" s="63">
        <v>1129.8282400000001</v>
      </c>
      <c r="F8" s="63">
        <v>9.8658009627911092</v>
      </c>
    </row>
    <row r="9" spans="1:6" x14ac:dyDescent="0.2">
      <c r="A9" s="38" t="s">
        <v>1396</v>
      </c>
      <c r="B9" s="38" t="s">
        <v>1895</v>
      </c>
      <c r="C9" s="38" t="s">
        <v>721</v>
      </c>
      <c r="D9" s="38">
        <v>106</v>
      </c>
      <c r="E9" s="63">
        <v>1059.4806000000001</v>
      </c>
      <c r="F9" s="63">
        <v>9.2515166053368407</v>
      </c>
    </row>
    <row r="10" spans="1:6" x14ac:dyDescent="0.2">
      <c r="A10" s="38" t="s">
        <v>974</v>
      </c>
      <c r="B10" s="38" t="s">
        <v>1620</v>
      </c>
      <c r="C10" s="38" t="s">
        <v>693</v>
      </c>
      <c r="D10" s="38">
        <v>99</v>
      </c>
      <c r="E10" s="63">
        <v>1009.96929</v>
      </c>
      <c r="F10" s="63">
        <v>8.8191776775480903</v>
      </c>
    </row>
    <row r="11" spans="1:6" x14ac:dyDescent="0.2">
      <c r="A11" s="38" t="s">
        <v>1290</v>
      </c>
      <c r="B11" s="38" t="s">
        <v>1841</v>
      </c>
      <c r="C11" s="38" t="s">
        <v>693</v>
      </c>
      <c r="D11" s="38">
        <v>100</v>
      </c>
      <c r="E11" s="63">
        <v>996.66899999999998</v>
      </c>
      <c r="F11" s="63">
        <v>8.70303788811656</v>
      </c>
    </row>
    <row r="12" spans="1:6" x14ac:dyDescent="0.2">
      <c r="A12" s="38" t="s">
        <v>1375</v>
      </c>
      <c r="B12" s="38" t="s">
        <v>1881</v>
      </c>
      <c r="C12" s="38" t="s">
        <v>693</v>
      </c>
      <c r="D12" s="38">
        <v>97</v>
      </c>
      <c r="E12" s="63">
        <v>992.00347999999997</v>
      </c>
      <c r="F12" s="63">
        <v>8.6622979861754299</v>
      </c>
    </row>
    <row r="13" spans="1:6" x14ac:dyDescent="0.2">
      <c r="A13" s="38" t="s">
        <v>1404</v>
      </c>
      <c r="B13" s="38" t="s">
        <v>1898</v>
      </c>
      <c r="C13" s="38" t="s">
        <v>721</v>
      </c>
      <c r="D13" s="38">
        <v>100</v>
      </c>
      <c r="E13" s="63">
        <v>985.38800000000003</v>
      </c>
      <c r="F13" s="63">
        <v>8.6045307905587496</v>
      </c>
    </row>
    <row r="14" spans="1:6" x14ac:dyDescent="0.2">
      <c r="A14" s="38" t="s">
        <v>1381</v>
      </c>
      <c r="B14" s="38" t="s">
        <v>1887</v>
      </c>
      <c r="C14" s="38" t="s">
        <v>693</v>
      </c>
      <c r="D14" s="38">
        <v>73</v>
      </c>
      <c r="E14" s="63">
        <v>731.36509999999998</v>
      </c>
      <c r="F14" s="63">
        <v>6.3863711777392096</v>
      </c>
    </row>
    <row r="15" spans="1:6" x14ac:dyDescent="0.2">
      <c r="A15" s="38" t="s">
        <v>897</v>
      </c>
      <c r="B15" s="38" t="s">
        <v>1577</v>
      </c>
      <c r="C15" s="38" t="s">
        <v>693</v>
      </c>
      <c r="D15" s="38">
        <v>5</v>
      </c>
      <c r="E15" s="63">
        <v>507.7475</v>
      </c>
      <c r="F15" s="63">
        <v>4.4337144328723603</v>
      </c>
    </row>
    <row r="16" spans="1:6" x14ac:dyDescent="0.2">
      <c r="A16" s="38" t="s">
        <v>1403</v>
      </c>
      <c r="B16" s="38" t="s">
        <v>1945</v>
      </c>
      <c r="C16" s="38" t="s">
        <v>721</v>
      </c>
      <c r="D16" s="38">
        <v>50</v>
      </c>
      <c r="E16" s="63">
        <v>507.4855</v>
      </c>
      <c r="F16" s="63">
        <v>4.4314266162284301</v>
      </c>
    </row>
    <row r="17" spans="1:6" x14ac:dyDescent="0.2">
      <c r="A17" s="38" t="s">
        <v>1373</v>
      </c>
      <c r="B17" s="38" t="s">
        <v>1944</v>
      </c>
      <c r="C17" s="38" t="s">
        <v>693</v>
      </c>
      <c r="D17" s="38">
        <v>49</v>
      </c>
      <c r="E17" s="63">
        <v>495.12932000000001</v>
      </c>
      <c r="F17" s="63">
        <v>4.3235309129484198</v>
      </c>
    </row>
    <row r="18" spans="1:6" x14ac:dyDescent="0.2">
      <c r="A18" s="38" t="s">
        <v>1394</v>
      </c>
      <c r="B18" s="38" t="s">
        <v>1893</v>
      </c>
      <c r="C18" s="38" t="s">
        <v>693</v>
      </c>
      <c r="D18" s="38">
        <v>46</v>
      </c>
      <c r="E18" s="63">
        <v>459.32794000000001</v>
      </c>
      <c r="F18" s="63">
        <v>4.01090880211036</v>
      </c>
    </row>
    <row r="19" spans="1:6" x14ac:dyDescent="0.2">
      <c r="A19" s="38" t="s">
        <v>1140</v>
      </c>
      <c r="B19" s="38" t="s">
        <v>1751</v>
      </c>
      <c r="C19" s="38" t="s">
        <v>1139</v>
      </c>
      <c r="D19" s="38">
        <v>24</v>
      </c>
      <c r="E19" s="63">
        <v>267.32256000000001</v>
      </c>
      <c r="F19" s="63">
        <v>2.33429390101259</v>
      </c>
    </row>
    <row r="20" spans="1:6" x14ac:dyDescent="0.2">
      <c r="A20" s="38" t="s">
        <v>1386</v>
      </c>
      <c r="B20" s="38" t="s">
        <v>1888</v>
      </c>
      <c r="C20" s="38" t="s">
        <v>693</v>
      </c>
      <c r="D20" s="38">
        <v>18</v>
      </c>
      <c r="E20" s="63">
        <v>157.75865999999999</v>
      </c>
      <c r="F20" s="63">
        <v>1.3775682750828</v>
      </c>
    </row>
    <row r="21" spans="1:6" x14ac:dyDescent="0.2">
      <c r="A21" s="38" t="s">
        <v>895</v>
      </c>
      <c r="B21" s="38" t="s">
        <v>1579</v>
      </c>
      <c r="C21" s="38" t="s">
        <v>693</v>
      </c>
      <c r="D21" s="38">
        <v>9</v>
      </c>
      <c r="E21" s="63">
        <v>90.958680000000001</v>
      </c>
      <c r="F21" s="63">
        <v>0.79426252676973996</v>
      </c>
    </row>
    <row r="22" spans="1:6" x14ac:dyDescent="0.2">
      <c r="A22" s="38" t="s">
        <v>1374</v>
      </c>
      <c r="B22" s="38" t="s">
        <v>1882</v>
      </c>
      <c r="C22" s="38" t="s">
        <v>693</v>
      </c>
      <c r="D22" s="38">
        <v>6</v>
      </c>
      <c r="E22" s="63">
        <v>67.158420000000007</v>
      </c>
      <c r="F22" s="63">
        <v>0.58643569105294202</v>
      </c>
    </row>
    <row r="23" spans="1:6" x14ac:dyDescent="0.2">
      <c r="A23" s="38" t="s">
        <v>949</v>
      </c>
      <c r="B23" s="38" t="s">
        <v>1595</v>
      </c>
      <c r="C23" s="38" t="s">
        <v>721</v>
      </c>
      <c r="D23" s="38">
        <v>3</v>
      </c>
      <c r="E23" s="63">
        <v>33.023159999999997</v>
      </c>
      <c r="F23" s="63">
        <v>0.28836234764534202</v>
      </c>
    </row>
    <row r="24" spans="1:6" x14ac:dyDescent="0.2">
      <c r="A24" s="38" t="s">
        <v>1142</v>
      </c>
      <c r="B24" s="38" t="s">
        <v>1749</v>
      </c>
      <c r="C24" s="38" t="s">
        <v>693</v>
      </c>
      <c r="D24" s="38">
        <v>3</v>
      </c>
      <c r="E24" s="63">
        <v>29.94096</v>
      </c>
      <c r="F24" s="63">
        <v>0.26144819321819202</v>
      </c>
    </row>
    <row r="25" spans="1:6" x14ac:dyDescent="0.2">
      <c r="A25" s="37" t="s">
        <v>43</v>
      </c>
      <c r="B25" s="38"/>
      <c r="C25" s="38"/>
      <c r="D25" s="38"/>
      <c r="E25" s="64">
        <f>SUM(E8:E24)</f>
        <v>9520.5564100000011</v>
      </c>
      <c r="F25" s="64">
        <f>SUM(F8:F24)</f>
        <v>83.134684787207163</v>
      </c>
    </row>
    <row r="26" spans="1:6" x14ac:dyDescent="0.2">
      <c r="A26" s="38"/>
      <c r="B26" s="38"/>
      <c r="C26" s="38"/>
      <c r="D26" s="38"/>
      <c r="E26" s="63"/>
      <c r="F26" s="63"/>
    </row>
    <row r="27" spans="1:6" x14ac:dyDescent="0.2">
      <c r="A27" s="37" t="s">
        <v>717</v>
      </c>
      <c r="B27" s="38"/>
      <c r="C27" s="38"/>
      <c r="D27" s="38"/>
      <c r="E27" s="63"/>
      <c r="F27" s="63"/>
    </row>
    <row r="28" spans="1:6" x14ac:dyDescent="0.2">
      <c r="A28" s="38" t="s">
        <v>1402</v>
      </c>
      <c r="B28" s="38" t="s">
        <v>1897</v>
      </c>
      <c r="C28" s="38" t="s">
        <v>693</v>
      </c>
      <c r="D28" s="38">
        <v>100</v>
      </c>
      <c r="E28" s="63">
        <v>992.69500000000005</v>
      </c>
      <c r="F28" s="63">
        <v>8.6683364249754593</v>
      </c>
    </row>
    <row r="29" spans="1:6" x14ac:dyDescent="0.2">
      <c r="A29" s="38" t="s">
        <v>925</v>
      </c>
      <c r="B29" s="38" t="s">
        <v>1581</v>
      </c>
      <c r="C29" s="38" t="s">
        <v>693</v>
      </c>
      <c r="D29" s="38">
        <v>56</v>
      </c>
      <c r="E29" s="63">
        <v>557.38648000000001</v>
      </c>
      <c r="F29" s="63">
        <v>4.8671681910081697</v>
      </c>
    </row>
    <row r="30" spans="1:6" x14ac:dyDescent="0.2">
      <c r="A30" s="37" t="s">
        <v>43</v>
      </c>
      <c r="B30" s="38"/>
      <c r="C30" s="38"/>
      <c r="D30" s="38"/>
      <c r="E30" s="64">
        <f>SUM(E28:E29)</f>
        <v>1550.0814800000001</v>
      </c>
      <c r="F30" s="64">
        <f>SUM(F28:F29)</f>
        <v>13.53550461598363</v>
      </c>
    </row>
    <row r="31" spans="1:6" x14ac:dyDescent="0.2">
      <c r="A31" s="38"/>
      <c r="B31" s="38"/>
      <c r="C31" s="38"/>
      <c r="D31" s="38"/>
      <c r="E31" s="63"/>
      <c r="F31" s="63"/>
    </row>
    <row r="32" spans="1:6" x14ac:dyDescent="0.2">
      <c r="A32" s="37" t="s">
        <v>43</v>
      </c>
      <c r="B32" s="38"/>
      <c r="C32" s="38"/>
      <c r="D32" s="38"/>
      <c r="E32" s="64">
        <v>11070.637890000002</v>
      </c>
      <c r="F32" s="64">
        <v>96.670189403190804</v>
      </c>
    </row>
    <row r="33" spans="1:6" x14ac:dyDescent="0.2">
      <c r="A33" s="38"/>
      <c r="B33" s="38"/>
      <c r="C33" s="38"/>
      <c r="D33" s="38"/>
      <c r="E33" s="63"/>
      <c r="F33" s="63"/>
    </row>
    <row r="34" spans="1:6" x14ac:dyDescent="0.2">
      <c r="A34" s="37" t="s">
        <v>101</v>
      </c>
      <c r="B34" s="38"/>
      <c r="C34" s="38"/>
      <c r="D34" s="38"/>
      <c r="E34" s="64">
        <v>381.32669040000002</v>
      </c>
      <c r="F34" s="64">
        <v>3.33</v>
      </c>
    </row>
    <row r="35" spans="1:6" x14ac:dyDescent="0.2">
      <c r="A35" s="38"/>
      <c r="B35" s="38"/>
      <c r="C35" s="38"/>
      <c r="D35" s="38"/>
      <c r="E35" s="63"/>
      <c r="F35" s="63"/>
    </row>
    <row r="36" spans="1:6" x14ac:dyDescent="0.2">
      <c r="A36" s="80" t="s">
        <v>102</v>
      </c>
      <c r="B36" s="79"/>
      <c r="C36" s="79"/>
      <c r="D36" s="79"/>
      <c r="E36" s="61">
        <v>11451.966690400001</v>
      </c>
      <c r="F36" s="61">
        <f xml:space="preserve"> ROUND(SUM(F32:F35),2)</f>
        <v>100</v>
      </c>
    </row>
    <row r="37" spans="1:6" x14ac:dyDescent="0.2">
      <c r="A37" s="88" t="s">
        <v>686</v>
      </c>
    </row>
    <row r="38" spans="1:6" x14ac:dyDescent="0.2">
      <c r="A38" s="4"/>
    </row>
    <row r="39" spans="1:6" x14ac:dyDescent="0.2">
      <c r="A39" s="4" t="s">
        <v>103</v>
      </c>
    </row>
    <row r="40" spans="1:6" x14ac:dyDescent="0.2">
      <c r="A40" s="4" t="s">
        <v>685</v>
      </c>
    </row>
    <row r="41" spans="1:6" x14ac:dyDescent="0.2">
      <c r="A41" s="4" t="s">
        <v>608</v>
      </c>
    </row>
    <row r="42" spans="1:6" x14ac:dyDescent="0.2">
      <c r="A42" s="2" t="s">
        <v>600</v>
      </c>
      <c r="D42" s="10">
        <v>10.6463</v>
      </c>
    </row>
    <row r="43" spans="1:6" x14ac:dyDescent="0.2">
      <c r="A43" s="2" t="s">
        <v>1401</v>
      </c>
      <c r="D43" s="10">
        <v>10.240600000000001</v>
      </c>
    </row>
    <row r="44" spans="1:6" x14ac:dyDescent="0.2">
      <c r="A44" s="2" t="s">
        <v>684</v>
      </c>
      <c r="D44" s="10">
        <v>10.2247</v>
      </c>
    </row>
    <row r="45" spans="1:6" x14ac:dyDescent="0.2">
      <c r="A45" s="2" t="s">
        <v>602</v>
      </c>
      <c r="D45" s="10">
        <v>10.6997</v>
      </c>
    </row>
    <row r="47" spans="1:6" x14ac:dyDescent="0.2">
      <c r="A47" s="4" t="s">
        <v>105</v>
      </c>
    </row>
    <row r="48" spans="1:6" x14ac:dyDescent="0.2">
      <c r="A48" s="2" t="s">
        <v>600</v>
      </c>
      <c r="D48" s="10">
        <v>11.2105</v>
      </c>
    </row>
    <row r="49" spans="1:5" x14ac:dyDescent="0.2">
      <c r="A49" s="2" t="s">
        <v>1401</v>
      </c>
      <c r="D49" s="10">
        <v>10.783300000000001</v>
      </c>
    </row>
    <row r="50" spans="1:5" x14ac:dyDescent="0.2">
      <c r="A50" s="2" t="s">
        <v>684</v>
      </c>
      <c r="D50" s="10">
        <v>10.1828</v>
      </c>
    </row>
    <row r="51" spans="1:5" x14ac:dyDescent="0.2">
      <c r="A51" s="2" t="s">
        <v>602</v>
      </c>
      <c r="D51" s="10">
        <v>11.2667</v>
      </c>
    </row>
    <row r="53" spans="1:5" x14ac:dyDescent="0.2">
      <c r="A53" s="4" t="s">
        <v>106</v>
      </c>
      <c r="D53" s="100" t="s">
        <v>311</v>
      </c>
    </row>
    <row r="54" spans="1:5" x14ac:dyDescent="0.2">
      <c r="A54" s="21" t="s">
        <v>604</v>
      </c>
      <c r="B54" s="22"/>
      <c r="C54" s="103" t="s">
        <v>605</v>
      </c>
      <c r="D54" s="104"/>
    </row>
    <row r="55" spans="1:5" x14ac:dyDescent="0.2">
      <c r="A55" s="105"/>
      <c r="B55" s="106"/>
      <c r="C55" s="23" t="s">
        <v>606</v>
      </c>
      <c r="D55" s="23" t="s">
        <v>607</v>
      </c>
    </row>
    <row r="56" spans="1:5" x14ac:dyDescent="0.2">
      <c r="A56" s="24" t="s">
        <v>684</v>
      </c>
      <c r="B56" s="25"/>
      <c r="C56" s="96">
        <v>0.41058393900000001</v>
      </c>
      <c r="D56" s="96">
        <v>0.3802027737</v>
      </c>
    </row>
    <row r="58" spans="1:5" x14ac:dyDescent="0.2">
      <c r="A58" s="4" t="s">
        <v>680</v>
      </c>
      <c r="D58" s="15">
        <v>1.493880044758906</v>
      </c>
      <c r="E58" s="72" t="s">
        <v>679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0F22-FD80-4A3A-B44E-E08200DA8FD8}">
  <dimension ref="A1:F6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1415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1396</v>
      </c>
      <c r="B8" s="38" t="s">
        <v>1895</v>
      </c>
      <c r="C8" s="38" t="s">
        <v>721</v>
      </c>
      <c r="D8" s="38">
        <v>156</v>
      </c>
      <c r="E8" s="63">
        <v>1559.2356</v>
      </c>
      <c r="F8" s="63">
        <v>8.9406415879821797</v>
      </c>
    </row>
    <row r="9" spans="1:6" x14ac:dyDescent="0.2">
      <c r="A9" s="38" t="s">
        <v>1414</v>
      </c>
      <c r="B9" s="38" t="s">
        <v>1899</v>
      </c>
      <c r="C9" s="38" t="s">
        <v>693</v>
      </c>
      <c r="D9" s="38">
        <v>150</v>
      </c>
      <c r="E9" s="63">
        <v>1531.1265000000001</v>
      </c>
      <c r="F9" s="63">
        <v>8.7794642851674194</v>
      </c>
    </row>
    <row r="10" spans="1:6" x14ac:dyDescent="0.2">
      <c r="A10" s="38" t="s">
        <v>1404</v>
      </c>
      <c r="B10" s="38" t="s">
        <v>1898</v>
      </c>
      <c r="C10" s="38" t="s">
        <v>721</v>
      </c>
      <c r="D10" s="38">
        <v>150</v>
      </c>
      <c r="E10" s="63">
        <v>1478.0820000000001</v>
      </c>
      <c r="F10" s="63">
        <v>8.4753076441096393</v>
      </c>
    </row>
    <row r="11" spans="1:6" x14ac:dyDescent="0.2">
      <c r="A11" s="38" t="s">
        <v>897</v>
      </c>
      <c r="B11" s="38" t="s">
        <v>1577</v>
      </c>
      <c r="C11" s="38" t="s">
        <v>693</v>
      </c>
      <c r="D11" s="38">
        <v>14</v>
      </c>
      <c r="E11" s="63">
        <v>1421.693</v>
      </c>
      <c r="F11" s="63">
        <v>8.1519736729607395</v>
      </c>
    </row>
    <row r="12" spans="1:6" x14ac:dyDescent="0.2">
      <c r="A12" s="38" t="s">
        <v>1413</v>
      </c>
      <c r="B12" s="38" t="s">
        <v>1900</v>
      </c>
      <c r="C12" s="38" t="s">
        <v>693</v>
      </c>
      <c r="D12" s="38">
        <v>100</v>
      </c>
      <c r="E12" s="63">
        <v>1026.931</v>
      </c>
      <c r="F12" s="63">
        <v>5.8884122493022399</v>
      </c>
    </row>
    <row r="13" spans="1:6" x14ac:dyDescent="0.2">
      <c r="A13" s="38" t="s">
        <v>1412</v>
      </c>
      <c r="B13" s="38" t="s">
        <v>1901</v>
      </c>
      <c r="C13" s="38" t="s">
        <v>693</v>
      </c>
      <c r="D13" s="38">
        <v>100</v>
      </c>
      <c r="E13" s="63">
        <v>998.71100000000001</v>
      </c>
      <c r="F13" s="63">
        <v>5.72659904697871</v>
      </c>
    </row>
    <row r="14" spans="1:6" x14ac:dyDescent="0.2">
      <c r="A14" s="38" t="s">
        <v>1411</v>
      </c>
      <c r="B14" s="38" t="s">
        <v>1902</v>
      </c>
      <c r="C14" s="38" t="s">
        <v>693</v>
      </c>
      <c r="D14" s="38">
        <v>40</v>
      </c>
      <c r="E14" s="63">
        <v>997.1</v>
      </c>
      <c r="F14" s="63">
        <v>5.7173615888304701</v>
      </c>
    </row>
    <row r="15" spans="1:6" x14ac:dyDescent="0.2">
      <c r="A15" s="38" t="s">
        <v>1410</v>
      </c>
      <c r="B15" s="38" t="s">
        <v>1903</v>
      </c>
      <c r="C15" s="38" t="s">
        <v>933</v>
      </c>
      <c r="D15" s="38">
        <v>800</v>
      </c>
      <c r="E15" s="63">
        <v>819.4896</v>
      </c>
      <c r="F15" s="63">
        <v>4.6989453028643497</v>
      </c>
    </row>
    <row r="16" spans="1:6" x14ac:dyDescent="0.2">
      <c r="A16" s="38" t="s">
        <v>1290</v>
      </c>
      <c r="B16" s="38" t="s">
        <v>1841</v>
      </c>
      <c r="C16" s="38" t="s">
        <v>693</v>
      </c>
      <c r="D16" s="38">
        <v>62</v>
      </c>
      <c r="E16" s="63">
        <v>617.93478000000005</v>
      </c>
      <c r="F16" s="63">
        <v>3.54323194822426</v>
      </c>
    </row>
    <row r="17" spans="1:6" x14ac:dyDescent="0.2">
      <c r="A17" s="38" t="s">
        <v>1409</v>
      </c>
      <c r="B17" s="38" t="s">
        <v>1904</v>
      </c>
      <c r="C17" s="38" t="s">
        <v>693</v>
      </c>
      <c r="D17" s="38">
        <v>40</v>
      </c>
      <c r="E17" s="63">
        <v>519.85199999999998</v>
      </c>
      <c r="F17" s="63">
        <v>2.9808262528098499</v>
      </c>
    </row>
    <row r="18" spans="1:6" x14ac:dyDescent="0.2">
      <c r="A18" s="38" t="s">
        <v>1408</v>
      </c>
      <c r="B18" s="38" t="s">
        <v>1905</v>
      </c>
      <c r="C18" s="38" t="s">
        <v>693</v>
      </c>
      <c r="D18" s="38">
        <v>50</v>
      </c>
      <c r="E18" s="63">
        <v>516.76</v>
      </c>
      <c r="F18" s="63">
        <v>2.96309675523421</v>
      </c>
    </row>
    <row r="19" spans="1:6" x14ac:dyDescent="0.2">
      <c r="A19" s="38" t="s">
        <v>1407</v>
      </c>
      <c r="B19" s="38" t="s">
        <v>1906</v>
      </c>
      <c r="C19" s="38" t="s">
        <v>693</v>
      </c>
      <c r="D19" s="38">
        <v>50</v>
      </c>
      <c r="E19" s="63">
        <v>516.15800000000002</v>
      </c>
      <c r="F19" s="63">
        <v>2.95964489315771</v>
      </c>
    </row>
    <row r="20" spans="1:6" x14ac:dyDescent="0.2">
      <c r="A20" s="38" t="s">
        <v>1381</v>
      </c>
      <c r="B20" s="38" t="s">
        <v>1887</v>
      </c>
      <c r="C20" s="38" t="s">
        <v>693</v>
      </c>
      <c r="D20" s="38">
        <v>44</v>
      </c>
      <c r="E20" s="63">
        <v>440.82279999999997</v>
      </c>
      <c r="F20" s="63">
        <v>2.52767359763383</v>
      </c>
    </row>
    <row r="21" spans="1:6" x14ac:dyDescent="0.2">
      <c r="A21" s="38" t="s">
        <v>1392</v>
      </c>
      <c r="B21" s="38" t="s">
        <v>1890</v>
      </c>
      <c r="C21" s="38" t="s">
        <v>693</v>
      </c>
      <c r="D21" s="38">
        <v>38</v>
      </c>
      <c r="E21" s="63">
        <v>380.22192000000001</v>
      </c>
      <c r="F21" s="63">
        <v>2.1801887480086002</v>
      </c>
    </row>
    <row r="22" spans="1:6" x14ac:dyDescent="0.2">
      <c r="A22" s="38" t="s">
        <v>939</v>
      </c>
      <c r="B22" s="38" t="s">
        <v>1922</v>
      </c>
      <c r="C22" s="38" t="s">
        <v>693</v>
      </c>
      <c r="D22" s="38">
        <v>31</v>
      </c>
      <c r="E22" s="63">
        <v>309.95287999999999</v>
      </c>
      <c r="F22" s="63">
        <v>1.7772667640752</v>
      </c>
    </row>
    <row r="23" spans="1:6" x14ac:dyDescent="0.2">
      <c r="A23" s="38" t="s">
        <v>1142</v>
      </c>
      <c r="B23" s="38" t="s">
        <v>1749</v>
      </c>
      <c r="C23" s="38" t="s">
        <v>693</v>
      </c>
      <c r="D23" s="38">
        <v>25</v>
      </c>
      <c r="E23" s="63">
        <v>249.50800000000001</v>
      </c>
      <c r="F23" s="63">
        <v>1.4306764169149699</v>
      </c>
    </row>
    <row r="24" spans="1:6" x14ac:dyDescent="0.2">
      <c r="A24" s="38" t="s">
        <v>1389</v>
      </c>
      <c r="B24" s="38" t="s">
        <v>1892</v>
      </c>
      <c r="C24" s="38" t="s">
        <v>693</v>
      </c>
      <c r="D24" s="38">
        <v>15</v>
      </c>
      <c r="E24" s="63">
        <v>193.13343750000001</v>
      </c>
      <c r="F24" s="63">
        <v>1.10742523024901</v>
      </c>
    </row>
    <row r="25" spans="1:6" x14ac:dyDescent="0.2">
      <c r="A25" s="38" t="s">
        <v>1354</v>
      </c>
      <c r="B25" s="38" t="s">
        <v>1862</v>
      </c>
      <c r="C25" s="38" t="s">
        <v>693</v>
      </c>
      <c r="D25" s="38">
        <v>10</v>
      </c>
      <c r="E25" s="63">
        <v>112.51309999999999</v>
      </c>
      <c r="F25" s="63">
        <v>0.64514900830432398</v>
      </c>
    </row>
    <row r="26" spans="1:6" x14ac:dyDescent="0.2">
      <c r="A26" s="38" t="s">
        <v>895</v>
      </c>
      <c r="B26" s="38" t="s">
        <v>1579</v>
      </c>
      <c r="C26" s="38" t="s">
        <v>693</v>
      </c>
      <c r="D26" s="38">
        <v>5</v>
      </c>
      <c r="E26" s="63">
        <v>50.532600000000002</v>
      </c>
      <c r="F26" s="63">
        <v>0.28975343117413999</v>
      </c>
    </row>
    <row r="27" spans="1:6" x14ac:dyDescent="0.2">
      <c r="A27" s="38" t="s">
        <v>1406</v>
      </c>
      <c r="B27" s="38" t="s">
        <v>1907</v>
      </c>
      <c r="C27" s="38" t="s">
        <v>693</v>
      </c>
      <c r="D27" s="38">
        <v>3</v>
      </c>
      <c r="E27" s="63">
        <v>30.11355</v>
      </c>
      <c r="F27" s="63">
        <v>0.17267079939156099</v>
      </c>
    </row>
    <row r="28" spans="1:6" x14ac:dyDescent="0.2">
      <c r="A28" s="38" t="s">
        <v>1383</v>
      </c>
      <c r="B28" s="38" t="s">
        <v>1885</v>
      </c>
      <c r="C28" s="38" t="s">
        <v>933</v>
      </c>
      <c r="D28" s="38">
        <v>1</v>
      </c>
      <c r="E28" s="63">
        <v>10.06099</v>
      </c>
      <c r="F28" s="63">
        <v>5.7689617662829699E-2</v>
      </c>
    </row>
    <row r="29" spans="1:6" x14ac:dyDescent="0.2">
      <c r="A29" s="37" t="s">
        <v>43</v>
      </c>
      <c r="B29" s="38"/>
      <c r="C29" s="38"/>
      <c r="D29" s="38"/>
      <c r="E29" s="64">
        <f>SUM(E8:E28)</f>
        <v>13779.932757500002</v>
      </c>
      <c r="F29" s="64">
        <f>SUM(F8:F28)</f>
        <v>79.013998841036241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717</v>
      </c>
      <c r="B31" s="38"/>
      <c r="C31" s="38"/>
      <c r="D31" s="38"/>
      <c r="E31" s="63"/>
      <c r="F31" s="63"/>
    </row>
    <row r="32" spans="1:6" x14ac:dyDescent="0.2">
      <c r="A32" s="38" t="s">
        <v>1372</v>
      </c>
      <c r="B32" s="38" t="s">
        <v>1877</v>
      </c>
      <c r="C32" s="38" t="s">
        <v>933</v>
      </c>
      <c r="D32" s="38">
        <v>150</v>
      </c>
      <c r="E32" s="63">
        <v>1501.0965000000001</v>
      </c>
      <c r="F32" s="63">
        <v>8.6072725606537492</v>
      </c>
    </row>
    <row r="33" spans="1:6" x14ac:dyDescent="0.2">
      <c r="A33" s="38" t="s">
        <v>1402</v>
      </c>
      <c r="B33" s="38" t="s">
        <v>1897</v>
      </c>
      <c r="C33" s="38" t="s">
        <v>693</v>
      </c>
      <c r="D33" s="38">
        <v>150</v>
      </c>
      <c r="E33" s="63">
        <v>1489.0425</v>
      </c>
      <c r="F33" s="63">
        <v>8.5381550432615505</v>
      </c>
    </row>
    <row r="34" spans="1:6" x14ac:dyDescent="0.2">
      <c r="A34" s="37" t="s">
        <v>43</v>
      </c>
      <c r="B34" s="38"/>
      <c r="C34" s="38"/>
      <c r="D34" s="38"/>
      <c r="E34" s="64">
        <f>SUM(E32:E33)</f>
        <v>2990.1390000000001</v>
      </c>
      <c r="F34" s="64">
        <f>SUM(F32:F33)</f>
        <v>17.145427603915302</v>
      </c>
    </row>
    <row r="35" spans="1:6" x14ac:dyDescent="0.2">
      <c r="A35" s="38"/>
      <c r="B35" s="38"/>
      <c r="C35" s="38"/>
      <c r="D35" s="38"/>
      <c r="E35" s="63"/>
      <c r="F35" s="63"/>
    </row>
    <row r="36" spans="1:6" x14ac:dyDescent="0.2">
      <c r="A36" s="37" t="s">
        <v>43</v>
      </c>
      <c r="B36" s="38"/>
      <c r="C36" s="38"/>
      <c r="D36" s="38"/>
      <c r="E36" s="64">
        <v>16770.071757500002</v>
      </c>
      <c r="F36" s="64">
        <v>96.159426444951549</v>
      </c>
    </row>
    <row r="37" spans="1:6" x14ac:dyDescent="0.2">
      <c r="A37" s="38"/>
      <c r="B37" s="38"/>
      <c r="C37" s="38"/>
      <c r="D37" s="38"/>
      <c r="E37" s="63"/>
      <c r="F37" s="63"/>
    </row>
    <row r="38" spans="1:6" x14ac:dyDescent="0.2">
      <c r="A38" s="37" t="s">
        <v>101</v>
      </c>
      <c r="B38" s="38"/>
      <c r="C38" s="38"/>
      <c r="D38" s="38"/>
      <c r="E38" s="64">
        <v>669.79250490000004</v>
      </c>
      <c r="F38" s="64">
        <v>3.84</v>
      </c>
    </row>
    <row r="39" spans="1:6" x14ac:dyDescent="0.2">
      <c r="A39" s="38"/>
      <c r="B39" s="38"/>
      <c r="C39" s="38"/>
      <c r="D39" s="38"/>
      <c r="E39" s="63"/>
      <c r="F39" s="63"/>
    </row>
    <row r="40" spans="1:6" x14ac:dyDescent="0.2">
      <c r="A40" s="80" t="s">
        <v>102</v>
      </c>
      <c r="B40" s="79"/>
      <c r="C40" s="79"/>
      <c r="D40" s="79"/>
      <c r="E40" s="61">
        <v>17439.8625049</v>
      </c>
      <c r="F40" s="61">
        <f xml:space="preserve"> ROUND(SUM(F36:F39),2)</f>
        <v>100</v>
      </c>
    </row>
    <row r="41" spans="1:6" x14ac:dyDescent="0.2">
      <c r="A41" s="88" t="s">
        <v>686</v>
      </c>
    </row>
    <row r="43" spans="1:6" x14ac:dyDescent="0.2">
      <c r="A43" s="4" t="s">
        <v>103</v>
      </c>
    </row>
    <row r="44" spans="1:6" x14ac:dyDescent="0.2">
      <c r="A44" s="4" t="s">
        <v>685</v>
      </c>
    </row>
    <row r="45" spans="1:6" x14ac:dyDescent="0.2">
      <c r="A45" s="4" t="s">
        <v>608</v>
      </c>
    </row>
    <row r="46" spans="1:6" x14ac:dyDescent="0.2">
      <c r="A46" s="2" t="s">
        <v>600</v>
      </c>
      <c r="D46" s="10">
        <v>10.625400000000001</v>
      </c>
    </row>
    <row r="47" spans="1:6" x14ac:dyDescent="0.2">
      <c r="A47" s="2" t="s">
        <v>1401</v>
      </c>
      <c r="D47" s="10">
        <v>10.2736</v>
      </c>
    </row>
    <row r="48" spans="1:6" x14ac:dyDescent="0.2">
      <c r="A48" s="2" t="s">
        <v>684</v>
      </c>
      <c r="D48" s="10">
        <v>10.2698</v>
      </c>
    </row>
    <row r="49" spans="1:4" x14ac:dyDescent="0.2">
      <c r="A49" s="2" t="s">
        <v>602</v>
      </c>
      <c r="D49" s="10">
        <v>10.678699999999999</v>
      </c>
    </row>
    <row r="50" spans="1:4" x14ac:dyDescent="0.2">
      <c r="A50" s="2" t="s">
        <v>603</v>
      </c>
      <c r="D50" s="10">
        <v>10.296200000000001</v>
      </c>
    </row>
    <row r="51" spans="1:4" x14ac:dyDescent="0.2">
      <c r="A51" s="2" t="s">
        <v>683</v>
      </c>
      <c r="D51" s="10">
        <v>10.290900000000001</v>
      </c>
    </row>
    <row r="53" spans="1:4" x14ac:dyDescent="0.2">
      <c r="A53" s="4" t="s">
        <v>105</v>
      </c>
    </row>
    <row r="54" spans="1:4" x14ac:dyDescent="0.2">
      <c r="A54" s="2" t="s">
        <v>600</v>
      </c>
      <c r="D54" s="10">
        <v>11.175700000000001</v>
      </c>
    </row>
    <row r="55" spans="1:4" x14ac:dyDescent="0.2">
      <c r="A55" s="2" t="s">
        <v>1401</v>
      </c>
      <c r="D55" s="10">
        <v>10.8056</v>
      </c>
    </row>
    <row r="56" spans="1:4" x14ac:dyDescent="0.2">
      <c r="A56" s="2" t="s">
        <v>684</v>
      </c>
      <c r="D56" s="10">
        <v>10.3171</v>
      </c>
    </row>
    <row r="57" spans="1:4" x14ac:dyDescent="0.2">
      <c r="A57" s="2" t="s">
        <v>602</v>
      </c>
      <c r="D57" s="10">
        <v>11.2317</v>
      </c>
    </row>
    <row r="58" spans="1:4" x14ac:dyDescent="0.2">
      <c r="A58" s="2" t="s">
        <v>603</v>
      </c>
      <c r="D58" s="10">
        <v>10.829499999999999</v>
      </c>
    </row>
    <row r="59" spans="1:4" x14ac:dyDescent="0.2">
      <c r="A59" s="2" t="s">
        <v>683</v>
      </c>
      <c r="D59" s="10">
        <v>10.339399999999999</v>
      </c>
    </row>
    <row r="61" spans="1:4" x14ac:dyDescent="0.2">
      <c r="A61" s="4" t="s">
        <v>106</v>
      </c>
      <c r="D61" s="20" t="s">
        <v>311</v>
      </c>
    </row>
    <row r="62" spans="1:4" x14ac:dyDescent="0.2">
      <c r="A62" s="21" t="s">
        <v>604</v>
      </c>
      <c r="B62" s="22"/>
      <c r="C62" s="103" t="s">
        <v>605</v>
      </c>
      <c r="D62" s="104"/>
    </row>
    <row r="63" spans="1:4" x14ac:dyDescent="0.2">
      <c r="A63" s="105"/>
      <c r="B63" s="106"/>
      <c r="C63" s="23" t="s">
        <v>606</v>
      </c>
      <c r="D63" s="23" t="s">
        <v>607</v>
      </c>
    </row>
    <row r="64" spans="1:4" x14ac:dyDescent="0.2">
      <c r="A64" s="24" t="s">
        <v>684</v>
      </c>
      <c r="B64" s="25"/>
      <c r="C64" s="26">
        <v>0.338551669</v>
      </c>
      <c r="D64" s="26">
        <v>0.31350053280000001</v>
      </c>
    </row>
    <row r="65" spans="1:5" x14ac:dyDescent="0.2">
      <c r="A65" s="24" t="s">
        <v>683</v>
      </c>
      <c r="B65" s="25"/>
      <c r="C65" s="26">
        <v>0.338551669</v>
      </c>
      <c r="D65" s="26">
        <v>0.31350053280000001</v>
      </c>
    </row>
    <row r="66" spans="1:5" x14ac:dyDescent="0.2">
      <c r="A66" s="75"/>
      <c r="B66" s="75"/>
      <c r="C66" s="74"/>
      <c r="D66" s="74"/>
    </row>
    <row r="67" spans="1:5" x14ac:dyDescent="0.2">
      <c r="A67" s="4" t="s">
        <v>680</v>
      </c>
      <c r="D67" s="15">
        <v>1.486780136154962</v>
      </c>
      <c r="E67" s="72" t="s">
        <v>1312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E885-A17C-41B9-B1DC-6237D723CF5E}">
  <dimension ref="A1:F6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1420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1143</v>
      </c>
      <c r="B8" s="38" t="s">
        <v>1930</v>
      </c>
      <c r="C8" s="38" t="s">
        <v>933</v>
      </c>
      <c r="D8" s="38">
        <v>26</v>
      </c>
      <c r="E8" s="63">
        <v>262.31738000000001</v>
      </c>
      <c r="F8" s="63">
        <v>10.741158228090899</v>
      </c>
    </row>
    <row r="9" spans="1:6" x14ac:dyDescent="0.2">
      <c r="A9" s="38" t="s">
        <v>1144</v>
      </c>
      <c r="B9" s="38" t="s">
        <v>1748</v>
      </c>
      <c r="C9" s="38" t="s">
        <v>693</v>
      </c>
      <c r="D9" s="38">
        <v>26</v>
      </c>
      <c r="E9" s="63">
        <v>261.82546000000002</v>
      </c>
      <c r="F9" s="63">
        <v>10.7210154889572</v>
      </c>
    </row>
    <row r="10" spans="1:6" x14ac:dyDescent="0.2">
      <c r="A10" s="38" t="s">
        <v>948</v>
      </c>
      <c r="B10" s="38" t="s">
        <v>1596</v>
      </c>
      <c r="C10" s="38" t="s">
        <v>693</v>
      </c>
      <c r="D10" s="38">
        <v>24</v>
      </c>
      <c r="E10" s="63">
        <v>240.14328</v>
      </c>
      <c r="F10" s="63">
        <v>9.8331912582107002</v>
      </c>
    </row>
    <row r="11" spans="1:6" x14ac:dyDescent="0.2">
      <c r="A11" s="38" t="s">
        <v>1043</v>
      </c>
      <c r="B11" s="38" t="s">
        <v>1715</v>
      </c>
      <c r="C11" s="38" t="s">
        <v>693</v>
      </c>
      <c r="D11" s="38">
        <v>21</v>
      </c>
      <c r="E11" s="63">
        <v>211.66488000000001</v>
      </c>
      <c r="F11" s="63">
        <v>8.6670809513645999</v>
      </c>
    </row>
    <row r="12" spans="1:6" x14ac:dyDescent="0.2">
      <c r="A12" s="38" t="s">
        <v>1419</v>
      </c>
      <c r="B12" s="38" t="s">
        <v>1908</v>
      </c>
      <c r="C12" s="38" t="s">
        <v>693</v>
      </c>
      <c r="D12" s="38">
        <v>20</v>
      </c>
      <c r="E12" s="63">
        <v>202.4332</v>
      </c>
      <c r="F12" s="63">
        <v>8.2890696446372303</v>
      </c>
    </row>
    <row r="13" spans="1:6" x14ac:dyDescent="0.2">
      <c r="A13" s="38" t="s">
        <v>1418</v>
      </c>
      <c r="B13" s="38" t="s">
        <v>1909</v>
      </c>
      <c r="C13" s="38" t="s">
        <v>693</v>
      </c>
      <c r="D13" s="38">
        <v>20</v>
      </c>
      <c r="E13" s="63">
        <v>201.0788</v>
      </c>
      <c r="F13" s="63">
        <v>8.2336107775803598</v>
      </c>
    </row>
    <row r="14" spans="1:6" x14ac:dyDescent="0.2">
      <c r="A14" s="38" t="s">
        <v>1138</v>
      </c>
      <c r="B14" s="38" t="s">
        <v>1752</v>
      </c>
      <c r="C14" s="38" t="s">
        <v>693</v>
      </c>
      <c r="D14" s="38">
        <v>2</v>
      </c>
      <c r="E14" s="63">
        <v>200.673</v>
      </c>
      <c r="F14" s="63">
        <v>8.2169944099993799</v>
      </c>
    </row>
    <row r="15" spans="1:6" x14ac:dyDescent="0.2">
      <c r="A15" s="38" t="s">
        <v>1417</v>
      </c>
      <c r="B15" s="38" t="s">
        <v>1910</v>
      </c>
      <c r="C15" s="38" t="s">
        <v>693</v>
      </c>
      <c r="D15" s="38">
        <v>19</v>
      </c>
      <c r="E15" s="63">
        <v>190.12217000000001</v>
      </c>
      <c r="F15" s="63">
        <v>7.7849676244783899</v>
      </c>
    </row>
    <row r="16" spans="1:6" x14ac:dyDescent="0.2">
      <c r="A16" s="38" t="s">
        <v>1406</v>
      </c>
      <c r="B16" s="38" t="s">
        <v>1907</v>
      </c>
      <c r="C16" s="38" t="s">
        <v>693</v>
      </c>
      <c r="D16" s="38">
        <v>15</v>
      </c>
      <c r="E16" s="63">
        <v>150.56774999999999</v>
      </c>
      <c r="F16" s="63">
        <v>6.1653254801402504</v>
      </c>
    </row>
    <row r="17" spans="1:6" x14ac:dyDescent="0.2">
      <c r="A17" s="38" t="s">
        <v>936</v>
      </c>
      <c r="B17" s="38" t="s">
        <v>1604</v>
      </c>
      <c r="C17" s="38" t="s">
        <v>693</v>
      </c>
      <c r="D17" s="38">
        <v>13</v>
      </c>
      <c r="E17" s="63">
        <v>130.11816999999999</v>
      </c>
      <c r="F17" s="63">
        <v>5.3279727493452</v>
      </c>
    </row>
    <row r="18" spans="1:6" x14ac:dyDescent="0.2">
      <c r="A18" s="38" t="s">
        <v>1046</v>
      </c>
      <c r="B18" s="38" t="s">
        <v>1712</v>
      </c>
      <c r="C18" s="38" t="s">
        <v>693</v>
      </c>
      <c r="D18" s="38">
        <v>3</v>
      </c>
      <c r="E18" s="63">
        <v>30.064769999999999</v>
      </c>
      <c r="F18" s="63">
        <v>1.2310676923548101</v>
      </c>
    </row>
    <row r="19" spans="1:6" x14ac:dyDescent="0.2">
      <c r="A19" s="37" t="s">
        <v>43</v>
      </c>
      <c r="B19" s="38"/>
      <c r="C19" s="38"/>
      <c r="D19" s="38"/>
      <c r="E19" s="64">
        <f>SUM(E8:E18)</f>
        <v>2081.0088599999999</v>
      </c>
      <c r="F19" s="64">
        <f>SUM(F8:F18)</f>
        <v>85.211454305159023</v>
      </c>
    </row>
    <row r="20" spans="1:6" x14ac:dyDescent="0.2">
      <c r="A20" s="38"/>
      <c r="B20" s="38"/>
      <c r="C20" s="38"/>
      <c r="D20" s="38"/>
      <c r="E20" s="63"/>
      <c r="F20" s="63"/>
    </row>
    <row r="21" spans="1:6" x14ac:dyDescent="0.2">
      <c r="A21" s="37" t="s">
        <v>717</v>
      </c>
      <c r="B21" s="38"/>
      <c r="C21" s="38"/>
      <c r="D21" s="38"/>
      <c r="E21" s="63"/>
      <c r="F21" s="63"/>
    </row>
    <row r="22" spans="1:6" x14ac:dyDescent="0.2">
      <c r="A22" s="38" t="s">
        <v>1116</v>
      </c>
      <c r="B22" s="38" t="s">
        <v>1735</v>
      </c>
      <c r="C22" s="38" t="s">
        <v>693</v>
      </c>
      <c r="D22" s="38">
        <v>22</v>
      </c>
      <c r="E22" s="63">
        <v>220.34298000000001</v>
      </c>
      <c r="F22" s="63">
        <v>9.0224247155452098</v>
      </c>
    </row>
    <row r="23" spans="1:6" x14ac:dyDescent="0.2">
      <c r="A23" s="37" t="s">
        <v>43</v>
      </c>
      <c r="B23" s="38"/>
      <c r="C23" s="38"/>
      <c r="D23" s="38"/>
      <c r="E23" s="64">
        <f>SUM(E22:E22)</f>
        <v>220.34298000000001</v>
      </c>
      <c r="F23" s="64">
        <f>SUM(F22:F22)</f>
        <v>9.0224247155452098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690</v>
      </c>
      <c r="B25" s="38"/>
      <c r="C25" s="38"/>
      <c r="D25" s="38"/>
      <c r="E25" s="63"/>
      <c r="F25" s="63"/>
    </row>
    <row r="26" spans="1:6" x14ac:dyDescent="0.2">
      <c r="A26" s="38" t="s">
        <v>1182</v>
      </c>
      <c r="B26" s="38" t="s">
        <v>1754</v>
      </c>
      <c r="C26" s="38" t="s">
        <v>1007</v>
      </c>
      <c r="D26" s="38">
        <v>5</v>
      </c>
      <c r="E26" s="63">
        <v>24.036024999999999</v>
      </c>
      <c r="F26" s="63">
        <v>0.984207556889095</v>
      </c>
    </row>
    <row r="27" spans="1:6" x14ac:dyDescent="0.2">
      <c r="A27" s="38" t="s">
        <v>1171</v>
      </c>
      <c r="B27" s="38" t="s">
        <v>1942</v>
      </c>
      <c r="C27" s="38" t="s">
        <v>688</v>
      </c>
      <c r="D27" s="38">
        <v>5</v>
      </c>
      <c r="E27" s="63">
        <v>23.939699999999998</v>
      </c>
      <c r="F27" s="63">
        <v>0.98026331931581301</v>
      </c>
    </row>
    <row r="28" spans="1:6" x14ac:dyDescent="0.2">
      <c r="A28" s="38" t="s">
        <v>1000</v>
      </c>
      <c r="B28" s="38" t="s">
        <v>1632</v>
      </c>
      <c r="C28" s="38" t="s">
        <v>999</v>
      </c>
      <c r="D28" s="38">
        <v>2</v>
      </c>
      <c r="E28" s="63">
        <v>9.6138899999999996</v>
      </c>
      <c r="F28" s="63">
        <v>0.39366173021955603</v>
      </c>
    </row>
    <row r="29" spans="1:6" x14ac:dyDescent="0.2">
      <c r="A29" s="37" t="s">
        <v>43</v>
      </c>
      <c r="B29" s="38"/>
      <c r="C29" s="38"/>
      <c r="D29" s="38"/>
      <c r="E29" s="64">
        <f>SUM(E26:E28)</f>
        <v>57.589614999999995</v>
      </c>
      <c r="F29" s="64">
        <f>SUM(F26:F28)</f>
        <v>2.3581326064244643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2358.9414550000001</v>
      </c>
      <c r="F31" s="64">
        <v>96.592011627128699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83.230336100000002</v>
      </c>
      <c r="F33" s="64">
        <v>3.41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2442.1703361</v>
      </c>
      <c r="F35" s="61">
        <f xml:space="preserve"> ROUND(SUM(F31:F34),2)</f>
        <v>100</v>
      </c>
    </row>
    <row r="36" spans="1:6" x14ac:dyDescent="0.2">
      <c r="A36" s="88" t="s">
        <v>686</v>
      </c>
    </row>
    <row r="37" spans="1:6" x14ac:dyDescent="0.2">
      <c r="A37" s="4"/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</row>
    <row r="41" spans="1:6" x14ac:dyDescent="0.2">
      <c r="A41" s="2" t="s">
        <v>600</v>
      </c>
      <c r="D41" s="10">
        <v>11.1646</v>
      </c>
    </row>
    <row r="42" spans="1:6" x14ac:dyDescent="0.2">
      <c r="A42" s="2" t="s">
        <v>601</v>
      </c>
      <c r="D42" s="10">
        <v>10.847099999999999</v>
      </c>
    </row>
    <row r="43" spans="1:6" x14ac:dyDescent="0.2">
      <c r="A43" s="2" t="s">
        <v>684</v>
      </c>
      <c r="D43" s="10">
        <v>10.2621</v>
      </c>
    </row>
    <row r="44" spans="1:6" x14ac:dyDescent="0.2">
      <c r="A44" s="2" t="s">
        <v>602</v>
      </c>
      <c r="D44" s="10">
        <v>11.213699999999999</v>
      </c>
    </row>
    <row r="45" spans="1:6" x14ac:dyDescent="0.2">
      <c r="A45" s="2" t="s">
        <v>603</v>
      </c>
      <c r="D45" s="10">
        <v>10.8962</v>
      </c>
    </row>
    <row r="46" spans="1:6" x14ac:dyDescent="0.2">
      <c r="A46" s="2" t="s">
        <v>683</v>
      </c>
      <c r="D46" s="10">
        <v>10.289</v>
      </c>
    </row>
    <row r="48" spans="1:6" x14ac:dyDescent="0.2">
      <c r="A48" s="4" t="s">
        <v>105</v>
      </c>
    </row>
    <row r="49" spans="1:5" x14ac:dyDescent="0.2">
      <c r="A49" s="2" t="s">
        <v>600</v>
      </c>
      <c r="D49" s="10">
        <v>11.689399999999999</v>
      </c>
    </row>
    <row r="50" spans="1:5" x14ac:dyDescent="0.2">
      <c r="A50" s="2" t="s">
        <v>601</v>
      </c>
      <c r="D50" s="10">
        <v>10.442399999999999</v>
      </c>
    </row>
    <row r="51" spans="1:5" x14ac:dyDescent="0.2">
      <c r="A51" s="2" t="s">
        <v>684</v>
      </c>
      <c r="D51" s="10">
        <v>10.271100000000001</v>
      </c>
    </row>
    <row r="52" spans="1:5" x14ac:dyDescent="0.2">
      <c r="A52" s="2" t="s">
        <v>602</v>
      </c>
      <c r="D52" s="10">
        <v>11.7408</v>
      </c>
    </row>
    <row r="53" spans="1:5" x14ac:dyDescent="0.2">
      <c r="A53" s="2" t="s">
        <v>603</v>
      </c>
      <c r="D53" s="10">
        <v>10.4938</v>
      </c>
    </row>
    <row r="54" spans="1:5" x14ac:dyDescent="0.2">
      <c r="A54" s="2" t="s">
        <v>683</v>
      </c>
      <c r="D54" s="10">
        <v>10.299300000000001</v>
      </c>
    </row>
    <row r="56" spans="1:5" x14ac:dyDescent="0.2">
      <c r="A56" s="4" t="s">
        <v>106</v>
      </c>
      <c r="D56" s="100" t="s">
        <v>311</v>
      </c>
    </row>
    <row r="57" spans="1:5" x14ac:dyDescent="0.2">
      <c r="A57" s="21" t="s">
        <v>604</v>
      </c>
      <c r="B57" s="22"/>
      <c r="C57" s="103" t="s">
        <v>605</v>
      </c>
      <c r="D57" s="104"/>
    </row>
    <row r="58" spans="1:5" x14ac:dyDescent="0.2">
      <c r="A58" s="105"/>
      <c r="B58" s="106"/>
      <c r="C58" s="23" t="s">
        <v>606</v>
      </c>
      <c r="D58" s="23" t="s">
        <v>607</v>
      </c>
    </row>
    <row r="59" spans="1:5" x14ac:dyDescent="0.2">
      <c r="A59" s="57" t="s">
        <v>601</v>
      </c>
      <c r="B59" s="58"/>
      <c r="C59" s="96">
        <v>0.64829042999999997</v>
      </c>
      <c r="D59" s="96">
        <v>0.60032016900000007</v>
      </c>
    </row>
    <row r="60" spans="1:5" x14ac:dyDescent="0.2">
      <c r="A60" s="24" t="s">
        <v>684</v>
      </c>
      <c r="B60" s="25"/>
      <c r="C60" s="96">
        <v>0.33134844200000002</v>
      </c>
      <c r="D60" s="96">
        <v>0.3068303087</v>
      </c>
    </row>
    <row r="61" spans="1:5" x14ac:dyDescent="0.2">
      <c r="A61" s="24" t="s">
        <v>603</v>
      </c>
      <c r="B61" s="25"/>
      <c r="C61" s="96">
        <v>0.64829042999999997</v>
      </c>
      <c r="D61" s="96">
        <v>0.60032016900000007</v>
      </c>
    </row>
    <row r="62" spans="1:5" x14ac:dyDescent="0.2">
      <c r="A62" s="24" t="s">
        <v>1416</v>
      </c>
      <c r="B62" s="25"/>
      <c r="C62" s="96">
        <v>0.33134844200000002</v>
      </c>
      <c r="D62" s="96">
        <v>0.3068303087</v>
      </c>
    </row>
    <row r="64" spans="1:5" x14ac:dyDescent="0.2">
      <c r="A64" s="4" t="s">
        <v>680</v>
      </c>
      <c r="D64" s="15">
        <v>0.60074170321340115</v>
      </c>
      <c r="E64" s="72" t="s">
        <v>1312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207-BFB1-4DC0-AE11-84FB4EA9DB1C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2" bestFit="1" customWidth="1"/>
    <col min="6" max="6" width="13.5703125" style="72" bestFit="1" customWidth="1"/>
    <col min="7" max="16384" width="9.140625" style="2"/>
  </cols>
  <sheetData>
    <row r="1" spans="1:6" x14ac:dyDescent="0.2">
      <c r="A1" s="113" t="s">
        <v>1421</v>
      </c>
      <c r="B1" s="113"/>
      <c r="C1" s="113"/>
      <c r="D1" s="113"/>
      <c r="E1" s="113"/>
      <c r="F1" s="113"/>
    </row>
    <row r="3" spans="1:6" s="4" customFormat="1" x14ac:dyDescent="0.2">
      <c r="A3" s="85" t="s">
        <v>1</v>
      </c>
      <c r="B3" s="85" t="s">
        <v>2</v>
      </c>
      <c r="C3" s="85" t="s">
        <v>830</v>
      </c>
      <c r="D3" s="85" t="s">
        <v>4</v>
      </c>
      <c r="E3" s="84" t="s">
        <v>5</v>
      </c>
      <c r="F3" s="84" t="s">
        <v>6</v>
      </c>
    </row>
    <row r="4" spans="1:6" x14ac:dyDescent="0.2">
      <c r="A4" s="79"/>
      <c r="B4" s="79"/>
      <c r="C4" s="79"/>
      <c r="D4" s="79"/>
      <c r="E4" s="83"/>
      <c r="F4" s="83"/>
    </row>
    <row r="5" spans="1:6" x14ac:dyDescent="0.2">
      <c r="A5" s="37" t="s">
        <v>702</v>
      </c>
      <c r="B5" s="38"/>
      <c r="C5" s="38"/>
      <c r="D5" s="38"/>
      <c r="E5" s="63"/>
      <c r="F5" s="63"/>
    </row>
    <row r="6" spans="1:6" x14ac:dyDescent="0.2">
      <c r="A6" s="37" t="s">
        <v>8</v>
      </c>
      <c r="B6" s="38"/>
      <c r="C6" s="38"/>
      <c r="D6" s="38"/>
      <c r="E6" s="63"/>
      <c r="F6" s="63"/>
    </row>
    <row r="7" spans="1:6" x14ac:dyDescent="0.2">
      <c r="A7" s="37"/>
      <c r="B7" s="38"/>
      <c r="C7" s="38"/>
      <c r="D7" s="38"/>
      <c r="E7" s="63"/>
      <c r="F7" s="63"/>
    </row>
    <row r="8" spans="1:6" x14ac:dyDescent="0.2">
      <c r="A8" s="38" t="s">
        <v>1143</v>
      </c>
      <c r="B8" s="38" t="s">
        <v>1930</v>
      </c>
      <c r="C8" s="38" t="s">
        <v>933</v>
      </c>
      <c r="D8" s="38">
        <v>38</v>
      </c>
      <c r="E8" s="63">
        <v>383.38693999999998</v>
      </c>
      <c r="F8" s="63">
        <v>10.5205318723592</v>
      </c>
    </row>
    <row r="9" spans="1:6" x14ac:dyDescent="0.2">
      <c r="A9" s="38" t="s">
        <v>1144</v>
      </c>
      <c r="B9" s="38" t="s">
        <v>1748</v>
      </c>
      <c r="C9" s="38" t="s">
        <v>693</v>
      </c>
      <c r="D9" s="38">
        <v>37</v>
      </c>
      <c r="E9" s="63">
        <v>372.59777000000003</v>
      </c>
      <c r="F9" s="63">
        <v>10.224465953000299</v>
      </c>
    </row>
    <row r="10" spans="1:6" x14ac:dyDescent="0.2">
      <c r="A10" s="38" t="s">
        <v>948</v>
      </c>
      <c r="B10" s="38" t="s">
        <v>1596</v>
      </c>
      <c r="C10" s="38" t="s">
        <v>693</v>
      </c>
      <c r="D10" s="38">
        <v>34</v>
      </c>
      <c r="E10" s="63">
        <v>340.20298000000003</v>
      </c>
      <c r="F10" s="63">
        <v>9.3355196036713508</v>
      </c>
    </row>
    <row r="11" spans="1:6" x14ac:dyDescent="0.2">
      <c r="A11" s="38" t="s">
        <v>1043</v>
      </c>
      <c r="B11" s="38" t="s">
        <v>1715</v>
      </c>
      <c r="C11" s="38" t="s">
        <v>693</v>
      </c>
      <c r="D11" s="38">
        <v>32</v>
      </c>
      <c r="E11" s="63">
        <v>322.53696000000002</v>
      </c>
      <c r="F11" s="63">
        <v>8.8507458488122595</v>
      </c>
    </row>
    <row r="12" spans="1:6" x14ac:dyDescent="0.2">
      <c r="A12" s="38" t="s">
        <v>1406</v>
      </c>
      <c r="B12" s="38" t="s">
        <v>1907</v>
      </c>
      <c r="C12" s="38" t="s">
        <v>693</v>
      </c>
      <c r="D12" s="38">
        <v>32</v>
      </c>
      <c r="E12" s="63">
        <v>321.21120000000002</v>
      </c>
      <c r="F12" s="63">
        <v>8.8143656311264404</v>
      </c>
    </row>
    <row r="13" spans="1:6" x14ac:dyDescent="0.2">
      <c r="A13" s="38" t="s">
        <v>936</v>
      </c>
      <c r="B13" s="38" t="s">
        <v>1604</v>
      </c>
      <c r="C13" s="38" t="s">
        <v>693</v>
      </c>
      <c r="D13" s="38">
        <v>32</v>
      </c>
      <c r="E13" s="63">
        <v>320.29088000000002</v>
      </c>
      <c r="F13" s="63">
        <v>8.7891111039566603</v>
      </c>
    </row>
    <row r="14" spans="1:6" x14ac:dyDescent="0.2">
      <c r="A14" s="38" t="s">
        <v>1417</v>
      </c>
      <c r="B14" s="38" t="s">
        <v>1910</v>
      </c>
      <c r="C14" s="38" t="s">
        <v>693</v>
      </c>
      <c r="D14" s="38">
        <v>31</v>
      </c>
      <c r="E14" s="63">
        <v>310.19932999999997</v>
      </c>
      <c r="F14" s="63">
        <v>8.5121885947639697</v>
      </c>
    </row>
    <row r="15" spans="1:6" x14ac:dyDescent="0.2">
      <c r="A15" s="38" t="s">
        <v>1419</v>
      </c>
      <c r="B15" s="38" t="s">
        <v>1908</v>
      </c>
      <c r="C15" s="38" t="s">
        <v>693</v>
      </c>
      <c r="D15" s="38">
        <v>30</v>
      </c>
      <c r="E15" s="63">
        <v>303.64980000000003</v>
      </c>
      <c r="F15" s="63">
        <v>8.3324627566486402</v>
      </c>
    </row>
    <row r="16" spans="1:6" x14ac:dyDescent="0.2">
      <c r="A16" s="38" t="s">
        <v>1418</v>
      </c>
      <c r="B16" s="38" t="s">
        <v>1909</v>
      </c>
      <c r="C16" s="38" t="s">
        <v>693</v>
      </c>
      <c r="D16" s="38">
        <v>30</v>
      </c>
      <c r="E16" s="63">
        <v>301.6182</v>
      </c>
      <c r="F16" s="63">
        <v>8.2767135635439306</v>
      </c>
    </row>
    <row r="17" spans="1:6" x14ac:dyDescent="0.2">
      <c r="A17" s="38" t="s">
        <v>1138</v>
      </c>
      <c r="B17" s="38" t="s">
        <v>1752</v>
      </c>
      <c r="C17" s="38" t="s">
        <v>693</v>
      </c>
      <c r="D17" s="38">
        <v>2</v>
      </c>
      <c r="E17" s="63">
        <v>200.673</v>
      </c>
      <c r="F17" s="63">
        <v>5.5066734730764004</v>
      </c>
    </row>
    <row r="18" spans="1:6" x14ac:dyDescent="0.2">
      <c r="A18" s="38" t="s">
        <v>1046</v>
      </c>
      <c r="B18" s="38" t="s">
        <v>1712</v>
      </c>
      <c r="C18" s="38" t="s">
        <v>693</v>
      </c>
      <c r="D18" s="38">
        <v>6</v>
      </c>
      <c r="E18" s="63">
        <v>60.129539999999999</v>
      </c>
      <c r="F18" s="63">
        <v>1.65001640911476</v>
      </c>
    </row>
    <row r="19" spans="1:6" x14ac:dyDescent="0.2">
      <c r="A19" s="37" t="s">
        <v>43</v>
      </c>
      <c r="B19" s="38"/>
      <c r="C19" s="38"/>
      <c r="D19" s="38"/>
      <c r="E19" s="64">
        <f>SUM(E8:E18)</f>
        <v>3236.4966000000004</v>
      </c>
      <c r="F19" s="64">
        <f>SUM(F8:F18)</f>
        <v>88.81279481007391</v>
      </c>
    </row>
    <row r="20" spans="1:6" x14ac:dyDescent="0.2">
      <c r="A20" s="38"/>
      <c r="B20" s="38"/>
      <c r="C20" s="38"/>
      <c r="D20" s="38"/>
      <c r="E20" s="63"/>
      <c r="F20" s="63"/>
    </row>
    <row r="21" spans="1:6" x14ac:dyDescent="0.2">
      <c r="A21" s="37" t="s">
        <v>717</v>
      </c>
      <c r="B21" s="38"/>
      <c r="C21" s="38"/>
      <c r="D21" s="38"/>
      <c r="E21" s="63"/>
      <c r="F21" s="63"/>
    </row>
    <row r="22" spans="1:6" x14ac:dyDescent="0.2">
      <c r="A22" s="38" t="s">
        <v>1116</v>
      </c>
      <c r="B22" s="38" t="s">
        <v>1735</v>
      </c>
      <c r="C22" s="38" t="s">
        <v>693</v>
      </c>
      <c r="D22" s="38">
        <v>22</v>
      </c>
      <c r="E22" s="63">
        <v>220.34298000000001</v>
      </c>
      <c r="F22" s="63">
        <v>6.0464379510178397</v>
      </c>
    </row>
    <row r="23" spans="1:6" x14ac:dyDescent="0.2">
      <c r="A23" s="37" t="s">
        <v>43</v>
      </c>
      <c r="B23" s="38"/>
      <c r="C23" s="38"/>
      <c r="D23" s="38"/>
      <c r="E23" s="64">
        <f>SUM(E22:E22)</f>
        <v>220.34298000000001</v>
      </c>
      <c r="F23" s="64">
        <f>SUM(F22:F22)</f>
        <v>6.0464379510178397</v>
      </c>
    </row>
    <row r="24" spans="1:6" x14ac:dyDescent="0.2">
      <c r="A24" s="38"/>
      <c r="B24" s="38"/>
      <c r="C24" s="38"/>
      <c r="D24" s="38"/>
      <c r="E24" s="63"/>
      <c r="F24" s="63"/>
    </row>
    <row r="25" spans="1:6" x14ac:dyDescent="0.2">
      <c r="A25" s="37" t="s">
        <v>690</v>
      </c>
      <c r="B25" s="38"/>
      <c r="C25" s="38"/>
      <c r="D25" s="38"/>
      <c r="E25" s="63"/>
      <c r="F25" s="63"/>
    </row>
    <row r="26" spans="1:6" x14ac:dyDescent="0.2">
      <c r="A26" s="38" t="s">
        <v>1171</v>
      </c>
      <c r="B26" s="38" t="s">
        <v>1942</v>
      </c>
      <c r="C26" s="38" t="s">
        <v>688</v>
      </c>
      <c r="D26" s="38">
        <v>8</v>
      </c>
      <c r="E26" s="63">
        <v>38.303519999999999</v>
      </c>
      <c r="F26" s="63">
        <v>1.0510879765063099</v>
      </c>
    </row>
    <row r="27" spans="1:6" x14ac:dyDescent="0.2">
      <c r="A27" s="38" t="s">
        <v>1182</v>
      </c>
      <c r="B27" s="38" t="s">
        <v>1754</v>
      </c>
      <c r="C27" s="38" t="s">
        <v>1007</v>
      </c>
      <c r="D27" s="38">
        <v>5</v>
      </c>
      <c r="E27" s="63">
        <v>24.036024999999999</v>
      </c>
      <c r="F27" s="63">
        <v>0.65957324236793702</v>
      </c>
    </row>
    <row r="28" spans="1:6" x14ac:dyDescent="0.2">
      <c r="A28" s="38" t="s">
        <v>1000</v>
      </c>
      <c r="B28" s="38" t="s">
        <v>1632</v>
      </c>
      <c r="C28" s="38" t="s">
        <v>999</v>
      </c>
      <c r="D28" s="38">
        <v>3</v>
      </c>
      <c r="E28" s="63">
        <v>14.420835</v>
      </c>
      <c r="F28" s="63">
        <v>0.39572254141868402</v>
      </c>
    </row>
    <row r="29" spans="1:6" x14ac:dyDescent="0.2">
      <c r="A29" s="37" t="s">
        <v>43</v>
      </c>
      <c r="B29" s="38"/>
      <c r="C29" s="38"/>
      <c r="D29" s="38"/>
      <c r="E29" s="64">
        <f>SUM(E26:E28)</f>
        <v>76.760379999999998</v>
      </c>
      <c r="F29" s="64">
        <f>SUM(F26:F28)</f>
        <v>2.106383760292931</v>
      </c>
    </row>
    <row r="30" spans="1:6" x14ac:dyDescent="0.2">
      <c r="A30" s="38"/>
      <c r="B30" s="38"/>
      <c r="C30" s="38"/>
      <c r="D30" s="38"/>
      <c r="E30" s="63"/>
      <c r="F30" s="63"/>
    </row>
    <row r="31" spans="1:6" x14ac:dyDescent="0.2">
      <c r="A31" s="37" t="s">
        <v>43</v>
      </c>
      <c r="B31" s="38"/>
      <c r="C31" s="38"/>
      <c r="D31" s="38"/>
      <c r="E31" s="64">
        <v>3533.5999600000005</v>
      </c>
      <c r="F31" s="64">
        <v>96.965616521384675</v>
      </c>
    </row>
    <row r="32" spans="1:6" x14ac:dyDescent="0.2">
      <c r="A32" s="38"/>
      <c r="B32" s="38"/>
      <c r="C32" s="38"/>
      <c r="D32" s="38"/>
      <c r="E32" s="63"/>
      <c r="F32" s="63"/>
    </row>
    <row r="33" spans="1:6" x14ac:dyDescent="0.2">
      <c r="A33" s="37" t="s">
        <v>101</v>
      </c>
      <c r="B33" s="38"/>
      <c r="C33" s="38"/>
      <c r="D33" s="38"/>
      <c r="E33" s="64">
        <v>110.57830439999999</v>
      </c>
      <c r="F33" s="64">
        <v>3.03</v>
      </c>
    </row>
    <row r="34" spans="1:6" x14ac:dyDescent="0.2">
      <c r="A34" s="38"/>
      <c r="B34" s="38"/>
      <c r="C34" s="38"/>
      <c r="D34" s="38"/>
      <c r="E34" s="63"/>
      <c r="F34" s="63"/>
    </row>
    <row r="35" spans="1:6" x14ac:dyDescent="0.2">
      <c r="A35" s="80" t="s">
        <v>102</v>
      </c>
      <c r="B35" s="79"/>
      <c r="C35" s="79"/>
      <c r="D35" s="79"/>
      <c r="E35" s="61">
        <v>3644.1783043999999</v>
      </c>
      <c r="F35" s="61">
        <f xml:space="preserve"> ROUND(SUM(F31:F34),2)</f>
        <v>100</v>
      </c>
    </row>
    <row r="36" spans="1:6" x14ac:dyDescent="0.2">
      <c r="A36" s="4" t="s">
        <v>686</v>
      </c>
    </row>
    <row r="38" spans="1:6" x14ac:dyDescent="0.2">
      <c r="A38" s="4" t="s">
        <v>103</v>
      </c>
    </row>
    <row r="39" spans="1:6" x14ac:dyDescent="0.2">
      <c r="A39" s="4" t="s">
        <v>685</v>
      </c>
    </row>
    <row r="40" spans="1:6" x14ac:dyDescent="0.2">
      <c r="A40" s="4" t="s">
        <v>608</v>
      </c>
    </row>
    <row r="41" spans="1:6" x14ac:dyDescent="0.2">
      <c r="A41" s="2" t="s">
        <v>600</v>
      </c>
      <c r="D41" s="10">
        <v>11.2516</v>
      </c>
    </row>
    <row r="42" spans="1:6" x14ac:dyDescent="0.2">
      <c r="A42" s="2" t="s">
        <v>1401</v>
      </c>
      <c r="D42" s="10">
        <v>10.7209</v>
      </c>
    </row>
    <row r="43" spans="1:6" x14ac:dyDescent="0.2">
      <c r="A43" s="2" t="s">
        <v>602</v>
      </c>
      <c r="D43" s="10">
        <v>11.302300000000001</v>
      </c>
    </row>
    <row r="45" spans="1:6" x14ac:dyDescent="0.2">
      <c r="A45" s="4" t="s">
        <v>105</v>
      </c>
    </row>
    <row r="46" spans="1:6" x14ac:dyDescent="0.2">
      <c r="A46" s="2" t="s">
        <v>600</v>
      </c>
      <c r="D46" s="10">
        <v>11.781000000000001</v>
      </c>
    </row>
    <row r="47" spans="1:6" x14ac:dyDescent="0.2">
      <c r="A47" s="2" t="s">
        <v>1401</v>
      </c>
      <c r="D47" s="10">
        <v>10.215400000000001</v>
      </c>
    </row>
    <row r="48" spans="1:6" x14ac:dyDescent="0.2">
      <c r="A48" s="2" t="s">
        <v>602</v>
      </c>
      <c r="D48" s="10">
        <v>11.834199999999999</v>
      </c>
    </row>
    <row r="50" spans="1:5" x14ac:dyDescent="0.2">
      <c r="A50" s="4" t="s">
        <v>106</v>
      </c>
      <c r="D50" s="20" t="s">
        <v>311</v>
      </c>
    </row>
    <row r="51" spans="1:5" x14ac:dyDescent="0.2">
      <c r="A51" s="21" t="s">
        <v>604</v>
      </c>
      <c r="B51" s="22"/>
      <c r="C51" s="103" t="s">
        <v>605</v>
      </c>
      <c r="D51" s="104"/>
    </row>
    <row r="52" spans="1:5" x14ac:dyDescent="0.2">
      <c r="A52" s="87"/>
      <c r="B52" s="86"/>
      <c r="C52" s="23" t="s">
        <v>606</v>
      </c>
      <c r="D52" s="23" t="s">
        <v>607</v>
      </c>
    </row>
    <row r="53" spans="1:5" x14ac:dyDescent="0.2">
      <c r="A53" s="89" t="s">
        <v>1401</v>
      </c>
      <c r="B53" s="58"/>
      <c r="C53" s="96">
        <v>0.72032269999999998</v>
      </c>
      <c r="D53" s="96">
        <v>0.66702241000000007</v>
      </c>
    </row>
    <row r="55" spans="1:5" x14ac:dyDescent="0.2">
      <c r="A55" s="4" t="s">
        <v>680</v>
      </c>
      <c r="D55" s="15">
        <v>0.60552624287646462</v>
      </c>
      <c r="E55" s="72" t="s">
        <v>679</v>
      </c>
    </row>
  </sheetData>
  <mergeCells count="2">
    <mergeCell ref="A1:F1"/>
    <mergeCell ref="C51:D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FBF0DD-D97A-412D-80BD-8EAA1BBDB6AC}"/>
</file>

<file path=customXml/itemProps2.xml><?xml version="1.0" encoding="utf-8"?>
<ds:datastoreItem xmlns:ds="http://schemas.openxmlformats.org/officeDocument/2006/customXml" ds:itemID="{DE45BD76-F409-400F-8FA0-546498321B00}"/>
</file>

<file path=customXml/itemProps3.xml><?xml version="1.0" encoding="utf-8"?>
<ds:datastoreItem xmlns:ds="http://schemas.openxmlformats.org/officeDocument/2006/customXml" ds:itemID="{F0787BE2-0CBE-4200-98A5-A6E3FF2EE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TIVF</vt:lpstr>
      <vt:lpstr>FITX</vt:lpstr>
      <vt:lpstr>FITF</vt:lpstr>
      <vt:lpstr>FISMF</vt:lpstr>
      <vt:lpstr>FIPF</vt:lpstr>
      <vt:lpstr>FIOF</vt:lpstr>
      <vt:lpstr>FBIF</vt:lpstr>
      <vt:lpstr>FIBF</vt:lpstr>
      <vt:lpstr>FIFEF</vt:lpstr>
      <vt:lpstr>FIEAF</vt:lpstr>
      <vt:lpstr>FAEF</vt:lpstr>
      <vt:lpstr>TIEIF</vt:lpstr>
      <vt:lpstr>FIEF</vt:lpstr>
      <vt:lpstr>FIIF-NSE</vt:lpstr>
      <vt:lpstr>FF</vt:lpstr>
      <vt:lpstr>FIMAS</vt:lpstr>
      <vt:lpstr>FIUS</vt:lpstr>
      <vt:lpstr>FEGF</vt:lpstr>
      <vt:lpstr>FIFOF-50's+</vt:lpstr>
      <vt:lpstr>FIFOF-50's</vt:lpstr>
      <vt:lpstr>FIFOF-40's</vt:lpstr>
      <vt:lpstr>FIFOF-30's</vt:lpstr>
      <vt:lpstr>FIFOF-20's</vt:lpstr>
      <vt:lpstr>FIESF</vt:lpstr>
      <vt:lpstr>FIEHF</vt:lpstr>
      <vt:lpstr>FIDHY</vt:lpstr>
      <vt:lpstr>FIPP</vt:lpstr>
      <vt:lpstr>FIIOF</vt:lpstr>
      <vt:lpstr>FIDA</vt:lpstr>
      <vt:lpstr>FICRF</vt:lpstr>
      <vt:lpstr>FICDF</vt:lpstr>
      <vt:lpstr>FBPF</vt:lpstr>
      <vt:lpstr>FIUBF</vt:lpstr>
      <vt:lpstr>FISTIP</vt:lpstr>
      <vt:lpstr>FISF</vt:lpstr>
      <vt:lpstr>FIONF</vt:lpstr>
      <vt:lpstr>FILF</vt:lpstr>
      <vt:lpstr>FILDF</vt:lpstr>
      <vt:lpstr>FIGSF</vt:lpstr>
      <vt:lpstr>FIFRF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ISIN_as_on_31_July_2019</dc:title>
  <dc:creator>Uchwani, Hussain</dc:creator>
  <cp:keywords>ISIN_as_on_31_July_2019; ISIN Portfolio as on 31-07-19; fund information; International Securities Identification Number of funds</cp:keywords>
  <cp:lastModifiedBy>Bhogte, Amey</cp:lastModifiedBy>
  <dcterms:created xsi:type="dcterms:W3CDTF">2019-08-02T10:00:00Z</dcterms:created>
  <dcterms:modified xsi:type="dcterms:W3CDTF">2019-08-08T06:24:54Z</dcterms:modified>
</cp:coreProperties>
</file>