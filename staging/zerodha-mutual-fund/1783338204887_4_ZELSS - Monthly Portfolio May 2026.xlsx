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B8954D8C-7E64-4989-B38C-AC79031E8C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LSS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ZELSS!$C$6:$C$262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ZELSS!$D$262</definedName>
    <definedName name="XDO_?FINAL_ISIN?53?">#REF!</definedName>
    <definedName name="XDO_?FINAL_ISIN?54?" localSheetId="0">ZELSS!$D$262:$D$286</definedName>
    <definedName name="XDO_?FINAL_ISIN?54?">#REF!</definedName>
    <definedName name="XDO_?FINAL_ISIN?55?" localSheetId="0">ZELSS!$D$262:$D$299</definedName>
    <definedName name="XDO_?FINAL_ISIN?55?">#REF!</definedName>
    <definedName name="XDO_?FINAL_ISIN?56?" localSheetId="0">ZELSS!$D$262:$D$303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ZELSS!$G$262</definedName>
    <definedName name="XDO_?FINAL_MV?53?">#REF!</definedName>
    <definedName name="XDO_?FINAL_MV?54?" localSheetId="0">ZELSS!$G$262:$G$286</definedName>
    <definedName name="XDO_?FINAL_MV?54?">#REF!</definedName>
    <definedName name="XDO_?FINAL_MV?55?" localSheetId="0">ZELSS!$G$262:$G$299</definedName>
    <definedName name="XDO_?FINAL_MV?55?">#REF!</definedName>
    <definedName name="XDO_?FINAL_MV?56?" localSheetId="0">ZELSS!$G$262:$G$303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ZELSS!$C$262</definedName>
    <definedName name="XDO_?FINAL_NAME?53?">#REF!</definedName>
    <definedName name="XDO_?FINAL_NAME?54?" localSheetId="0">ZELSS!$C$262:$C$286</definedName>
    <definedName name="XDO_?FINAL_NAME?54?">#REF!</definedName>
    <definedName name="XDO_?FINAL_NAME?55?" localSheetId="0">ZELSS!$C$262:$C$299</definedName>
    <definedName name="XDO_?FINAL_NAME?55?">#REF!</definedName>
    <definedName name="XDO_?FINAL_NAME?56?" localSheetId="0">ZELSS!$C$262:$C$303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ZELSS!$H$262</definedName>
    <definedName name="XDO_?FINAL_PER_NET?53?">#REF!</definedName>
    <definedName name="XDO_?FINAL_PER_NET?54?" localSheetId="0">ZELSS!$H$262:$H$286</definedName>
    <definedName name="XDO_?FINAL_PER_NET?54?">#REF!</definedName>
    <definedName name="XDO_?FINAL_PER_NET?55?" localSheetId="0">ZELSS!$H$262:$H$299</definedName>
    <definedName name="XDO_?FINAL_PER_NET?55?">#REF!</definedName>
    <definedName name="XDO_?FINAL_PER_NET?56?" localSheetId="0">ZELSS!$H$262:$H$303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ZELSS!$F$262</definedName>
    <definedName name="XDO_?FINAL_QUANTITE?53?">#REF!</definedName>
    <definedName name="XDO_?FINAL_QUANTITE?54?" localSheetId="0">ZELSS!$F$262:$F$286</definedName>
    <definedName name="XDO_?FINAL_QUANTITE?54?">#REF!</definedName>
    <definedName name="XDO_?FINAL_QUANTITE?55?" localSheetId="0">ZELSS!$F$262:$F$299</definedName>
    <definedName name="XDO_?FINAL_QUANTITE?55?">#REF!</definedName>
    <definedName name="XDO_?FINAL_QUANTITE?56?" localSheetId="0">ZELSS!$F$262:$F$303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ZELSS!$J$262</definedName>
    <definedName name="XDO_?IND_02?53?">#REF!</definedName>
    <definedName name="XDO_?IND_02?54?" localSheetId="0">ZELSS!$J$262:$J$285</definedName>
    <definedName name="XDO_?IND_02?54?">#REF!</definedName>
    <definedName name="XDO_?IND_02?55?" localSheetId="0">ZELSS!$J$262:$J$298</definedName>
    <definedName name="XDO_?IND_02?55?">#REF!</definedName>
    <definedName name="XDO_?IND_02?56?" localSheetId="0">ZELSS!$J$262:$J$302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ZELSS!$C$1:$C$262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ZELSS!$B$262</definedName>
    <definedName name="XDO_?NOVAL?53?">#REF!</definedName>
    <definedName name="XDO_?NOVAL?54?" localSheetId="0">ZELSS!$B$262:$B$285</definedName>
    <definedName name="XDO_?NOVAL?54?">#REF!</definedName>
    <definedName name="XDO_?NOVAL?55?" localSheetId="0">ZELSS!$B$262:$B$298</definedName>
    <definedName name="XDO_?NOVAL?55?">#REF!</definedName>
    <definedName name="XDO_?NOVAL?56?" localSheetId="0">ZELSS!$B$262:$B$302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ZELSS!$D$1:$D$262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ZELSS!$E$262</definedName>
    <definedName name="XDO_?RATING?53?">#REF!</definedName>
    <definedName name="XDO_?RATING?54?" localSheetId="0">ZELSS!$E$262:$E$286</definedName>
    <definedName name="XDO_?RATING?54?">#REF!</definedName>
    <definedName name="XDO_?RATING?55?" localSheetId="0">ZELSS!$E$262:$E$299</definedName>
    <definedName name="XDO_?RATING?55?">#REF!</definedName>
    <definedName name="XDO_?RATING?56?" localSheetId="0">ZELSS!$E$262:$E$303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ZELSS!$A$6:$A$262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ZELSS!$I$262</definedName>
    <definedName name="XDO_?YTM?53?">#REF!</definedName>
    <definedName name="XDO_?YTM?54?" localSheetId="0">ZELSS!$I$262:$I$286</definedName>
    <definedName name="XDO_?YTM?54?">#REF!</definedName>
    <definedName name="XDO_?YTM?55?" localSheetId="0">ZELSS!$I$262:$I$299</definedName>
    <definedName name="XDO_?YTM?55?">#REF!</definedName>
    <definedName name="XDO_?YTM?56?" localSheetId="0">ZELSS!$I$262:$I$303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ZELSS!$1:$278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ZELSS!$6:$277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ZELSS!$B$262:$IV$262</definedName>
    <definedName name="XDO_GROUP_?G_4?53?">#REF!</definedName>
    <definedName name="XDO_GROUP_?G_4?54?" localSheetId="0">ZELSS!$B$265:$IV$265</definedName>
    <definedName name="XDO_GROUP_?G_4?54?">#REF!</definedName>
    <definedName name="XDO_GROUP_?G_4?55?" localSheetId="0">ZELSS!$B$270:$IV$270</definedName>
    <definedName name="XDO_GROUP_?G_4?55?">#REF!</definedName>
    <definedName name="XDO_GROUP_?G_4?56?" localSheetId="0">ZELSS!$B$275:$IV$275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78Gle73TD/X+KeSkBElV0mIO06r+QfqKSmrafb67Us="/>
    </ext>
  </extLst>
</workbook>
</file>

<file path=xl/calcChain.xml><?xml version="1.0" encoding="utf-8"?>
<calcChain xmlns="http://schemas.openxmlformats.org/spreadsheetml/2006/main">
  <c r="G300" i="1" l="1"/>
  <c r="H299" i="1"/>
  <c r="H300" i="1" s="1"/>
  <c r="G262" i="1"/>
  <c r="G303" i="1" s="1"/>
  <c r="G304" i="1" s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262" i="1" l="1"/>
  <c r="H303" i="1" s="1"/>
  <c r="H304" i="1" s="1"/>
</calcChain>
</file>

<file path=xl/sharedStrings.xml><?xml version="1.0" encoding="utf-8"?>
<sst xmlns="http://schemas.openxmlformats.org/spreadsheetml/2006/main" count="864" uniqueCount="626">
  <si>
    <t>PURSUANT TO REGULATION 59A OF SECURITIES &amp; EXCHANGE BOARD OF INDIA (MUTUAL FUNDS) REGULATIONS, 1996</t>
  </si>
  <si>
    <t>MONTHLY PORTFOLIO STATEMENT OF ZERODHA ELSS TAX SAVER NIFTY LARGE MIDCAP 250 INDEX FUND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</si>
  <si>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</si>
  <si>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</si>
  <si>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</si>
  <si>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</si>
  <si>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</si>
  <si>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</si>
  <si>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</si>
  <si>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</si>
  <si>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</si>
  <si>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</si>
  <si>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</si>
  <si>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</si>
  <si>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</si>
  <si>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</si>
  <si>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</si>
  <si>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</si>
  <si>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</si>
  <si>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BSE Ltd</t>
  </si>
  <si>
    <t>INE118H01025</t>
  </si>
  <si>
    <t>Capital Markets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</si>
  <si>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</si>
  <si>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</si>
  <si>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</si>
  <si>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</si>
  <si>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</si>
  <si>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</si>
  <si>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</si>
  <si>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</si>
  <si>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</si>
  <si>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</si>
  <si>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</si>
  <si>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</si>
  <si>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</si>
  <si>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</si>
  <si>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</si>
  <si>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</si>
  <si>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</si>
  <si>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</si>
  <si>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</si>
  <si>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</si>
  <si>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</si>
  <si>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Multi Commodity Exchange of India Ltd.</t>
  </si>
  <si>
    <t>INE745G01043</t>
  </si>
  <si>
    <t>The Federal Bank  Limited</t>
  </si>
  <si>
    <t>INE171A01029</t>
  </si>
  <si>
    <t>Suzlon Energy Limited</t>
  </si>
  <si>
    <t>INE040H01021</t>
  </si>
  <si>
    <t>Electrical Equipment</t>
  </si>
  <si>
    <t>Bajaj Finance Limited</t>
  </si>
  <si>
    <t>INE296A01032</t>
  </si>
  <si>
    <t>Finance</t>
  </si>
  <si>
    <t>Tata Consultancy Services Limited</t>
  </si>
  <si>
    <t>INE467B01029</t>
  </si>
  <si>
    <t>GE Vernova T&amp;D India Limited</t>
  </si>
  <si>
    <t>INE200A01026</t>
  </si>
  <si>
    <t>Hero MotoCorp Limited</t>
  </si>
  <si>
    <t>INE158A01026</t>
  </si>
  <si>
    <t>Bharat Heavy Electricals Limited</t>
  </si>
  <si>
    <t>INE257A01026</t>
  </si>
  <si>
    <t>IndusInd Bank Limited</t>
  </si>
  <si>
    <t>INE095A01012</t>
  </si>
  <si>
    <t>PB Fintech Limited</t>
  </si>
  <si>
    <t>INE417T01026</t>
  </si>
  <si>
    <t>Financial Technology (Fintech)</t>
  </si>
  <si>
    <t>Indus Towers Limited</t>
  </si>
  <si>
    <t>INE121J01017</t>
  </si>
  <si>
    <t>PERSISTENT SYSTEMS LTD</t>
  </si>
  <si>
    <t>INE262H01021</t>
  </si>
  <si>
    <t>AU Small Finance Bank Limited</t>
  </si>
  <si>
    <t>INE949L01017</t>
  </si>
  <si>
    <t>Lupin Limited</t>
  </si>
  <si>
    <t>INE326A01037</t>
  </si>
  <si>
    <t>Pharmaceuticals &amp; Biotechnology</t>
  </si>
  <si>
    <t>Hindustan Unilever Limited</t>
  </si>
  <si>
    <t>INE030A01027</t>
  </si>
  <si>
    <t>Sun Pharmaceutical Industries Limited</t>
  </si>
  <si>
    <t>INE044A01036</t>
  </si>
  <si>
    <t>Laurus Labs Limited</t>
  </si>
  <si>
    <t>INE947Q01028</t>
  </si>
  <si>
    <t>Bharat Forge Limited</t>
  </si>
  <si>
    <t>INE465A01025</t>
  </si>
  <si>
    <t>Auto Components</t>
  </si>
  <si>
    <t>NTPC Limited</t>
  </si>
  <si>
    <t>INE733E01010</t>
  </si>
  <si>
    <t>Power</t>
  </si>
  <si>
    <t>Eternal Limited</t>
  </si>
  <si>
    <t>INE758T01015</t>
  </si>
  <si>
    <t>Retailing</t>
  </si>
  <si>
    <t>Polycab India Limited</t>
  </si>
  <si>
    <t>INE455K01017</t>
  </si>
  <si>
    <t>Industrial Products</t>
  </si>
  <si>
    <t>Coforge Limited</t>
  </si>
  <si>
    <t>INE591G01025</t>
  </si>
  <si>
    <t>Hitachi Energy India Limited</t>
  </si>
  <si>
    <t>INE07Y701011</t>
  </si>
  <si>
    <t>Fortis Healthcare Limited</t>
  </si>
  <si>
    <t>INE061F01013</t>
  </si>
  <si>
    <t>Healthcare Services</t>
  </si>
  <si>
    <t>Maruti Suzuki India Limited</t>
  </si>
  <si>
    <t>INE585B01010</t>
  </si>
  <si>
    <t>Tata Steel Limited</t>
  </si>
  <si>
    <t>INE081A01020</t>
  </si>
  <si>
    <t>Ferrous Metals</t>
  </si>
  <si>
    <t>Dixon Technologies (India) Limited</t>
  </si>
  <si>
    <t>INE935N01020</t>
  </si>
  <si>
    <t>Consumer Durables</t>
  </si>
  <si>
    <t>IDFC First Bank Limited</t>
  </si>
  <si>
    <t>INE092T01019</t>
  </si>
  <si>
    <t>Titan Company Limited</t>
  </si>
  <si>
    <t>INE280A01028</t>
  </si>
  <si>
    <t>One 97 Communications Limited</t>
  </si>
  <si>
    <t>INE982J01020</t>
  </si>
  <si>
    <t>Hindalco Industries Limited</t>
  </si>
  <si>
    <t>INE038A01020</t>
  </si>
  <si>
    <t>Non - Ferrous Metals</t>
  </si>
  <si>
    <t>Ashok Leyland Limited</t>
  </si>
  <si>
    <t>INE208A01029</t>
  </si>
  <si>
    <t>Agricultural, Commercial &amp; Construction Vehicles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</si>
  <si>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</si>
  <si>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</si>
  <si>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</si>
  <si>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</si>
  <si>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</si>
  <si>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</si>
  <si>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ICICI Lombard General Insurance Company</t>
  </si>
  <si>
    <t>INE765G01017</t>
  </si>
  <si>
    <t>Bharat Electronics Limited</t>
  </si>
  <si>
    <t>INE263A01024</t>
  </si>
  <si>
    <t>Aerospace &amp; Defense</t>
  </si>
  <si>
    <t>Yes Bank Ltd</t>
  </si>
  <si>
    <t>INE528G01035</t>
  </si>
  <si>
    <t>Aurobindo Pharma Limited</t>
  </si>
  <si>
    <t>INE406A01037</t>
  </si>
  <si>
    <t>SRF Limited</t>
  </si>
  <si>
    <t>INE647A01010</t>
  </si>
  <si>
    <t>Chemicals &amp; Petrochemicals</t>
  </si>
  <si>
    <t>Vodafone Idea Limited</t>
  </si>
  <si>
    <t>INE669E01016</t>
  </si>
  <si>
    <t>National Aluminium Company Limited</t>
  </si>
  <si>
    <t>INE139A01034</t>
  </si>
  <si>
    <t>Info Edge (India) Limited</t>
  </si>
  <si>
    <t>INE663F01032</t>
  </si>
  <si>
    <t>UltraTech Cement Limited</t>
  </si>
  <si>
    <t>INE481G01011</t>
  </si>
  <si>
    <t>Cement &amp; Cement Products</t>
  </si>
  <si>
    <t>Hindustan Petroleum Corporation Limited</t>
  </si>
  <si>
    <t>INE094A01015</t>
  </si>
  <si>
    <t>Adani Port &amp; Special Economic Zone Ltd</t>
  </si>
  <si>
    <t>INE742F01042</t>
  </si>
  <si>
    <t>Transport Infrastructure</t>
  </si>
  <si>
    <t>Shriram Finance Limited</t>
  </si>
  <si>
    <t>INE721A01047</t>
  </si>
  <si>
    <t>Power Grid Corporation of India Limited</t>
  </si>
  <si>
    <t>INE752E01010</t>
  </si>
  <si>
    <t>UPL Limited</t>
  </si>
  <si>
    <t>INE628A01036</t>
  </si>
  <si>
    <t>Fertilizers &amp; Agrochemicals</t>
  </si>
  <si>
    <t>FSN E-Commerce Ventures Limited</t>
  </si>
  <si>
    <t>INE388Y01029</t>
  </si>
  <si>
    <t>GMR Airports Limited</t>
  </si>
  <si>
    <t>INE776C01039</t>
  </si>
  <si>
    <t>SWIGGY LIMITED</t>
  </si>
  <si>
    <t>INE00H001014</t>
  </si>
  <si>
    <t>HCL Technologies Limited</t>
  </si>
  <si>
    <t>INE860A01027</t>
  </si>
  <si>
    <t>Glenmark Pharmaceuticals Limited</t>
  </si>
  <si>
    <t>INE935A01035</t>
  </si>
  <si>
    <t>Asian Paints Limited</t>
  </si>
  <si>
    <t>INE021A01026</t>
  </si>
  <si>
    <t>TUBE INVESTMENTS OF INDIA LTD</t>
  </si>
  <si>
    <t>INE974X01010</t>
  </si>
  <si>
    <t>JSW Steel Limited</t>
  </si>
  <si>
    <t>INE019A01038</t>
  </si>
  <si>
    <t>APL Apollo Tubes Limited</t>
  </si>
  <si>
    <t>INE702C01027</t>
  </si>
  <si>
    <t>Grasim Industries Limited</t>
  </si>
  <si>
    <t>INE047A01021</t>
  </si>
  <si>
    <t>The Phoenix Mills Limited</t>
  </si>
  <si>
    <t>INE211B01039</t>
  </si>
  <si>
    <t>Realty</t>
  </si>
  <si>
    <t>KEI Industries Limited</t>
  </si>
  <si>
    <t>INE878B01027</t>
  </si>
  <si>
    <t>Bajaj Auto Limited</t>
  </si>
  <si>
    <t>INE917I01010</t>
  </si>
  <si>
    <t>Alkem Laboratories Limited</t>
  </si>
  <si>
    <t>INE540L01014</t>
  </si>
  <si>
    <t>JSW Energy Limited</t>
  </si>
  <si>
    <t>INE121E01018</t>
  </si>
  <si>
    <t>Biocon Limited</t>
  </si>
  <si>
    <t>INE376G01013</t>
  </si>
  <si>
    <t>NMDC Limited</t>
  </si>
  <si>
    <t>INE584A01023</t>
  </si>
  <si>
    <t>Minerals &amp; Mining</t>
  </si>
  <si>
    <t>WAAREE ENERGIES LIMITED</t>
  </si>
  <si>
    <t>INE377N01017</t>
  </si>
  <si>
    <t>MphasiS Limited</t>
  </si>
  <si>
    <t>INE356A01018</t>
  </si>
  <si>
    <t>Aditya Birla Capital Limited</t>
  </si>
  <si>
    <t>INE674K01013</t>
  </si>
  <si>
    <t>Havells India Limited</t>
  </si>
  <si>
    <t>INE176B01034</t>
  </si>
  <si>
    <t>Steel Authority of India Limited</t>
  </si>
  <si>
    <t>INE114A01011</t>
  </si>
  <si>
    <t>Indian Bank</t>
  </si>
  <si>
    <t>INE562A01011</t>
  </si>
  <si>
    <t>Coal India Limited</t>
  </si>
  <si>
    <t>INE522F01014</t>
  </si>
  <si>
    <t>Consumable Fuels</t>
  </si>
  <si>
    <t>Sundaram Finance Limited</t>
  </si>
  <si>
    <t>INE660A01013</t>
  </si>
  <si>
    <t>Bajaj Finserv Limited</t>
  </si>
  <si>
    <t>INE918I01026</t>
  </si>
  <si>
    <t>Oil &amp; Natural Gas Corporation Limited</t>
  </si>
  <si>
    <t>INE213A01029</t>
  </si>
  <si>
    <t>Oil</t>
  </si>
  <si>
    <t>360 ONE WAM LIMITED</t>
  </si>
  <si>
    <t>INE466L01038</t>
  </si>
  <si>
    <t>Nestle India Limited</t>
  </si>
  <si>
    <t>INE239A01024</t>
  </si>
  <si>
    <t>Food Products</t>
  </si>
  <si>
    <t>Voltas Limited</t>
  </si>
  <si>
    <t>INE226A01021</t>
  </si>
  <si>
    <t>Adani Power Limited</t>
  </si>
  <si>
    <t>INE814H01029</t>
  </si>
  <si>
    <t>InterGlobe Aviation Limited</t>
  </si>
  <si>
    <t>INE646L01027</t>
  </si>
  <si>
    <t>Transport Services</t>
  </si>
  <si>
    <t>Radico Khaitan Limited</t>
  </si>
  <si>
    <t>INE944F01028</t>
  </si>
  <si>
    <t>Beverages</t>
  </si>
  <si>
    <t>Eicher Motors Limited</t>
  </si>
  <si>
    <t>INE066A01021</t>
  </si>
  <si>
    <t>Colgate Palmolive (India) Limited</t>
  </si>
  <si>
    <t>INE259A01022</t>
  </si>
  <si>
    <t>Personal Products</t>
  </si>
  <si>
    <t>Torrent Power Limited</t>
  </si>
  <si>
    <t>INE813H01021</t>
  </si>
  <si>
    <t>Mankind Pharma Limited</t>
  </si>
  <si>
    <t>INE634S01028</t>
  </si>
  <si>
    <t>Tech Mahindra Limited</t>
  </si>
  <si>
    <t>INE669C01036</t>
  </si>
  <si>
    <t>Godrej Properties Limited</t>
  </si>
  <si>
    <t>INE484J01027</t>
  </si>
  <si>
    <t>Trent Limited</t>
  </si>
  <si>
    <t>INE849A01020</t>
  </si>
  <si>
    <t>Dabur India Limited</t>
  </si>
  <si>
    <t>INE016A01026</t>
  </si>
  <si>
    <t>Oil India Limited</t>
  </si>
  <si>
    <t>INE274J01014</t>
  </si>
  <si>
    <t>Vishal Mega Mart Limited</t>
  </si>
  <si>
    <t>INE01EA01019</t>
  </si>
  <si>
    <t>MRF Limited</t>
  </si>
  <si>
    <t>INE883A01011</t>
  </si>
  <si>
    <t>NHPC Limited</t>
  </si>
  <si>
    <t>INE848E01016</t>
  </si>
  <si>
    <t>L&amp;T Finance Limited</t>
  </si>
  <si>
    <t>INE498L01015</t>
  </si>
  <si>
    <t>Page Industries Limited</t>
  </si>
  <si>
    <t>INE761H01022</t>
  </si>
  <si>
    <t>Textiles &amp; Apparels</t>
  </si>
  <si>
    <t>Oracle Financial Services Software</t>
  </si>
  <si>
    <t>INE881D01027</t>
  </si>
  <si>
    <t>Divi's Laboratories Limited</t>
  </si>
  <si>
    <t>INE361B01024</t>
  </si>
  <si>
    <t>Adani Enterprises Limited</t>
  </si>
  <si>
    <t>INE423A01024</t>
  </si>
  <si>
    <t>Metals &amp; Minerals Trading</t>
  </si>
  <si>
    <t>Apollo Hospitals Enterprise Limited</t>
  </si>
  <si>
    <t>INE437A01024</t>
  </si>
  <si>
    <t>Tata Communications Limited</t>
  </si>
  <si>
    <t>INE151A01013</t>
  </si>
  <si>
    <t>Prestige Estates Projects Limited</t>
  </si>
  <si>
    <t>INE811K01011</t>
  </si>
  <si>
    <t>Tata Motors Passenger Vehicles Limited</t>
  </si>
  <si>
    <t>INE155A01022</t>
  </si>
  <si>
    <t>SBI Life Insurance Company Limited</t>
  </si>
  <si>
    <t>INE123W01016</t>
  </si>
  <si>
    <t>Supreme Industries Limited</t>
  </si>
  <si>
    <t>INE195A01028</t>
  </si>
  <si>
    <t>Hindustan Aeronautics Limited</t>
  </si>
  <si>
    <t>INE066F01020</t>
  </si>
  <si>
    <t>Lloyds Metals And Energy Limited</t>
  </si>
  <si>
    <t>INE281B01032</t>
  </si>
  <si>
    <t>PI Industries Limited</t>
  </si>
  <si>
    <t>INE603J01030</t>
  </si>
  <si>
    <t>Dr. Reddy's Laboratories Limited</t>
  </si>
  <si>
    <t>INE089A01031</t>
  </si>
  <si>
    <t>Cummins India Limited</t>
  </si>
  <si>
    <t>INE298A01020</t>
  </si>
  <si>
    <t>Tata Motors Limited</t>
  </si>
  <si>
    <t>INE1TAE01010</t>
  </si>
  <si>
    <t>APAR INDUSTRIES LTD</t>
  </si>
  <si>
    <t>INE372A01015</t>
  </si>
  <si>
    <t>Cipla Limited</t>
  </si>
  <si>
    <t>INE059A01026</t>
  </si>
  <si>
    <t>TVS Motor Company Limited</t>
  </si>
  <si>
    <t>INE494B01023</t>
  </si>
  <si>
    <t>Jio Financial Services Limited</t>
  </si>
  <si>
    <t>INE758E01017</t>
  </si>
  <si>
    <t>Jindal Stainless Limited</t>
  </si>
  <si>
    <t>INE220G01021</t>
  </si>
  <si>
    <t>JK Cement Limited</t>
  </si>
  <si>
    <t>INE823G01014</t>
  </si>
  <si>
    <t>Adani Total Gas Limited</t>
  </si>
  <si>
    <t>INE399L01023</t>
  </si>
  <si>
    <t>Gas</t>
  </si>
  <si>
    <t>Tata Consumer Products Limited</t>
  </si>
  <si>
    <t>INE192A01025</t>
  </si>
  <si>
    <t>IPCA Laboratories Limited</t>
  </si>
  <si>
    <t>INE571A01038</t>
  </si>
  <si>
    <t>Coromandel International Limited</t>
  </si>
  <si>
    <t>INE169A01031</t>
  </si>
  <si>
    <t>BLUE STAR LTD</t>
  </si>
  <si>
    <t>INE472A01039</t>
  </si>
  <si>
    <t>Petronet LNG Limited</t>
  </si>
  <si>
    <t>INE347G01014</t>
  </si>
  <si>
    <t>Varun Beverages Limited</t>
  </si>
  <si>
    <t>INE200M01039</t>
  </si>
  <si>
    <t>Oberoi Realty Limited</t>
  </si>
  <si>
    <t>INE093I01010</t>
  </si>
  <si>
    <t>Mahindra &amp; Mahindra Financial Serv Ltd.</t>
  </si>
  <si>
    <t>INE774D01024</t>
  </si>
  <si>
    <t>Max Healthcare Institute Limited</t>
  </si>
  <si>
    <t>INE027H01010</t>
  </si>
  <si>
    <t>UNO Minda Limited</t>
  </si>
  <si>
    <t>INE405E01023</t>
  </si>
  <si>
    <t>ICICI Prudential Life Insurance Company</t>
  </si>
  <si>
    <t>INE726G01019</t>
  </si>
  <si>
    <t>The Tata Power Company Limited</t>
  </si>
  <si>
    <t>INE245A01021</t>
  </si>
  <si>
    <t>Nippon Life India Asset Management Ltd</t>
  </si>
  <si>
    <t>INE298J01013</t>
  </si>
  <si>
    <t>Astral Limited</t>
  </si>
  <si>
    <t>INE006I01046</t>
  </si>
  <si>
    <t>Thermax Limited</t>
  </si>
  <si>
    <t>INE152A01029</t>
  </si>
  <si>
    <t>SBI Cards and Payment Services Limited</t>
  </si>
  <si>
    <t>INE018E01016</t>
  </si>
  <si>
    <t>Cholamandalam Invest &amp; Finance Co Ltd</t>
  </si>
  <si>
    <t>INE121A01024</t>
  </si>
  <si>
    <t>Life Insurance Corporation Of India</t>
  </si>
  <si>
    <t>INE0J1Y01017</t>
  </si>
  <si>
    <t>Samvardhana Motherson International Ltd</t>
  </si>
  <si>
    <t>INE775A01035</t>
  </si>
  <si>
    <t>HDFC Life Insurance Company Limited</t>
  </si>
  <si>
    <t>INE795G01014</t>
  </si>
  <si>
    <t>Balkrishna Industries Limited</t>
  </si>
  <si>
    <t>INE787D01026</t>
  </si>
  <si>
    <t>CG Power And Industrial Solutions Ltd</t>
  </si>
  <si>
    <t>INE067A01029</t>
  </si>
  <si>
    <t>Exide Industries Limited</t>
  </si>
  <si>
    <t>INE302A01020</t>
  </si>
  <si>
    <t>AIA Engineering Limited</t>
  </si>
  <si>
    <t>INE212H01026</t>
  </si>
  <si>
    <t>Power Finance Corporation Limited</t>
  </si>
  <si>
    <t>INE134E01011</t>
  </si>
  <si>
    <t>ITC Hotels Limited</t>
  </si>
  <si>
    <t>INE379A01028</t>
  </si>
  <si>
    <t>Leisure Services</t>
  </si>
  <si>
    <t>Britannia Industries Limited</t>
  </si>
  <si>
    <t>INE216A01030</t>
  </si>
  <si>
    <t>Bank of India</t>
  </si>
  <si>
    <t>INE084A01016</t>
  </si>
  <si>
    <t>Bharat Petroleum Corporation Limited</t>
  </si>
  <si>
    <t>INE029A01011</t>
  </si>
  <si>
    <t>Jubilant Foodworks Limited</t>
  </si>
  <si>
    <t>INE797F01020</t>
  </si>
  <si>
    <t>Vedanta Limited</t>
  </si>
  <si>
    <t>INE205A01025</t>
  </si>
  <si>
    <t>Diversified Metals</t>
  </si>
  <si>
    <t>Avenue Supermarts Limited</t>
  </si>
  <si>
    <t>INE192R01011</t>
  </si>
  <si>
    <t>Schaeffler India Ltd</t>
  </si>
  <si>
    <t>INE513A01022</t>
  </si>
  <si>
    <t>Wipro Limited</t>
  </si>
  <si>
    <t>INE075A01022</t>
  </si>
  <si>
    <t>Bank of Maharashtra</t>
  </si>
  <si>
    <t>INE457A01014</t>
  </si>
  <si>
    <t>The Indian Hotels Company Limited</t>
  </si>
  <si>
    <t>INE053A01029</t>
  </si>
  <si>
    <t>LIC Housing Finance Limited</t>
  </si>
  <si>
    <t>INE115A01026</t>
  </si>
  <si>
    <t>Container Corporation of India Limited</t>
  </si>
  <si>
    <t>INE111A01025</t>
  </si>
  <si>
    <t>Patanjali Foods Limited</t>
  </si>
  <si>
    <t>INE619A01035</t>
  </si>
  <si>
    <t>Indian Railway Catering &amp; Tourism Corp</t>
  </si>
  <si>
    <t>INE335Y01020</t>
  </si>
  <si>
    <t>Lenskart Solutions Limited</t>
  </si>
  <si>
    <t>INE956O01016</t>
  </si>
  <si>
    <t>Gujarat Fluorochemicals Limited</t>
  </si>
  <si>
    <t>INE09N301011</t>
  </si>
  <si>
    <t>HDFC Asset Management Company Limited</t>
  </si>
  <si>
    <t>INE127D01025</t>
  </si>
  <si>
    <t>Linde India Limited</t>
  </si>
  <si>
    <t>INE473A01011</t>
  </si>
  <si>
    <t>Tata Elxsi Limited</t>
  </si>
  <si>
    <t>INE670A01012</t>
  </si>
  <si>
    <t>Adani Energy Solutions Limited</t>
  </si>
  <si>
    <t>INE931S01010</t>
  </si>
  <si>
    <t>Indian Oil Corporation Limited</t>
  </si>
  <si>
    <t>INE242A01010</t>
  </si>
  <si>
    <t>Berger Paints (I) Limited</t>
  </si>
  <si>
    <t>INE463A01038</t>
  </si>
  <si>
    <t>Abbott India Limited</t>
  </si>
  <si>
    <t>INE358A01014</t>
  </si>
  <si>
    <t>Rail Vikas Nigam Limited</t>
  </si>
  <si>
    <t>INE415G01027</t>
  </si>
  <si>
    <t>Bank of Baroda</t>
  </si>
  <si>
    <t>INE028A01039</t>
  </si>
  <si>
    <t>Dalmia Bharat Limited</t>
  </si>
  <si>
    <t>INE00R701025</t>
  </si>
  <si>
    <t>Adani Green Energy Limited</t>
  </si>
  <si>
    <t>INE364U01010</t>
  </si>
  <si>
    <t>Motilal Oswal Financial Services</t>
  </si>
  <si>
    <t>INE338I01027</t>
  </si>
  <si>
    <t>KALYAN JEWELLERS INDIA LIMITED</t>
  </si>
  <si>
    <t>INE303R01014</t>
  </si>
  <si>
    <t>LG Electronics India Limited</t>
  </si>
  <si>
    <t>INE324D01010</t>
  </si>
  <si>
    <t>Torrent Pharmaceuticals Limited</t>
  </si>
  <si>
    <t>INE685A01028</t>
  </si>
  <si>
    <t>Pidilite Industries Limited</t>
  </si>
  <si>
    <t>INE318A01026</t>
  </si>
  <si>
    <t>Apollo Tyres Limited</t>
  </si>
  <si>
    <t>INE438A01022</t>
  </si>
  <si>
    <t>Authum Investment &amp; Infrastructure Ltd.</t>
  </si>
  <si>
    <t>INE206F01022</t>
  </si>
  <si>
    <t>KPIT Technologies Limited</t>
  </si>
  <si>
    <t>INE04I401011</t>
  </si>
  <si>
    <t>Bajaj Holdings &amp; Investment.Ltd</t>
  </si>
  <si>
    <t>INE118A01012</t>
  </si>
  <si>
    <t>Jindal Steel Limited</t>
  </si>
  <si>
    <t>INE749A01030</t>
  </si>
  <si>
    <t>Cochin Shipyard Limited</t>
  </si>
  <si>
    <t>INE704P01025</t>
  </si>
  <si>
    <t>Industrial Manufacturing</t>
  </si>
  <si>
    <t>Solar Industries India Limited</t>
  </si>
  <si>
    <t>INE343H01029</t>
  </si>
  <si>
    <t>GAIL (India) Limited</t>
  </si>
  <si>
    <t>INE129A01019</t>
  </si>
  <si>
    <t>Premier Energies Limited</t>
  </si>
  <si>
    <t>INE0BS701011</t>
  </si>
  <si>
    <t>ICICI Prudential AMC Ltd</t>
  </si>
  <si>
    <t>INE346A01027</t>
  </si>
  <si>
    <t>Ajanta Pharma Limited</t>
  </si>
  <si>
    <t>INE031B01049</t>
  </si>
  <si>
    <t>Canara Bank</t>
  </si>
  <si>
    <t>INE476A01022</t>
  </si>
  <si>
    <t>HDB Financial Services Limited</t>
  </si>
  <si>
    <t>INE756I01012</t>
  </si>
  <si>
    <t>General Insurance Corporation of India</t>
  </si>
  <si>
    <t>INE481Y01014</t>
  </si>
  <si>
    <t>REC Limited</t>
  </si>
  <si>
    <t>INE020B01018</t>
  </si>
  <si>
    <t>Godrej Consumer Products Limited</t>
  </si>
  <si>
    <t>INE102D01028</t>
  </si>
  <si>
    <t>Neyveli Lignite Corporation Ltd.</t>
  </si>
  <si>
    <t>INE589A01014</t>
  </si>
  <si>
    <t>Billionbrains Garage Ventures Ltd.</t>
  </si>
  <si>
    <t>INE0HOQ01053</t>
  </si>
  <si>
    <t>Bharti Hexacom Limited</t>
  </si>
  <si>
    <t>INE343G01021</t>
  </si>
  <si>
    <t>Bharat Dynamics Limited</t>
  </si>
  <si>
    <t>INE171Z01026</t>
  </si>
  <si>
    <t>K.P.R. Mill Ltd</t>
  </si>
  <si>
    <t>INE930H01031</t>
  </si>
  <si>
    <t>Adani Wilmar Limited</t>
  </si>
  <si>
    <t>INE699H01024</t>
  </si>
  <si>
    <t>ABB India Limited</t>
  </si>
  <si>
    <t>INE117A01022</t>
  </si>
  <si>
    <t>Indian Renewable Energy Dev Agency Ltd</t>
  </si>
  <si>
    <t>INE202E01016</t>
  </si>
  <si>
    <t>DLF Limited</t>
  </si>
  <si>
    <t>INE271C01023</t>
  </si>
  <si>
    <t>LTIMindtree Ltd</t>
  </si>
  <si>
    <t>INE214T01019</t>
  </si>
  <si>
    <t>United Spirits Limited</t>
  </si>
  <si>
    <t>INE854D01024</t>
  </si>
  <si>
    <t>Housing and Urban Development Corp. Ltd.</t>
  </si>
  <si>
    <t>INE031A01017</t>
  </si>
  <si>
    <t>Punjab National Bank</t>
  </si>
  <si>
    <t>INE160A01022</t>
  </si>
  <si>
    <t>GLOBAL HEALTH LIMITED</t>
  </si>
  <si>
    <t>INE474Q01031</t>
  </si>
  <si>
    <t>Muthoot Finance Limited</t>
  </si>
  <si>
    <t>INE414G01012</t>
  </si>
  <si>
    <t>NTPC Green Energy Limited</t>
  </si>
  <si>
    <t>INE0ONG01011</t>
  </si>
  <si>
    <t>Endurance Technologies Limited</t>
  </si>
  <si>
    <t>INE913H01037</t>
  </si>
  <si>
    <t>CRISIL Limited</t>
  </si>
  <si>
    <t>INE007A01025</t>
  </si>
  <si>
    <t>Siemens Energy India Limited</t>
  </si>
  <si>
    <t>INE1NPP01017</t>
  </si>
  <si>
    <t>United Breweries Limited</t>
  </si>
  <si>
    <t>INE686F01025</t>
  </si>
  <si>
    <t>Siemens Limited</t>
  </si>
  <si>
    <t>INE003A01024</t>
  </si>
  <si>
    <t>Escorts Kubota Limited</t>
  </si>
  <si>
    <t>INE042A01014</t>
  </si>
  <si>
    <t>L&amp;T Technology Services Ltd</t>
  </si>
  <si>
    <t>INE010V01017</t>
  </si>
  <si>
    <t>IT - Services</t>
  </si>
  <si>
    <t>Shree Cement Limited</t>
  </si>
  <si>
    <t>INE070A01015</t>
  </si>
  <si>
    <t>Bajaj Housing Finance Ltd</t>
  </si>
  <si>
    <t>INE377Y01014</t>
  </si>
  <si>
    <t>Godfrey Phillips India Limited</t>
  </si>
  <si>
    <t>INE260B01028</t>
  </si>
  <si>
    <t>Cigarettes &amp; Tobacco Products</t>
  </si>
  <si>
    <t>3M India Limited</t>
  </si>
  <si>
    <t>INE470A01017</t>
  </si>
  <si>
    <t>Diversified</t>
  </si>
  <si>
    <t>GlaxoSmithKline Pharmaceuticals Ltd</t>
  </si>
  <si>
    <t>INE159A01016</t>
  </si>
  <si>
    <t>Union Bank of India</t>
  </si>
  <si>
    <t>INE692A01016</t>
  </si>
  <si>
    <t>Tata Investment Corporation Ltd.</t>
  </si>
  <si>
    <t>INE672A01026</t>
  </si>
  <si>
    <t>JSW Infrastructure Limited</t>
  </si>
  <si>
    <t>INE880J01026</t>
  </si>
  <si>
    <t>Bosch Limited</t>
  </si>
  <si>
    <t>INE323A01026</t>
  </si>
  <si>
    <t>ACC Limited</t>
  </si>
  <si>
    <t>INE012A01025</t>
  </si>
  <si>
    <t>Honeywell Automation India Limited</t>
  </si>
  <si>
    <t>INE671A01010</t>
  </si>
  <si>
    <t>Hindustan Zinc Limited</t>
  </si>
  <si>
    <t>INE267A01025</t>
  </si>
  <si>
    <t>Hyundai Motor India Limited</t>
  </si>
  <si>
    <t>INE0V6F01027</t>
  </si>
  <si>
    <t>Ambuja Cements Limited</t>
  </si>
  <si>
    <t>INE079A01024</t>
  </si>
  <si>
    <t>Hexaware Technologies Limited</t>
  </si>
  <si>
    <t>INE093A01041</t>
  </si>
  <si>
    <t>Zydus Lifesciences Limited</t>
  </si>
  <si>
    <t>INE010B01027</t>
  </si>
  <si>
    <t>Lodha Developers Limited</t>
  </si>
  <si>
    <t>INE670K01029</t>
  </si>
  <si>
    <t>Indian Railway Finance Corporation Ltd</t>
  </si>
  <si>
    <t>INE053F01010</t>
  </si>
  <si>
    <t>SJVN LIMITED</t>
  </si>
  <si>
    <t>INE002L01015</t>
  </si>
  <si>
    <t>Mazagon Dock Shipbuilders Limited</t>
  </si>
  <si>
    <t>INE249Z01020</t>
  </si>
  <si>
    <t>Godrej Industries Ltd</t>
  </si>
  <si>
    <t>INE233A01035</t>
  </si>
  <si>
    <t>Anthem Biosciences Limited</t>
  </si>
  <si>
    <t>INE0CZ201020</t>
  </si>
  <si>
    <t>The New India Assurance Company Ltd</t>
  </si>
  <si>
    <t>INE470Y01017</t>
  </si>
  <si>
    <t>Tata Capital Ltd</t>
  </si>
  <si>
    <t>INE976I01016</t>
  </si>
  <si>
    <t>Vedanta Aluminium Metal Limited</t>
  </si>
  <si>
    <t>INE1CDF01017</t>
  </si>
  <si>
    <t>Aluminium</t>
  </si>
  <si>
    <t>Talwandi Sabo Power Limited</t>
  </si>
  <si>
    <t>INE694L01019</t>
  </si>
  <si>
    <t>Power Generation</t>
  </si>
  <si>
    <t>Malco Energy Limited</t>
  </si>
  <si>
    <t>INE704J01044</t>
  </si>
  <si>
    <t>Oil &amp; Gas</t>
  </si>
  <si>
    <t>Vedanta Iron and Steel Limited</t>
  </si>
  <si>
    <t>INE1CLE01013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</si>
  <si>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</si>
  <si>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</si>
  <si>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</si>
  <si>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</si>
  <si>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</si>
  <si>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</si>
  <si>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</si>
  <si>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</si>
  <si>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</si>
  <si>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</si>
  <si>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</si>
  <si>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</si>
  <si>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</si>
  <si>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</si>
  <si>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</si>
  <si>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</si>
  <si>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</si>
  <si>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</si>
  <si>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</si>
  <si>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</si>
  <si>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</si>
  <si>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</si>
  <si>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</si>
  <si>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</si>
  <si>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</si>
  <si>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</si>
  <si>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</si>
  <si>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</si>
  <si>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</si>
  <si>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</si>
  <si>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</si>
  <si>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</si>
  <si>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</si>
  <si>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</si>
  <si>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</si>
  <si>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</si>
  <si>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</si>
  <si>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</si>
  <si>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</si>
  <si>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</si>
  <si>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</si>
  <si>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</si>
  <si>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</si>
  <si>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</si>
  <si>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</si>
  <si>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</si>
  <si>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</si>
  <si>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0.13 times.</t>
  </si>
  <si>
    <t>(8) Investment in Repo in Corporate Debt Securities during the month ended May 31,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</si>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</sst>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%"/>
    <numFmt numFmtId="167" formatCode="#,##0.00;&quot;(-&quot;#,##0.00\);0.00"/>
    <numFmt numFmtId="168" formatCode="#,##0.00;\-#,##0.00;0.00"/>
    <numFmt numFmtId="169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0"/>
      <color theme="1"/>
      <name val="Tahoma"/>
    </font>
    <font>
      <sz val="11"/>
      <color theme="1"/>
      <name val="Calibri"/>
    </font>
    <font>
      <i/>
      <sz val="11"/>
      <color rgb="FF000000"/>
      <name val="Libre Franklin"/>
    </font>
    <font>
      <sz val="11"/>
      <color theme="1"/>
      <name val="Libre Franklin"/>
    </font>
    <font>
      <i/>
      <sz val="9"/>
      <color theme="1"/>
      <name val="Libre Franklin"/>
    </font>
    <font>
      <sz val="12"/>
      <color rgb="FF000000"/>
      <name val="Source Sans Pro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7" fillId="0" borderId="23" xfId="0" applyFont="1" applyBorder="1" applyAlignment="1">
      <alignment horizontal="left" vertical="top"/>
    </xf>
    <xf numFmtId="4" fontId="7" fillId="0" borderId="23" xfId="0" applyNumberFormat="1" applyFont="1" applyBorder="1" applyAlignment="1">
      <alignment horizontal="right" vertical="top"/>
    </xf>
    <xf numFmtId="166" fontId="7" fillId="0" borderId="23" xfId="0" applyNumberFormat="1" applyFont="1" applyBorder="1" applyAlignment="1">
      <alignment horizontal="right" vertical="top"/>
    </xf>
    <xf numFmtId="49" fontId="7" fillId="0" borderId="23" xfId="0" applyNumberFormat="1" applyFont="1" applyBorder="1" applyAlignment="1">
      <alignment horizontal="left" vertical="top"/>
    </xf>
    <xf numFmtId="0" fontId="6" fillId="0" borderId="0" xfId="0" applyFont="1"/>
    <xf numFmtId="0" fontId="5" fillId="0" borderId="24" xfId="0" applyFont="1" applyBorder="1"/>
    <xf numFmtId="167" fontId="4" fillId="3" borderId="23" xfId="0" applyNumberFormat="1" applyFont="1" applyFill="1" applyBorder="1" applyAlignment="1">
      <alignment horizontal="right"/>
    </xf>
    <xf numFmtId="166" fontId="4" fillId="3" borderId="25" xfId="0" applyNumberFormat="1" applyFont="1" applyFill="1" applyBorder="1" applyAlignment="1">
      <alignment horizontal="right"/>
    </xf>
    <xf numFmtId="0" fontId="8" fillId="0" borderId="0" xfId="0" applyFont="1"/>
    <xf numFmtId="0" fontId="1" fillId="0" borderId="24" xfId="0" applyFont="1" applyBorder="1"/>
    <xf numFmtId="165" fontId="4" fillId="3" borderId="23" xfId="0" applyNumberFormat="1" applyFont="1" applyFill="1" applyBorder="1" applyAlignment="1">
      <alignment horizontal="right"/>
    </xf>
    <xf numFmtId="165" fontId="4" fillId="3" borderId="25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6" fontId="1" fillId="0" borderId="22" xfId="0" applyNumberFormat="1" applyFont="1" applyBorder="1"/>
    <xf numFmtId="168" fontId="4" fillId="3" borderId="23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3" xfId="0" applyNumberFormat="1" applyFont="1" applyFill="1" applyBorder="1" applyAlignment="1">
      <alignment horizontal="right"/>
    </xf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8" fontId="5" fillId="0" borderId="29" xfId="0" applyNumberFormat="1" applyFont="1" applyBorder="1" applyAlignment="1">
      <alignment horizontal="right"/>
    </xf>
    <xf numFmtId="166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0" fontId="10" fillId="0" borderId="0" xfId="0" applyFont="1"/>
    <xf numFmtId="0" fontId="4" fillId="0" borderId="23" xfId="0" applyFont="1" applyBorder="1"/>
    <xf numFmtId="0" fontId="4" fillId="0" borderId="23" xfId="0" applyFont="1" applyBorder="1" applyAlignment="1">
      <alignment horizontal="center"/>
    </xf>
    <xf numFmtId="0" fontId="10" fillId="0" borderId="23" xfId="0" applyFont="1" applyBorder="1"/>
    <xf numFmtId="0" fontId="10" fillId="0" borderId="23" xfId="0" applyFont="1" applyBorder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/>
    </xf>
    <xf numFmtId="0" fontId="4" fillId="0" borderId="31" xfId="0" applyFont="1" applyBorder="1"/>
    <xf numFmtId="0" fontId="1" fillId="0" borderId="32" xfId="0" applyFont="1" applyBorder="1" applyAlignment="1">
      <alignment horizontal="left" vertical="top" wrapText="1"/>
    </xf>
    <xf numFmtId="0" fontId="10" fillId="0" borderId="32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3" xfId="0" applyFont="1" applyBorder="1" applyAlignment="1">
      <alignment horizontal="left" vertical="top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362</xdr:row>
      <xdr:rowOff>28575</xdr:rowOff>
    </xdr:from>
    <xdr:ext cx="4857750" cy="3105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342</xdr:row>
      <xdr:rowOff>209550</xdr:rowOff>
    </xdr:from>
    <xdr:ext cx="4857750" cy="31051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95"/>
  <sheetViews>
    <sheetView showGridLines="0" tabSelected="1" workbookViewId="0">
      <pane ySplit="4" topLeftCell="A229" activePane="bottomLeft" state="frozen"/>
      <selection pane="bottomLeft" activeCell="C385" sqref="C385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73.81640625" customWidth="1"/>
    <col min="4" max="4" width="22.54296875" customWidth="1"/>
    <col min="5" max="5" width="31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2" t="s">
        <v>0</v>
      </c>
      <c r="D1" s="73"/>
      <c r="E1" s="73"/>
      <c r="F1" s="73"/>
      <c r="G1" s="73"/>
      <c r="H1" s="73"/>
      <c r="I1" s="74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2" t="s">
        <v>1</v>
      </c>
      <c r="D2" s="73"/>
      <c r="E2" s="73"/>
      <c r="F2" s="73"/>
      <c r="G2" s="73"/>
      <c r="H2" s="73"/>
      <c r="I2" s="74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75"/>
      <c r="D3" s="76"/>
      <c r="E3" s="76"/>
      <c r="F3" s="76"/>
      <c r="G3" s="76"/>
      <c r="H3" s="76"/>
      <c r="I3" s="77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0" t="s">
        <v>12</v>
      </c>
      <c r="E8" s="30" t="s">
        <v>13</v>
      </c>
      <c r="F8" s="31">
        <v>150428</v>
      </c>
      <c r="G8" s="31">
        <v>1120.0116740000001</v>
      </c>
      <c r="H8" s="32">
        <f t="shared" ref="H8:H261" si="0">G8/$G$306</f>
        <v>4.1130543534542541E-2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0" t="s">
        <v>15</v>
      </c>
      <c r="E9" s="30" t="s">
        <v>13</v>
      </c>
      <c r="F9" s="31">
        <v>70269</v>
      </c>
      <c r="G9" s="31">
        <v>882.85971599999993</v>
      </c>
      <c r="H9" s="32">
        <f t="shared" si="0"/>
        <v>3.2421537048936022E-2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0" t="s">
        <v>17</v>
      </c>
      <c r="E10" s="30" t="s">
        <v>18</v>
      </c>
      <c r="F10" s="31">
        <v>66388</v>
      </c>
      <c r="G10" s="31">
        <v>877.11825599999997</v>
      </c>
      <c r="H10" s="32">
        <f t="shared" si="0"/>
        <v>3.2210691594407453E-2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0" t="s">
        <v>20</v>
      </c>
      <c r="E11" s="30" t="s">
        <v>21</v>
      </c>
      <c r="F11" s="31">
        <v>14369</v>
      </c>
      <c r="G11" s="31">
        <v>595.75310899999999</v>
      </c>
      <c r="H11" s="32">
        <f t="shared" si="0"/>
        <v>2.1878030161999511E-2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0" t="s">
        <v>23</v>
      </c>
      <c r="E12" s="30" t="s">
        <v>24</v>
      </c>
      <c r="F12" s="31">
        <v>30168</v>
      </c>
      <c r="G12" s="31">
        <v>551.77272000000005</v>
      </c>
      <c r="H12" s="32">
        <f t="shared" si="0"/>
        <v>2.0262924403351309E-2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0" t="s">
        <v>26</v>
      </c>
      <c r="E13" s="30" t="s">
        <v>27</v>
      </c>
      <c r="F13" s="31">
        <v>11540</v>
      </c>
      <c r="G13" s="31">
        <v>470.42809999999997</v>
      </c>
      <c r="H13" s="32">
        <f t="shared" si="0"/>
        <v>1.7275680152350027E-2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0" t="s">
        <v>29</v>
      </c>
      <c r="E14" s="30" t="s">
        <v>30</v>
      </c>
      <c r="F14" s="31">
        <v>34461</v>
      </c>
      <c r="G14" s="31">
        <v>400.057749</v>
      </c>
      <c r="H14" s="32">
        <f t="shared" si="0"/>
        <v>1.4691447458587463E-2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0" t="s">
        <v>32</v>
      </c>
      <c r="E15" s="30" t="s">
        <v>13</v>
      </c>
      <c r="F15" s="31">
        <v>40787</v>
      </c>
      <c r="G15" s="31">
        <v>393.34982799999995</v>
      </c>
      <c r="H15" s="32">
        <f t="shared" si="0"/>
        <v>1.4445110350571949E-2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0" t="s">
        <v>34</v>
      </c>
      <c r="E16" s="30" t="s">
        <v>13</v>
      </c>
      <c r="F16" s="31">
        <v>28201</v>
      </c>
      <c r="G16" s="31">
        <v>362.83406600000001</v>
      </c>
      <c r="H16" s="32">
        <f t="shared" si="0"/>
        <v>1.3324470354965317E-2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0" t="s">
        <v>36</v>
      </c>
      <c r="E17" s="30" t="s">
        <v>13</v>
      </c>
      <c r="F17" s="31">
        <v>72370</v>
      </c>
      <c r="G17" s="31">
        <v>278.04554000000002</v>
      </c>
      <c r="H17" s="32">
        <f t="shared" si="0"/>
        <v>1.0210754452864202E-2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0" t="s">
        <v>38</v>
      </c>
      <c r="E18" s="30" t="s">
        <v>39</v>
      </c>
      <c r="F18" s="31">
        <v>94747</v>
      </c>
      <c r="G18" s="31">
        <v>271.82914299999999</v>
      </c>
      <c r="H18" s="32">
        <f t="shared" si="0"/>
        <v>9.9824677364201177E-3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0" t="s">
        <v>41</v>
      </c>
      <c r="E19" s="30" t="s">
        <v>42</v>
      </c>
      <c r="F19" s="31">
        <v>8784</v>
      </c>
      <c r="G19" s="31">
        <v>267.52550400000001</v>
      </c>
      <c r="H19" s="32">
        <f t="shared" si="0"/>
        <v>9.8244238379897753E-3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0" t="s">
        <v>44</v>
      </c>
      <c r="E20" s="30" t="s">
        <v>21</v>
      </c>
      <c r="F20" s="31">
        <v>8971</v>
      </c>
      <c r="G20" s="31">
        <v>265.04819500000002</v>
      </c>
      <c r="H20" s="32">
        <f t="shared" si="0"/>
        <v>9.7334488347479674E-3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0" t="s">
        <v>46</v>
      </c>
      <c r="E21" s="30" t="s">
        <v>13</v>
      </c>
      <c r="F21" s="31">
        <v>86562</v>
      </c>
      <c r="G21" s="31">
        <v>250.12089899999998</v>
      </c>
      <c r="H21" s="32">
        <f t="shared" si="0"/>
        <v>9.1852690146320883E-3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0" t="s">
        <v>48</v>
      </c>
      <c r="E22" s="30" t="s">
        <v>49</v>
      </c>
      <c r="F22" s="31">
        <v>426852</v>
      </c>
      <c r="G22" s="31">
        <v>243.26295480000002</v>
      </c>
      <c r="H22" s="32">
        <f t="shared" si="0"/>
        <v>8.9334225571142158E-3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0" t="s">
        <v>51</v>
      </c>
      <c r="E23" s="30" t="s">
        <v>52</v>
      </c>
      <c r="F23" s="31">
        <v>26297</v>
      </c>
      <c r="G23" s="31">
        <v>238.84250249999999</v>
      </c>
      <c r="H23" s="32">
        <f t="shared" si="0"/>
        <v>8.7710888868604182E-3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0" t="s">
        <v>54</v>
      </c>
      <c r="E24" s="30" t="s">
        <v>30</v>
      </c>
      <c r="F24" s="31">
        <v>10038</v>
      </c>
      <c r="G24" s="31">
        <v>226.74838199999999</v>
      </c>
      <c r="H24" s="32">
        <f t="shared" si="0"/>
        <v>8.3269526682077065E-3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0" t="s">
        <v>56</v>
      </c>
      <c r="E25" s="30" t="s">
        <v>49</v>
      </c>
      <c r="F25" s="31">
        <v>4357</v>
      </c>
      <c r="G25" s="31">
        <v>224.324502</v>
      </c>
      <c r="H25" s="32">
        <f t="shared" si="0"/>
        <v>8.2379397550597089E-3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0" t="s">
        <v>58</v>
      </c>
      <c r="E26" s="30" t="s">
        <v>42</v>
      </c>
      <c r="F26" s="31">
        <v>4564</v>
      </c>
      <c r="G26" s="31">
        <v>223.77292</v>
      </c>
      <c r="H26" s="32">
        <f t="shared" si="0"/>
        <v>8.2176838345273395E-3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59</v>
      </c>
      <c r="D27" s="30" t="s">
        <v>60</v>
      </c>
      <c r="E27" s="30" t="s">
        <v>49</v>
      </c>
      <c r="F27" s="31">
        <v>51332</v>
      </c>
      <c r="G27" s="31">
        <v>213.92610999999999</v>
      </c>
      <c r="H27" s="32">
        <f t="shared" si="0"/>
        <v>7.8560763113352475E-3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61</v>
      </c>
      <c r="D28" s="30" t="s">
        <v>62</v>
      </c>
      <c r="E28" s="30" t="s">
        <v>13</v>
      </c>
      <c r="F28" s="31">
        <v>23159</v>
      </c>
      <c r="G28" s="31">
        <v>211.75431649999999</v>
      </c>
      <c r="H28" s="32">
        <f t="shared" si="0"/>
        <v>7.7763208505901233E-3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63</v>
      </c>
      <c r="D29" s="30" t="s">
        <v>64</v>
      </c>
      <c r="E29" s="30" t="s">
        <v>65</v>
      </c>
      <c r="F29" s="31">
        <v>11981</v>
      </c>
      <c r="G29" s="31">
        <v>203.97652500000001</v>
      </c>
      <c r="H29" s="32">
        <f t="shared" si="0"/>
        <v>7.4906945492580678E-3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66</v>
      </c>
      <c r="D30" s="30" t="s">
        <v>67</v>
      </c>
      <c r="E30" s="30" t="s">
        <v>24</v>
      </c>
      <c r="F30" s="31">
        <v>45517</v>
      </c>
      <c r="G30" s="31">
        <v>201.20789850000003</v>
      </c>
      <c r="H30" s="32">
        <f t="shared" si="0"/>
        <v>7.3890214011716332E-3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68</v>
      </c>
      <c r="D31" s="30" t="s">
        <v>69</v>
      </c>
      <c r="E31" s="30" t="s">
        <v>30</v>
      </c>
      <c r="F31" s="31">
        <v>3825</v>
      </c>
      <c r="G31" s="31">
        <v>198.68197499999999</v>
      </c>
      <c r="H31" s="32">
        <f t="shared" si="0"/>
        <v>7.2962611122447917E-3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70</v>
      </c>
      <c r="D32" s="30" t="s">
        <v>71</v>
      </c>
      <c r="E32" s="30" t="s">
        <v>13</v>
      </c>
      <c r="F32" s="31">
        <v>19890</v>
      </c>
      <c r="G32" s="31">
        <v>195.85683</v>
      </c>
      <c r="H32" s="32">
        <f t="shared" si="0"/>
        <v>7.1925124173772646E-3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72</v>
      </c>
      <c r="D33" s="30" t="s">
        <v>73</v>
      </c>
      <c r="E33" s="30" t="s">
        <v>74</v>
      </c>
      <c r="F33" s="31">
        <v>8529</v>
      </c>
      <c r="G33" s="31">
        <v>193.41213300000001</v>
      </c>
      <c r="H33" s="32">
        <f t="shared" si="0"/>
        <v>7.1027350349432443E-3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75</v>
      </c>
      <c r="D34" s="30" t="s">
        <v>76</v>
      </c>
      <c r="E34" s="30" t="s">
        <v>39</v>
      </c>
      <c r="F34" s="31">
        <v>8723</v>
      </c>
      <c r="G34" s="31">
        <v>187.849805</v>
      </c>
      <c r="H34" s="32">
        <f t="shared" si="0"/>
        <v>6.8984679016013779E-3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77</v>
      </c>
      <c r="D35" s="30" t="s">
        <v>78</v>
      </c>
      <c r="E35" s="30" t="s">
        <v>74</v>
      </c>
      <c r="F35" s="31">
        <v>10408</v>
      </c>
      <c r="G35" s="31">
        <v>187.26073600000001</v>
      </c>
      <c r="H35" s="32">
        <f t="shared" si="0"/>
        <v>6.8768353340917738E-3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79</v>
      </c>
      <c r="D36" s="30" t="s">
        <v>80</v>
      </c>
      <c r="E36" s="30" t="s">
        <v>74</v>
      </c>
      <c r="F36" s="31">
        <v>13682</v>
      </c>
      <c r="G36" s="31">
        <v>186.34884</v>
      </c>
      <c r="H36" s="32">
        <f t="shared" si="0"/>
        <v>6.8433474883865374E-3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81</v>
      </c>
      <c r="D37" s="30" t="s">
        <v>82</v>
      </c>
      <c r="E37" s="30" t="s">
        <v>83</v>
      </c>
      <c r="F37" s="31">
        <v>9372</v>
      </c>
      <c r="G37" s="31">
        <v>183.42878399999998</v>
      </c>
      <c r="H37" s="32">
        <f t="shared" si="0"/>
        <v>6.7361133467973107E-3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84</v>
      </c>
      <c r="D38" s="30" t="s">
        <v>85</v>
      </c>
      <c r="E38" s="30" t="s">
        <v>86</v>
      </c>
      <c r="F38" s="31">
        <v>46530</v>
      </c>
      <c r="G38" s="31">
        <v>180.02457000000001</v>
      </c>
      <c r="H38" s="32">
        <f t="shared" si="0"/>
        <v>6.6110993175882739E-3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87</v>
      </c>
      <c r="D39" s="30" t="s">
        <v>88</v>
      </c>
      <c r="E39" s="30" t="s">
        <v>89</v>
      </c>
      <c r="F39" s="31">
        <v>70698</v>
      </c>
      <c r="G39" s="31">
        <v>177.1550484</v>
      </c>
      <c r="H39" s="32">
        <f t="shared" si="0"/>
        <v>6.505720966780021E-3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90</v>
      </c>
      <c r="D40" s="30" t="s">
        <v>91</v>
      </c>
      <c r="E40" s="30" t="s">
        <v>92</v>
      </c>
      <c r="F40" s="31">
        <v>1856</v>
      </c>
      <c r="G40" s="31">
        <v>175.9024</v>
      </c>
      <c r="H40" s="32">
        <f t="shared" si="0"/>
        <v>6.4597195627360176E-3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93</v>
      </c>
      <c r="D41" s="30" t="s">
        <v>94</v>
      </c>
      <c r="E41" s="30" t="s">
        <v>30</v>
      </c>
      <c r="F41" s="31">
        <v>12216</v>
      </c>
      <c r="G41" s="31">
        <v>173.68708800000002</v>
      </c>
      <c r="H41" s="32">
        <f t="shared" si="0"/>
        <v>6.3783659583283242E-3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0" t="s">
        <v>96</v>
      </c>
      <c r="E42" s="30" t="s">
        <v>49</v>
      </c>
      <c r="F42" s="31">
        <v>447</v>
      </c>
      <c r="G42" s="31">
        <v>171.84915000000001</v>
      </c>
      <c r="H42" s="32">
        <f t="shared" si="0"/>
        <v>6.3108707788782662E-3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97</v>
      </c>
      <c r="D43" s="30" t="s">
        <v>98</v>
      </c>
      <c r="E43" s="30" t="s">
        <v>99</v>
      </c>
      <c r="F43" s="31">
        <v>18296</v>
      </c>
      <c r="G43" s="31">
        <v>169.869212</v>
      </c>
      <c r="H43" s="32">
        <f t="shared" si="0"/>
        <v>6.2381608884412715E-3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100</v>
      </c>
      <c r="D44" s="30" t="s">
        <v>101</v>
      </c>
      <c r="E44" s="30" t="s">
        <v>42</v>
      </c>
      <c r="F44" s="31">
        <v>1289</v>
      </c>
      <c r="G44" s="31">
        <v>169.20703</v>
      </c>
      <c r="H44" s="32">
        <f t="shared" si="0"/>
        <v>6.213843369069781E-3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102</v>
      </c>
      <c r="D45" s="30" t="s">
        <v>103</v>
      </c>
      <c r="E45" s="30" t="s">
        <v>104</v>
      </c>
      <c r="F45" s="31">
        <v>81122</v>
      </c>
      <c r="G45" s="31">
        <v>168.74998440000002</v>
      </c>
      <c r="H45" s="32">
        <f t="shared" si="0"/>
        <v>6.1970591387046333E-3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0" t="s">
        <v>106</v>
      </c>
      <c r="E46" s="30" t="s">
        <v>107</v>
      </c>
      <c r="F46" s="31">
        <v>1450</v>
      </c>
      <c r="G46" s="31">
        <v>167.09800000000001</v>
      </c>
      <c r="H46" s="32">
        <f t="shared" si="0"/>
        <v>6.1363927922192252E-3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0" t="s">
        <v>109</v>
      </c>
      <c r="E47" s="30" t="s">
        <v>13</v>
      </c>
      <c r="F47" s="31">
        <v>232583</v>
      </c>
      <c r="G47" s="31">
        <v>165.8781956</v>
      </c>
      <c r="H47" s="32">
        <f t="shared" si="0"/>
        <v>6.0915975287925096E-3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0" t="s">
        <v>111</v>
      </c>
      <c r="E48" s="30" t="s">
        <v>107</v>
      </c>
      <c r="F48" s="31">
        <v>4056</v>
      </c>
      <c r="G48" s="31">
        <v>165.27794399999999</v>
      </c>
      <c r="H48" s="32">
        <f t="shared" si="0"/>
        <v>6.0695542991203522E-3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0" t="s">
        <v>113</v>
      </c>
      <c r="E49" s="30" t="s">
        <v>65</v>
      </c>
      <c r="F49" s="31">
        <v>14766</v>
      </c>
      <c r="G49" s="31">
        <v>165.20200800000001</v>
      </c>
      <c r="H49" s="32">
        <f t="shared" si="0"/>
        <v>6.0667656773351133E-3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114</v>
      </c>
      <c r="D50" s="30" t="s">
        <v>115</v>
      </c>
      <c r="E50" s="30" t="s">
        <v>116</v>
      </c>
      <c r="F50" s="31">
        <v>14206</v>
      </c>
      <c r="G50" s="31">
        <v>160.05900199999999</v>
      </c>
      <c r="H50" s="32">
        <f t="shared" si="0"/>
        <v>5.8778974386444029E-3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117</v>
      </c>
      <c r="D51" s="30" t="s">
        <v>118</v>
      </c>
      <c r="E51" s="30" t="s">
        <v>119</v>
      </c>
      <c r="F51" s="31">
        <v>100456</v>
      </c>
      <c r="G51" s="31">
        <v>156.14880640000001</v>
      </c>
      <c r="H51" s="32">
        <f t="shared" si="0"/>
        <v>5.7343020868388331E-3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0" t="s">
        <v>121</v>
      </c>
      <c r="E52" s="30" t="s">
        <v>122</v>
      </c>
      <c r="F52" s="31">
        <v>9312</v>
      </c>
      <c r="G52" s="31">
        <v>155.88288</v>
      </c>
      <c r="H52" s="32">
        <f t="shared" si="0"/>
        <v>5.7245363874036462E-3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123</v>
      </c>
      <c r="D53" s="30" t="s">
        <v>124</v>
      </c>
      <c r="E53" s="30" t="s">
        <v>125</v>
      </c>
      <c r="F53" s="31">
        <v>18581</v>
      </c>
      <c r="G53" s="31">
        <v>152.68007699999998</v>
      </c>
      <c r="H53" s="32">
        <f t="shared" si="0"/>
        <v>5.6069188381565084E-3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0" t="s">
        <v>127</v>
      </c>
      <c r="E54" s="30" t="s">
        <v>122</v>
      </c>
      <c r="F54" s="31">
        <v>8515</v>
      </c>
      <c r="G54" s="31">
        <v>152.60583</v>
      </c>
      <c r="H54" s="32">
        <f t="shared" si="0"/>
        <v>5.60419224205336E-3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0" t="s">
        <v>129</v>
      </c>
      <c r="E55" s="30" t="s">
        <v>130</v>
      </c>
      <c r="F55" s="31">
        <v>35153</v>
      </c>
      <c r="G55" s="31">
        <v>144.39094750000001</v>
      </c>
      <c r="H55" s="32">
        <f t="shared" si="0"/>
        <v>5.3025145094537617E-3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0" t="s">
        <v>132</v>
      </c>
      <c r="E56" s="30" t="s">
        <v>13</v>
      </c>
      <c r="F56" s="31">
        <v>616567</v>
      </c>
      <c r="G56" s="31">
        <v>142.73526050000001</v>
      </c>
      <c r="H56" s="32">
        <f t="shared" si="0"/>
        <v>5.2417121912155355E-3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0" t="s">
        <v>134</v>
      </c>
      <c r="E57" s="30" t="s">
        <v>74</v>
      </c>
      <c r="F57" s="31">
        <v>9814</v>
      </c>
      <c r="G57" s="31">
        <v>139.986896</v>
      </c>
      <c r="H57" s="32">
        <f t="shared" si="0"/>
        <v>5.1407831309742925E-3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0" t="s">
        <v>136</v>
      </c>
      <c r="E58" s="30" t="s">
        <v>137</v>
      </c>
      <c r="F58" s="31">
        <v>5099</v>
      </c>
      <c r="G58" s="31">
        <v>138.47864199999998</v>
      </c>
      <c r="H58" s="32">
        <f t="shared" si="0"/>
        <v>5.0853950415032274E-3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0" t="s">
        <v>139</v>
      </c>
      <c r="E59" s="30" t="s">
        <v>24</v>
      </c>
      <c r="F59" s="31">
        <v>969911</v>
      </c>
      <c r="G59" s="31">
        <v>135.69054890000001</v>
      </c>
      <c r="H59" s="32">
        <f t="shared" si="0"/>
        <v>4.9830070152977919E-3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0" t="s">
        <v>141</v>
      </c>
      <c r="E60" s="30" t="s">
        <v>116</v>
      </c>
      <c r="F60" s="31">
        <v>31502</v>
      </c>
      <c r="G60" s="31">
        <v>133.710239</v>
      </c>
      <c r="H60" s="32">
        <f t="shared" si="0"/>
        <v>4.9102834674592749E-3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0" t="s">
        <v>143</v>
      </c>
      <c r="E61" s="30" t="s">
        <v>89</v>
      </c>
      <c r="F61" s="31">
        <v>13423</v>
      </c>
      <c r="G61" s="31">
        <v>133.55885000000001</v>
      </c>
      <c r="H61" s="32">
        <f t="shared" si="0"/>
        <v>4.9047239612508148E-3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0" t="s">
        <v>145</v>
      </c>
      <c r="E62" s="30" t="s">
        <v>146</v>
      </c>
      <c r="F62" s="31">
        <v>1163</v>
      </c>
      <c r="G62" s="31">
        <v>133.53566000000001</v>
      </c>
      <c r="H62" s="32">
        <f t="shared" si="0"/>
        <v>4.9038723475340051E-3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147</v>
      </c>
      <c r="D63" s="30" t="s">
        <v>148</v>
      </c>
      <c r="E63" s="30" t="s">
        <v>18</v>
      </c>
      <c r="F63" s="31">
        <v>33734</v>
      </c>
      <c r="G63" s="31">
        <v>132.86135899999999</v>
      </c>
      <c r="H63" s="32">
        <f t="shared" si="0"/>
        <v>4.8791097782861009E-3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149</v>
      </c>
      <c r="D64" s="30" t="s">
        <v>150</v>
      </c>
      <c r="E64" s="30" t="s">
        <v>151</v>
      </c>
      <c r="F64" s="31">
        <v>7244</v>
      </c>
      <c r="G64" s="31">
        <v>130.725224</v>
      </c>
      <c r="H64" s="32">
        <f t="shared" si="0"/>
        <v>4.800663815933426E-3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0" t="s">
        <v>153</v>
      </c>
      <c r="E65" s="30" t="s">
        <v>52</v>
      </c>
      <c r="F65" s="31">
        <v>13751</v>
      </c>
      <c r="G65" s="31">
        <v>130.24259649999999</v>
      </c>
      <c r="H65" s="32">
        <f t="shared" si="0"/>
        <v>4.7829401333499911E-3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0" t="s">
        <v>155</v>
      </c>
      <c r="E66" s="30" t="s">
        <v>86</v>
      </c>
      <c r="F66" s="31">
        <v>44475</v>
      </c>
      <c r="G66" s="31">
        <v>129.22211250000001</v>
      </c>
      <c r="H66" s="32">
        <f t="shared" si="0"/>
        <v>4.7454645761190548E-3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0" t="s">
        <v>157</v>
      </c>
      <c r="E67" s="30" t="s">
        <v>158</v>
      </c>
      <c r="F67" s="31">
        <v>19700</v>
      </c>
      <c r="G67" s="31">
        <v>127.0256</v>
      </c>
      <c r="H67" s="32">
        <f t="shared" si="0"/>
        <v>4.6648013517057198E-3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0" t="s">
        <v>160</v>
      </c>
      <c r="E68" s="30" t="s">
        <v>89</v>
      </c>
      <c r="F68" s="31">
        <v>48036</v>
      </c>
      <c r="G68" s="31">
        <v>125.998428</v>
      </c>
      <c r="H68" s="32">
        <f t="shared" si="0"/>
        <v>4.6270801889319625E-3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0" t="s">
        <v>162</v>
      </c>
      <c r="E69" s="30" t="s">
        <v>151</v>
      </c>
      <c r="F69" s="31">
        <v>125350</v>
      </c>
      <c r="G69" s="31">
        <v>125.813795</v>
      </c>
      <c r="H69" s="32">
        <f t="shared" si="0"/>
        <v>4.6202998527794898E-3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0" t="s">
        <v>164</v>
      </c>
      <c r="E70" s="30" t="s">
        <v>89</v>
      </c>
      <c r="F70" s="31">
        <v>48204</v>
      </c>
      <c r="G70" s="31">
        <v>124.31811599999999</v>
      </c>
      <c r="H70" s="32">
        <f t="shared" si="0"/>
        <v>4.565373559017304E-3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0" t="s">
        <v>166</v>
      </c>
      <c r="E71" s="30" t="s">
        <v>30</v>
      </c>
      <c r="F71" s="31">
        <v>10363</v>
      </c>
      <c r="G71" s="31">
        <v>122.677194</v>
      </c>
      <c r="H71" s="32">
        <f t="shared" si="0"/>
        <v>4.5051134605517693E-3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0" t="s">
        <v>168</v>
      </c>
      <c r="E72" s="30" t="s">
        <v>74</v>
      </c>
      <c r="F72" s="31">
        <v>5285</v>
      </c>
      <c r="G72" s="31">
        <v>120.228465</v>
      </c>
      <c r="H72" s="32">
        <f t="shared" si="0"/>
        <v>4.4151880097043732E-3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0" t="s">
        <v>170</v>
      </c>
      <c r="E73" s="30" t="s">
        <v>107</v>
      </c>
      <c r="F73" s="31">
        <v>4440</v>
      </c>
      <c r="G73" s="31">
        <v>118.61904</v>
      </c>
      <c r="H73" s="32">
        <f t="shared" si="0"/>
        <v>4.3560845855483846E-3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0" t="s">
        <v>172</v>
      </c>
      <c r="E74" s="30" t="s">
        <v>83</v>
      </c>
      <c r="F74" s="31">
        <v>3750</v>
      </c>
      <c r="G74" s="31">
        <v>117.80249999999999</v>
      </c>
      <c r="H74" s="32">
        <f t="shared" si="0"/>
        <v>4.3260985284408263E-3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0" t="s">
        <v>174</v>
      </c>
      <c r="E75" s="30" t="s">
        <v>104</v>
      </c>
      <c r="F75" s="31">
        <v>9206</v>
      </c>
      <c r="G75" s="31">
        <v>117.65268</v>
      </c>
      <c r="H75" s="32">
        <f t="shared" si="0"/>
        <v>4.3205966411164407E-3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0" t="s">
        <v>176</v>
      </c>
      <c r="E76" s="30" t="s">
        <v>92</v>
      </c>
      <c r="F76" s="31">
        <v>6390</v>
      </c>
      <c r="G76" s="31">
        <v>117.00729</v>
      </c>
      <c r="H76" s="32">
        <f t="shared" si="0"/>
        <v>4.2968957796808141E-3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177</v>
      </c>
      <c r="D77" s="30" t="s">
        <v>178</v>
      </c>
      <c r="E77" s="30" t="s">
        <v>146</v>
      </c>
      <c r="F77" s="31">
        <v>3743</v>
      </c>
      <c r="G77" s="31">
        <v>116.871432</v>
      </c>
      <c r="H77" s="32">
        <f t="shared" si="0"/>
        <v>4.2919066233057203E-3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179</v>
      </c>
      <c r="D78" s="30" t="s">
        <v>180</v>
      </c>
      <c r="E78" s="30" t="s">
        <v>181</v>
      </c>
      <c r="F78" s="31">
        <v>6551</v>
      </c>
      <c r="G78" s="31">
        <v>116.03131199999999</v>
      </c>
      <c r="H78" s="32">
        <f t="shared" si="0"/>
        <v>4.261054630387796E-3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182</v>
      </c>
      <c r="D79" s="30" t="s">
        <v>183</v>
      </c>
      <c r="E79" s="30" t="s">
        <v>92</v>
      </c>
      <c r="F79" s="31">
        <v>2166</v>
      </c>
      <c r="G79" s="31">
        <v>114.09405</v>
      </c>
      <c r="H79" s="32">
        <f t="shared" si="0"/>
        <v>4.1899119442189601E-3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184</v>
      </c>
      <c r="D80" s="30" t="s">
        <v>185</v>
      </c>
      <c r="E80" s="30" t="s">
        <v>42</v>
      </c>
      <c r="F80" s="31">
        <v>1086</v>
      </c>
      <c r="G80" s="31">
        <v>113.5956</v>
      </c>
      <c r="H80" s="32">
        <f t="shared" si="0"/>
        <v>4.1716072069553087E-3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0" t="s">
        <v>187</v>
      </c>
      <c r="E81" s="30" t="s">
        <v>74</v>
      </c>
      <c r="F81" s="31">
        <v>2056</v>
      </c>
      <c r="G81" s="31">
        <v>113.03888000000001</v>
      </c>
      <c r="H81" s="32">
        <f t="shared" si="0"/>
        <v>4.1511626020211733E-3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0" t="s">
        <v>189</v>
      </c>
      <c r="E82" s="30" t="s">
        <v>86</v>
      </c>
      <c r="F82" s="31">
        <v>18922</v>
      </c>
      <c r="G82" s="31">
        <v>112.595361</v>
      </c>
      <c r="H82" s="32">
        <f t="shared" si="0"/>
        <v>4.1348751132731787E-3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0" t="s">
        <v>191</v>
      </c>
      <c r="E83" s="30" t="s">
        <v>74</v>
      </c>
      <c r="F83" s="31">
        <v>25054</v>
      </c>
      <c r="G83" s="31">
        <v>107.39397099999999</v>
      </c>
      <c r="H83" s="32">
        <f t="shared" si="0"/>
        <v>3.9438628204538683E-3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0" t="s">
        <v>193</v>
      </c>
      <c r="E84" s="30" t="s">
        <v>194</v>
      </c>
      <c r="F84" s="31">
        <v>121336</v>
      </c>
      <c r="G84" s="31">
        <v>106.76354640000001</v>
      </c>
      <c r="H84" s="32">
        <f t="shared" si="0"/>
        <v>3.9207115381436211E-3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195</v>
      </c>
      <c r="D85" s="30" t="s">
        <v>196</v>
      </c>
      <c r="E85" s="30" t="s">
        <v>49</v>
      </c>
      <c r="F85" s="31">
        <v>3363</v>
      </c>
      <c r="G85" s="31">
        <v>105.62510400000001</v>
      </c>
      <c r="H85" s="32">
        <f t="shared" si="0"/>
        <v>3.8789041572191534E-3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0" t="s">
        <v>198</v>
      </c>
      <c r="E86" s="30" t="s">
        <v>30</v>
      </c>
      <c r="F86" s="31">
        <v>4646</v>
      </c>
      <c r="G86" s="31">
        <v>105.52924400000001</v>
      </c>
      <c r="H86" s="32">
        <f t="shared" si="0"/>
        <v>3.8753838600698032E-3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0" t="s">
        <v>200</v>
      </c>
      <c r="E87" s="30" t="s">
        <v>52</v>
      </c>
      <c r="F87" s="31">
        <v>28943</v>
      </c>
      <c r="G87" s="31">
        <v>105.149919</v>
      </c>
      <c r="H87" s="32">
        <f t="shared" si="0"/>
        <v>3.8614537879210721E-3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201</v>
      </c>
      <c r="D88" s="30" t="s">
        <v>202</v>
      </c>
      <c r="E88" s="30" t="s">
        <v>107</v>
      </c>
      <c r="F88" s="31">
        <v>8854</v>
      </c>
      <c r="G88" s="31">
        <v>104.193872</v>
      </c>
      <c r="H88" s="32">
        <f t="shared" si="0"/>
        <v>3.8263445710553837E-3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203</v>
      </c>
      <c r="D89" s="30" t="s">
        <v>204</v>
      </c>
      <c r="E89" s="30" t="s">
        <v>104</v>
      </c>
      <c r="F89" s="31">
        <v>50751</v>
      </c>
      <c r="G89" s="31">
        <v>103.71981869999999</v>
      </c>
      <c r="H89" s="32">
        <f t="shared" si="0"/>
        <v>3.8089357615349361E-3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205</v>
      </c>
      <c r="D90" s="30" t="s">
        <v>206</v>
      </c>
      <c r="E90" s="30" t="s">
        <v>13</v>
      </c>
      <c r="F90" s="31">
        <v>12406</v>
      </c>
      <c r="G90" s="31">
        <v>103.34198000000001</v>
      </c>
      <c r="H90" s="32">
        <f t="shared" si="0"/>
        <v>3.7950602712519799E-3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207</v>
      </c>
      <c r="D91" s="30" t="s">
        <v>208</v>
      </c>
      <c r="E91" s="30" t="s">
        <v>209</v>
      </c>
      <c r="F91" s="31">
        <v>22322</v>
      </c>
      <c r="G91" s="31">
        <v>102.21243800000001</v>
      </c>
      <c r="H91" s="32">
        <f t="shared" si="0"/>
        <v>3.7535797425364424E-3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0" t="s">
        <v>211</v>
      </c>
      <c r="E92" s="30" t="s">
        <v>52</v>
      </c>
      <c r="F92" s="31">
        <v>2421</v>
      </c>
      <c r="G92" s="31">
        <v>101.413269</v>
      </c>
      <c r="H92" s="32">
        <f t="shared" si="0"/>
        <v>3.7242316061651807E-3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212</v>
      </c>
      <c r="D93" s="30" t="s">
        <v>213</v>
      </c>
      <c r="E93" s="30" t="s">
        <v>52</v>
      </c>
      <c r="F93" s="31">
        <v>5675</v>
      </c>
      <c r="G93" s="31">
        <v>101.2193</v>
      </c>
      <c r="H93" s="32">
        <f t="shared" si="0"/>
        <v>3.717108421126976E-3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0" t="s">
        <v>215</v>
      </c>
      <c r="E94" s="30" t="s">
        <v>216</v>
      </c>
      <c r="F94" s="31">
        <v>38120</v>
      </c>
      <c r="G94" s="31">
        <v>101.17048</v>
      </c>
      <c r="H94" s="32">
        <f t="shared" si="0"/>
        <v>3.7153155888003404E-3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0" t="s">
        <v>218</v>
      </c>
      <c r="E95" s="30" t="s">
        <v>21</v>
      </c>
      <c r="F95" s="31">
        <v>9121</v>
      </c>
      <c r="G95" s="31">
        <v>100.741445</v>
      </c>
      <c r="H95" s="32">
        <f t="shared" si="0"/>
        <v>3.699560000573014E-3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0" t="s">
        <v>220</v>
      </c>
      <c r="E96" s="30" t="s">
        <v>221</v>
      </c>
      <c r="F96" s="31">
        <v>7050</v>
      </c>
      <c r="G96" s="31">
        <v>100.21575</v>
      </c>
      <c r="H96" s="32">
        <f t="shared" si="0"/>
        <v>3.68025473654289E-3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0" t="s">
        <v>223</v>
      </c>
      <c r="E97" s="30" t="s">
        <v>107</v>
      </c>
      <c r="F97" s="31">
        <v>7998</v>
      </c>
      <c r="G97" s="31">
        <v>99.631085999999996</v>
      </c>
      <c r="H97" s="32">
        <f t="shared" si="0"/>
        <v>3.6587839352438313E-3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224</v>
      </c>
      <c r="D98" s="30" t="s">
        <v>225</v>
      </c>
      <c r="E98" s="30" t="s">
        <v>86</v>
      </c>
      <c r="F98" s="31">
        <v>40666</v>
      </c>
      <c r="G98" s="31">
        <v>98.968844199999992</v>
      </c>
      <c r="H98" s="32">
        <f t="shared" si="0"/>
        <v>3.6344642198179954E-3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226</v>
      </c>
      <c r="D99" s="30" t="s">
        <v>227</v>
      </c>
      <c r="E99" s="30" t="s">
        <v>228</v>
      </c>
      <c r="F99" s="31">
        <v>2220</v>
      </c>
      <c r="G99" s="31">
        <v>97.790999999999997</v>
      </c>
      <c r="H99" s="32">
        <f t="shared" si="0"/>
        <v>3.5912098741092665E-3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0" t="s">
        <v>230</v>
      </c>
      <c r="E100" s="30" t="s">
        <v>231</v>
      </c>
      <c r="F100" s="31">
        <v>2754</v>
      </c>
      <c r="G100" s="31">
        <v>96.90224400000001</v>
      </c>
      <c r="H100" s="32">
        <f t="shared" si="0"/>
        <v>3.5585718059550006E-3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232</v>
      </c>
      <c r="D101" s="30" t="s">
        <v>233</v>
      </c>
      <c r="E101" s="30" t="s">
        <v>42</v>
      </c>
      <c r="F101" s="31">
        <v>1349</v>
      </c>
      <c r="G101" s="31">
        <v>96.817729999999997</v>
      </c>
      <c r="H101" s="32">
        <f t="shared" si="0"/>
        <v>3.5554681715581696E-3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234</v>
      </c>
      <c r="D102" s="30" t="s">
        <v>235</v>
      </c>
      <c r="E102" s="30" t="s">
        <v>236</v>
      </c>
      <c r="F102" s="31">
        <v>4623</v>
      </c>
      <c r="G102" s="31">
        <v>95.229176999999993</v>
      </c>
      <c r="H102" s="32">
        <f t="shared" si="0"/>
        <v>3.4971312364706266E-3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237</v>
      </c>
      <c r="D103" s="30" t="s">
        <v>238</v>
      </c>
      <c r="E103" s="30" t="s">
        <v>86</v>
      </c>
      <c r="F103" s="31">
        <v>6685</v>
      </c>
      <c r="G103" s="31">
        <v>94.947055000000006</v>
      </c>
      <c r="H103" s="32">
        <f t="shared" si="0"/>
        <v>3.4867707808857221E-3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239</v>
      </c>
      <c r="D104" s="30" t="s">
        <v>240</v>
      </c>
      <c r="E104" s="30" t="s">
        <v>74</v>
      </c>
      <c r="F104" s="31">
        <v>3971</v>
      </c>
      <c r="G104" s="31">
        <v>94.335076000000001</v>
      </c>
      <c r="H104" s="32">
        <f t="shared" si="0"/>
        <v>3.4642968821880144E-3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241</v>
      </c>
      <c r="D105" s="30" t="s">
        <v>242</v>
      </c>
      <c r="E105" s="30" t="s">
        <v>30</v>
      </c>
      <c r="F105" s="31">
        <v>6224</v>
      </c>
      <c r="G105" s="31">
        <v>92.357935999999995</v>
      </c>
      <c r="H105" s="32">
        <f t="shared" si="0"/>
        <v>3.3916897435914521E-3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243</v>
      </c>
      <c r="D106" s="30" t="s">
        <v>244</v>
      </c>
      <c r="E106" s="30" t="s">
        <v>181</v>
      </c>
      <c r="F106" s="31">
        <v>5234</v>
      </c>
      <c r="G106" s="31">
        <v>92.259718000000007</v>
      </c>
      <c r="H106" s="32">
        <f t="shared" si="0"/>
        <v>3.3880828528610658E-3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245</v>
      </c>
      <c r="D107" s="30" t="s">
        <v>246</v>
      </c>
      <c r="E107" s="30" t="s">
        <v>89</v>
      </c>
      <c r="F107" s="31">
        <v>2181</v>
      </c>
      <c r="G107" s="31">
        <v>92.125439999999998</v>
      </c>
      <c r="H107" s="32">
        <f t="shared" si="0"/>
        <v>3.3831517193265311E-3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247</v>
      </c>
      <c r="D108" s="30" t="s">
        <v>248</v>
      </c>
      <c r="E108" s="30" t="s">
        <v>236</v>
      </c>
      <c r="F108" s="31">
        <v>20705</v>
      </c>
      <c r="G108" s="31">
        <v>91.805970000000002</v>
      </c>
      <c r="H108" s="32">
        <f t="shared" si="0"/>
        <v>3.3714197213054282E-3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249</v>
      </c>
      <c r="D109" s="30" t="s">
        <v>250</v>
      </c>
      <c r="E109" s="30" t="s">
        <v>216</v>
      </c>
      <c r="F109" s="31">
        <v>19185</v>
      </c>
      <c r="G109" s="31">
        <v>91.349377500000003</v>
      </c>
      <c r="H109" s="32">
        <f t="shared" si="0"/>
        <v>3.3546521302751263E-3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251</v>
      </c>
      <c r="D110" s="30" t="s">
        <v>252</v>
      </c>
      <c r="E110" s="30" t="s">
        <v>89</v>
      </c>
      <c r="F110" s="31">
        <v>74710</v>
      </c>
      <c r="G110" s="31">
        <v>90.974366999999987</v>
      </c>
      <c r="H110" s="32">
        <f t="shared" si="0"/>
        <v>3.3408805008767698E-3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253</v>
      </c>
      <c r="D111" s="30" t="s">
        <v>254</v>
      </c>
      <c r="E111" s="30" t="s">
        <v>83</v>
      </c>
      <c r="F111" s="31">
        <v>71</v>
      </c>
      <c r="G111" s="31">
        <v>87.628200000000007</v>
      </c>
      <c r="H111" s="32">
        <f t="shared" si="0"/>
        <v>3.2179981500385685E-3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0" t="s">
        <v>256</v>
      </c>
      <c r="E112" s="30" t="s">
        <v>86</v>
      </c>
      <c r="F112" s="31">
        <v>110950</v>
      </c>
      <c r="G112" s="31">
        <v>87.506264999999999</v>
      </c>
      <c r="H112" s="32">
        <f t="shared" si="0"/>
        <v>3.2135202924034128E-3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0" t="s">
        <v>258</v>
      </c>
      <c r="E113" s="30" t="s">
        <v>52</v>
      </c>
      <c r="F113" s="31">
        <v>29881</v>
      </c>
      <c r="G113" s="31">
        <v>85.63894599999999</v>
      </c>
      <c r="H113" s="32">
        <f t="shared" si="0"/>
        <v>3.1449461451821766E-3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0" t="s">
        <v>260</v>
      </c>
      <c r="E114" s="30" t="s">
        <v>261</v>
      </c>
      <c r="F114" s="31">
        <v>221</v>
      </c>
      <c r="G114" s="31">
        <v>84.41095</v>
      </c>
      <c r="H114" s="32">
        <f t="shared" si="0"/>
        <v>3.0998500590334859E-3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262</v>
      </c>
      <c r="D115" s="30" t="s">
        <v>263</v>
      </c>
      <c r="E115" s="30" t="s">
        <v>30</v>
      </c>
      <c r="F115" s="31">
        <v>836</v>
      </c>
      <c r="G115" s="31">
        <v>83.299040000000005</v>
      </c>
      <c r="H115" s="32">
        <f t="shared" si="0"/>
        <v>3.059017035839932E-3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264</v>
      </c>
      <c r="D116" s="30" t="s">
        <v>265</v>
      </c>
      <c r="E116" s="30" t="s">
        <v>74</v>
      </c>
      <c r="F116" s="31">
        <v>1246</v>
      </c>
      <c r="G116" s="31">
        <v>83.070819999999998</v>
      </c>
      <c r="H116" s="32">
        <f t="shared" si="0"/>
        <v>3.0506360404776874E-3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266</v>
      </c>
      <c r="D117" s="30" t="s">
        <v>267</v>
      </c>
      <c r="E117" s="30" t="s">
        <v>268</v>
      </c>
      <c r="F117" s="31">
        <v>2812</v>
      </c>
      <c r="G117" s="31">
        <v>82.599688</v>
      </c>
      <c r="H117" s="32">
        <f t="shared" si="0"/>
        <v>3.0333345107826353E-3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269</v>
      </c>
      <c r="D118" s="30" t="s">
        <v>270</v>
      </c>
      <c r="E118" s="30" t="s">
        <v>99</v>
      </c>
      <c r="F118" s="31">
        <v>1010</v>
      </c>
      <c r="G118" s="31">
        <v>82.582650000000001</v>
      </c>
      <c r="H118" s="32">
        <f t="shared" si="0"/>
        <v>3.0327088189108366E-3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271</v>
      </c>
      <c r="D119" s="30" t="s">
        <v>272</v>
      </c>
      <c r="E119" s="30" t="s">
        <v>24</v>
      </c>
      <c r="F119" s="31">
        <v>4123</v>
      </c>
      <c r="G119" s="31">
        <v>81.016949999999994</v>
      </c>
      <c r="H119" s="32">
        <f t="shared" si="0"/>
        <v>2.9752111217823392E-3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273</v>
      </c>
      <c r="D120" s="30" t="s">
        <v>274</v>
      </c>
      <c r="E120" s="30" t="s">
        <v>181</v>
      </c>
      <c r="F120" s="31">
        <v>5916</v>
      </c>
      <c r="G120" s="31">
        <v>81.001872000000006</v>
      </c>
      <c r="H120" s="32">
        <f t="shared" si="0"/>
        <v>2.9746574076114874E-3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275</v>
      </c>
      <c r="D121" s="30" t="s">
        <v>276</v>
      </c>
      <c r="E121" s="30" t="s">
        <v>42</v>
      </c>
      <c r="F121" s="31">
        <v>20555</v>
      </c>
      <c r="G121" s="31">
        <v>80.966144999999997</v>
      </c>
      <c r="H121" s="32">
        <f t="shared" si="0"/>
        <v>2.973345393671837E-3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277</v>
      </c>
      <c r="D122" s="30" t="s">
        <v>278</v>
      </c>
      <c r="E122" s="30" t="s">
        <v>122</v>
      </c>
      <c r="F122" s="31">
        <v>4408</v>
      </c>
      <c r="G122" s="31">
        <v>80.670807999999994</v>
      </c>
      <c r="H122" s="32">
        <f t="shared" si="0"/>
        <v>2.9624996394552955E-3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279</v>
      </c>
      <c r="D123" s="30" t="s">
        <v>280</v>
      </c>
      <c r="E123" s="30" t="s">
        <v>92</v>
      </c>
      <c r="F123" s="31">
        <v>2261</v>
      </c>
      <c r="G123" s="31">
        <v>80.242890000000003</v>
      </c>
      <c r="H123" s="32">
        <f t="shared" si="0"/>
        <v>2.9467850711728458E-3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0" t="s">
        <v>282</v>
      </c>
      <c r="E124" s="30" t="s">
        <v>130</v>
      </c>
      <c r="F124" s="31">
        <v>1859</v>
      </c>
      <c r="G124" s="31">
        <v>80.007642000000004</v>
      </c>
      <c r="H124" s="32">
        <f t="shared" si="0"/>
        <v>2.9381459843400648E-3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0" t="s">
        <v>284</v>
      </c>
      <c r="E125" s="30" t="s">
        <v>194</v>
      </c>
      <c r="F125" s="31">
        <v>4426</v>
      </c>
      <c r="G125" s="31">
        <v>79.76094599999999</v>
      </c>
      <c r="H125" s="32">
        <f t="shared" si="0"/>
        <v>2.9290864889764496E-3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0" t="s">
        <v>286</v>
      </c>
      <c r="E126" s="30" t="s">
        <v>158</v>
      </c>
      <c r="F126" s="31">
        <v>2840</v>
      </c>
      <c r="G126" s="31">
        <v>78.81</v>
      </c>
      <c r="H126" s="32">
        <f t="shared" si="0"/>
        <v>2.8941645977498065E-3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0" t="s">
        <v>288</v>
      </c>
      <c r="E127" s="30" t="s">
        <v>74</v>
      </c>
      <c r="F127" s="31">
        <v>5980</v>
      </c>
      <c r="G127" s="31">
        <v>77.949299999999994</v>
      </c>
      <c r="H127" s="32">
        <f t="shared" si="0"/>
        <v>2.8625568389719445E-3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0" t="s">
        <v>290</v>
      </c>
      <c r="E128" s="30" t="s">
        <v>92</v>
      </c>
      <c r="F128" s="31">
        <v>1324</v>
      </c>
      <c r="G128" s="31">
        <v>77.864440000000002</v>
      </c>
      <c r="H128" s="32">
        <f t="shared" si="0"/>
        <v>2.8594404983074981E-3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0" t="s">
        <v>292</v>
      </c>
      <c r="E129" s="30" t="s">
        <v>119</v>
      </c>
      <c r="F129" s="31">
        <v>20512</v>
      </c>
      <c r="G129" s="31">
        <v>77.843040000000002</v>
      </c>
      <c r="H129" s="32">
        <f t="shared" si="0"/>
        <v>2.858654619327777E-3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0" t="s">
        <v>294</v>
      </c>
      <c r="E130" s="30" t="s">
        <v>49</v>
      </c>
      <c r="F130" s="31">
        <v>593</v>
      </c>
      <c r="G130" s="31">
        <v>77.789739999999995</v>
      </c>
      <c r="H130" s="32">
        <f t="shared" si="0"/>
        <v>2.8566972665418347E-3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0" t="s">
        <v>296</v>
      </c>
      <c r="E131" s="30" t="s">
        <v>74</v>
      </c>
      <c r="F131" s="31">
        <v>5521</v>
      </c>
      <c r="G131" s="31">
        <v>77.349209999999999</v>
      </c>
      <c r="H131" s="32">
        <f t="shared" si="0"/>
        <v>2.8405195437877844E-3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0" t="s">
        <v>298</v>
      </c>
      <c r="E132" s="30" t="s">
        <v>42</v>
      </c>
      <c r="F132" s="31">
        <v>2304</v>
      </c>
      <c r="G132" s="31">
        <v>77.315327999999994</v>
      </c>
      <c r="H132" s="32">
        <f t="shared" si="0"/>
        <v>2.8392752843676475E-3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0" t="s">
        <v>300</v>
      </c>
      <c r="E133" s="30" t="s">
        <v>52</v>
      </c>
      <c r="F133" s="31">
        <v>32184</v>
      </c>
      <c r="G133" s="31">
        <v>76.903667999999996</v>
      </c>
      <c r="H133" s="32">
        <f t="shared" si="0"/>
        <v>2.8241577637698849E-3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0" t="s">
        <v>302</v>
      </c>
      <c r="E134" s="30" t="s">
        <v>104</v>
      </c>
      <c r="F134" s="31">
        <v>11214</v>
      </c>
      <c r="G134" s="31">
        <v>76.827114000000009</v>
      </c>
      <c r="H134" s="32">
        <f t="shared" si="0"/>
        <v>2.8213464469748579E-3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303</v>
      </c>
      <c r="D135" s="30" t="s">
        <v>304</v>
      </c>
      <c r="E135" s="30" t="s">
        <v>146</v>
      </c>
      <c r="F135" s="31">
        <v>1467</v>
      </c>
      <c r="G135" s="31">
        <v>75.85857</v>
      </c>
      <c r="H135" s="32">
        <f t="shared" si="0"/>
        <v>2.7857782988190017E-3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305</v>
      </c>
      <c r="D136" s="30" t="s">
        <v>306</v>
      </c>
      <c r="E136" s="30" t="s">
        <v>307</v>
      </c>
      <c r="F136" s="31">
        <v>9746</v>
      </c>
      <c r="G136" s="31">
        <v>75.365818000000004</v>
      </c>
      <c r="H136" s="32">
        <f t="shared" si="0"/>
        <v>2.7676828110145303E-3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0" t="s">
        <v>309</v>
      </c>
      <c r="E137" s="30" t="s">
        <v>125</v>
      </c>
      <c r="F137" s="31">
        <v>6390</v>
      </c>
      <c r="G137" s="31">
        <v>75.299760000000006</v>
      </c>
      <c r="H137" s="32">
        <f t="shared" si="0"/>
        <v>2.7652569421527341E-3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0" t="s">
        <v>311</v>
      </c>
      <c r="E138" s="30" t="s">
        <v>74</v>
      </c>
      <c r="F138" s="31">
        <v>4876</v>
      </c>
      <c r="G138" s="31">
        <v>74.329744000000005</v>
      </c>
      <c r="H138" s="32">
        <f t="shared" si="0"/>
        <v>2.7296347372745347E-3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0" t="s">
        <v>313</v>
      </c>
      <c r="E139" s="30" t="s">
        <v>158</v>
      </c>
      <c r="F139" s="31">
        <v>4150</v>
      </c>
      <c r="G139" s="31">
        <v>72.7744</v>
      </c>
      <c r="H139" s="32">
        <f t="shared" si="0"/>
        <v>2.6725173468149154E-3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0" t="s">
        <v>315</v>
      </c>
      <c r="E140" s="30" t="s">
        <v>107</v>
      </c>
      <c r="F140" s="31">
        <v>4554</v>
      </c>
      <c r="G140" s="31">
        <v>72.363060000000004</v>
      </c>
      <c r="H140" s="32">
        <f t="shared" si="0"/>
        <v>2.6574115776785319E-3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0" t="s">
        <v>317</v>
      </c>
      <c r="E141" s="30" t="s">
        <v>307</v>
      </c>
      <c r="F141" s="31">
        <v>26311</v>
      </c>
      <c r="G141" s="31">
        <v>71.315965500000004</v>
      </c>
      <c r="H141" s="32">
        <f t="shared" si="0"/>
        <v>2.6189587946256385E-3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0" t="s">
        <v>319</v>
      </c>
      <c r="E142" s="30" t="s">
        <v>231</v>
      </c>
      <c r="F142" s="31">
        <v>13432</v>
      </c>
      <c r="G142" s="31">
        <v>70.920959999999994</v>
      </c>
      <c r="H142" s="32">
        <f t="shared" si="0"/>
        <v>2.6044528825076778E-3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0" t="s">
        <v>321</v>
      </c>
      <c r="E143" s="30" t="s">
        <v>181</v>
      </c>
      <c r="F143" s="31">
        <v>4135</v>
      </c>
      <c r="G143" s="31">
        <v>70.588584999999995</v>
      </c>
      <c r="H143" s="32">
        <f t="shared" si="0"/>
        <v>2.5922469700831491E-3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0" t="s">
        <v>323</v>
      </c>
      <c r="E144" s="30" t="s">
        <v>52</v>
      </c>
      <c r="F144" s="31">
        <v>23230</v>
      </c>
      <c r="G144" s="31">
        <v>70.537895000000006</v>
      </c>
      <c r="H144" s="32">
        <f t="shared" si="0"/>
        <v>2.5903854651540808E-3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0" t="s">
        <v>325</v>
      </c>
      <c r="E145" s="30" t="s">
        <v>99</v>
      </c>
      <c r="F145" s="31">
        <v>7302</v>
      </c>
      <c r="G145" s="31">
        <v>70.471602000000004</v>
      </c>
      <c r="H145" s="32">
        <f t="shared" si="0"/>
        <v>2.5879509663128343E-3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0" t="s">
        <v>327</v>
      </c>
      <c r="E146" s="30" t="s">
        <v>83</v>
      </c>
      <c r="F146" s="31">
        <v>6377</v>
      </c>
      <c r="G146" s="31">
        <v>70.255409</v>
      </c>
      <c r="H146" s="32">
        <f t="shared" si="0"/>
        <v>2.5800116422818567E-3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0" t="s">
        <v>329</v>
      </c>
      <c r="E147" s="30" t="s">
        <v>122</v>
      </c>
      <c r="F147" s="31">
        <v>13836</v>
      </c>
      <c r="G147" s="31">
        <v>69.726522000000003</v>
      </c>
      <c r="H147" s="32">
        <f t="shared" si="0"/>
        <v>2.5605891574244769E-3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0" t="s">
        <v>331</v>
      </c>
      <c r="E148" s="30" t="s">
        <v>86</v>
      </c>
      <c r="F148" s="31">
        <v>16430</v>
      </c>
      <c r="G148" s="31">
        <v>69.129225000000005</v>
      </c>
      <c r="H148" s="32">
        <f t="shared" si="0"/>
        <v>2.5386544304641652E-3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0" t="s">
        <v>333</v>
      </c>
      <c r="E149" s="30" t="s">
        <v>21</v>
      </c>
      <c r="F149" s="31">
        <v>6256</v>
      </c>
      <c r="G149" s="31">
        <v>68.828512000000003</v>
      </c>
      <c r="H149" s="32">
        <f t="shared" si="0"/>
        <v>2.5276112516964566E-3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0" t="s">
        <v>335</v>
      </c>
      <c r="E150" s="30" t="s">
        <v>92</v>
      </c>
      <c r="F150" s="31">
        <v>4297</v>
      </c>
      <c r="G150" s="31">
        <v>67.81525400000001</v>
      </c>
      <c r="H150" s="32">
        <f t="shared" si="0"/>
        <v>2.4904010571527848E-3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0" t="s">
        <v>337</v>
      </c>
      <c r="E151" s="30" t="s">
        <v>49</v>
      </c>
      <c r="F151" s="31">
        <v>1360</v>
      </c>
      <c r="G151" s="31">
        <v>67.764719999999997</v>
      </c>
      <c r="H151" s="32">
        <f t="shared" si="0"/>
        <v>2.4885452810611375E-3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0" t="s">
        <v>339</v>
      </c>
      <c r="E152" s="30" t="s">
        <v>52</v>
      </c>
      <c r="F152" s="31">
        <v>10533</v>
      </c>
      <c r="G152" s="31">
        <v>65.768051999999997</v>
      </c>
      <c r="H152" s="32">
        <f t="shared" si="0"/>
        <v>2.4152210095339213E-3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0" t="s">
        <v>341</v>
      </c>
      <c r="E153" s="30" t="s">
        <v>52</v>
      </c>
      <c r="F153" s="31">
        <v>4203</v>
      </c>
      <c r="G153" s="31">
        <v>64.629531</v>
      </c>
      <c r="H153" s="32">
        <f t="shared" si="0"/>
        <v>2.3734107421567521E-3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0" t="s">
        <v>343</v>
      </c>
      <c r="E154" s="30" t="s">
        <v>122</v>
      </c>
      <c r="F154" s="31">
        <v>15600</v>
      </c>
      <c r="G154" s="31">
        <v>64.170599999999993</v>
      </c>
      <c r="H154" s="32">
        <f t="shared" si="0"/>
        <v>2.3565572736500913E-3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344</v>
      </c>
      <c r="D155" s="30" t="s">
        <v>345</v>
      </c>
      <c r="E155" s="30" t="s">
        <v>83</v>
      </c>
      <c r="F155" s="31">
        <v>43437</v>
      </c>
      <c r="G155" s="31">
        <v>63.305083799999998</v>
      </c>
      <c r="H155" s="32">
        <f t="shared" si="0"/>
        <v>2.3247726480338125E-3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346</v>
      </c>
      <c r="D156" s="30" t="s">
        <v>347</v>
      </c>
      <c r="E156" s="30" t="s">
        <v>122</v>
      </c>
      <c r="F156" s="31">
        <v>10562</v>
      </c>
      <c r="G156" s="31">
        <v>62.822775999999998</v>
      </c>
      <c r="H156" s="32">
        <f t="shared" si="0"/>
        <v>2.307060705894762E-3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348</v>
      </c>
      <c r="D157" s="30" t="s">
        <v>349</v>
      </c>
      <c r="E157" s="30" t="s">
        <v>83</v>
      </c>
      <c r="F157" s="31">
        <v>2822</v>
      </c>
      <c r="G157" s="31">
        <v>62.23921</v>
      </c>
      <c r="H157" s="32">
        <f t="shared" si="0"/>
        <v>2.2856302267975602E-3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350</v>
      </c>
      <c r="D158" s="30" t="s">
        <v>351</v>
      </c>
      <c r="E158" s="30" t="s">
        <v>49</v>
      </c>
      <c r="F158" s="31">
        <v>6725</v>
      </c>
      <c r="G158" s="31">
        <v>61.6985125</v>
      </c>
      <c r="H158" s="32">
        <f t="shared" si="0"/>
        <v>2.2657740212070026E-3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352</v>
      </c>
      <c r="D159" s="30" t="s">
        <v>353</v>
      </c>
      <c r="E159" s="30" t="s">
        <v>83</v>
      </c>
      <c r="F159" s="31">
        <v>15962</v>
      </c>
      <c r="G159" s="31">
        <v>61.693129999999996</v>
      </c>
      <c r="H159" s="32">
        <f t="shared" si="0"/>
        <v>2.2655763579542761E-3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354</v>
      </c>
      <c r="D160" s="30" t="s">
        <v>355</v>
      </c>
      <c r="E160" s="30" t="s">
        <v>92</v>
      </c>
      <c r="F160" s="31">
        <v>1363</v>
      </c>
      <c r="G160" s="31">
        <v>61.384067999999999</v>
      </c>
      <c r="H160" s="32">
        <f t="shared" si="0"/>
        <v>2.2542265762145255E-3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356</v>
      </c>
      <c r="D161" s="30" t="s">
        <v>357</v>
      </c>
      <c r="E161" s="30" t="s">
        <v>52</v>
      </c>
      <c r="F161" s="31">
        <v>14301</v>
      </c>
      <c r="G161" s="31">
        <v>61.294085999999993</v>
      </c>
      <c r="H161" s="32">
        <f t="shared" si="0"/>
        <v>2.2509221387213806E-3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358</v>
      </c>
      <c r="D162" s="30" t="s">
        <v>359</v>
      </c>
      <c r="E162" s="30" t="s">
        <v>360</v>
      </c>
      <c r="F162" s="31">
        <v>39420</v>
      </c>
      <c r="G162" s="31">
        <v>61.041870000000003</v>
      </c>
      <c r="H162" s="32">
        <f t="shared" si="0"/>
        <v>2.2416599306489785E-3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0" t="s">
        <v>362</v>
      </c>
      <c r="E163" s="30" t="s">
        <v>221</v>
      </c>
      <c r="F163" s="31">
        <v>1154</v>
      </c>
      <c r="G163" s="31">
        <v>60.059930000000001</v>
      </c>
      <c r="H163" s="32">
        <f t="shared" si="0"/>
        <v>2.2055998369411435E-3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363</v>
      </c>
      <c r="D164" s="30" t="s">
        <v>364</v>
      </c>
      <c r="E164" s="30" t="s">
        <v>13</v>
      </c>
      <c r="F164" s="31">
        <v>42697</v>
      </c>
      <c r="G164" s="31">
        <v>59.737372699999995</v>
      </c>
      <c r="H164" s="32">
        <f t="shared" si="0"/>
        <v>2.1937544630240544E-3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365</v>
      </c>
      <c r="D165" s="30" t="s">
        <v>366</v>
      </c>
      <c r="E165" s="30" t="s">
        <v>18</v>
      </c>
      <c r="F165" s="31">
        <v>19906</v>
      </c>
      <c r="G165" s="31">
        <v>59.339785999999997</v>
      </c>
      <c r="H165" s="32">
        <f t="shared" si="0"/>
        <v>2.1791537606807459E-3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367</v>
      </c>
      <c r="D166" s="30" t="s">
        <v>368</v>
      </c>
      <c r="E166" s="30" t="s">
        <v>360</v>
      </c>
      <c r="F166" s="31">
        <v>13772</v>
      </c>
      <c r="G166" s="31">
        <v>58.875300000000003</v>
      </c>
      <c r="H166" s="32">
        <f t="shared" si="0"/>
        <v>2.1620962941492094E-3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369</v>
      </c>
      <c r="D167" s="30" t="s">
        <v>370</v>
      </c>
      <c r="E167" s="30" t="s">
        <v>371</v>
      </c>
      <c r="F167" s="31">
        <v>16656</v>
      </c>
      <c r="G167" s="31">
        <v>58.729055999999993</v>
      </c>
      <c r="H167" s="32">
        <f t="shared" si="0"/>
        <v>2.1567257294057333E-3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372</v>
      </c>
      <c r="D168" s="30" t="s">
        <v>373</v>
      </c>
      <c r="E168" s="30" t="s">
        <v>89</v>
      </c>
      <c r="F168" s="31">
        <v>1443</v>
      </c>
      <c r="G168" s="31">
        <v>58.506435000000003</v>
      </c>
      <c r="H168" s="32">
        <f t="shared" si="0"/>
        <v>2.1485503478943053E-3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0" t="s">
        <v>375</v>
      </c>
      <c r="E169" s="30" t="s">
        <v>83</v>
      </c>
      <c r="F169" s="31">
        <v>1411</v>
      </c>
      <c r="G169" s="31">
        <v>58.255957000000002</v>
      </c>
      <c r="H169" s="32">
        <f t="shared" si="0"/>
        <v>2.1393519649465171E-3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0" t="s">
        <v>377</v>
      </c>
      <c r="E170" s="30" t="s">
        <v>30</v>
      </c>
      <c r="F170" s="31">
        <v>27972</v>
      </c>
      <c r="G170" s="31">
        <v>57.132809999999999</v>
      </c>
      <c r="H170" s="32">
        <f t="shared" si="0"/>
        <v>2.0981062818419757E-3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0" t="s">
        <v>379</v>
      </c>
      <c r="E171" s="30" t="s">
        <v>13</v>
      </c>
      <c r="F171" s="31">
        <v>71403</v>
      </c>
      <c r="G171" s="31">
        <v>56.601158099999999</v>
      </c>
      <c r="H171" s="32">
        <f t="shared" si="0"/>
        <v>2.0785822606859496E-3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0" t="s">
        <v>381</v>
      </c>
      <c r="E172" s="30" t="s">
        <v>360</v>
      </c>
      <c r="F172" s="31">
        <v>8612</v>
      </c>
      <c r="G172" s="31">
        <v>56.344009999999997</v>
      </c>
      <c r="H172" s="32">
        <f t="shared" si="0"/>
        <v>2.0691389295427109E-3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382</v>
      </c>
      <c r="D173" s="30" t="s">
        <v>383</v>
      </c>
      <c r="E173" s="30" t="s">
        <v>52</v>
      </c>
      <c r="F173" s="31">
        <v>10527</v>
      </c>
      <c r="G173" s="31">
        <v>56.124700499999996</v>
      </c>
      <c r="H173" s="32">
        <f t="shared" si="0"/>
        <v>2.061085157294897E-3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384</v>
      </c>
      <c r="D174" s="30" t="s">
        <v>385</v>
      </c>
      <c r="E174" s="30" t="s">
        <v>228</v>
      </c>
      <c r="F174" s="31">
        <v>12087</v>
      </c>
      <c r="G174" s="31">
        <v>56.041375500000001</v>
      </c>
      <c r="H174" s="32">
        <f t="shared" si="0"/>
        <v>2.058025186921753E-3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386</v>
      </c>
      <c r="D175" s="30" t="s">
        <v>387</v>
      </c>
      <c r="E175" s="30" t="s">
        <v>125</v>
      </c>
      <c r="F175" s="31">
        <v>12123</v>
      </c>
      <c r="G175" s="31">
        <v>55.305125999999994</v>
      </c>
      <c r="H175" s="32">
        <f t="shared" si="0"/>
        <v>2.0309876632824812E-3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388</v>
      </c>
      <c r="D176" s="30" t="s">
        <v>389</v>
      </c>
      <c r="E176" s="30" t="s">
        <v>360</v>
      </c>
      <c r="F176" s="31">
        <v>10563</v>
      </c>
      <c r="G176" s="31">
        <v>53.855455499999998</v>
      </c>
      <c r="H176" s="32">
        <f t="shared" si="0"/>
        <v>1.9777509542417216E-3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390</v>
      </c>
      <c r="D177" s="30" t="s">
        <v>391</v>
      </c>
      <c r="E177" s="30" t="s">
        <v>89</v>
      </c>
      <c r="F177" s="31">
        <v>10250</v>
      </c>
      <c r="G177" s="31">
        <v>53.694625000000002</v>
      </c>
      <c r="H177" s="32">
        <f t="shared" si="0"/>
        <v>1.9718447248376057E-3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392</v>
      </c>
      <c r="D178" s="30" t="s">
        <v>393</v>
      </c>
      <c r="E178" s="30" t="s">
        <v>137</v>
      </c>
      <c r="F178" s="31">
        <v>1478</v>
      </c>
      <c r="G178" s="31">
        <v>53.636620000000001</v>
      </c>
      <c r="H178" s="32">
        <f t="shared" si="0"/>
        <v>1.9697145888460756E-3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394</v>
      </c>
      <c r="D179" s="30" t="s">
        <v>395</v>
      </c>
      <c r="E179" s="30" t="s">
        <v>21</v>
      </c>
      <c r="F179" s="31">
        <v>1998</v>
      </c>
      <c r="G179" s="31">
        <v>53.432514000000005</v>
      </c>
      <c r="H179" s="32">
        <f t="shared" si="0"/>
        <v>1.9622191395453738E-3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396</v>
      </c>
      <c r="D180" s="30" t="s">
        <v>397</v>
      </c>
      <c r="E180" s="30" t="s">
        <v>137</v>
      </c>
      <c r="F180" s="31">
        <v>738</v>
      </c>
      <c r="G180" s="31">
        <v>53.16921</v>
      </c>
      <c r="H180" s="32">
        <f t="shared" si="0"/>
        <v>1.952549743336188E-3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398</v>
      </c>
      <c r="D181" s="30" t="s">
        <v>399</v>
      </c>
      <c r="E181" s="30" t="s">
        <v>30</v>
      </c>
      <c r="F181" s="31">
        <v>1205</v>
      </c>
      <c r="G181" s="31">
        <v>51.639069999999997</v>
      </c>
      <c r="H181" s="32">
        <f t="shared" si="0"/>
        <v>1.8963579273534334E-3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400</v>
      </c>
      <c r="D182" s="30" t="s">
        <v>401</v>
      </c>
      <c r="E182" s="30" t="s">
        <v>86</v>
      </c>
      <c r="F182" s="31">
        <v>3399</v>
      </c>
      <c r="G182" s="31">
        <v>51.437066999999999</v>
      </c>
      <c r="H182" s="32">
        <f t="shared" si="0"/>
        <v>1.8889397071879816E-3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402</v>
      </c>
      <c r="D183" s="30" t="s">
        <v>403</v>
      </c>
      <c r="E183" s="30" t="s">
        <v>18</v>
      </c>
      <c r="F183" s="31">
        <v>36582</v>
      </c>
      <c r="G183" s="31">
        <v>51.302596799999996</v>
      </c>
      <c r="H183" s="32">
        <f t="shared" si="0"/>
        <v>1.8840015154319564E-3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404</v>
      </c>
      <c r="D184" s="30" t="s">
        <v>405</v>
      </c>
      <c r="E184" s="30" t="s">
        <v>107</v>
      </c>
      <c r="F184" s="31">
        <v>9967</v>
      </c>
      <c r="G184" s="31">
        <v>49.894801999999999</v>
      </c>
      <c r="H184" s="32">
        <f t="shared" si="0"/>
        <v>1.8323026209889129E-3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406</v>
      </c>
      <c r="D185" s="30" t="s">
        <v>407</v>
      </c>
      <c r="E185" s="30" t="s">
        <v>74</v>
      </c>
      <c r="F185" s="31">
        <v>183</v>
      </c>
      <c r="G185" s="31">
        <v>49.144649999999999</v>
      </c>
      <c r="H185" s="32">
        <f t="shared" si="0"/>
        <v>1.8047545514376984E-3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408</v>
      </c>
      <c r="D186" s="30" t="s">
        <v>409</v>
      </c>
      <c r="E186" s="30" t="s">
        <v>27</v>
      </c>
      <c r="F186" s="31">
        <v>19875</v>
      </c>
      <c r="G186" s="31">
        <v>48.783187499999997</v>
      </c>
      <c r="H186" s="32">
        <f t="shared" si="0"/>
        <v>1.7914804495354761E-3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410</v>
      </c>
      <c r="D187" s="30" t="s">
        <v>411</v>
      </c>
      <c r="E187" s="30" t="s">
        <v>13</v>
      </c>
      <c r="F187" s="31">
        <v>18160</v>
      </c>
      <c r="G187" s="31">
        <v>48.759599999999999</v>
      </c>
      <c r="H187" s="32">
        <f t="shared" si="0"/>
        <v>1.7906142383002342E-3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412</v>
      </c>
      <c r="D188" s="30" t="s">
        <v>413</v>
      </c>
      <c r="E188" s="30" t="s">
        <v>146</v>
      </c>
      <c r="F188" s="31">
        <v>2788</v>
      </c>
      <c r="G188" s="31">
        <v>48.739815999999998</v>
      </c>
      <c r="H188" s="32">
        <f t="shared" si="0"/>
        <v>1.7898877042004766E-3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414</v>
      </c>
      <c r="D189" s="30" t="s">
        <v>415</v>
      </c>
      <c r="E189" s="30" t="s">
        <v>86</v>
      </c>
      <c r="F189" s="31">
        <v>3279</v>
      </c>
      <c r="G189" s="31">
        <v>48.378366</v>
      </c>
      <c r="H189" s="32">
        <f t="shared" si="0"/>
        <v>1.7766140613397145E-3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416</v>
      </c>
      <c r="D190" s="30" t="s">
        <v>417</v>
      </c>
      <c r="E190" s="30" t="s">
        <v>21</v>
      </c>
      <c r="F190" s="31">
        <v>5449</v>
      </c>
      <c r="G190" s="31">
        <v>47.923954999999999</v>
      </c>
      <c r="H190" s="32">
        <f t="shared" si="0"/>
        <v>1.7599265822250325E-3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418</v>
      </c>
      <c r="D191" s="30" t="s">
        <v>419</v>
      </c>
      <c r="E191" s="30" t="s">
        <v>107</v>
      </c>
      <c r="F191" s="31">
        <v>13492</v>
      </c>
      <c r="G191" s="31">
        <v>47.903345999999999</v>
      </c>
      <c r="H191" s="32">
        <f t="shared" si="0"/>
        <v>1.7591697513889074E-3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420</v>
      </c>
      <c r="D192" s="30" t="s">
        <v>421</v>
      </c>
      <c r="E192" s="30" t="s">
        <v>107</v>
      </c>
      <c r="F192" s="31">
        <v>3044</v>
      </c>
      <c r="G192" s="31">
        <v>46.387515999999998</v>
      </c>
      <c r="H192" s="32">
        <f t="shared" si="0"/>
        <v>1.7035034460696954E-3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422</v>
      </c>
      <c r="D193" s="30" t="s">
        <v>423</v>
      </c>
      <c r="E193" s="30" t="s">
        <v>74</v>
      </c>
      <c r="F193" s="31">
        <v>1023</v>
      </c>
      <c r="G193" s="31">
        <v>45.122484000000007</v>
      </c>
      <c r="H193" s="32">
        <f t="shared" si="0"/>
        <v>1.657047275159651E-3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424</v>
      </c>
      <c r="D194" s="30" t="s">
        <v>425</v>
      </c>
      <c r="E194" s="30" t="s">
        <v>137</v>
      </c>
      <c r="F194" s="31">
        <v>3040</v>
      </c>
      <c r="G194" s="31">
        <v>45.077120000000001</v>
      </c>
      <c r="H194" s="32">
        <f t="shared" si="0"/>
        <v>1.6553813586159085E-3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426</v>
      </c>
      <c r="D195" s="30" t="s">
        <v>427</v>
      </c>
      <c r="E195" s="30" t="s">
        <v>83</v>
      </c>
      <c r="F195" s="31">
        <v>11350</v>
      </c>
      <c r="G195" s="31">
        <v>44.775750000000002</v>
      </c>
      <c r="H195" s="32">
        <f t="shared" si="0"/>
        <v>1.6443140526290559E-3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428</v>
      </c>
      <c r="D196" s="30" t="s">
        <v>429</v>
      </c>
      <c r="E196" s="30" t="s">
        <v>52</v>
      </c>
      <c r="F196" s="31">
        <v>9270</v>
      </c>
      <c r="G196" s="31">
        <v>44.380125</v>
      </c>
      <c r="H196" s="32">
        <f t="shared" si="0"/>
        <v>1.629785390416332E-3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430</v>
      </c>
      <c r="D197" s="30" t="s">
        <v>431</v>
      </c>
      <c r="E197" s="30" t="s">
        <v>30</v>
      </c>
      <c r="F197" s="31">
        <v>5747</v>
      </c>
      <c r="G197" s="31">
        <v>44.363966500000004</v>
      </c>
      <c r="H197" s="32">
        <f t="shared" si="0"/>
        <v>1.6291919967016673E-3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432</v>
      </c>
      <c r="D198" s="30" t="s">
        <v>433</v>
      </c>
      <c r="E198" s="30" t="s">
        <v>52</v>
      </c>
      <c r="F198" s="31">
        <v>424</v>
      </c>
      <c r="G198" s="31">
        <v>43.930639999999997</v>
      </c>
      <c r="H198" s="32">
        <f t="shared" si="0"/>
        <v>1.613278810360253E-3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434</v>
      </c>
      <c r="D199" s="30" t="s">
        <v>435</v>
      </c>
      <c r="E199" s="30" t="s">
        <v>104</v>
      </c>
      <c r="F199" s="31">
        <v>3632</v>
      </c>
      <c r="G199" s="31">
        <v>43.845504000000005</v>
      </c>
      <c r="H199" s="32">
        <f t="shared" si="0"/>
        <v>1.6101523340603672E-3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436</v>
      </c>
      <c r="D200" s="30" t="s">
        <v>437</v>
      </c>
      <c r="E200" s="30" t="s">
        <v>438</v>
      </c>
      <c r="F200" s="31">
        <v>2962</v>
      </c>
      <c r="G200" s="31">
        <v>43.464388</v>
      </c>
      <c r="H200" s="32">
        <f t="shared" si="0"/>
        <v>1.5961564904512309E-3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439</v>
      </c>
      <c r="D201" s="30" t="s">
        <v>440</v>
      </c>
      <c r="E201" s="30" t="s">
        <v>137</v>
      </c>
      <c r="F201" s="31">
        <v>238</v>
      </c>
      <c r="G201" s="31">
        <v>43.427860000000003</v>
      </c>
      <c r="H201" s="32">
        <f t="shared" si="0"/>
        <v>1.5948150611348167E-3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441</v>
      </c>
      <c r="D202" s="30" t="s">
        <v>442</v>
      </c>
      <c r="E202" s="30" t="s">
        <v>307</v>
      </c>
      <c r="F202" s="31">
        <v>26388</v>
      </c>
      <c r="G202" s="31">
        <v>43.410898799999998</v>
      </c>
      <c r="H202" s="32">
        <f t="shared" si="0"/>
        <v>1.5941921896137489E-3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443</v>
      </c>
      <c r="D203" s="30" t="s">
        <v>444</v>
      </c>
      <c r="E203" s="30" t="s">
        <v>49</v>
      </c>
      <c r="F203" s="31">
        <v>4088</v>
      </c>
      <c r="G203" s="31">
        <v>43.37368</v>
      </c>
      <c r="H203" s="32">
        <f t="shared" si="0"/>
        <v>1.5928253918300827E-3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445</v>
      </c>
      <c r="D204" s="30" t="s">
        <v>446</v>
      </c>
      <c r="E204" s="30" t="s">
        <v>21</v>
      </c>
      <c r="F204" s="31">
        <v>1223</v>
      </c>
      <c r="G204" s="31">
        <v>43.275855</v>
      </c>
      <c r="H204" s="32">
        <f t="shared" si="0"/>
        <v>1.5892329333632019E-3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447</v>
      </c>
      <c r="D205" s="30" t="s">
        <v>448</v>
      </c>
      <c r="E205" s="30" t="s">
        <v>74</v>
      </c>
      <c r="F205" s="31">
        <v>1475</v>
      </c>
      <c r="G205" s="31">
        <v>43.201275000000003</v>
      </c>
      <c r="H205" s="32">
        <f t="shared" si="0"/>
        <v>1.5864941083955561E-3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449</v>
      </c>
      <c r="D206" s="30" t="s">
        <v>450</v>
      </c>
      <c r="E206" s="30" t="s">
        <v>13</v>
      </c>
      <c r="F206" s="31">
        <v>32983</v>
      </c>
      <c r="G206" s="31">
        <v>43.141764000000002</v>
      </c>
      <c r="H206" s="32">
        <f t="shared" si="0"/>
        <v>1.584308667088911E-3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451</v>
      </c>
      <c r="D207" s="30" t="s">
        <v>452</v>
      </c>
      <c r="E207" s="30" t="s">
        <v>52</v>
      </c>
      <c r="F207" s="31">
        <v>6354</v>
      </c>
      <c r="G207" s="31">
        <v>42.308109000000002</v>
      </c>
      <c r="H207" s="32">
        <f t="shared" si="0"/>
        <v>1.5536940904141601E-3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453</v>
      </c>
      <c r="D208" s="30" t="s">
        <v>454</v>
      </c>
      <c r="E208" s="30" t="s">
        <v>122</v>
      </c>
      <c r="F208" s="31">
        <v>10822</v>
      </c>
      <c r="G208" s="31">
        <v>41.258875000000003</v>
      </c>
      <c r="H208" s="32">
        <f t="shared" si="0"/>
        <v>1.5151627378249531E-3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455</v>
      </c>
      <c r="D209" s="30" t="s">
        <v>456</v>
      </c>
      <c r="E209" s="30" t="s">
        <v>52</v>
      </c>
      <c r="F209" s="31">
        <v>12219</v>
      </c>
      <c r="G209" s="31">
        <v>41.257453500000004</v>
      </c>
      <c r="H209" s="32">
        <f t="shared" si="0"/>
        <v>1.5151105356301085E-3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457</v>
      </c>
      <c r="D210" s="30" t="s">
        <v>458</v>
      </c>
      <c r="E210" s="30" t="s">
        <v>236</v>
      </c>
      <c r="F210" s="31">
        <v>3934</v>
      </c>
      <c r="G210" s="31">
        <v>40.492662000000003</v>
      </c>
      <c r="H210" s="32">
        <f t="shared" si="0"/>
        <v>1.4870248550824625E-3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459</v>
      </c>
      <c r="D211" s="30" t="s">
        <v>460</v>
      </c>
      <c r="E211" s="30" t="s">
        <v>86</v>
      </c>
      <c r="F211" s="31">
        <v>11450</v>
      </c>
      <c r="G211" s="31">
        <v>39.794474999999998</v>
      </c>
      <c r="H211" s="32">
        <f t="shared" si="0"/>
        <v>1.4613851126892491E-3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461</v>
      </c>
      <c r="D212" s="30" t="s">
        <v>462</v>
      </c>
      <c r="E212" s="30" t="s">
        <v>21</v>
      </c>
      <c r="F212" s="31">
        <v>21376</v>
      </c>
      <c r="G212" s="31">
        <v>39.522086399999999</v>
      </c>
      <c r="H212" s="32">
        <f t="shared" si="0"/>
        <v>1.4513820998361766E-3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463</v>
      </c>
      <c r="D213" s="30" t="s">
        <v>464</v>
      </c>
      <c r="E213" s="30" t="s">
        <v>24</v>
      </c>
      <c r="F213" s="31">
        <v>2635</v>
      </c>
      <c r="G213" s="31">
        <v>39.406424999999999</v>
      </c>
      <c r="H213" s="32">
        <f t="shared" si="0"/>
        <v>1.4471346296013566E-3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465</v>
      </c>
      <c r="D214" s="30" t="s">
        <v>466</v>
      </c>
      <c r="E214" s="30" t="s">
        <v>130</v>
      </c>
      <c r="F214" s="31">
        <v>3225</v>
      </c>
      <c r="G214" s="31">
        <v>38.848350000000003</v>
      </c>
      <c r="H214" s="32">
        <f t="shared" si="0"/>
        <v>1.4266402645729437E-3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467</v>
      </c>
      <c r="D215" s="30" t="s">
        <v>468</v>
      </c>
      <c r="E215" s="30" t="s">
        <v>261</v>
      </c>
      <c r="F215" s="31">
        <v>3900</v>
      </c>
      <c r="G215" s="31">
        <v>37.6935</v>
      </c>
      <c r="H215" s="32">
        <f t="shared" si="0"/>
        <v>1.3842303421555935E-3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469</v>
      </c>
      <c r="D216" s="30" t="s">
        <v>470</v>
      </c>
      <c r="E216" s="30" t="s">
        <v>125</v>
      </c>
      <c r="F216" s="31">
        <v>19505</v>
      </c>
      <c r="G216" s="31">
        <v>37.508114999999997</v>
      </c>
      <c r="H216" s="32">
        <f t="shared" si="0"/>
        <v>1.3774223900688805E-3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471</v>
      </c>
      <c r="D217" s="30" t="s">
        <v>472</v>
      </c>
      <c r="E217" s="30" t="s">
        <v>49</v>
      </c>
      <c r="F217" s="31">
        <v>513</v>
      </c>
      <c r="G217" s="31">
        <v>37.207889999999999</v>
      </c>
      <c r="H217" s="32">
        <f t="shared" si="0"/>
        <v>1.3663971322797747E-3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473</v>
      </c>
      <c r="D218" s="30" t="s">
        <v>474</v>
      </c>
      <c r="E218" s="30" t="s">
        <v>52</v>
      </c>
      <c r="F218" s="31">
        <v>27902</v>
      </c>
      <c r="G218" s="31">
        <v>37.179414999999999</v>
      </c>
      <c r="H218" s="32">
        <f t="shared" si="0"/>
        <v>1.3653514358336267E-3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475</v>
      </c>
      <c r="D219" s="30" t="s">
        <v>476</v>
      </c>
      <c r="E219" s="30" t="s">
        <v>181</v>
      </c>
      <c r="F219" s="31">
        <v>6289</v>
      </c>
      <c r="G219" s="31">
        <v>37.142834000000001</v>
      </c>
      <c r="H219" s="32">
        <f t="shared" si="0"/>
        <v>1.3640080601814216E-3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477</v>
      </c>
      <c r="D220" s="30" t="s">
        <v>478</v>
      </c>
      <c r="E220" s="30" t="s">
        <v>30</v>
      </c>
      <c r="F220" s="31">
        <v>909</v>
      </c>
      <c r="G220" s="31">
        <v>36.919944000000001</v>
      </c>
      <c r="H220" s="32">
        <f t="shared" si="0"/>
        <v>1.3558228000977715E-3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479</v>
      </c>
      <c r="D221" s="30" t="s">
        <v>480</v>
      </c>
      <c r="E221" s="30" t="s">
        <v>231</v>
      </c>
      <c r="F221" s="31">
        <v>2892</v>
      </c>
      <c r="G221" s="31">
        <v>36.728400000000001</v>
      </c>
      <c r="H221" s="32">
        <f t="shared" si="0"/>
        <v>1.3487886691028294E-3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481</v>
      </c>
      <c r="D222" s="30" t="s">
        <v>482</v>
      </c>
      <c r="E222" s="30" t="s">
        <v>52</v>
      </c>
      <c r="F222" s="31">
        <v>17615</v>
      </c>
      <c r="G222" s="31">
        <v>35.8482865</v>
      </c>
      <c r="H222" s="32">
        <f t="shared" si="0"/>
        <v>1.3164679822140885E-3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483</v>
      </c>
      <c r="D223" s="30" t="s">
        <v>484</v>
      </c>
      <c r="E223" s="30" t="s">
        <v>13</v>
      </c>
      <c r="F223" s="31">
        <v>33733</v>
      </c>
      <c r="G223" s="31">
        <v>35.773846499999998</v>
      </c>
      <c r="H223" s="32">
        <f t="shared" si="0"/>
        <v>1.3137342985107957E-3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485</v>
      </c>
      <c r="D224" s="30" t="s">
        <v>486</v>
      </c>
      <c r="E224" s="30" t="s">
        <v>99</v>
      </c>
      <c r="F224" s="31">
        <v>2964</v>
      </c>
      <c r="G224" s="31">
        <v>35.241959999999999</v>
      </c>
      <c r="H224" s="32">
        <f t="shared" si="0"/>
        <v>1.2942016620646462E-3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487</v>
      </c>
      <c r="D225" s="30" t="s">
        <v>488</v>
      </c>
      <c r="E225" s="30" t="s">
        <v>52</v>
      </c>
      <c r="F225" s="31">
        <v>1052</v>
      </c>
      <c r="G225" s="31">
        <v>35.167307999999998</v>
      </c>
      <c r="H225" s="32">
        <f t="shared" si="0"/>
        <v>1.2914601930181899E-3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489</v>
      </c>
      <c r="D226" s="30" t="s">
        <v>490</v>
      </c>
      <c r="E226" s="30" t="s">
        <v>86</v>
      </c>
      <c r="F226" s="31">
        <v>32605</v>
      </c>
      <c r="G226" s="31">
        <v>33.752696</v>
      </c>
      <c r="H226" s="32">
        <f t="shared" si="0"/>
        <v>1.2395109483797932E-3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491</v>
      </c>
      <c r="D227" s="30" t="s">
        <v>492</v>
      </c>
      <c r="E227" s="30" t="s">
        <v>83</v>
      </c>
      <c r="F227" s="31">
        <v>1238</v>
      </c>
      <c r="G227" s="31">
        <v>33.705787999999998</v>
      </c>
      <c r="H227" s="32">
        <f t="shared" si="0"/>
        <v>1.2377883310348971E-3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493</v>
      </c>
      <c r="D228" s="30" t="s">
        <v>494</v>
      </c>
      <c r="E228" s="30" t="s">
        <v>52</v>
      </c>
      <c r="F228" s="31">
        <v>852</v>
      </c>
      <c r="G228" s="31">
        <v>33.640367999999995</v>
      </c>
      <c r="H228" s="32">
        <f t="shared" si="0"/>
        <v>1.2353858916492252E-3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495</v>
      </c>
      <c r="D229" s="30" t="s">
        <v>496</v>
      </c>
      <c r="E229" s="30" t="s">
        <v>49</v>
      </c>
      <c r="F229" s="31">
        <v>868</v>
      </c>
      <c r="G229" s="31">
        <v>33.609828</v>
      </c>
      <c r="H229" s="32">
        <f t="shared" si="0"/>
        <v>1.2342643615538659E-3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497</v>
      </c>
      <c r="D230" s="30" t="s">
        <v>498</v>
      </c>
      <c r="E230" s="30" t="s">
        <v>231</v>
      </c>
      <c r="F230" s="31">
        <v>2535</v>
      </c>
      <c r="G230" s="31">
        <v>33.462000000000003</v>
      </c>
      <c r="H230" s="32">
        <f t="shared" si="0"/>
        <v>1.2288356270765642E-3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499</v>
      </c>
      <c r="D231" s="30" t="s">
        <v>500</v>
      </c>
      <c r="E231" s="30" t="s">
        <v>49</v>
      </c>
      <c r="F231" s="31">
        <v>867</v>
      </c>
      <c r="G231" s="31">
        <v>33.327480000000001</v>
      </c>
      <c r="H231" s="32">
        <f t="shared" si="0"/>
        <v>1.223895606499362E-3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501</v>
      </c>
      <c r="D232" s="30" t="s">
        <v>502</v>
      </c>
      <c r="E232" s="30" t="s">
        <v>119</v>
      </c>
      <c r="F232" s="31">
        <v>1163</v>
      </c>
      <c r="G232" s="31">
        <v>33.259473999999997</v>
      </c>
      <c r="H232" s="32">
        <f t="shared" si="0"/>
        <v>1.2213982006164209E-3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503</v>
      </c>
      <c r="D233" s="30" t="s">
        <v>504</v>
      </c>
      <c r="E233" s="30" t="s">
        <v>505</v>
      </c>
      <c r="F233" s="31">
        <v>966</v>
      </c>
      <c r="G233" s="31">
        <v>33.156984000000001</v>
      </c>
      <c r="H233" s="32">
        <f t="shared" si="0"/>
        <v>1.2176344278766243E-3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506</v>
      </c>
      <c r="D234" s="30" t="s">
        <v>507</v>
      </c>
      <c r="E234" s="30" t="s">
        <v>146</v>
      </c>
      <c r="F234" s="31">
        <v>131</v>
      </c>
      <c r="G234" s="31">
        <v>33.110250000000001</v>
      </c>
      <c r="H234" s="32">
        <f t="shared" si="0"/>
        <v>1.2159182003888532E-3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508</v>
      </c>
      <c r="D235" s="30" t="s">
        <v>509</v>
      </c>
      <c r="E235" s="30" t="s">
        <v>52</v>
      </c>
      <c r="F235" s="31">
        <v>38855</v>
      </c>
      <c r="G235" s="31">
        <v>32.984009499999999</v>
      </c>
      <c r="H235" s="32">
        <f t="shared" si="0"/>
        <v>1.2112822305131745E-3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510</v>
      </c>
      <c r="D236" s="30" t="s">
        <v>511</v>
      </c>
      <c r="E236" s="30" t="s">
        <v>512</v>
      </c>
      <c r="F236" s="31">
        <v>1430</v>
      </c>
      <c r="G236" s="31">
        <v>32.644039999999997</v>
      </c>
      <c r="H236" s="32">
        <f t="shared" si="0"/>
        <v>1.198797422859137E-3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513</v>
      </c>
      <c r="D237" s="30" t="s">
        <v>514</v>
      </c>
      <c r="E237" s="30" t="s">
        <v>515</v>
      </c>
      <c r="F237" s="31">
        <v>99</v>
      </c>
      <c r="G237" s="31">
        <v>32.481900000000003</v>
      </c>
      <c r="H237" s="32">
        <f t="shared" si="0"/>
        <v>1.1928431042716589E-3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516</v>
      </c>
      <c r="D238" s="30" t="s">
        <v>517</v>
      </c>
      <c r="E238" s="30" t="s">
        <v>74</v>
      </c>
      <c r="F238" s="31">
        <v>1451</v>
      </c>
      <c r="G238" s="31">
        <v>32.070002000000002</v>
      </c>
      <c r="H238" s="32">
        <f t="shared" si="0"/>
        <v>1.1777168435244956E-3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518</v>
      </c>
      <c r="D239" s="30" t="s">
        <v>519</v>
      </c>
      <c r="E239" s="30" t="s">
        <v>13</v>
      </c>
      <c r="F239" s="31">
        <v>18954</v>
      </c>
      <c r="G239" s="31">
        <v>31.819975200000002</v>
      </c>
      <c r="H239" s="32">
        <f t="shared" si="0"/>
        <v>1.1685350301372519E-3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520</v>
      </c>
      <c r="D240" s="30" t="s">
        <v>521</v>
      </c>
      <c r="E240" s="30" t="s">
        <v>52</v>
      </c>
      <c r="F240" s="31">
        <v>4578</v>
      </c>
      <c r="G240" s="31">
        <v>31.595067</v>
      </c>
      <c r="H240" s="32">
        <f t="shared" si="0"/>
        <v>1.1602756550556171E-3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0" t="s">
        <v>523</v>
      </c>
      <c r="E241" s="30" t="s">
        <v>151</v>
      </c>
      <c r="F241" s="31">
        <v>11403</v>
      </c>
      <c r="G241" s="31">
        <v>31.392458999999999</v>
      </c>
      <c r="H241" s="32">
        <f t="shared" si="0"/>
        <v>1.1528352172834955E-3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0" t="s">
        <v>525</v>
      </c>
      <c r="E242" s="30" t="s">
        <v>83</v>
      </c>
      <c r="F242" s="31">
        <v>85</v>
      </c>
      <c r="G242" s="31">
        <v>31.131250000000001</v>
      </c>
      <c r="H242" s="32">
        <f t="shared" si="0"/>
        <v>1.1432427564230258E-3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0" t="s">
        <v>527</v>
      </c>
      <c r="E243" s="30" t="s">
        <v>146</v>
      </c>
      <c r="F243" s="31">
        <v>2105</v>
      </c>
      <c r="G243" s="31">
        <v>29.455265000000001</v>
      </c>
      <c r="H243" s="32">
        <f t="shared" si="0"/>
        <v>1.0816950283002024E-3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0" t="s">
        <v>529</v>
      </c>
      <c r="E244" s="30" t="s">
        <v>438</v>
      </c>
      <c r="F244" s="31">
        <v>77</v>
      </c>
      <c r="G244" s="31">
        <v>27.3504</v>
      </c>
      <c r="H244" s="32">
        <f t="shared" si="0"/>
        <v>1.0043974040641582E-3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0" t="s">
        <v>531</v>
      </c>
      <c r="E245" s="30" t="s">
        <v>116</v>
      </c>
      <c r="F245" s="31">
        <v>4254</v>
      </c>
      <c r="G245" s="31">
        <v>26.925692999999999</v>
      </c>
      <c r="H245" s="32">
        <f t="shared" si="0"/>
        <v>9.8880075435198297E-4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0" t="s">
        <v>533</v>
      </c>
      <c r="E246" s="30" t="s">
        <v>42</v>
      </c>
      <c r="F246" s="31">
        <v>1396</v>
      </c>
      <c r="G246" s="31">
        <v>26.85904</v>
      </c>
      <c r="H246" s="32">
        <f t="shared" si="0"/>
        <v>9.8635303511668509E-4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0" t="s">
        <v>535</v>
      </c>
      <c r="E247" s="30" t="s">
        <v>146</v>
      </c>
      <c r="F247" s="31">
        <v>5985</v>
      </c>
      <c r="G247" s="31">
        <v>26.803822499999999</v>
      </c>
      <c r="H247" s="32">
        <f t="shared" si="0"/>
        <v>9.8432526537076148E-4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0" t="s">
        <v>537</v>
      </c>
      <c r="E248" s="30" t="s">
        <v>30</v>
      </c>
      <c r="F248" s="31">
        <v>5207</v>
      </c>
      <c r="G248" s="31">
        <v>26.451560000000001</v>
      </c>
      <c r="H248" s="32">
        <f t="shared" si="0"/>
        <v>9.7138901798318571E-4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0" t="s">
        <v>539</v>
      </c>
      <c r="E249" s="30" t="s">
        <v>74</v>
      </c>
      <c r="F249" s="31">
        <v>2443</v>
      </c>
      <c r="G249" s="31">
        <v>26.328211</v>
      </c>
      <c r="H249" s="32">
        <f t="shared" si="0"/>
        <v>9.6685923357806144E-4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0" t="s">
        <v>541</v>
      </c>
      <c r="E250" s="30" t="s">
        <v>181</v>
      </c>
      <c r="F250" s="31">
        <v>2763</v>
      </c>
      <c r="G250" s="31">
        <v>25.919702999999998</v>
      </c>
      <c r="H250" s="32">
        <f t="shared" si="0"/>
        <v>9.5185746487488193E-4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0" t="s">
        <v>543</v>
      </c>
      <c r="E251" s="30" t="s">
        <v>52</v>
      </c>
      <c r="F251" s="31">
        <v>19702</v>
      </c>
      <c r="G251" s="31">
        <v>19.211420199999999</v>
      </c>
      <c r="H251" s="32">
        <f t="shared" si="0"/>
        <v>7.0550707036334858E-4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0" t="s">
        <v>545</v>
      </c>
      <c r="E252" s="30" t="s">
        <v>86</v>
      </c>
      <c r="F252" s="31">
        <v>25062</v>
      </c>
      <c r="G252" s="31">
        <v>18.836599199999998</v>
      </c>
      <c r="H252" s="32">
        <f t="shared" si="0"/>
        <v>6.9174240003352775E-4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0" t="s">
        <v>547</v>
      </c>
      <c r="E253" s="30" t="s">
        <v>438</v>
      </c>
      <c r="F253" s="31">
        <v>744</v>
      </c>
      <c r="G253" s="31">
        <v>18.27636</v>
      </c>
      <c r="H253" s="32">
        <f t="shared" si="0"/>
        <v>6.711685584028759E-4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0" t="s">
        <v>549</v>
      </c>
      <c r="E254" s="30" t="s">
        <v>515</v>
      </c>
      <c r="F254" s="31">
        <v>1512</v>
      </c>
      <c r="G254" s="31">
        <v>16.742376</v>
      </c>
      <c r="H254" s="32">
        <f t="shared" si="0"/>
        <v>6.1483557799030589E-4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0" t="s">
        <v>551</v>
      </c>
      <c r="E255" s="30" t="s">
        <v>74</v>
      </c>
      <c r="F255" s="31">
        <v>2178</v>
      </c>
      <c r="G255" s="31">
        <v>16.551711000000001</v>
      </c>
      <c r="H255" s="32">
        <f t="shared" si="0"/>
        <v>6.0783372679083932E-4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0" t="s">
        <v>553</v>
      </c>
      <c r="E256" s="30" t="s">
        <v>122</v>
      </c>
      <c r="F256" s="31">
        <v>8460</v>
      </c>
      <c r="G256" s="31">
        <v>13.317731999999999</v>
      </c>
      <c r="H256" s="32">
        <f t="shared" si="0"/>
        <v>4.8907129141885193E-4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0" t="s">
        <v>555</v>
      </c>
      <c r="E257" s="30" t="s">
        <v>52</v>
      </c>
      <c r="F257" s="31">
        <v>4247</v>
      </c>
      <c r="G257" s="31">
        <v>12.991573000000001</v>
      </c>
      <c r="H257" s="32">
        <f t="shared" si="0"/>
        <v>4.7709365113161081E-4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0" t="s">
        <v>556</v>
      </c>
      <c r="D258" s="30" t="s">
        <v>557</v>
      </c>
      <c r="E258" s="33" t="s">
        <v>558</v>
      </c>
      <c r="F258" s="31">
        <v>16416</v>
      </c>
      <c r="G258" s="31">
        <v>19.867463999999998</v>
      </c>
      <c r="H258" s="32">
        <f t="shared" si="0"/>
        <v>7.295991746715995E-4</v>
      </c>
      <c r="I258" s="2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0" t="s">
        <v>559</v>
      </c>
      <c r="D259" s="30" t="s">
        <v>560</v>
      </c>
      <c r="E259" s="33" t="s">
        <v>561</v>
      </c>
      <c r="F259" s="31">
        <v>16416</v>
      </c>
      <c r="G259" s="31">
        <v>19.867463999999998</v>
      </c>
      <c r="H259" s="32">
        <f t="shared" si="0"/>
        <v>7.295991746715995E-4</v>
      </c>
      <c r="I259" s="2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30" t="s">
        <v>562</v>
      </c>
      <c r="D260" s="30" t="s">
        <v>563</v>
      </c>
      <c r="E260" s="33" t="s">
        <v>564</v>
      </c>
      <c r="F260" s="31">
        <v>16416</v>
      </c>
      <c r="G260" s="31">
        <v>19.867463999999998</v>
      </c>
      <c r="H260" s="32">
        <f t="shared" si="0"/>
        <v>7.295991746715995E-4</v>
      </c>
      <c r="I260" s="2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30" t="s">
        <v>565</v>
      </c>
      <c r="D261" s="30" t="s">
        <v>566</v>
      </c>
      <c r="E261" s="33" t="s">
        <v>558</v>
      </c>
      <c r="F261" s="31">
        <v>16416</v>
      </c>
      <c r="G261" s="31">
        <v>19.867463999999998</v>
      </c>
      <c r="H261" s="32">
        <f t="shared" si="0"/>
        <v>7.295991746715995E-4</v>
      </c>
      <c r="I261" s="2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34"/>
      <c r="C262" s="35" t="s">
        <v>567</v>
      </c>
      <c r="D262" s="23"/>
      <c r="E262" s="24"/>
      <c r="F262" s="25"/>
      <c r="G262" s="36">
        <f t="shared" ref="G262:H262" si="1">SUM(G8:G261)</f>
        <v>27197.690300000013</v>
      </c>
      <c r="H262" s="37">
        <f t="shared" si="1"/>
        <v>0.99878939737118766</v>
      </c>
      <c r="I262" s="28"/>
      <c r="J262" s="2"/>
      <c r="K262" s="38"/>
      <c r="L262" s="3"/>
      <c r="M262" s="1"/>
      <c r="N262" s="38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39"/>
      <c r="D263" s="23"/>
      <c r="E263" s="24"/>
      <c r="F263" s="25"/>
      <c r="G263" s="26"/>
      <c r="H263" s="27"/>
      <c r="I263" s="28"/>
      <c r="J263" s="2"/>
      <c r="K263" s="38"/>
      <c r="L263" s="3"/>
      <c r="M263" s="1"/>
      <c r="N263" s="38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568</v>
      </c>
      <c r="D264" s="23"/>
      <c r="E264" s="24"/>
      <c r="F264" s="25"/>
      <c r="G264" s="26" t="s">
        <v>569</v>
      </c>
      <c r="H264" s="27" t="s">
        <v>569</v>
      </c>
      <c r="I264" s="28"/>
      <c r="J264" s="2"/>
      <c r="K264" s="38"/>
      <c r="L264" s="3"/>
      <c r="M264" s="1"/>
      <c r="N264" s="38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39"/>
      <c r="D265" s="23"/>
      <c r="E265" s="24"/>
      <c r="F265" s="25"/>
      <c r="G265" s="26"/>
      <c r="H265" s="27"/>
      <c r="I265" s="28"/>
      <c r="J265" s="2"/>
      <c r="K265" s="38"/>
      <c r="L265" s="3"/>
      <c r="M265" s="1"/>
      <c r="N265" s="38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570</v>
      </c>
      <c r="D266" s="23"/>
      <c r="E266" s="24"/>
      <c r="F266" s="25"/>
      <c r="G266" s="26" t="s">
        <v>569</v>
      </c>
      <c r="H266" s="27" t="s">
        <v>569</v>
      </c>
      <c r="I266" s="28"/>
      <c r="J266" s="2"/>
      <c r="K266" s="38"/>
      <c r="L266" s="3"/>
      <c r="M266" s="1"/>
      <c r="N266" s="38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39"/>
      <c r="D267" s="23"/>
      <c r="E267" s="24"/>
      <c r="F267" s="25"/>
      <c r="G267" s="26"/>
      <c r="H267" s="27"/>
      <c r="I267" s="28"/>
      <c r="J267" s="2"/>
      <c r="K267" s="38"/>
      <c r="L267" s="3"/>
      <c r="M267" s="1"/>
      <c r="N267" s="38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2" t="s">
        <v>571</v>
      </c>
      <c r="D268" s="23"/>
      <c r="E268" s="24"/>
      <c r="F268" s="25"/>
      <c r="G268" s="26"/>
      <c r="H268" s="27"/>
      <c r="I268" s="28"/>
      <c r="J268" s="2"/>
      <c r="K268" s="38"/>
      <c r="L268" s="3"/>
      <c r="M268" s="1"/>
      <c r="N268" s="38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39"/>
      <c r="D269" s="23"/>
      <c r="E269" s="24"/>
      <c r="F269" s="25"/>
      <c r="G269" s="26"/>
      <c r="H269" s="27"/>
      <c r="I269" s="28"/>
      <c r="J269" s="2"/>
      <c r="K269" s="38"/>
      <c r="L269" s="3"/>
      <c r="M269" s="1"/>
      <c r="N269" s="38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2" t="s">
        <v>572</v>
      </c>
      <c r="D270" s="23"/>
      <c r="E270" s="24"/>
      <c r="F270" s="25"/>
      <c r="G270" s="26" t="s">
        <v>569</v>
      </c>
      <c r="H270" s="27" t="s">
        <v>569</v>
      </c>
      <c r="I270" s="28"/>
      <c r="J270" s="2"/>
      <c r="K270" s="38"/>
      <c r="L270" s="3"/>
      <c r="M270" s="1"/>
      <c r="N270" s="38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39"/>
      <c r="D271" s="23"/>
      <c r="E271" s="24"/>
      <c r="F271" s="25"/>
      <c r="G271" s="26"/>
      <c r="H271" s="27"/>
      <c r="I271" s="28"/>
      <c r="J271" s="2"/>
      <c r="K271" s="38"/>
      <c r="L271" s="3"/>
      <c r="M271" s="1"/>
      <c r="N271" s="38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573</v>
      </c>
      <c r="D272" s="23"/>
      <c r="E272" s="24"/>
      <c r="F272" s="25"/>
      <c r="G272" s="26" t="s">
        <v>569</v>
      </c>
      <c r="H272" s="27" t="s">
        <v>569</v>
      </c>
      <c r="I272" s="28"/>
      <c r="J272" s="2"/>
      <c r="K272" s="38"/>
      <c r="L272" s="3"/>
      <c r="M272" s="1"/>
      <c r="N272" s="38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39"/>
      <c r="D273" s="23"/>
      <c r="E273" s="24"/>
      <c r="F273" s="25"/>
      <c r="G273" s="26"/>
      <c r="H273" s="27"/>
      <c r="I273" s="28"/>
      <c r="J273" s="2"/>
      <c r="K273" s="38"/>
      <c r="L273" s="3"/>
      <c r="M273" s="1"/>
      <c r="N273" s="38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574</v>
      </c>
      <c r="D274" s="23"/>
      <c r="E274" s="24"/>
      <c r="F274" s="25"/>
      <c r="G274" s="26" t="s">
        <v>569</v>
      </c>
      <c r="H274" s="27" t="s">
        <v>569</v>
      </c>
      <c r="I274" s="28"/>
      <c r="J274" s="2"/>
      <c r="K274" s="38"/>
      <c r="L274" s="3"/>
      <c r="M274" s="1"/>
      <c r="N274" s="38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39"/>
      <c r="D275" s="23"/>
      <c r="E275" s="24"/>
      <c r="F275" s="25"/>
      <c r="G275" s="26"/>
      <c r="H275" s="27"/>
      <c r="I275" s="28"/>
      <c r="J275" s="2"/>
      <c r="K275" s="38"/>
      <c r="L275" s="3"/>
      <c r="M275" s="1"/>
      <c r="N275" s="38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2" t="s">
        <v>575</v>
      </c>
      <c r="D276" s="23"/>
      <c r="E276" s="24"/>
      <c r="F276" s="25"/>
      <c r="G276" s="26" t="s">
        <v>569</v>
      </c>
      <c r="H276" s="27" t="s">
        <v>569</v>
      </c>
      <c r="I276" s="28"/>
      <c r="J276" s="2"/>
      <c r="K276" s="38"/>
      <c r="L276" s="3"/>
      <c r="M276" s="1"/>
      <c r="N276" s="38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39"/>
      <c r="D277" s="23"/>
      <c r="E277" s="24"/>
      <c r="F277" s="25"/>
      <c r="G277" s="26"/>
      <c r="H277" s="27"/>
      <c r="I277" s="28"/>
      <c r="J277" s="2"/>
      <c r="K277" s="1"/>
      <c r="L277" s="3"/>
      <c r="M277" s="1"/>
      <c r="N277" s="38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22" t="s">
        <v>576</v>
      </c>
      <c r="D278" s="23"/>
      <c r="E278" s="24"/>
      <c r="F278" s="25"/>
      <c r="G278" s="26" t="s">
        <v>569</v>
      </c>
      <c r="H278" s="27" t="s">
        <v>569</v>
      </c>
      <c r="I278" s="28"/>
      <c r="J278" s="2"/>
      <c r="K278" s="1"/>
      <c r="L278" s="3"/>
      <c r="M278" s="1"/>
      <c r="N278" s="38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0"/>
      <c r="B279" s="21"/>
      <c r="C279" s="39"/>
      <c r="D279" s="23"/>
      <c r="E279" s="24"/>
      <c r="F279" s="25"/>
      <c r="G279" s="26"/>
      <c r="H279" s="27"/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 t="s">
        <v>577</v>
      </c>
      <c r="D280" s="23"/>
      <c r="E280" s="24"/>
      <c r="F280" s="25"/>
      <c r="G280" s="26"/>
      <c r="H280" s="27"/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 t="s">
        <v>578</v>
      </c>
      <c r="D281" s="23"/>
      <c r="E281" s="24"/>
      <c r="F281" s="25"/>
      <c r="G281" s="26" t="s">
        <v>569</v>
      </c>
      <c r="H281" s="27" t="s">
        <v>569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21"/>
      <c r="B282" s="21"/>
      <c r="C282" s="22"/>
      <c r="D282" s="23"/>
      <c r="E282" s="24"/>
      <c r="F282" s="25"/>
      <c r="G282" s="26"/>
      <c r="H282" s="27"/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21"/>
      <c r="B283" s="21"/>
      <c r="C283" s="22" t="s">
        <v>579</v>
      </c>
      <c r="D283" s="23"/>
      <c r="E283" s="24"/>
      <c r="F283" s="25"/>
      <c r="G283" s="26" t="s">
        <v>569</v>
      </c>
      <c r="H283" s="27" t="s">
        <v>569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22"/>
      <c r="D284" s="23"/>
      <c r="E284" s="24"/>
      <c r="F284" s="25"/>
      <c r="G284" s="26"/>
      <c r="H284" s="27"/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34" t="s">
        <v>580</v>
      </c>
      <c r="C285" s="29" t="s">
        <v>581</v>
      </c>
      <c r="D285" s="23"/>
      <c r="E285" s="24"/>
      <c r="F285" s="25"/>
      <c r="G285" s="26" t="s">
        <v>569</v>
      </c>
      <c r="H285" s="27" t="s">
        <v>569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39"/>
      <c r="D286" s="23"/>
      <c r="E286" s="24"/>
      <c r="F286" s="25"/>
      <c r="G286" s="26"/>
      <c r="H286" s="27"/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35" t="s">
        <v>567</v>
      </c>
      <c r="D287" s="23"/>
      <c r="E287" s="24"/>
      <c r="F287" s="25"/>
      <c r="G287" s="40" t="s">
        <v>569</v>
      </c>
      <c r="H287" s="41" t="s">
        <v>569</v>
      </c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39"/>
      <c r="D288" s="23"/>
      <c r="E288" s="24"/>
      <c r="F288" s="25"/>
      <c r="G288" s="26"/>
      <c r="H288" s="27"/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22" t="s">
        <v>582</v>
      </c>
      <c r="D289" s="23"/>
      <c r="E289" s="24"/>
      <c r="F289" s="25"/>
      <c r="G289" s="26" t="s">
        <v>569</v>
      </c>
      <c r="H289" s="27" t="s">
        <v>569</v>
      </c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0"/>
      <c r="B290" s="21"/>
      <c r="C290" s="39"/>
      <c r="D290" s="23"/>
      <c r="E290" s="24"/>
      <c r="F290" s="25"/>
      <c r="G290" s="26"/>
      <c r="H290" s="27"/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 t="s">
        <v>583</v>
      </c>
      <c r="D291" s="23"/>
      <c r="E291" s="24"/>
      <c r="F291" s="25"/>
      <c r="G291" s="26"/>
      <c r="H291" s="27"/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 t="s">
        <v>584</v>
      </c>
      <c r="D292" s="23"/>
      <c r="E292" s="24"/>
      <c r="F292" s="25"/>
      <c r="G292" s="26" t="s">
        <v>569</v>
      </c>
      <c r="H292" s="27" t="s">
        <v>569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/>
      <c r="D293" s="23"/>
      <c r="E293" s="24"/>
      <c r="F293" s="25"/>
      <c r="G293" s="26"/>
      <c r="H293" s="27"/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 t="s">
        <v>585</v>
      </c>
      <c r="D294" s="23"/>
      <c r="E294" s="24"/>
      <c r="F294" s="25"/>
      <c r="G294" s="26" t="s">
        <v>569</v>
      </c>
      <c r="H294" s="27" t="s">
        <v>569</v>
      </c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21"/>
      <c r="B295" s="21"/>
      <c r="C295" s="22"/>
      <c r="D295" s="23"/>
      <c r="E295" s="24"/>
      <c r="F295" s="25"/>
      <c r="G295" s="26"/>
      <c r="H295" s="27"/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21"/>
      <c r="B296" s="21"/>
      <c r="C296" s="22" t="s">
        <v>586</v>
      </c>
      <c r="D296" s="23"/>
      <c r="E296" s="24"/>
      <c r="F296" s="25"/>
      <c r="G296" s="26" t="s">
        <v>569</v>
      </c>
      <c r="H296" s="27" t="s">
        <v>569</v>
      </c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22"/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34" t="s">
        <v>587</v>
      </c>
      <c r="C298" s="29" t="s">
        <v>588</v>
      </c>
      <c r="D298" s="23"/>
      <c r="E298" s="24"/>
      <c r="F298" s="25"/>
      <c r="G298" s="26"/>
      <c r="H298" s="27"/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39" t="s">
        <v>589</v>
      </c>
      <c r="D299" s="23"/>
      <c r="E299" s="24"/>
      <c r="F299" s="25"/>
      <c r="G299" s="42">
        <v>39</v>
      </c>
      <c r="H299" s="32">
        <f>G299/$G$306</f>
        <v>1.432209355567091E-3</v>
      </c>
      <c r="I299" s="43">
        <v>5.4600000000000003E-2</v>
      </c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35" t="s">
        <v>567</v>
      </c>
      <c r="D300" s="23"/>
      <c r="E300" s="24"/>
      <c r="F300" s="25"/>
      <c r="G300" s="44">
        <f t="shared" ref="G300:H300" si="2">SUM(G299)</f>
        <v>39</v>
      </c>
      <c r="H300" s="37">
        <f t="shared" si="2"/>
        <v>1.432209355567091E-3</v>
      </c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20"/>
      <c r="B301" s="21"/>
      <c r="C301" s="39"/>
      <c r="D301" s="23"/>
      <c r="E301" s="24"/>
      <c r="F301" s="25"/>
      <c r="G301" s="26"/>
      <c r="H301" s="27"/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34"/>
      <c r="C302" s="22" t="s">
        <v>590</v>
      </c>
      <c r="D302" s="23"/>
      <c r="E302" s="24"/>
      <c r="F302" s="25"/>
      <c r="G302" s="26"/>
      <c r="H302" s="27"/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39" t="s">
        <v>591</v>
      </c>
      <c r="D303" s="23"/>
      <c r="E303" s="24"/>
      <c r="F303" s="25"/>
      <c r="G303" s="45">
        <f t="shared" ref="G303:H303" si="3">G306-G262-G300</f>
        <v>-6.0344965000149386</v>
      </c>
      <c r="H303" s="32">
        <f t="shared" si="3"/>
        <v>-2.2160672675475041E-4</v>
      </c>
      <c r="I303" s="28" t="s">
        <v>592</v>
      </c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35" t="s">
        <v>567</v>
      </c>
      <c r="D304" s="23"/>
      <c r="E304" s="24"/>
      <c r="F304" s="25"/>
      <c r="G304" s="46">
        <f t="shared" ref="G304:H304" si="4">SUM(G303)</f>
        <v>-6.0344965000149386</v>
      </c>
      <c r="H304" s="37">
        <f t="shared" si="4"/>
        <v>-2.2160672675475041E-4</v>
      </c>
      <c r="I304" s="28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39"/>
      <c r="D305" s="23"/>
      <c r="E305" s="24"/>
      <c r="F305" s="25"/>
      <c r="G305" s="26"/>
      <c r="H305" s="27"/>
      <c r="I305" s="28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47" t="s">
        <v>593</v>
      </c>
      <c r="D306" s="48"/>
      <c r="E306" s="49"/>
      <c r="F306" s="50"/>
      <c r="G306" s="51">
        <v>27230.655803499998</v>
      </c>
      <c r="H306" s="52">
        <v>1</v>
      </c>
      <c r="I306" s="53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54" t="s">
        <v>594</v>
      </c>
      <c r="D307" s="1"/>
      <c r="E307" s="1"/>
      <c r="F307" s="55"/>
      <c r="G307" s="56"/>
      <c r="H307" s="56"/>
      <c r="I307" s="55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" customHeight="1" x14ac:dyDescent="0.5">
      <c r="A308" s="1"/>
      <c r="B308" s="1"/>
      <c r="C308" s="54"/>
      <c r="D308" s="1"/>
      <c r="E308" s="1"/>
      <c r="F308" s="55"/>
      <c r="G308" s="56"/>
      <c r="H308" s="56"/>
      <c r="I308" s="55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" customHeight="1" x14ac:dyDescent="0.5">
      <c r="A309" s="1"/>
      <c r="B309" s="1"/>
      <c r="C309" s="54"/>
      <c r="D309" s="1"/>
      <c r="E309" s="1"/>
      <c r="F309" s="55"/>
      <c r="G309" s="56"/>
      <c r="H309" s="56"/>
      <c r="I309" s="55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57" t="s">
        <v>595</v>
      </c>
      <c r="D310" s="58"/>
      <c r="E310" s="58"/>
      <c r="F310" s="55"/>
      <c r="G310" s="56"/>
      <c r="H310" s="56"/>
      <c r="I310" s="55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58" t="s">
        <v>596</v>
      </c>
      <c r="D311" s="58"/>
      <c r="E311" s="58"/>
      <c r="F311" s="55"/>
      <c r="G311" s="56"/>
      <c r="H311" s="56"/>
      <c r="I311" s="55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58" t="s">
        <v>597</v>
      </c>
      <c r="D312" s="58"/>
      <c r="E312" s="58"/>
      <c r="F312" s="55"/>
      <c r="G312" s="56"/>
      <c r="H312" s="56"/>
      <c r="I312" s="55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58"/>
      <c r="D313" s="58"/>
      <c r="E313" s="58"/>
      <c r="F313" s="55"/>
      <c r="G313" s="56"/>
      <c r="H313" s="56"/>
      <c r="I313" s="55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59" t="s">
        <v>598</v>
      </c>
      <c r="D314" s="60" t="s">
        <v>599</v>
      </c>
      <c r="E314" s="60" t="s">
        <v>600</v>
      </c>
      <c r="F314" s="55"/>
      <c r="G314" s="56"/>
      <c r="H314" s="56"/>
      <c r="I314" s="55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61" t="s">
        <v>601</v>
      </c>
      <c r="D315" s="62">
        <v>14.0646</v>
      </c>
      <c r="E315" s="62">
        <v>13.9422</v>
      </c>
      <c r="F315" s="55"/>
      <c r="G315" s="56"/>
      <c r="H315" s="56"/>
      <c r="I315" s="55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63" t="s">
        <v>602</v>
      </c>
      <c r="D316" s="64"/>
      <c r="E316" s="64"/>
      <c r="F316" s="55"/>
      <c r="G316" s="56"/>
      <c r="H316" s="56"/>
      <c r="I316" s="55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63"/>
      <c r="D317" s="64"/>
      <c r="E317" s="64"/>
      <c r="F317" s="55"/>
      <c r="G317" s="56"/>
      <c r="H317" s="56"/>
      <c r="I317" s="55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58" t="s">
        <v>603</v>
      </c>
      <c r="D318" s="58"/>
      <c r="E318" s="58"/>
      <c r="F318" s="55"/>
      <c r="G318" s="56"/>
      <c r="H318" s="56"/>
      <c r="I318" s="55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58" t="s">
        <v>604</v>
      </c>
      <c r="D319" s="58"/>
      <c r="E319" s="58"/>
      <c r="F319" s="55"/>
      <c r="G319" s="56"/>
      <c r="H319" s="56"/>
      <c r="I319" s="55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58" t="s">
        <v>605</v>
      </c>
      <c r="D320" s="58"/>
      <c r="E320" s="58"/>
      <c r="F320" s="55"/>
      <c r="G320" s="56"/>
      <c r="H320" s="56"/>
      <c r="I320" s="55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58" t="s">
        <v>606</v>
      </c>
      <c r="D321" s="58"/>
      <c r="E321" s="58"/>
      <c r="F321" s="55"/>
      <c r="G321" s="56"/>
      <c r="H321" s="56"/>
      <c r="I321" s="55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58" t="s">
        <v>607</v>
      </c>
      <c r="D322" s="58"/>
      <c r="E322" s="58"/>
      <c r="F322" s="55"/>
      <c r="G322" s="56"/>
      <c r="H322" s="56"/>
      <c r="I322" s="55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58" t="s">
        <v>608</v>
      </c>
      <c r="D323" s="58"/>
      <c r="E323" s="58"/>
      <c r="F323" s="55"/>
      <c r="G323" s="56"/>
      <c r="H323" s="56"/>
      <c r="I323" s="55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58" t="s">
        <v>609</v>
      </c>
      <c r="D324" s="58"/>
      <c r="E324" s="58"/>
      <c r="F324" s="55"/>
      <c r="G324" s="56"/>
      <c r="H324" s="56"/>
      <c r="I324" s="55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58" t="s">
        <v>610</v>
      </c>
      <c r="D325" s="58"/>
      <c r="E325" s="58"/>
      <c r="F325" s="55"/>
      <c r="G325" s="56"/>
      <c r="H325" s="56"/>
      <c r="I325" s="55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58" t="s">
        <v>611</v>
      </c>
      <c r="D326" s="58"/>
      <c r="E326" s="58"/>
      <c r="F326" s="55"/>
      <c r="G326" s="56"/>
      <c r="H326" s="56"/>
      <c r="I326" s="55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58" t="s">
        <v>612</v>
      </c>
      <c r="D327" s="58"/>
      <c r="E327" s="58"/>
      <c r="F327" s="55"/>
      <c r="G327" s="56"/>
      <c r="H327" s="56"/>
      <c r="I327" s="55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58" t="s">
        <v>613</v>
      </c>
      <c r="D328" s="58"/>
      <c r="E328" s="58"/>
      <c r="F328" s="55"/>
      <c r="G328" s="56"/>
      <c r="H328" s="56"/>
      <c r="I328" s="55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58" t="s">
        <v>614</v>
      </c>
      <c r="D329" s="58"/>
      <c r="E329" s="58"/>
      <c r="F329" s="55"/>
      <c r="G329" s="56"/>
      <c r="H329" s="56"/>
      <c r="I329" s="55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58" t="s">
        <v>615</v>
      </c>
      <c r="D330" s="58"/>
      <c r="E330" s="58"/>
      <c r="F330" s="55"/>
      <c r="G330" s="56"/>
      <c r="H330" s="56"/>
      <c r="I330" s="55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58" t="s">
        <v>616</v>
      </c>
      <c r="D331" s="58"/>
      <c r="E331" s="58"/>
      <c r="F331" s="55"/>
      <c r="G331" s="56"/>
      <c r="H331" s="56"/>
      <c r="I331" s="55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5"/>
      <c r="G332" s="56"/>
      <c r="H332" s="56"/>
      <c r="I332" s="55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65" t="s">
        <v>617</v>
      </c>
      <c r="D333" s="1"/>
      <c r="E333" s="1"/>
      <c r="F333" s="55"/>
      <c r="G333" s="56"/>
      <c r="H333" s="56"/>
      <c r="I333" s="55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66" t="s">
        <v>618</v>
      </c>
      <c r="D334" s="58"/>
      <c r="E334" s="1"/>
      <c r="F334" s="55"/>
      <c r="G334" s="56"/>
      <c r="H334" s="56"/>
      <c r="I334" s="55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67"/>
      <c r="D335" s="1"/>
      <c r="E335" s="1"/>
      <c r="F335" s="55"/>
      <c r="G335" s="58"/>
      <c r="H335" s="58"/>
      <c r="I335" s="58"/>
      <c r="J335" s="68"/>
      <c r="K335" s="38"/>
      <c r="L335" s="38"/>
      <c r="M335" s="38"/>
      <c r="N335" s="38"/>
      <c r="O335" s="38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38.25" customHeight="1" x14ac:dyDescent="0.5">
      <c r="A336" s="1"/>
      <c r="B336" s="1"/>
      <c r="C336" s="66" t="s">
        <v>619</v>
      </c>
      <c r="D336" s="1"/>
      <c r="E336" s="1"/>
      <c r="F336" s="55"/>
      <c r="G336" s="56"/>
      <c r="H336" s="56"/>
      <c r="I336" s="55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67"/>
      <c r="D337" s="1"/>
      <c r="E337" s="1"/>
      <c r="F337" s="55"/>
      <c r="G337" s="56"/>
      <c r="H337" s="56"/>
      <c r="I337" s="55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69" t="s">
        <v>620</v>
      </c>
      <c r="D338" s="1"/>
      <c r="E338" s="1"/>
      <c r="F338" s="55"/>
      <c r="G338" s="56"/>
      <c r="H338" s="56"/>
      <c r="I338" s="55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70" t="s">
        <v>621</v>
      </c>
      <c r="D339" s="1"/>
      <c r="E339" s="1"/>
      <c r="F339" s="55"/>
      <c r="G339" s="56"/>
      <c r="H339" s="56"/>
      <c r="I339" s="55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5"/>
      <c r="G340" s="56"/>
      <c r="H340" s="56"/>
      <c r="I340" s="55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5"/>
      <c r="G341" s="56"/>
      <c r="H341" s="56"/>
      <c r="I341" s="55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71" t="s">
        <v>622</v>
      </c>
      <c r="D342" s="64"/>
      <c r="E342" s="64"/>
      <c r="F342" s="55"/>
      <c r="G342" s="56"/>
      <c r="H342" s="56"/>
      <c r="I342" s="55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5"/>
      <c r="G343" s="56"/>
      <c r="H343" s="56"/>
      <c r="I343" s="55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5"/>
      <c r="G344" s="56"/>
      <c r="H344" s="56"/>
      <c r="I344" s="55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5"/>
      <c r="G345" s="56"/>
      <c r="H345" s="56"/>
      <c r="I345" s="55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5"/>
      <c r="G346" s="56"/>
      <c r="H346" s="56"/>
      <c r="I346" s="55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5"/>
      <c r="G347" s="56"/>
      <c r="H347" s="56"/>
      <c r="I347" s="55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5"/>
      <c r="G348" s="56"/>
      <c r="H348" s="56"/>
      <c r="I348" s="55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5"/>
      <c r="G349" s="56"/>
      <c r="H349" s="56"/>
      <c r="I349" s="55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5"/>
      <c r="G350" s="56"/>
      <c r="H350" s="56"/>
      <c r="I350" s="55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5"/>
      <c r="G351" s="56"/>
      <c r="H351" s="56"/>
      <c r="I351" s="55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5"/>
      <c r="G352" s="56"/>
      <c r="H352" s="56"/>
      <c r="I352" s="55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5"/>
      <c r="G353" s="56"/>
      <c r="H353" s="56"/>
      <c r="I353" s="55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5"/>
      <c r="G354" s="56"/>
      <c r="H354" s="56"/>
      <c r="I354" s="55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5"/>
      <c r="G355" s="56"/>
      <c r="H355" s="56"/>
      <c r="I355" s="55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5"/>
      <c r="G356" s="56"/>
      <c r="H356" s="56"/>
      <c r="I356" s="55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5"/>
      <c r="G357" s="56"/>
      <c r="H357" s="56"/>
      <c r="I357" s="55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5"/>
      <c r="G358" s="56"/>
      <c r="H358" s="56"/>
      <c r="I358" s="55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5"/>
      <c r="G359" s="56"/>
      <c r="H359" s="56"/>
      <c r="I359" s="55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59" t="s">
        <v>623</v>
      </c>
      <c r="D360" s="1"/>
      <c r="E360" s="1"/>
      <c r="F360" s="55"/>
      <c r="G360" s="56"/>
      <c r="H360" s="56"/>
      <c r="I360" s="55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D361" s="64"/>
      <c r="E361" s="64"/>
      <c r="F361" s="64"/>
      <c r="G361" s="64"/>
      <c r="H361" s="56"/>
      <c r="I361" s="55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5"/>
      <c r="G362" s="56"/>
      <c r="H362" s="56"/>
      <c r="I362" s="55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5"/>
      <c r="G363" s="56"/>
      <c r="H363" s="56"/>
      <c r="I363" s="55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5"/>
      <c r="G364" s="56"/>
      <c r="H364" s="56"/>
      <c r="I364" s="55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71" t="s">
        <v>624</v>
      </c>
      <c r="D365" s="1"/>
      <c r="E365" s="1"/>
      <c r="F365" s="55"/>
      <c r="G365" s="56"/>
      <c r="H365" s="56"/>
      <c r="I365" s="55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5"/>
      <c r="G366" s="56"/>
      <c r="H366" s="56"/>
      <c r="I366" s="55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5"/>
      <c r="G367" s="56"/>
      <c r="H367" s="56"/>
      <c r="I367" s="55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58"/>
      <c r="D368" s="1"/>
      <c r="E368" s="1"/>
      <c r="F368" s="55"/>
      <c r="G368" s="56"/>
      <c r="H368" s="56"/>
      <c r="I368" s="55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5"/>
      <c r="G369" s="56"/>
      <c r="H369" s="56"/>
      <c r="I369" s="55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5"/>
      <c r="G370" s="56"/>
      <c r="H370" s="56"/>
      <c r="I370" s="55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5"/>
      <c r="G371" s="56"/>
      <c r="H371" s="56"/>
      <c r="I371" s="55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5"/>
      <c r="G372" s="56"/>
      <c r="H372" s="56"/>
      <c r="I372" s="55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5"/>
      <c r="G373" s="56"/>
      <c r="H373" s="56"/>
      <c r="I373" s="55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5"/>
      <c r="G374" s="56"/>
      <c r="H374" s="56"/>
      <c r="I374" s="55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5"/>
      <c r="G375" s="56"/>
      <c r="H375" s="56"/>
      <c r="I375" s="55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5"/>
      <c r="G376" s="56"/>
      <c r="H376" s="56"/>
      <c r="I376" s="55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5"/>
      <c r="G377" s="56"/>
      <c r="H377" s="56"/>
      <c r="I377" s="55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5"/>
      <c r="G378" s="56"/>
      <c r="H378" s="56"/>
      <c r="I378" s="55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5"/>
      <c r="G379" s="56"/>
      <c r="H379" s="56"/>
      <c r="I379" s="55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5"/>
      <c r="G380" s="56"/>
      <c r="H380" s="56"/>
      <c r="I380" s="55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54" t="s">
        <v>625</v>
      </c>
      <c r="D381" s="1"/>
      <c r="E381" s="1"/>
      <c r="F381" s="55"/>
      <c r="G381" s="56"/>
      <c r="H381" s="56"/>
      <c r="I381" s="55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5"/>
      <c r="G382" s="56"/>
      <c r="H382" s="56"/>
      <c r="I382" s="55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5"/>
      <c r="G383" s="56"/>
      <c r="H383" s="56"/>
      <c r="I383" s="55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5"/>
      <c r="G384" s="56"/>
      <c r="H384" s="56"/>
      <c r="I384" s="55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5"/>
      <c r="G385" s="56"/>
      <c r="H385" s="56"/>
      <c r="I385" s="55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5"/>
      <c r="G386" s="56"/>
      <c r="H386" s="56"/>
      <c r="I386" s="55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5"/>
      <c r="G387" s="56"/>
      <c r="H387" s="56"/>
      <c r="I387" s="55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5"/>
      <c r="G388" s="56"/>
      <c r="H388" s="56"/>
      <c r="I388" s="55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5"/>
      <c r="G389" s="56"/>
      <c r="H389" s="56"/>
      <c r="I389" s="55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5"/>
      <c r="G390" s="56"/>
      <c r="H390" s="56"/>
      <c r="I390" s="55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5"/>
      <c r="G391" s="56"/>
      <c r="H391" s="56"/>
      <c r="I391" s="55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5"/>
      <c r="G392" s="56"/>
      <c r="H392" s="56"/>
      <c r="I392" s="55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5"/>
      <c r="G393" s="56"/>
      <c r="H393" s="56"/>
      <c r="I393" s="55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5"/>
      <c r="G394" s="56"/>
      <c r="H394" s="56"/>
      <c r="I394" s="55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5"/>
      <c r="G395" s="56"/>
      <c r="H395" s="56"/>
      <c r="I395" s="55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5"/>
      <c r="G396" s="56"/>
      <c r="H396" s="56"/>
      <c r="I396" s="55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5"/>
      <c r="G397" s="56"/>
      <c r="H397" s="56"/>
      <c r="I397" s="55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5"/>
      <c r="G398" s="56"/>
      <c r="H398" s="56"/>
      <c r="I398" s="55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5"/>
      <c r="G399" s="56"/>
      <c r="H399" s="56"/>
      <c r="I399" s="55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5"/>
      <c r="G400" s="56"/>
      <c r="H400" s="56"/>
      <c r="I400" s="55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5"/>
      <c r="G401" s="56"/>
      <c r="H401" s="56"/>
      <c r="I401" s="55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5"/>
      <c r="G402" s="56"/>
      <c r="H402" s="56"/>
      <c r="I402" s="55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5"/>
      <c r="G403" s="56"/>
      <c r="H403" s="56"/>
      <c r="I403" s="55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5"/>
      <c r="G404" s="56"/>
      <c r="H404" s="56"/>
      <c r="I404" s="55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5"/>
      <c r="G405" s="56"/>
      <c r="H405" s="56"/>
      <c r="I405" s="55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5"/>
      <c r="G406" s="56"/>
      <c r="H406" s="56"/>
      <c r="I406" s="55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5"/>
      <c r="G407" s="56"/>
      <c r="H407" s="56"/>
      <c r="I407" s="55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5"/>
      <c r="G408" s="56"/>
      <c r="H408" s="56"/>
      <c r="I408" s="55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5"/>
      <c r="G409" s="56"/>
      <c r="H409" s="56"/>
      <c r="I409" s="55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5"/>
      <c r="G410" s="56"/>
      <c r="H410" s="56"/>
      <c r="I410" s="55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5"/>
      <c r="G411" s="56"/>
      <c r="H411" s="56"/>
      <c r="I411" s="55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5"/>
      <c r="G412" s="56"/>
      <c r="H412" s="56"/>
      <c r="I412" s="55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5"/>
      <c r="G413" s="56"/>
      <c r="H413" s="56"/>
      <c r="I413" s="55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5"/>
      <c r="G414" s="56"/>
      <c r="H414" s="56"/>
      <c r="I414" s="55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5"/>
      <c r="G415" s="56"/>
      <c r="H415" s="56"/>
      <c r="I415" s="55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5"/>
      <c r="G416" s="56"/>
      <c r="H416" s="56"/>
      <c r="I416" s="55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5"/>
      <c r="G417" s="56"/>
      <c r="H417" s="56"/>
      <c r="I417" s="55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5"/>
      <c r="G418" s="56"/>
      <c r="H418" s="56"/>
      <c r="I418" s="55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5"/>
      <c r="G419" s="56"/>
      <c r="H419" s="56"/>
      <c r="I419" s="55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5"/>
      <c r="G420" s="56"/>
      <c r="H420" s="56"/>
      <c r="I420" s="55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5"/>
      <c r="G421" s="56"/>
      <c r="H421" s="56"/>
      <c r="I421" s="55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5"/>
      <c r="G422" s="56"/>
      <c r="H422" s="56"/>
      <c r="I422" s="55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5"/>
      <c r="G423" s="56"/>
      <c r="H423" s="56"/>
      <c r="I423" s="55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5"/>
      <c r="G424" s="56"/>
      <c r="H424" s="56"/>
      <c r="I424" s="55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5"/>
      <c r="G425" s="56"/>
      <c r="H425" s="56"/>
      <c r="I425" s="55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5"/>
      <c r="G426" s="56"/>
      <c r="H426" s="56"/>
      <c r="I426" s="55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5"/>
      <c r="G427" s="56"/>
      <c r="H427" s="56"/>
      <c r="I427" s="55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5"/>
      <c r="G428" s="56"/>
      <c r="H428" s="56"/>
      <c r="I428" s="55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5"/>
      <c r="G429" s="56"/>
      <c r="H429" s="56"/>
      <c r="I429" s="55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5"/>
      <c r="G430" s="56"/>
      <c r="H430" s="56"/>
      <c r="I430" s="55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5"/>
      <c r="G431" s="56"/>
      <c r="H431" s="56"/>
      <c r="I431" s="55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5"/>
      <c r="G432" s="56"/>
      <c r="H432" s="56"/>
      <c r="I432" s="55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5"/>
      <c r="G433" s="56"/>
      <c r="H433" s="56"/>
      <c r="I433" s="55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5"/>
      <c r="G434" s="56"/>
      <c r="H434" s="56"/>
      <c r="I434" s="55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5"/>
      <c r="G435" s="56"/>
      <c r="H435" s="56"/>
      <c r="I435" s="55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5"/>
      <c r="G436" s="56"/>
      <c r="H436" s="56"/>
      <c r="I436" s="55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5"/>
      <c r="G437" s="56"/>
      <c r="H437" s="56"/>
      <c r="I437" s="55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5"/>
      <c r="G438" s="56"/>
      <c r="H438" s="56"/>
      <c r="I438" s="55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5"/>
      <c r="G439" s="56"/>
      <c r="H439" s="56"/>
      <c r="I439" s="55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5"/>
      <c r="G440" s="56"/>
      <c r="H440" s="56"/>
      <c r="I440" s="55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5"/>
      <c r="G441" s="56"/>
      <c r="H441" s="56"/>
      <c r="I441" s="55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5"/>
      <c r="G442" s="56"/>
      <c r="H442" s="56"/>
      <c r="I442" s="55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5"/>
      <c r="G443" s="56"/>
      <c r="H443" s="56"/>
      <c r="I443" s="55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5"/>
      <c r="G444" s="56"/>
      <c r="H444" s="56"/>
      <c r="I444" s="55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5"/>
      <c r="G445" s="56"/>
      <c r="H445" s="56"/>
      <c r="I445" s="55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5"/>
      <c r="G446" s="56"/>
      <c r="H446" s="56"/>
      <c r="I446" s="55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5"/>
      <c r="G447" s="56"/>
      <c r="H447" s="56"/>
      <c r="I447" s="55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5"/>
      <c r="G448" s="56"/>
      <c r="H448" s="56"/>
      <c r="I448" s="55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5"/>
      <c r="G449" s="56"/>
      <c r="H449" s="56"/>
      <c r="I449" s="55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5"/>
      <c r="G450" s="56"/>
      <c r="H450" s="56"/>
      <c r="I450" s="55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5"/>
      <c r="G451" s="56"/>
      <c r="H451" s="56"/>
      <c r="I451" s="55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5"/>
      <c r="G452" s="56"/>
      <c r="H452" s="56"/>
      <c r="I452" s="55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5"/>
      <c r="G453" s="56"/>
      <c r="H453" s="56"/>
      <c r="I453" s="55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5"/>
      <c r="G454" s="56"/>
      <c r="H454" s="56"/>
      <c r="I454" s="55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5"/>
      <c r="G455" s="56"/>
      <c r="H455" s="56"/>
      <c r="I455" s="55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5"/>
      <c r="G456" s="56"/>
      <c r="H456" s="56"/>
      <c r="I456" s="55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5"/>
      <c r="G457" s="56"/>
      <c r="H457" s="56"/>
      <c r="I457" s="55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5"/>
      <c r="G458" s="56"/>
      <c r="H458" s="56"/>
      <c r="I458" s="55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5"/>
      <c r="G459" s="56"/>
      <c r="H459" s="56"/>
      <c r="I459" s="55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5"/>
      <c r="G460" s="56"/>
      <c r="H460" s="56"/>
      <c r="I460" s="55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5"/>
      <c r="G461" s="56"/>
      <c r="H461" s="56"/>
      <c r="I461" s="55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5"/>
      <c r="G462" s="56"/>
      <c r="H462" s="56"/>
      <c r="I462" s="55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5"/>
      <c r="G463" s="56"/>
      <c r="H463" s="56"/>
      <c r="I463" s="55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5"/>
      <c r="G464" s="56"/>
      <c r="H464" s="56"/>
      <c r="I464" s="55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5"/>
      <c r="G465" s="56"/>
      <c r="H465" s="56"/>
      <c r="I465" s="55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5"/>
      <c r="G466" s="56"/>
      <c r="H466" s="56"/>
      <c r="I466" s="55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5"/>
      <c r="G467" s="56"/>
      <c r="H467" s="56"/>
      <c r="I467" s="55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5"/>
      <c r="G468" s="56"/>
      <c r="H468" s="56"/>
      <c r="I468" s="55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5"/>
      <c r="G469" s="56"/>
      <c r="H469" s="56"/>
      <c r="I469" s="55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5"/>
      <c r="G470" s="56"/>
      <c r="H470" s="56"/>
      <c r="I470" s="55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5"/>
      <c r="G471" s="56"/>
      <c r="H471" s="56"/>
      <c r="I471" s="55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5"/>
      <c r="G472" s="56"/>
      <c r="H472" s="56"/>
      <c r="I472" s="55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5"/>
      <c r="G473" s="56"/>
      <c r="H473" s="56"/>
      <c r="I473" s="55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5"/>
      <c r="G474" s="56"/>
      <c r="H474" s="56"/>
      <c r="I474" s="55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5"/>
      <c r="G475" s="56"/>
      <c r="H475" s="56"/>
      <c r="I475" s="55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5"/>
      <c r="G476" s="56"/>
      <c r="H476" s="56"/>
      <c r="I476" s="55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5"/>
      <c r="G477" s="56"/>
      <c r="H477" s="56"/>
      <c r="I477" s="55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5"/>
      <c r="G478" s="56"/>
      <c r="H478" s="56"/>
      <c r="I478" s="55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5"/>
      <c r="G479" s="56"/>
      <c r="H479" s="56"/>
      <c r="I479" s="55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5"/>
      <c r="G480" s="56"/>
      <c r="H480" s="56"/>
      <c r="I480" s="55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5"/>
      <c r="G481" s="56"/>
      <c r="H481" s="56"/>
      <c r="I481" s="55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5"/>
      <c r="G482" s="56"/>
      <c r="H482" s="56"/>
      <c r="I482" s="55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5"/>
      <c r="G483" s="56"/>
      <c r="H483" s="56"/>
      <c r="I483" s="55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5"/>
      <c r="G484" s="56"/>
      <c r="H484" s="56"/>
      <c r="I484" s="55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5"/>
      <c r="G485" s="56"/>
      <c r="H485" s="56"/>
      <c r="I485" s="55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5"/>
      <c r="G486" s="56"/>
      <c r="H486" s="56"/>
      <c r="I486" s="55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5"/>
      <c r="G487" s="56"/>
      <c r="H487" s="56"/>
      <c r="I487" s="55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5"/>
      <c r="G488" s="56"/>
      <c r="H488" s="56"/>
      <c r="I488" s="55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5"/>
      <c r="G489" s="56"/>
      <c r="H489" s="56"/>
      <c r="I489" s="55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5"/>
      <c r="G490" s="56"/>
      <c r="H490" s="56"/>
      <c r="I490" s="55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5"/>
      <c r="G491" s="56"/>
      <c r="H491" s="56"/>
      <c r="I491" s="55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5"/>
      <c r="G492" s="56"/>
      <c r="H492" s="56"/>
      <c r="I492" s="55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5"/>
      <c r="G493" s="56"/>
      <c r="H493" s="56"/>
      <c r="I493" s="55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5"/>
      <c r="G494" s="56"/>
      <c r="H494" s="56"/>
      <c r="I494" s="55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5"/>
      <c r="G495" s="56"/>
      <c r="H495" s="56"/>
      <c r="I495" s="55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5"/>
      <c r="G496" s="56"/>
      <c r="H496" s="56"/>
      <c r="I496" s="55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5"/>
      <c r="G497" s="56"/>
      <c r="H497" s="56"/>
      <c r="I497" s="55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5"/>
      <c r="G498" s="56"/>
      <c r="H498" s="56"/>
      <c r="I498" s="55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5"/>
      <c r="G499" s="56"/>
      <c r="H499" s="56"/>
      <c r="I499" s="55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5"/>
      <c r="G500" s="56"/>
      <c r="H500" s="56"/>
      <c r="I500" s="55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5"/>
      <c r="G501" s="56"/>
      <c r="H501" s="56"/>
      <c r="I501" s="55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5"/>
      <c r="G502" s="56"/>
      <c r="H502" s="56"/>
      <c r="I502" s="55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5"/>
      <c r="G503" s="56"/>
      <c r="H503" s="56"/>
      <c r="I503" s="55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5"/>
      <c r="G504" s="56"/>
      <c r="H504" s="56"/>
      <c r="I504" s="55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5"/>
      <c r="G505" s="56"/>
      <c r="H505" s="56"/>
      <c r="I505" s="55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5"/>
      <c r="G506" s="56"/>
      <c r="H506" s="56"/>
      <c r="I506" s="55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5"/>
      <c r="G507" s="56"/>
      <c r="H507" s="56"/>
      <c r="I507" s="55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5"/>
      <c r="G508" s="56"/>
      <c r="H508" s="56"/>
      <c r="I508" s="55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5"/>
      <c r="G509" s="56"/>
      <c r="H509" s="56"/>
      <c r="I509" s="55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5"/>
      <c r="G510" s="56"/>
      <c r="H510" s="56"/>
      <c r="I510" s="55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5"/>
      <c r="G511" s="56"/>
      <c r="H511" s="56"/>
      <c r="I511" s="55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5"/>
      <c r="G512" s="56"/>
      <c r="H512" s="56"/>
      <c r="I512" s="55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5"/>
      <c r="G513" s="56"/>
      <c r="H513" s="56"/>
      <c r="I513" s="55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5"/>
      <c r="G514" s="56"/>
      <c r="H514" s="56"/>
      <c r="I514" s="55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5"/>
      <c r="G515" s="56"/>
      <c r="H515" s="56"/>
      <c r="I515" s="55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5"/>
      <c r="G516" s="56"/>
      <c r="H516" s="56"/>
      <c r="I516" s="55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5"/>
      <c r="G517" s="56"/>
      <c r="H517" s="56"/>
      <c r="I517" s="55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5"/>
      <c r="G518" s="56"/>
      <c r="H518" s="56"/>
      <c r="I518" s="55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5"/>
      <c r="G519" s="56"/>
      <c r="H519" s="56"/>
      <c r="I519" s="55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5"/>
      <c r="G520" s="56"/>
      <c r="H520" s="56"/>
      <c r="I520" s="55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5"/>
      <c r="G521" s="56"/>
      <c r="H521" s="56"/>
      <c r="I521" s="55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5"/>
      <c r="G522" s="56"/>
      <c r="H522" s="56"/>
      <c r="I522" s="55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5"/>
      <c r="G523" s="56"/>
      <c r="H523" s="56"/>
      <c r="I523" s="55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5"/>
      <c r="G524" s="56"/>
      <c r="H524" s="56"/>
      <c r="I524" s="55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5"/>
      <c r="G525" s="56"/>
      <c r="H525" s="56"/>
      <c r="I525" s="55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5"/>
      <c r="G526" s="56"/>
      <c r="H526" s="56"/>
      <c r="I526" s="55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5"/>
      <c r="G527" s="56"/>
      <c r="H527" s="56"/>
      <c r="I527" s="55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5"/>
      <c r="G528" s="56"/>
      <c r="H528" s="56"/>
      <c r="I528" s="55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5"/>
      <c r="G529" s="56"/>
      <c r="H529" s="56"/>
      <c r="I529" s="55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5"/>
      <c r="G530" s="56"/>
      <c r="H530" s="56"/>
      <c r="I530" s="55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5"/>
      <c r="G531" s="56"/>
      <c r="H531" s="56"/>
      <c r="I531" s="55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5"/>
      <c r="G532" s="56"/>
      <c r="H532" s="56"/>
      <c r="I532" s="55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5"/>
      <c r="G533" s="56"/>
      <c r="H533" s="56"/>
      <c r="I533" s="55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5"/>
      <c r="G534" s="56"/>
      <c r="H534" s="56"/>
      <c r="I534" s="55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5"/>
      <c r="G535" s="56"/>
      <c r="H535" s="56"/>
      <c r="I535" s="55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5"/>
      <c r="G536" s="56"/>
      <c r="H536" s="56"/>
      <c r="I536" s="55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5"/>
      <c r="G537" s="56"/>
      <c r="H537" s="56"/>
      <c r="I537" s="55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5"/>
      <c r="G538" s="56"/>
      <c r="H538" s="56"/>
      <c r="I538" s="55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5"/>
      <c r="G539" s="56"/>
      <c r="H539" s="56"/>
      <c r="I539" s="55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5"/>
      <c r="G540" s="56"/>
      <c r="H540" s="56"/>
      <c r="I540" s="55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5"/>
      <c r="G541" s="56"/>
      <c r="H541" s="56"/>
      <c r="I541" s="55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5"/>
      <c r="G542" s="56"/>
      <c r="H542" s="56"/>
      <c r="I542" s="55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5"/>
      <c r="G543" s="56"/>
      <c r="H543" s="56"/>
      <c r="I543" s="55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5"/>
      <c r="G544" s="56"/>
      <c r="H544" s="56"/>
      <c r="I544" s="55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5"/>
      <c r="G545" s="56"/>
      <c r="H545" s="56"/>
      <c r="I545" s="55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5"/>
      <c r="G546" s="56"/>
      <c r="H546" s="56"/>
      <c r="I546" s="55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5"/>
      <c r="G547" s="56"/>
      <c r="H547" s="56"/>
      <c r="I547" s="55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5"/>
      <c r="G548" s="56"/>
      <c r="H548" s="56"/>
      <c r="I548" s="55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5"/>
      <c r="G549" s="56"/>
      <c r="H549" s="56"/>
      <c r="I549" s="55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5"/>
      <c r="G550" s="56"/>
      <c r="H550" s="56"/>
      <c r="I550" s="55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5"/>
      <c r="G551" s="56"/>
      <c r="H551" s="56"/>
      <c r="I551" s="55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5"/>
      <c r="G552" s="56"/>
      <c r="H552" s="56"/>
      <c r="I552" s="55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5"/>
      <c r="G553" s="56"/>
      <c r="H553" s="56"/>
      <c r="I553" s="55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5"/>
      <c r="G554" s="56"/>
      <c r="H554" s="56"/>
      <c r="I554" s="55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5"/>
      <c r="G555" s="56"/>
      <c r="H555" s="56"/>
      <c r="I555" s="55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5"/>
      <c r="G556" s="56"/>
      <c r="H556" s="56"/>
      <c r="I556" s="55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5"/>
      <c r="G557" s="56"/>
      <c r="H557" s="56"/>
      <c r="I557" s="55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38"/>
      <c r="B558" s="38"/>
      <c r="C558" s="58"/>
      <c r="D558" s="58"/>
      <c r="E558" s="58"/>
      <c r="F558" s="58"/>
      <c r="G558" s="58"/>
      <c r="H558" s="58"/>
      <c r="I558" s="5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</row>
    <row r="559" spans="1:29" ht="15.75" customHeight="1" x14ac:dyDescent="0.5">
      <c r="A559" s="38"/>
      <c r="B559" s="38"/>
      <c r="C559" s="58"/>
      <c r="D559" s="58"/>
      <c r="E559" s="58"/>
      <c r="F559" s="58"/>
      <c r="G559" s="58"/>
      <c r="H559" s="58"/>
      <c r="I559" s="5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</row>
    <row r="560" spans="1:29" ht="15.75" customHeight="1" x14ac:dyDescent="0.5">
      <c r="A560" s="38"/>
      <c r="B560" s="38"/>
      <c r="C560" s="58"/>
      <c r="D560" s="58"/>
      <c r="E560" s="58"/>
      <c r="F560" s="58"/>
      <c r="G560" s="58"/>
      <c r="H560" s="58"/>
      <c r="I560" s="5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</row>
    <row r="561" spans="1:29" ht="15.75" customHeight="1" x14ac:dyDescent="0.5">
      <c r="A561" s="38"/>
      <c r="B561" s="38"/>
      <c r="C561" s="58"/>
      <c r="D561" s="58"/>
      <c r="E561" s="58"/>
      <c r="F561" s="58"/>
      <c r="G561" s="58"/>
      <c r="H561" s="58"/>
      <c r="I561" s="5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</row>
    <row r="562" spans="1:29" ht="15.75" customHeight="1" x14ac:dyDescent="0.5">
      <c r="A562" s="38"/>
      <c r="B562" s="38"/>
      <c r="C562" s="58"/>
      <c r="D562" s="58"/>
      <c r="E562" s="58"/>
      <c r="F562" s="58"/>
      <c r="G562" s="58"/>
      <c r="H562" s="58"/>
      <c r="I562" s="5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</row>
    <row r="563" spans="1:29" ht="15.75" customHeight="1" x14ac:dyDescent="0.5">
      <c r="A563" s="38"/>
      <c r="B563" s="38"/>
      <c r="C563" s="58"/>
      <c r="D563" s="58"/>
      <c r="E563" s="58"/>
      <c r="F563" s="58"/>
      <c r="G563" s="58"/>
      <c r="H563" s="58"/>
      <c r="I563" s="5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</row>
    <row r="564" spans="1:29" ht="15.75" customHeight="1" x14ac:dyDescent="0.5">
      <c r="A564" s="38"/>
      <c r="B564" s="38"/>
      <c r="C564" s="58"/>
      <c r="D564" s="58"/>
      <c r="E564" s="58"/>
      <c r="F564" s="58"/>
      <c r="G564" s="58"/>
      <c r="H564" s="58"/>
      <c r="I564" s="5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 spans="1:29" ht="15.75" customHeight="1" x14ac:dyDescent="0.5">
      <c r="A565" s="38"/>
      <c r="B565" s="38"/>
      <c r="C565" s="58"/>
      <c r="D565" s="58"/>
      <c r="E565" s="58"/>
      <c r="F565" s="58"/>
      <c r="G565" s="58"/>
      <c r="H565" s="58"/>
      <c r="I565" s="5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</row>
    <row r="566" spans="1:29" ht="15.75" customHeight="1" x14ac:dyDescent="0.5">
      <c r="A566" s="38"/>
      <c r="B566" s="38"/>
      <c r="C566" s="58"/>
      <c r="D566" s="58"/>
      <c r="E566" s="58"/>
      <c r="F566" s="58"/>
      <c r="G566" s="58"/>
      <c r="H566" s="58"/>
      <c r="I566" s="5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 spans="1:29" ht="15.75" customHeight="1" x14ac:dyDescent="0.5">
      <c r="A567" s="38"/>
      <c r="B567" s="38"/>
      <c r="C567" s="58"/>
      <c r="D567" s="58"/>
      <c r="E567" s="58"/>
      <c r="F567" s="58"/>
      <c r="G567" s="58"/>
      <c r="H567" s="58"/>
      <c r="I567" s="5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</row>
    <row r="568" spans="1:29" ht="15.75" customHeight="1" x14ac:dyDescent="0.5">
      <c r="A568" s="38"/>
      <c r="B568" s="38"/>
      <c r="C568" s="58"/>
      <c r="D568" s="58"/>
      <c r="E568" s="58"/>
      <c r="F568" s="58"/>
      <c r="G568" s="58"/>
      <c r="H568" s="58"/>
      <c r="I568" s="5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</row>
    <row r="569" spans="1:29" ht="15.75" customHeight="1" x14ac:dyDescent="0.5">
      <c r="A569" s="38"/>
      <c r="B569" s="38"/>
      <c r="C569" s="58"/>
      <c r="D569" s="58"/>
      <c r="E569" s="58"/>
      <c r="F569" s="58"/>
      <c r="G569" s="58"/>
      <c r="H569" s="58"/>
      <c r="I569" s="5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</row>
    <row r="570" spans="1:29" ht="15.75" customHeight="1" x14ac:dyDescent="0.5">
      <c r="A570" s="38"/>
      <c r="B570" s="38"/>
      <c r="C570" s="58"/>
      <c r="D570" s="58"/>
      <c r="E570" s="58"/>
      <c r="F570" s="58"/>
      <c r="G570" s="58"/>
      <c r="H570" s="58"/>
      <c r="I570" s="5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</row>
    <row r="571" spans="1:29" ht="15.75" customHeight="1" x14ac:dyDescent="0.5">
      <c r="A571" s="38"/>
      <c r="B571" s="38"/>
      <c r="C571" s="58"/>
      <c r="D571" s="58"/>
      <c r="E571" s="58"/>
      <c r="F571" s="58"/>
      <c r="G571" s="58"/>
      <c r="H571" s="58"/>
      <c r="I571" s="5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</row>
    <row r="572" spans="1:29" ht="15.75" customHeight="1" x14ac:dyDescent="0.5">
      <c r="A572" s="38"/>
      <c r="B572" s="38"/>
      <c r="C572" s="58"/>
      <c r="D572" s="58"/>
      <c r="E572" s="58"/>
      <c r="F572" s="58"/>
      <c r="G572" s="58"/>
      <c r="H572" s="58"/>
      <c r="I572" s="5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</row>
    <row r="573" spans="1:29" ht="15.75" customHeight="1" x14ac:dyDescent="0.5">
      <c r="A573" s="38"/>
      <c r="B573" s="38"/>
      <c r="C573" s="58"/>
      <c r="D573" s="58"/>
      <c r="E573" s="58"/>
      <c r="F573" s="58"/>
      <c r="G573" s="58"/>
      <c r="H573" s="58"/>
      <c r="I573" s="5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</row>
    <row r="574" spans="1:29" ht="15.75" customHeight="1" x14ac:dyDescent="0.5">
      <c r="A574" s="38"/>
      <c r="B574" s="38"/>
      <c r="C574" s="58"/>
      <c r="D574" s="58"/>
      <c r="E574" s="58"/>
      <c r="F574" s="58"/>
      <c r="G574" s="58"/>
      <c r="H574" s="58"/>
      <c r="I574" s="5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</row>
    <row r="575" spans="1:29" ht="15.75" customHeight="1" x14ac:dyDescent="0.5">
      <c r="A575" s="38"/>
      <c r="B575" s="38"/>
      <c r="C575" s="58"/>
      <c r="D575" s="58"/>
      <c r="E575" s="58"/>
      <c r="F575" s="58"/>
      <c r="G575" s="58"/>
      <c r="H575" s="58"/>
      <c r="I575" s="5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</row>
    <row r="576" spans="1:29" ht="15.75" customHeight="1" x14ac:dyDescent="0.5">
      <c r="A576" s="38"/>
      <c r="B576" s="38"/>
      <c r="C576" s="58"/>
      <c r="D576" s="58"/>
      <c r="E576" s="58"/>
      <c r="F576" s="58"/>
      <c r="G576" s="58"/>
      <c r="H576" s="58"/>
      <c r="I576" s="5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</row>
    <row r="577" spans="1:29" ht="15.75" customHeight="1" x14ac:dyDescent="0.5">
      <c r="A577" s="38"/>
      <c r="B577" s="38"/>
      <c r="C577" s="58"/>
      <c r="D577" s="58"/>
      <c r="E577" s="58"/>
      <c r="F577" s="58"/>
      <c r="G577" s="58"/>
      <c r="H577" s="58"/>
      <c r="I577" s="5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</row>
    <row r="578" spans="1:29" ht="15.75" customHeight="1" x14ac:dyDescent="0.5">
      <c r="A578" s="38"/>
      <c r="B578" s="38"/>
      <c r="C578" s="58"/>
      <c r="D578" s="58"/>
      <c r="E578" s="58"/>
      <c r="F578" s="58"/>
      <c r="G578" s="58"/>
      <c r="H578" s="58"/>
      <c r="I578" s="5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</row>
    <row r="579" spans="1:29" ht="15.75" customHeight="1" x14ac:dyDescent="0.5">
      <c r="A579" s="38"/>
      <c r="B579" s="38"/>
      <c r="C579" s="58"/>
      <c r="D579" s="58"/>
      <c r="E579" s="58"/>
      <c r="F579" s="58"/>
      <c r="G579" s="58"/>
      <c r="H579" s="58"/>
      <c r="I579" s="5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</row>
    <row r="580" spans="1:29" ht="15.75" customHeight="1" x14ac:dyDescent="0.5">
      <c r="A580" s="38"/>
      <c r="B580" s="38"/>
      <c r="C580" s="58"/>
      <c r="D580" s="58"/>
      <c r="E580" s="58"/>
      <c r="F580" s="58"/>
      <c r="G580" s="58"/>
      <c r="H580" s="58"/>
      <c r="I580" s="5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</row>
    <row r="581" spans="1:29" ht="15.75" customHeight="1" x14ac:dyDescent="0.5">
      <c r="A581" s="38"/>
      <c r="B581" s="38"/>
      <c r="C581" s="58"/>
      <c r="D581" s="58"/>
      <c r="E581" s="58"/>
      <c r="F581" s="58"/>
      <c r="G581" s="58"/>
      <c r="H581" s="58"/>
      <c r="I581" s="5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</row>
    <row r="582" spans="1:29" ht="15.75" customHeight="1" x14ac:dyDescent="0.5">
      <c r="A582" s="38"/>
      <c r="B582" s="38"/>
      <c r="C582" s="58"/>
      <c r="D582" s="58"/>
      <c r="E582" s="58"/>
      <c r="F582" s="58"/>
      <c r="G582" s="58"/>
      <c r="H582" s="58"/>
      <c r="I582" s="5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</row>
    <row r="583" spans="1:29" ht="15.75" customHeight="1" x14ac:dyDescent="0.5">
      <c r="A583" s="38"/>
      <c r="B583" s="38"/>
      <c r="C583" s="58"/>
      <c r="D583" s="58"/>
      <c r="E583" s="58"/>
      <c r="F583" s="58"/>
      <c r="G583" s="58"/>
      <c r="H583" s="58"/>
      <c r="I583" s="5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 spans="1:29" ht="15.75" customHeight="1" x14ac:dyDescent="0.5">
      <c r="A584" s="38"/>
      <c r="B584" s="38"/>
      <c r="C584" s="58"/>
      <c r="D584" s="58"/>
      <c r="E584" s="58"/>
      <c r="F584" s="58"/>
      <c r="G584" s="58"/>
      <c r="H584" s="58"/>
      <c r="I584" s="5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</row>
    <row r="585" spans="1:29" ht="15.75" customHeight="1" x14ac:dyDescent="0.5">
      <c r="A585" s="38"/>
      <c r="B585" s="38"/>
      <c r="C585" s="58"/>
      <c r="D585" s="58"/>
      <c r="E585" s="58"/>
      <c r="F585" s="58"/>
      <c r="G585" s="58"/>
      <c r="H585" s="58"/>
      <c r="I585" s="5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</row>
    <row r="586" spans="1:29" ht="15.75" customHeight="1" x14ac:dyDescent="0.5">
      <c r="A586" s="38"/>
      <c r="B586" s="38"/>
      <c r="C586" s="58"/>
      <c r="D586" s="58"/>
      <c r="E586" s="58"/>
      <c r="F586" s="58"/>
      <c r="G586" s="58"/>
      <c r="H586" s="58"/>
      <c r="I586" s="5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</row>
    <row r="587" spans="1:29" ht="15.75" customHeight="1" x14ac:dyDescent="0.5">
      <c r="A587" s="38"/>
      <c r="B587" s="38"/>
      <c r="C587" s="58"/>
      <c r="D587" s="58"/>
      <c r="E587" s="58"/>
      <c r="F587" s="58"/>
      <c r="G587" s="58"/>
      <c r="H587" s="58"/>
      <c r="I587" s="5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</row>
    <row r="588" spans="1:29" ht="15.75" customHeight="1" x14ac:dyDescent="0.5">
      <c r="A588" s="38"/>
      <c r="B588" s="38"/>
      <c r="C588" s="58"/>
      <c r="D588" s="58"/>
      <c r="E588" s="58"/>
      <c r="F588" s="58"/>
      <c r="G588" s="58"/>
      <c r="H588" s="58"/>
      <c r="I588" s="5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</row>
    <row r="589" spans="1:29" ht="15.75" customHeight="1" x14ac:dyDescent="0.5">
      <c r="A589" s="38"/>
      <c r="B589" s="38"/>
      <c r="C589" s="58"/>
      <c r="D589" s="58"/>
      <c r="E589" s="58"/>
      <c r="F589" s="58"/>
      <c r="G589" s="58"/>
      <c r="H589" s="58"/>
      <c r="I589" s="5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</row>
    <row r="590" spans="1:29" ht="15.75" customHeight="1" x14ac:dyDescent="0.5">
      <c r="A590" s="38"/>
      <c r="B590" s="38"/>
      <c r="C590" s="58"/>
      <c r="D590" s="58"/>
      <c r="E590" s="58"/>
      <c r="F590" s="58"/>
      <c r="G590" s="58"/>
      <c r="H590" s="58"/>
      <c r="I590" s="5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</row>
    <row r="591" spans="1:29" ht="15.75" customHeight="1" x14ac:dyDescent="0.5">
      <c r="A591" s="38"/>
      <c r="B591" s="38"/>
      <c r="C591" s="58"/>
      <c r="D591" s="58"/>
      <c r="E591" s="58"/>
      <c r="F591" s="58"/>
      <c r="G591" s="58"/>
      <c r="H591" s="58"/>
      <c r="I591" s="5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</row>
    <row r="592" spans="1:29" ht="15.75" customHeight="1" x14ac:dyDescent="0.5">
      <c r="A592" s="38"/>
      <c r="B592" s="38"/>
      <c r="C592" s="58"/>
      <c r="D592" s="58"/>
      <c r="E592" s="58"/>
      <c r="F592" s="58"/>
      <c r="G592" s="58"/>
      <c r="H592" s="58"/>
      <c r="I592" s="5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</row>
    <row r="593" spans="1:29" ht="15.75" customHeight="1" x14ac:dyDescent="0.5">
      <c r="A593" s="38"/>
      <c r="B593" s="38"/>
      <c r="C593" s="58"/>
      <c r="D593" s="58"/>
      <c r="E593" s="58"/>
      <c r="F593" s="58"/>
      <c r="G593" s="58"/>
      <c r="H593" s="58"/>
      <c r="I593" s="5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</row>
    <row r="594" spans="1:29" ht="15.75" customHeight="1" x14ac:dyDescent="0.5">
      <c r="A594" s="38"/>
      <c r="B594" s="38"/>
      <c r="C594" s="58"/>
      <c r="D594" s="58"/>
      <c r="E594" s="58"/>
      <c r="F594" s="58"/>
      <c r="G594" s="58"/>
      <c r="H594" s="58"/>
      <c r="I594" s="5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</row>
    <row r="595" spans="1:29" ht="15.75" customHeight="1" x14ac:dyDescent="0.5">
      <c r="A595" s="38"/>
      <c r="B595" s="38"/>
      <c r="C595" s="58"/>
      <c r="D595" s="58"/>
      <c r="E595" s="58"/>
      <c r="F595" s="58"/>
      <c r="G595" s="58"/>
      <c r="H595" s="58"/>
      <c r="I595" s="5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</row>
    <row r="596" spans="1:29" ht="15.75" customHeight="1" x14ac:dyDescent="0.5">
      <c r="A596" s="38"/>
      <c r="B596" s="38"/>
      <c r="C596" s="58"/>
      <c r="D596" s="58"/>
      <c r="E596" s="58"/>
      <c r="F596" s="58"/>
      <c r="G596" s="58"/>
      <c r="H596" s="58"/>
      <c r="I596" s="5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</row>
    <row r="597" spans="1:29" ht="15.75" customHeight="1" x14ac:dyDescent="0.5">
      <c r="A597" s="38"/>
      <c r="B597" s="38"/>
      <c r="C597" s="58"/>
      <c r="D597" s="58"/>
      <c r="E597" s="58"/>
      <c r="F597" s="58"/>
      <c r="G597" s="58"/>
      <c r="H597" s="58"/>
      <c r="I597" s="5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</row>
    <row r="598" spans="1:29" ht="15.75" customHeight="1" x14ac:dyDescent="0.5">
      <c r="A598" s="38"/>
      <c r="B598" s="38"/>
      <c r="C598" s="58"/>
      <c r="D598" s="58"/>
      <c r="E598" s="58"/>
      <c r="F598" s="58"/>
      <c r="G598" s="58"/>
      <c r="H598" s="58"/>
      <c r="I598" s="5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</row>
    <row r="599" spans="1:29" ht="15.75" customHeight="1" x14ac:dyDescent="0.5">
      <c r="A599" s="38"/>
      <c r="B599" s="38"/>
      <c r="C599" s="58"/>
      <c r="D599" s="58"/>
      <c r="E599" s="58"/>
      <c r="F599" s="58"/>
      <c r="G599" s="58"/>
      <c r="H599" s="58"/>
      <c r="I599" s="5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</row>
    <row r="600" spans="1:29" ht="15.75" customHeight="1" x14ac:dyDescent="0.5">
      <c r="A600" s="38"/>
      <c r="B600" s="38"/>
      <c r="C600" s="58"/>
      <c r="D600" s="58"/>
      <c r="E600" s="58"/>
      <c r="F600" s="58"/>
      <c r="G600" s="58"/>
      <c r="H600" s="58"/>
      <c r="I600" s="5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</row>
    <row r="601" spans="1:29" ht="15.75" customHeight="1" x14ac:dyDescent="0.5">
      <c r="A601" s="38"/>
      <c r="B601" s="38"/>
      <c r="C601" s="58"/>
      <c r="D601" s="58"/>
      <c r="E601" s="58"/>
      <c r="F601" s="58"/>
      <c r="G601" s="58"/>
      <c r="H601" s="58"/>
      <c r="I601" s="5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</row>
    <row r="602" spans="1:29" ht="15.75" customHeight="1" x14ac:dyDescent="0.5">
      <c r="A602" s="38"/>
      <c r="B602" s="38"/>
      <c r="C602" s="58"/>
      <c r="D602" s="58"/>
      <c r="E602" s="58"/>
      <c r="F602" s="58"/>
      <c r="G602" s="58"/>
      <c r="H602" s="58"/>
      <c r="I602" s="5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</row>
    <row r="603" spans="1:29" ht="15.75" customHeight="1" x14ac:dyDescent="0.5">
      <c r="A603" s="38"/>
      <c r="B603" s="38"/>
      <c r="C603" s="58"/>
      <c r="D603" s="58"/>
      <c r="E603" s="58"/>
      <c r="F603" s="58"/>
      <c r="G603" s="58"/>
      <c r="H603" s="58"/>
      <c r="I603" s="5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</row>
    <row r="604" spans="1:29" ht="15.75" customHeight="1" x14ac:dyDescent="0.5">
      <c r="A604" s="38"/>
      <c r="B604" s="38"/>
      <c r="C604" s="58"/>
      <c r="D604" s="58"/>
      <c r="E604" s="58"/>
      <c r="F604" s="58"/>
      <c r="G604" s="58"/>
      <c r="H604" s="58"/>
      <c r="I604" s="5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</row>
    <row r="605" spans="1:29" ht="15.75" customHeight="1" x14ac:dyDescent="0.5">
      <c r="A605" s="38"/>
      <c r="B605" s="38"/>
      <c r="C605" s="58"/>
      <c r="D605" s="58"/>
      <c r="E605" s="58"/>
      <c r="F605" s="58"/>
      <c r="G605" s="58"/>
      <c r="H605" s="58"/>
      <c r="I605" s="5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</row>
    <row r="606" spans="1:29" ht="15.75" customHeight="1" x14ac:dyDescent="0.5">
      <c r="A606" s="38"/>
      <c r="B606" s="38"/>
      <c r="C606" s="58"/>
      <c r="D606" s="58"/>
      <c r="E606" s="58"/>
      <c r="F606" s="58"/>
      <c r="G606" s="58"/>
      <c r="H606" s="58"/>
      <c r="I606" s="5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</row>
    <row r="607" spans="1:29" ht="15.75" customHeight="1" x14ac:dyDescent="0.5">
      <c r="A607" s="38"/>
      <c r="B607" s="38"/>
      <c r="C607" s="58"/>
      <c r="D607" s="58"/>
      <c r="E607" s="58"/>
      <c r="F607" s="58"/>
      <c r="G607" s="58"/>
      <c r="H607" s="58"/>
      <c r="I607" s="5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</row>
    <row r="608" spans="1:29" ht="15.75" customHeight="1" x14ac:dyDescent="0.5">
      <c r="A608" s="38"/>
      <c r="B608" s="38"/>
      <c r="C608" s="58"/>
      <c r="D608" s="58"/>
      <c r="E608" s="58"/>
      <c r="F608" s="58"/>
      <c r="G608" s="58"/>
      <c r="H608" s="58"/>
      <c r="I608" s="5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</row>
    <row r="609" spans="1:29" ht="15.75" customHeight="1" x14ac:dyDescent="0.5">
      <c r="A609" s="38"/>
      <c r="B609" s="38"/>
      <c r="C609" s="58"/>
      <c r="D609" s="58"/>
      <c r="E609" s="58"/>
      <c r="F609" s="58"/>
      <c r="G609" s="58"/>
      <c r="H609" s="58"/>
      <c r="I609" s="5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</row>
    <row r="610" spans="1:29" ht="15.75" customHeight="1" x14ac:dyDescent="0.5">
      <c r="A610" s="38"/>
      <c r="B610" s="38"/>
      <c r="C610" s="58"/>
      <c r="D610" s="58"/>
      <c r="E610" s="58"/>
      <c r="F610" s="58"/>
      <c r="G610" s="58"/>
      <c r="H610" s="58"/>
      <c r="I610" s="5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</row>
    <row r="611" spans="1:29" ht="15.75" customHeight="1" x14ac:dyDescent="0.5">
      <c r="A611" s="38"/>
      <c r="B611" s="38"/>
      <c r="C611" s="58"/>
      <c r="D611" s="58"/>
      <c r="E611" s="58"/>
      <c r="F611" s="58"/>
      <c r="G611" s="58"/>
      <c r="H611" s="58"/>
      <c r="I611" s="5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</row>
    <row r="612" spans="1:29" ht="15.75" customHeight="1" x14ac:dyDescent="0.5">
      <c r="A612" s="38"/>
      <c r="B612" s="38"/>
      <c r="C612" s="58"/>
      <c r="D612" s="58"/>
      <c r="E612" s="58"/>
      <c r="F612" s="58"/>
      <c r="G612" s="58"/>
      <c r="H612" s="58"/>
      <c r="I612" s="5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</row>
    <row r="613" spans="1:29" ht="15.75" customHeight="1" x14ac:dyDescent="0.5">
      <c r="A613" s="38"/>
      <c r="B613" s="38"/>
      <c r="C613" s="58"/>
      <c r="D613" s="58"/>
      <c r="E613" s="58"/>
      <c r="F613" s="58"/>
      <c r="G613" s="58"/>
      <c r="H613" s="58"/>
      <c r="I613" s="5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</row>
    <row r="614" spans="1:29" ht="15.75" customHeight="1" x14ac:dyDescent="0.5">
      <c r="A614" s="38"/>
      <c r="B614" s="38"/>
      <c r="C614" s="58"/>
      <c r="D614" s="58"/>
      <c r="E614" s="58"/>
      <c r="F614" s="58"/>
      <c r="G614" s="58"/>
      <c r="H614" s="58"/>
      <c r="I614" s="5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</row>
    <row r="615" spans="1:29" ht="15.75" customHeight="1" x14ac:dyDescent="0.5">
      <c r="A615" s="38"/>
      <c r="B615" s="38"/>
      <c r="C615" s="58"/>
      <c r="D615" s="58"/>
      <c r="E615" s="58"/>
      <c r="F615" s="58"/>
      <c r="G615" s="58"/>
      <c r="H615" s="58"/>
      <c r="I615" s="5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</row>
    <row r="616" spans="1:29" ht="15.75" customHeight="1" x14ac:dyDescent="0.5">
      <c r="A616" s="38"/>
      <c r="B616" s="38"/>
      <c r="C616" s="58"/>
      <c r="D616" s="58"/>
      <c r="E616" s="58"/>
      <c r="F616" s="58"/>
      <c r="G616" s="58"/>
      <c r="H616" s="58"/>
      <c r="I616" s="5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</row>
    <row r="617" spans="1:29" ht="15.75" customHeight="1" x14ac:dyDescent="0.5">
      <c r="A617" s="38"/>
      <c r="B617" s="38"/>
      <c r="C617" s="58"/>
      <c r="D617" s="58"/>
      <c r="E617" s="58"/>
      <c r="F617" s="58"/>
      <c r="G617" s="58"/>
      <c r="H617" s="58"/>
      <c r="I617" s="5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</row>
    <row r="618" spans="1:29" ht="15.75" customHeight="1" x14ac:dyDescent="0.5">
      <c r="A618" s="38"/>
      <c r="B618" s="38"/>
      <c r="C618" s="58"/>
      <c r="D618" s="58"/>
      <c r="E618" s="58"/>
      <c r="F618" s="58"/>
      <c r="G618" s="58"/>
      <c r="H618" s="58"/>
      <c r="I618" s="5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</row>
    <row r="619" spans="1:29" ht="15.75" customHeight="1" x14ac:dyDescent="0.5">
      <c r="A619" s="38"/>
      <c r="B619" s="38"/>
      <c r="C619" s="58"/>
      <c r="D619" s="58"/>
      <c r="E619" s="58"/>
      <c r="F619" s="58"/>
      <c r="G619" s="58"/>
      <c r="H619" s="58"/>
      <c r="I619" s="5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</row>
    <row r="620" spans="1:29" ht="15.75" customHeight="1" x14ac:dyDescent="0.5">
      <c r="A620" s="38"/>
      <c r="B620" s="38"/>
      <c r="C620" s="58"/>
      <c r="D620" s="58"/>
      <c r="E620" s="58"/>
      <c r="F620" s="58"/>
      <c r="G620" s="58"/>
      <c r="H620" s="58"/>
      <c r="I620" s="5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</row>
    <row r="621" spans="1:29" ht="15.75" customHeight="1" x14ac:dyDescent="0.5">
      <c r="A621" s="38"/>
      <c r="B621" s="38"/>
      <c r="C621" s="58"/>
      <c r="D621" s="58"/>
      <c r="E621" s="58"/>
      <c r="F621" s="58"/>
      <c r="G621" s="58"/>
      <c r="H621" s="58"/>
      <c r="I621" s="5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</row>
    <row r="622" spans="1:29" ht="15.75" customHeight="1" x14ac:dyDescent="0.5">
      <c r="A622" s="38"/>
      <c r="B622" s="38"/>
      <c r="C622" s="58"/>
      <c r="D622" s="58"/>
      <c r="E622" s="58"/>
      <c r="F622" s="58"/>
      <c r="G622" s="58"/>
      <c r="H622" s="58"/>
      <c r="I622" s="5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</row>
    <row r="623" spans="1:29" ht="15.75" customHeight="1" x14ac:dyDescent="0.5">
      <c r="A623" s="38"/>
      <c r="B623" s="38"/>
      <c r="C623" s="58"/>
      <c r="D623" s="58"/>
      <c r="E623" s="58"/>
      <c r="F623" s="58"/>
      <c r="G623" s="58"/>
      <c r="H623" s="58"/>
      <c r="I623" s="5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</row>
    <row r="624" spans="1:29" ht="15.75" customHeight="1" x14ac:dyDescent="0.5">
      <c r="A624" s="38"/>
      <c r="B624" s="38"/>
      <c r="C624" s="58"/>
      <c r="D624" s="58"/>
      <c r="E624" s="58"/>
      <c r="F624" s="58"/>
      <c r="G624" s="58"/>
      <c r="H624" s="58"/>
      <c r="I624" s="5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</row>
    <row r="625" spans="1:29" ht="15.75" customHeight="1" x14ac:dyDescent="0.5">
      <c r="A625" s="38"/>
      <c r="B625" s="38"/>
      <c r="C625" s="58"/>
      <c r="D625" s="58"/>
      <c r="E625" s="58"/>
      <c r="F625" s="58"/>
      <c r="G625" s="58"/>
      <c r="H625" s="58"/>
      <c r="I625" s="5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</row>
    <row r="626" spans="1:29" ht="15.75" customHeight="1" x14ac:dyDescent="0.5">
      <c r="A626" s="38"/>
      <c r="B626" s="38"/>
      <c r="C626" s="58"/>
      <c r="D626" s="58"/>
      <c r="E626" s="58"/>
      <c r="F626" s="58"/>
      <c r="G626" s="58"/>
      <c r="H626" s="58"/>
      <c r="I626" s="5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 spans="1:29" ht="15.75" customHeight="1" x14ac:dyDescent="0.5">
      <c r="A627" s="38"/>
      <c r="B627" s="38"/>
      <c r="C627" s="58"/>
      <c r="D627" s="58"/>
      <c r="E627" s="58"/>
      <c r="F627" s="58"/>
      <c r="G627" s="58"/>
      <c r="H627" s="58"/>
      <c r="I627" s="5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</row>
    <row r="628" spans="1:29" ht="15.75" customHeight="1" x14ac:dyDescent="0.5">
      <c r="A628" s="38"/>
      <c r="B628" s="38"/>
      <c r="C628" s="58"/>
      <c r="D628" s="58"/>
      <c r="E628" s="58"/>
      <c r="F628" s="58"/>
      <c r="G628" s="58"/>
      <c r="H628" s="58"/>
      <c r="I628" s="5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</row>
    <row r="629" spans="1:29" ht="15.75" customHeight="1" x14ac:dyDescent="0.5">
      <c r="A629" s="38"/>
      <c r="B629" s="38"/>
      <c r="C629" s="58"/>
      <c r="D629" s="58"/>
      <c r="E629" s="58"/>
      <c r="F629" s="58"/>
      <c r="G629" s="58"/>
      <c r="H629" s="58"/>
      <c r="I629" s="5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</row>
    <row r="630" spans="1:29" ht="15.75" customHeight="1" x14ac:dyDescent="0.5">
      <c r="A630" s="38"/>
      <c r="B630" s="38"/>
      <c r="C630" s="58"/>
      <c r="D630" s="58"/>
      <c r="E630" s="58"/>
      <c r="F630" s="58"/>
      <c r="G630" s="58"/>
      <c r="H630" s="58"/>
      <c r="I630" s="5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</row>
    <row r="631" spans="1:29" ht="15.75" customHeight="1" x14ac:dyDescent="0.5">
      <c r="A631" s="38"/>
      <c r="B631" s="38"/>
      <c r="C631" s="58"/>
      <c r="D631" s="58"/>
      <c r="E631" s="58"/>
      <c r="F631" s="58"/>
      <c r="G631" s="58"/>
      <c r="H631" s="58"/>
      <c r="I631" s="5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</row>
    <row r="632" spans="1:29" ht="15.75" customHeight="1" x14ac:dyDescent="0.5">
      <c r="A632" s="38"/>
      <c r="B632" s="38"/>
      <c r="C632" s="58"/>
      <c r="D632" s="58"/>
      <c r="E632" s="58"/>
      <c r="F632" s="58"/>
      <c r="G632" s="58"/>
      <c r="H632" s="58"/>
      <c r="I632" s="5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</row>
    <row r="633" spans="1:29" ht="15.75" customHeight="1" x14ac:dyDescent="0.5">
      <c r="A633" s="38"/>
      <c r="B633" s="38"/>
      <c r="C633" s="58"/>
      <c r="D633" s="58"/>
      <c r="E633" s="58"/>
      <c r="F633" s="58"/>
      <c r="G633" s="58"/>
      <c r="H633" s="58"/>
      <c r="I633" s="5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</row>
    <row r="634" spans="1:29" ht="15.75" customHeight="1" x14ac:dyDescent="0.5">
      <c r="A634" s="38"/>
      <c r="B634" s="38"/>
      <c r="C634" s="58"/>
      <c r="D634" s="58"/>
      <c r="E634" s="58"/>
      <c r="F634" s="58"/>
      <c r="G634" s="58"/>
      <c r="H634" s="58"/>
      <c r="I634" s="5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</row>
    <row r="635" spans="1:29" ht="15.75" customHeight="1" x14ac:dyDescent="0.5">
      <c r="A635" s="38"/>
      <c r="B635" s="38"/>
      <c r="C635" s="58"/>
      <c r="D635" s="58"/>
      <c r="E635" s="58"/>
      <c r="F635" s="58"/>
      <c r="G635" s="58"/>
      <c r="H635" s="58"/>
      <c r="I635" s="5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</row>
    <row r="636" spans="1:29" ht="15.75" customHeight="1" x14ac:dyDescent="0.5">
      <c r="A636" s="38"/>
      <c r="B636" s="38"/>
      <c r="C636" s="58"/>
      <c r="D636" s="58"/>
      <c r="E636" s="58"/>
      <c r="F636" s="58"/>
      <c r="G636" s="58"/>
      <c r="H636" s="58"/>
      <c r="I636" s="5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</row>
    <row r="637" spans="1:29" ht="15.75" customHeight="1" x14ac:dyDescent="0.5">
      <c r="A637" s="38"/>
      <c r="B637" s="38"/>
      <c r="C637" s="58"/>
      <c r="D637" s="58"/>
      <c r="E637" s="58"/>
      <c r="F637" s="58"/>
      <c r="G637" s="58"/>
      <c r="H637" s="58"/>
      <c r="I637" s="5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</row>
    <row r="638" spans="1:29" ht="15.75" customHeight="1" x14ac:dyDescent="0.5">
      <c r="A638" s="38"/>
      <c r="B638" s="38"/>
      <c r="C638" s="58"/>
      <c r="D638" s="58"/>
      <c r="E638" s="58"/>
      <c r="F638" s="58"/>
      <c r="G638" s="58"/>
      <c r="H638" s="58"/>
      <c r="I638" s="5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</row>
    <row r="639" spans="1:29" ht="15.75" customHeight="1" x14ac:dyDescent="0.5">
      <c r="A639" s="38"/>
      <c r="B639" s="38"/>
      <c r="C639" s="58"/>
      <c r="D639" s="58"/>
      <c r="E639" s="58"/>
      <c r="F639" s="58"/>
      <c r="G639" s="58"/>
      <c r="H639" s="58"/>
      <c r="I639" s="5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</row>
    <row r="640" spans="1:29" ht="15.75" customHeight="1" x14ac:dyDescent="0.5">
      <c r="A640" s="38"/>
      <c r="B640" s="38"/>
      <c r="C640" s="58"/>
      <c r="D640" s="58"/>
      <c r="E640" s="58"/>
      <c r="F640" s="58"/>
      <c r="G640" s="58"/>
      <c r="H640" s="58"/>
      <c r="I640" s="5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</row>
    <row r="641" spans="1:29" ht="15.75" customHeight="1" x14ac:dyDescent="0.5">
      <c r="A641" s="38"/>
      <c r="B641" s="38"/>
      <c r="C641" s="58"/>
      <c r="D641" s="58"/>
      <c r="E641" s="58"/>
      <c r="F641" s="58"/>
      <c r="G641" s="58"/>
      <c r="H641" s="58"/>
      <c r="I641" s="5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</row>
    <row r="642" spans="1:29" ht="15.75" customHeight="1" x14ac:dyDescent="0.5">
      <c r="A642" s="38"/>
      <c r="B642" s="38"/>
      <c r="C642" s="58"/>
      <c r="D642" s="58"/>
      <c r="E642" s="58"/>
      <c r="F642" s="58"/>
      <c r="G642" s="58"/>
      <c r="H642" s="58"/>
      <c r="I642" s="5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</row>
    <row r="643" spans="1:29" ht="15.75" customHeight="1" x14ac:dyDescent="0.5">
      <c r="A643" s="38"/>
      <c r="B643" s="38"/>
      <c r="C643" s="58"/>
      <c r="D643" s="58"/>
      <c r="E643" s="58"/>
      <c r="F643" s="58"/>
      <c r="G643" s="58"/>
      <c r="H643" s="58"/>
      <c r="I643" s="5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</row>
    <row r="644" spans="1:29" ht="15.75" customHeight="1" x14ac:dyDescent="0.5">
      <c r="A644" s="38"/>
      <c r="B644" s="38"/>
      <c r="C644" s="58"/>
      <c r="D644" s="58"/>
      <c r="E644" s="58"/>
      <c r="F644" s="58"/>
      <c r="G644" s="58"/>
      <c r="H644" s="58"/>
      <c r="I644" s="5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</row>
    <row r="645" spans="1:29" ht="15.75" customHeight="1" x14ac:dyDescent="0.5">
      <c r="A645" s="38"/>
      <c r="B645" s="38"/>
      <c r="C645" s="58"/>
      <c r="D645" s="58"/>
      <c r="E645" s="58"/>
      <c r="F645" s="58"/>
      <c r="G645" s="58"/>
      <c r="H645" s="58"/>
      <c r="I645" s="5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</row>
    <row r="646" spans="1:29" ht="15.75" customHeight="1" x14ac:dyDescent="0.5">
      <c r="A646" s="38"/>
      <c r="B646" s="38"/>
      <c r="C646" s="58"/>
      <c r="D646" s="58"/>
      <c r="E646" s="58"/>
      <c r="F646" s="58"/>
      <c r="G646" s="58"/>
      <c r="H646" s="58"/>
      <c r="I646" s="5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</row>
    <row r="647" spans="1:29" ht="15.75" customHeight="1" x14ac:dyDescent="0.5">
      <c r="A647" s="38"/>
      <c r="B647" s="38"/>
      <c r="C647" s="58"/>
      <c r="D647" s="58"/>
      <c r="E647" s="58"/>
      <c r="F647" s="58"/>
      <c r="G647" s="58"/>
      <c r="H647" s="58"/>
      <c r="I647" s="5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</row>
    <row r="648" spans="1:29" ht="15.75" customHeight="1" x14ac:dyDescent="0.5">
      <c r="A648" s="38"/>
      <c r="B648" s="38"/>
      <c r="C648" s="58"/>
      <c r="D648" s="58"/>
      <c r="E648" s="58"/>
      <c r="F648" s="58"/>
      <c r="G648" s="58"/>
      <c r="H648" s="58"/>
      <c r="I648" s="5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</row>
    <row r="649" spans="1:29" ht="15.75" customHeight="1" x14ac:dyDescent="0.5">
      <c r="A649" s="38"/>
      <c r="B649" s="38"/>
      <c r="C649" s="58"/>
      <c r="D649" s="58"/>
      <c r="E649" s="58"/>
      <c r="F649" s="58"/>
      <c r="G649" s="58"/>
      <c r="H649" s="58"/>
      <c r="I649" s="5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</row>
    <row r="650" spans="1:29" ht="15.75" customHeight="1" x14ac:dyDescent="0.5">
      <c r="A650" s="38"/>
      <c r="B650" s="38"/>
      <c r="C650" s="58"/>
      <c r="D650" s="58"/>
      <c r="E650" s="58"/>
      <c r="F650" s="58"/>
      <c r="G650" s="58"/>
      <c r="H650" s="58"/>
      <c r="I650" s="5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</row>
    <row r="651" spans="1:29" ht="15.75" customHeight="1" x14ac:dyDescent="0.5">
      <c r="A651" s="38"/>
      <c r="B651" s="38"/>
      <c r="C651" s="58"/>
      <c r="D651" s="58"/>
      <c r="E651" s="58"/>
      <c r="F651" s="58"/>
      <c r="G651" s="58"/>
      <c r="H651" s="58"/>
      <c r="I651" s="5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</row>
    <row r="652" spans="1:29" ht="15.75" customHeight="1" x14ac:dyDescent="0.5">
      <c r="A652" s="38"/>
      <c r="B652" s="38"/>
      <c r="C652" s="58"/>
      <c r="D652" s="58"/>
      <c r="E652" s="58"/>
      <c r="F652" s="58"/>
      <c r="G652" s="58"/>
      <c r="H652" s="58"/>
      <c r="I652" s="5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</row>
    <row r="653" spans="1:29" ht="15.75" customHeight="1" x14ac:dyDescent="0.5">
      <c r="A653" s="38"/>
      <c r="B653" s="38"/>
      <c r="C653" s="58"/>
      <c r="D653" s="58"/>
      <c r="E653" s="58"/>
      <c r="F653" s="58"/>
      <c r="G653" s="58"/>
      <c r="H653" s="58"/>
      <c r="I653" s="5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</row>
    <row r="654" spans="1:29" ht="15.75" customHeight="1" x14ac:dyDescent="0.5">
      <c r="A654" s="38"/>
      <c r="B654" s="38"/>
      <c r="C654" s="58"/>
      <c r="D654" s="58"/>
      <c r="E654" s="58"/>
      <c r="F654" s="58"/>
      <c r="G654" s="58"/>
      <c r="H654" s="58"/>
      <c r="I654" s="5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</row>
    <row r="655" spans="1:29" ht="15.75" customHeight="1" x14ac:dyDescent="0.5">
      <c r="A655" s="38"/>
      <c r="B655" s="38"/>
      <c r="C655" s="58"/>
      <c r="D655" s="58"/>
      <c r="E655" s="58"/>
      <c r="F655" s="58"/>
      <c r="G655" s="58"/>
      <c r="H655" s="58"/>
      <c r="I655" s="5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</row>
    <row r="656" spans="1:29" ht="15.75" customHeight="1" x14ac:dyDescent="0.5">
      <c r="A656" s="38"/>
      <c r="B656" s="38"/>
      <c r="C656" s="58"/>
      <c r="D656" s="58"/>
      <c r="E656" s="58"/>
      <c r="F656" s="58"/>
      <c r="G656" s="58"/>
      <c r="H656" s="58"/>
      <c r="I656" s="5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</row>
    <row r="657" spans="1:29" ht="15.75" customHeight="1" x14ac:dyDescent="0.5">
      <c r="A657" s="38"/>
      <c r="B657" s="38"/>
      <c r="C657" s="58"/>
      <c r="D657" s="58"/>
      <c r="E657" s="58"/>
      <c r="F657" s="58"/>
      <c r="G657" s="58"/>
      <c r="H657" s="58"/>
      <c r="I657" s="5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</row>
    <row r="658" spans="1:29" ht="15.75" customHeight="1" x14ac:dyDescent="0.5">
      <c r="A658" s="38"/>
      <c r="B658" s="38"/>
      <c r="C658" s="58"/>
      <c r="D658" s="58"/>
      <c r="E658" s="58"/>
      <c r="F658" s="58"/>
      <c r="G658" s="58"/>
      <c r="H658" s="58"/>
      <c r="I658" s="5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</row>
    <row r="659" spans="1:29" ht="15.75" customHeight="1" x14ac:dyDescent="0.5">
      <c r="A659" s="38"/>
      <c r="B659" s="38"/>
      <c r="C659" s="58"/>
      <c r="D659" s="58"/>
      <c r="E659" s="58"/>
      <c r="F659" s="58"/>
      <c r="G659" s="58"/>
      <c r="H659" s="58"/>
      <c r="I659" s="5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</row>
    <row r="660" spans="1:29" ht="15.75" customHeight="1" x14ac:dyDescent="0.5">
      <c r="A660" s="38"/>
      <c r="B660" s="38"/>
      <c r="C660" s="58"/>
      <c r="D660" s="58"/>
      <c r="E660" s="58"/>
      <c r="F660" s="58"/>
      <c r="G660" s="58"/>
      <c r="H660" s="58"/>
      <c r="I660" s="5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</row>
    <row r="661" spans="1:29" ht="15.75" customHeight="1" x14ac:dyDescent="0.5">
      <c r="A661" s="38"/>
      <c r="B661" s="38"/>
      <c r="C661" s="58"/>
      <c r="D661" s="58"/>
      <c r="E661" s="58"/>
      <c r="F661" s="58"/>
      <c r="G661" s="58"/>
      <c r="H661" s="58"/>
      <c r="I661" s="5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</row>
    <row r="662" spans="1:29" ht="15.75" customHeight="1" x14ac:dyDescent="0.5">
      <c r="A662" s="38"/>
      <c r="B662" s="38"/>
      <c r="C662" s="58"/>
      <c r="D662" s="58"/>
      <c r="E662" s="58"/>
      <c r="F662" s="58"/>
      <c r="G662" s="58"/>
      <c r="H662" s="58"/>
      <c r="I662" s="5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spans="1:29" ht="15.75" customHeight="1" x14ac:dyDescent="0.5">
      <c r="A663" s="38"/>
      <c r="B663" s="38"/>
      <c r="C663" s="58"/>
      <c r="D663" s="58"/>
      <c r="E663" s="58"/>
      <c r="F663" s="58"/>
      <c r="G663" s="58"/>
      <c r="H663" s="58"/>
      <c r="I663" s="5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 spans="1:29" ht="15.75" customHeight="1" x14ac:dyDescent="0.5">
      <c r="A664" s="38"/>
      <c r="B664" s="38"/>
      <c r="C664" s="58"/>
      <c r="D664" s="58"/>
      <c r="E664" s="58"/>
      <c r="F664" s="58"/>
      <c r="G664" s="58"/>
      <c r="H664" s="58"/>
      <c r="I664" s="5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</row>
    <row r="665" spans="1:29" ht="15.75" customHeight="1" x14ac:dyDescent="0.5">
      <c r="A665" s="38"/>
      <c r="B665" s="38"/>
      <c r="C665" s="58"/>
      <c r="D665" s="58"/>
      <c r="E665" s="58"/>
      <c r="F665" s="58"/>
      <c r="G665" s="58"/>
      <c r="H665" s="58"/>
      <c r="I665" s="5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</row>
    <row r="666" spans="1:29" ht="15.75" customHeight="1" x14ac:dyDescent="0.5">
      <c r="A666" s="38"/>
      <c r="B666" s="38"/>
      <c r="C666" s="58"/>
      <c r="D666" s="58"/>
      <c r="E666" s="58"/>
      <c r="F666" s="58"/>
      <c r="G666" s="58"/>
      <c r="H666" s="58"/>
      <c r="I666" s="5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</row>
    <row r="667" spans="1:29" ht="15.75" customHeight="1" x14ac:dyDescent="0.5">
      <c r="A667" s="38"/>
      <c r="B667" s="38"/>
      <c r="C667" s="58"/>
      <c r="D667" s="58"/>
      <c r="E667" s="58"/>
      <c r="F667" s="58"/>
      <c r="G667" s="58"/>
      <c r="H667" s="58"/>
      <c r="I667" s="5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</row>
    <row r="668" spans="1:29" ht="15.75" customHeight="1" x14ac:dyDescent="0.5">
      <c r="A668" s="38"/>
      <c r="B668" s="38"/>
      <c r="C668" s="58"/>
      <c r="D668" s="58"/>
      <c r="E668" s="58"/>
      <c r="F668" s="58"/>
      <c r="G668" s="58"/>
      <c r="H668" s="58"/>
      <c r="I668" s="5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</row>
    <row r="669" spans="1:29" ht="15.75" customHeight="1" x14ac:dyDescent="0.5">
      <c r="A669" s="38"/>
      <c r="B669" s="38"/>
      <c r="C669" s="58"/>
      <c r="D669" s="58"/>
      <c r="E669" s="58"/>
      <c r="F669" s="58"/>
      <c r="G669" s="58"/>
      <c r="H669" s="58"/>
      <c r="I669" s="5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</row>
    <row r="670" spans="1:29" ht="15.75" customHeight="1" x14ac:dyDescent="0.5">
      <c r="A670" s="38"/>
      <c r="B670" s="38"/>
      <c r="C670" s="58"/>
      <c r="D670" s="58"/>
      <c r="E670" s="58"/>
      <c r="F670" s="58"/>
      <c r="G670" s="58"/>
      <c r="H670" s="58"/>
      <c r="I670" s="5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 spans="1:29" ht="15.75" customHeight="1" x14ac:dyDescent="0.5">
      <c r="A671" s="38"/>
      <c r="B671" s="38"/>
      <c r="C671" s="58"/>
      <c r="D671" s="58"/>
      <c r="E671" s="58"/>
      <c r="F671" s="58"/>
      <c r="G671" s="58"/>
      <c r="H671" s="58"/>
      <c r="I671" s="5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</row>
    <row r="672" spans="1:29" ht="15.75" customHeight="1" x14ac:dyDescent="0.5">
      <c r="A672" s="38"/>
      <c r="B672" s="38"/>
      <c r="C672" s="58"/>
      <c r="D672" s="58"/>
      <c r="E672" s="58"/>
      <c r="F672" s="58"/>
      <c r="G672" s="58"/>
      <c r="H672" s="58"/>
      <c r="I672" s="5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 spans="1:29" ht="15.75" customHeight="1" x14ac:dyDescent="0.5">
      <c r="A673" s="38"/>
      <c r="B673" s="38"/>
      <c r="C673" s="58"/>
      <c r="D673" s="58"/>
      <c r="E673" s="58"/>
      <c r="F673" s="58"/>
      <c r="G673" s="58"/>
      <c r="H673" s="58"/>
      <c r="I673" s="5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</row>
    <row r="674" spans="1:29" ht="15.75" customHeight="1" x14ac:dyDescent="0.5">
      <c r="A674" s="38"/>
      <c r="B674" s="38"/>
      <c r="C674" s="58"/>
      <c r="D674" s="58"/>
      <c r="E674" s="58"/>
      <c r="F674" s="58"/>
      <c r="G674" s="58"/>
      <c r="H674" s="58"/>
      <c r="I674" s="5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</row>
    <row r="675" spans="1:29" ht="15.75" customHeight="1" x14ac:dyDescent="0.5">
      <c r="A675" s="38"/>
      <c r="B675" s="38"/>
      <c r="C675" s="58"/>
      <c r="D675" s="58"/>
      <c r="E675" s="58"/>
      <c r="F675" s="58"/>
      <c r="G675" s="58"/>
      <c r="H675" s="58"/>
      <c r="I675" s="5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</row>
    <row r="676" spans="1:29" ht="15.75" customHeight="1" x14ac:dyDescent="0.5">
      <c r="A676" s="38"/>
      <c r="B676" s="38"/>
      <c r="C676" s="58"/>
      <c r="D676" s="58"/>
      <c r="E676" s="58"/>
      <c r="F676" s="58"/>
      <c r="G676" s="58"/>
      <c r="H676" s="58"/>
      <c r="I676" s="5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</row>
    <row r="677" spans="1:29" ht="15.75" customHeight="1" x14ac:dyDescent="0.5">
      <c r="A677" s="38"/>
      <c r="B677" s="38"/>
      <c r="C677" s="58"/>
      <c r="D677" s="58"/>
      <c r="E677" s="58"/>
      <c r="F677" s="58"/>
      <c r="G677" s="58"/>
      <c r="H677" s="58"/>
      <c r="I677" s="5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</row>
    <row r="678" spans="1:29" ht="15.75" customHeight="1" x14ac:dyDescent="0.5">
      <c r="A678" s="38"/>
      <c r="B678" s="38"/>
      <c r="C678" s="58"/>
      <c r="D678" s="58"/>
      <c r="E678" s="58"/>
      <c r="F678" s="58"/>
      <c r="G678" s="58"/>
      <c r="H678" s="58"/>
      <c r="I678" s="5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</row>
    <row r="679" spans="1:29" ht="15.75" customHeight="1" x14ac:dyDescent="0.5">
      <c r="A679" s="38"/>
      <c r="B679" s="38"/>
      <c r="C679" s="58"/>
      <c r="D679" s="58"/>
      <c r="E679" s="58"/>
      <c r="F679" s="58"/>
      <c r="G679" s="58"/>
      <c r="H679" s="58"/>
      <c r="I679" s="5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</row>
    <row r="680" spans="1:29" ht="15.75" customHeight="1" x14ac:dyDescent="0.5">
      <c r="A680" s="38"/>
      <c r="B680" s="38"/>
      <c r="C680" s="58"/>
      <c r="D680" s="58"/>
      <c r="E680" s="58"/>
      <c r="F680" s="58"/>
      <c r="G680" s="58"/>
      <c r="H680" s="58"/>
      <c r="I680" s="5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</row>
    <row r="681" spans="1:29" ht="15.75" customHeight="1" x14ac:dyDescent="0.5">
      <c r="A681" s="38"/>
      <c r="B681" s="38"/>
      <c r="C681" s="58"/>
      <c r="D681" s="58"/>
      <c r="E681" s="58"/>
      <c r="F681" s="58"/>
      <c r="G681" s="58"/>
      <c r="H681" s="58"/>
      <c r="I681" s="5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</row>
    <row r="682" spans="1:29" ht="15.75" customHeight="1" x14ac:dyDescent="0.5">
      <c r="A682" s="38"/>
      <c r="B682" s="38"/>
      <c r="C682" s="58"/>
      <c r="D682" s="58"/>
      <c r="E682" s="58"/>
      <c r="F682" s="58"/>
      <c r="G682" s="58"/>
      <c r="H682" s="58"/>
      <c r="I682" s="5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</row>
    <row r="683" spans="1:29" ht="15.75" customHeight="1" x14ac:dyDescent="0.5">
      <c r="A683" s="38"/>
      <c r="B683" s="38"/>
      <c r="C683" s="58"/>
      <c r="D683" s="58"/>
      <c r="E683" s="58"/>
      <c r="F683" s="58"/>
      <c r="G683" s="58"/>
      <c r="H683" s="58"/>
      <c r="I683" s="5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</row>
    <row r="684" spans="1:29" ht="15.75" customHeight="1" x14ac:dyDescent="0.5">
      <c r="A684" s="38"/>
      <c r="B684" s="38"/>
      <c r="C684" s="58"/>
      <c r="D684" s="58"/>
      <c r="E684" s="58"/>
      <c r="F684" s="58"/>
      <c r="G684" s="58"/>
      <c r="H684" s="58"/>
      <c r="I684" s="5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</row>
    <row r="685" spans="1:29" ht="15.75" customHeight="1" x14ac:dyDescent="0.5">
      <c r="A685" s="38"/>
      <c r="B685" s="38"/>
      <c r="C685" s="58"/>
      <c r="D685" s="58"/>
      <c r="E685" s="58"/>
      <c r="F685" s="58"/>
      <c r="G685" s="58"/>
      <c r="H685" s="58"/>
      <c r="I685" s="5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 spans="1:29" ht="15.75" customHeight="1" x14ac:dyDescent="0.5">
      <c r="A686" s="38"/>
      <c r="B686" s="38"/>
      <c r="C686" s="58"/>
      <c r="D686" s="58"/>
      <c r="E686" s="58"/>
      <c r="F686" s="58"/>
      <c r="G686" s="58"/>
      <c r="H686" s="58"/>
      <c r="I686" s="5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</row>
    <row r="687" spans="1:29" ht="15.75" customHeight="1" x14ac:dyDescent="0.5">
      <c r="A687" s="38"/>
      <c r="B687" s="38"/>
      <c r="C687" s="58"/>
      <c r="D687" s="58"/>
      <c r="E687" s="58"/>
      <c r="F687" s="58"/>
      <c r="G687" s="58"/>
      <c r="H687" s="58"/>
      <c r="I687" s="5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</row>
    <row r="688" spans="1:29" ht="15.75" customHeight="1" x14ac:dyDescent="0.5">
      <c r="A688" s="38"/>
      <c r="B688" s="38"/>
      <c r="C688" s="58"/>
      <c r="D688" s="58"/>
      <c r="E688" s="58"/>
      <c r="F688" s="58"/>
      <c r="G688" s="58"/>
      <c r="H688" s="58"/>
      <c r="I688" s="5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</row>
    <row r="689" spans="1:29" ht="15.75" customHeight="1" x14ac:dyDescent="0.5">
      <c r="A689" s="38"/>
      <c r="B689" s="38"/>
      <c r="C689" s="58"/>
      <c r="D689" s="58"/>
      <c r="E689" s="58"/>
      <c r="F689" s="58"/>
      <c r="G689" s="58"/>
      <c r="H689" s="58"/>
      <c r="I689" s="5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</row>
    <row r="690" spans="1:29" ht="15.75" customHeight="1" x14ac:dyDescent="0.5">
      <c r="A690" s="38"/>
      <c r="B690" s="38"/>
      <c r="C690" s="58"/>
      <c r="D690" s="58"/>
      <c r="E690" s="58"/>
      <c r="F690" s="58"/>
      <c r="G690" s="58"/>
      <c r="H690" s="58"/>
      <c r="I690" s="5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</row>
    <row r="691" spans="1:29" ht="15.75" customHeight="1" x14ac:dyDescent="0.5">
      <c r="A691" s="38"/>
      <c r="B691" s="38"/>
      <c r="C691" s="58"/>
      <c r="D691" s="58"/>
      <c r="E691" s="58"/>
      <c r="F691" s="58"/>
      <c r="G691" s="58"/>
      <c r="H691" s="58"/>
      <c r="I691" s="5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</row>
    <row r="692" spans="1:29" ht="15.75" customHeight="1" x14ac:dyDescent="0.5">
      <c r="A692" s="38"/>
      <c r="B692" s="38"/>
      <c r="C692" s="58"/>
      <c r="D692" s="58"/>
      <c r="E692" s="58"/>
      <c r="F692" s="58"/>
      <c r="G692" s="58"/>
      <c r="H692" s="58"/>
      <c r="I692" s="5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</row>
    <row r="693" spans="1:29" ht="15.75" customHeight="1" x14ac:dyDescent="0.5">
      <c r="A693" s="38"/>
      <c r="B693" s="38"/>
      <c r="C693" s="58"/>
      <c r="D693" s="58"/>
      <c r="E693" s="58"/>
      <c r="F693" s="58"/>
      <c r="G693" s="58"/>
      <c r="H693" s="58"/>
      <c r="I693" s="5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</row>
    <row r="694" spans="1:29" ht="15.75" customHeight="1" x14ac:dyDescent="0.5">
      <c r="A694" s="38"/>
      <c r="B694" s="38"/>
      <c r="C694" s="58"/>
      <c r="D694" s="58"/>
      <c r="E694" s="58"/>
      <c r="F694" s="58"/>
      <c r="G694" s="58"/>
      <c r="H694" s="58"/>
      <c r="I694" s="5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</row>
    <row r="695" spans="1:29" ht="15.75" customHeight="1" x14ac:dyDescent="0.5">
      <c r="A695" s="38"/>
      <c r="B695" s="38"/>
      <c r="C695" s="58"/>
      <c r="D695" s="58"/>
      <c r="E695" s="58"/>
      <c r="F695" s="58"/>
      <c r="G695" s="58"/>
      <c r="H695" s="58"/>
      <c r="I695" s="5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</row>
    <row r="696" spans="1:29" ht="15.75" customHeight="1" x14ac:dyDescent="0.5">
      <c r="A696" s="38"/>
      <c r="B696" s="38"/>
      <c r="C696" s="58"/>
      <c r="D696" s="58"/>
      <c r="E696" s="58"/>
      <c r="F696" s="58"/>
      <c r="G696" s="58"/>
      <c r="H696" s="58"/>
      <c r="I696" s="5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</row>
    <row r="697" spans="1:29" ht="15.75" customHeight="1" x14ac:dyDescent="0.5">
      <c r="A697" s="38"/>
      <c r="B697" s="38"/>
      <c r="C697" s="58"/>
      <c r="D697" s="58"/>
      <c r="E697" s="58"/>
      <c r="F697" s="58"/>
      <c r="G697" s="58"/>
      <c r="H697" s="58"/>
      <c r="I697" s="5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</row>
    <row r="698" spans="1:29" ht="15.75" customHeight="1" x14ac:dyDescent="0.5">
      <c r="A698" s="38"/>
      <c r="B698" s="38"/>
      <c r="C698" s="58"/>
      <c r="D698" s="58"/>
      <c r="E698" s="58"/>
      <c r="F698" s="58"/>
      <c r="G698" s="58"/>
      <c r="H698" s="58"/>
      <c r="I698" s="5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</row>
    <row r="699" spans="1:29" ht="15.75" customHeight="1" x14ac:dyDescent="0.5">
      <c r="A699" s="38"/>
      <c r="B699" s="38"/>
      <c r="C699" s="58"/>
      <c r="D699" s="58"/>
      <c r="E699" s="58"/>
      <c r="F699" s="58"/>
      <c r="G699" s="58"/>
      <c r="H699" s="58"/>
      <c r="I699" s="5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</row>
    <row r="700" spans="1:29" ht="15.75" customHeight="1" x14ac:dyDescent="0.5">
      <c r="A700" s="38"/>
      <c r="B700" s="38"/>
      <c r="C700" s="58"/>
      <c r="D700" s="58"/>
      <c r="E700" s="58"/>
      <c r="F700" s="58"/>
      <c r="G700" s="58"/>
      <c r="H700" s="58"/>
      <c r="I700" s="5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</row>
    <row r="701" spans="1:29" ht="15.75" customHeight="1" x14ac:dyDescent="0.5">
      <c r="A701" s="38"/>
      <c r="B701" s="38"/>
      <c r="C701" s="58"/>
      <c r="D701" s="58"/>
      <c r="E701" s="58"/>
      <c r="F701" s="58"/>
      <c r="G701" s="58"/>
      <c r="H701" s="58"/>
      <c r="I701" s="5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</row>
    <row r="702" spans="1:29" ht="15.75" customHeight="1" x14ac:dyDescent="0.5">
      <c r="A702" s="38"/>
      <c r="B702" s="38"/>
      <c r="C702" s="58"/>
      <c r="D702" s="58"/>
      <c r="E702" s="58"/>
      <c r="F702" s="58"/>
      <c r="G702" s="58"/>
      <c r="H702" s="58"/>
      <c r="I702" s="5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</row>
    <row r="703" spans="1:29" ht="15.75" customHeight="1" x14ac:dyDescent="0.5">
      <c r="A703" s="38"/>
      <c r="B703" s="38"/>
      <c r="C703" s="58"/>
      <c r="D703" s="58"/>
      <c r="E703" s="58"/>
      <c r="F703" s="58"/>
      <c r="G703" s="58"/>
      <c r="H703" s="58"/>
      <c r="I703" s="5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</row>
    <row r="704" spans="1:29" ht="15.75" customHeight="1" x14ac:dyDescent="0.5">
      <c r="A704" s="38"/>
      <c r="B704" s="38"/>
      <c r="C704" s="58"/>
      <c r="D704" s="58"/>
      <c r="E704" s="58"/>
      <c r="F704" s="58"/>
      <c r="G704" s="58"/>
      <c r="H704" s="58"/>
      <c r="I704" s="5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</row>
    <row r="705" spans="1:29" ht="15.75" customHeight="1" x14ac:dyDescent="0.5">
      <c r="A705" s="38"/>
      <c r="B705" s="38"/>
      <c r="C705" s="58"/>
      <c r="D705" s="58"/>
      <c r="E705" s="58"/>
      <c r="F705" s="58"/>
      <c r="G705" s="58"/>
      <c r="H705" s="58"/>
      <c r="I705" s="5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</row>
    <row r="706" spans="1:29" ht="15.75" customHeight="1" x14ac:dyDescent="0.5">
      <c r="A706" s="38"/>
      <c r="B706" s="38"/>
      <c r="C706" s="58"/>
      <c r="D706" s="58"/>
      <c r="E706" s="58"/>
      <c r="F706" s="58"/>
      <c r="G706" s="58"/>
      <c r="H706" s="58"/>
      <c r="I706" s="5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</row>
    <row r="707" spans="1:29" ht="15.75" customHeight="1" x14ac:dyDescent="0.5">
      <c r="A707" s="38"/>
      <c r="B707" s="38"/>
      <c r="C707" s="58"/>
      <c r="D707" s="58"/>
      <c r="E707" s="58"/>
      <c r="F707" s="58"/>
      <c r="G707" s="58"/>
      <c r="H707" s="58"/>
      <c r="I707" s="5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</row>
    <row r="708" spans="1:29" ht="15.75" customHeight="1" x14ac:dyDescent="0.5">
      <c r="A708" s="38"/>
      <c r="B708" s="38"/>
      <c r="C708" s="58"/>
      <c r="D708" s="58"/>
      <c r="E708" s="58"/>
      <c r="F708" s="58"/>
      <c r="G708" s="58"/>
      <c r="H708" s="58"/>
      <c r="I708" s="5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</row>
    <row r="709" spans="1:29" ht="15.75" customHeight="1" x14ac:dyDescent="0.5">
      <c r="A709" s="38"/>
      <c r="B709" s="38"/>
      <c r="C709" s="58"/>
      <c r="D709" s="58"/>
      <c r="E709" s="58"/>
      <c r="F709" s="58"/>
      <c r="G709" s="58"/>
      <c r="H709" s="58"/>
      <c r="I709" s="5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 spans="1:29" ht="15.75" customHeight="1" x14ac:dyDescent="0.5">
      <c r="A710" s="38"/>
      <c r="B710" s="38"/>
      <c r="C710" s="58"/>
      <c r="D710" s="58"/>
      <c r="E710" s="58"/>
      <c r="F710" s="58"/>
      <c r="G710" s="58"/>
      <c r="H710" s="58"/>
      <c r="I710" s="5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</row>
    <row r="711" spans="1:29" ht="15.75" customHeight="1" x14ac:dyDescent="0.5">
      <c r="A711" s="38"/>
      <c r="B711" s="38"/>
      <c r="C711" s="58"/>
      <c r="D711" s="58"/>
      <c r="E711" s="58"/>
      <c r="F711" s="58"/>
      <c r="G711" s="58"/>
      <c r="H711" s="58"/>
      <c r="I711" s="5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</row>
    <row r="712" spans="1:29" ht="15.75" customHeight="1" x14ac:dyDescent="0.5">
      <c r="A712" s="38"/>
      <c r="B712" s="38"/>
      <c r="C712" s="58"/>
      <c r="D712" s="58"/>
      <c r="E712" s="58"/>
      <c r="F712" s="58"/>
      <c r="G712" s="58"/>
      <c r="H712" s="58"/>
      <c r="I712" s="5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</row>
    <row r="713" spans="1:29" ht="15.75" customHeight="1" x14ac:dyDescent="0.5">
      <c r="A713" s="38"/>
      <c r="B713" s="38"/>
      <c r="C713" s="58"/>
      <c r="D713" s="58"/>
      <c r="E713" s="58"/>
      <c r="F713" s="58"/>
      <c r="G713" s="58"/>
      <c r="H713" s="58"/>
      <c r="I713" s="5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</row>
    <row r="714" spans="1:29" ht="15.75" customHeight="1" x14ac:dyDescent="0.5">
      <c r="A714" s="38"/>
      <c r="B714" s="38"/>
      <c r="C714" s="58"/>
      <c r="D714" s="58"/>
      <c r="E714" s="58"/>
      <c r="F714" s="58"/>
      <c r="G714" s="58"/>
      <c r="H714" s="58"/>
      <c r="I714" s="5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</row>
    <row r="715" spans="1:29" ht="15.75" customHeight="1" x14ac:dyDescent="0.5">
      <c r="A715" s="38"/>
      <c r="B715" s="38"/>
      <c r="C715" s="58"/>
      <c r="D715" s="58"/>
      <c r="E715" s="58"/>
      <c r="F715" s="58"/>
      <c r="G715" s="58"/>
      <c r="H715" s="58"/>
      <c r="I715" s="5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</row>
    <row r="716" spans="1:29" ht="15.75" customHeight="1" x14ac:dyDescent="0.5">
      <c r="A716" s="38"/>
      <c r="B716" s="38"/>
      <c r="C716" s="58"/>
      <c r="D716" s="58"/>
      <c r="E716" s="58"/>
      <c r="F716" s="58"/>
      <c r="G716" s="58"/>
      <c r="H716" s="58"/>
      <c r="I716" s="5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</row>
    <row r="717" spans="1:29" ht="15.75" customHeight="1" x14ac:dyDescent="0.5">
      <c r="A717" s="38"/>
      <c r="B717" s="38"/>
      <c r="C717" s="58"/>
      <c r="D717" s="58"/>
      <c r="E717" s="58"/>
      <c r="F717" s="58"/>
      <c r="G717" s="58"/>
      <c r="H717" s="58"/>
      <c r="I717" s="5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</row>
    <row r="718" spans="1:29" ht="15.75" customHeight="1" x14ac:dyDescent="0.5">
      <c r="A718" s="38"/>
      <c r="B718" s="38"/>
      <c r="C718" s="58"/>
      <c r="D718" s="58"/>
      <c r="E718" s="58"/>
      <c r="F718" s="58"/>
      <c r="G718" s="58"/>
      <c r="H718" s="58"/>
      <c r="I718" s="5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</row>
    <row r="719" spans="1:29" ht="15.75" customHeight="1" x14ac:dyDescent="0.5">
      <c r="A719" s="38"/>
      <c r="B719" s="38"/>
      <c r="C719" s="58"/>
      <c r="D719" s="58"/>
      <c r="E719" s="58"/>
      <c r="F719" s="58"/>
      <c r="G719" s="58"/>
      <c r="H719" s="58"/>
      <c r="I719" s="5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</row>
    <row r="720" spans="1:29" ht="15.75" customHeight="1" x14ac:dyDescent="0.5">
      <c r="A720" s="38"/>
      <c r="B720" s="38"/>
      <c r="C720" s="58"/>
      <c r="D720" s="58"/>
      <c r="E720" s="58"/>
      <c r="F720" s="58"/>
      <c r="G720" s="58"/>
      <c r="H720" s="58"/>
      <c r="I720" s="5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</row>
    <row r="721" spans="1:29" ht="15.75" customHeight="1" x14ac:dyDescent="0.5">
      <c r="A721" s="38"/>
      <c r="B721" s="38"/>
      <c r="C721" s="58"/>
      <c r="D721" s="58"/>
      <c r="E721" s="58"/>
      <c r="F721" s="58"/>
      <c r="G721" s="58"/>
      <c r="H721" s="58"/>
      <c r="I721" s="5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</row>
    <row r="722" spans="1:29" ht="15.75" customHeight="1" x14ac:dyDescent="0.5">
      <c r="A722" s="38"/>
      <c r="B722" s="38"/>
      <c r="C722" s="58"/>
      <c r="D722" s="58"/>
      <c r="E722" s="58"/>
      <c r="F722" s="58"/>
      <c r="G722" s="58"/>
      <c r="H722" s="58"/>
      <c r="I722" s="5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spans="1:29" ht="15.75" customHeight="1" x14ac:dyDescent="0.5">
      <c r="A723" s="38"/>
      <c r="B723" s="38"/>
      <c r="C723" s="58"/>
      <c r="D723" s="58"/>
      <c r="E723" s="58"/>
      <c r="F723" s="58"/>
      <c r="G723" s="58"/>
      <c r="H723" s="58"/>
      <c r="I723" s="5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 spans="1:29" ht="15.75" customHeight="1" x14ac:dyDescent="0.5">
      <c r="A724" s="38"/>
      <c r="B724" s="38"/>
      <c r="C724" s="58"/>
      <c r="D724" s="58"/>
      <c r="E724" s="58"/>
      <c r="F724" s="58"/>
      <c r="G724" s="58"/>
      <c r="H724" s="58"/>
      <c r="I724" s="5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</row>
    <row r="725" spans="1:29" ht="15.75" customHeight="1" x14ac:dyDescent="0.5">
      <c r="A725" s="38"/>
      <c r="B725" s="38"/>
      <c r="C725" s="58"/>
      <c r="D725" s="58"/>
      <c r="E725" s="58"/>
      <c r="F725" s="58"/>
      <c r="G725" s="58"/>
      <c r="H725" s="58"/>
      <c r="I725" s="5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</row>
    <row r="726" spans="1:29" ht="15.75" customHeight="1" x14ac:dyDescent="0.5">
      <c r="A726" s="38"/>
      <c r="B726" s="38"/>
      <c r="C726" s="58"/>
      <c r="D726" s="58"/>
      <c r="E726" s="58"/>
      <c r="F726" s="58"/>
      <c r="G726" s="58"/>
      <c r="H726" s="58"/>
      <c r="I726" s="5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</row>
    <row r="727" spans="1:29" ht="15.75" customHeight="1" x14ac:dyDescent="0.5">
      <c r="A727" s="38"/>
      <c r="B727" s="38"/>
      <c r="C727" s="58"/>
      <c r="D727" s="58"/>
      <c r="E727" s="58"/>
      <c r="F727" s="58"/>
      <c r="G727" s="58"/>
      <c r="H727" s="58"/>
      <c r="I727" s="5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</row>
    <row r="728" spans="1:29" ht="15.75" customHeight="1" x14ac:dyDescent="0.5">
      <c r="A728" s="38"/>
      <c r="B728" s="38"/>
      <c r="C728" s="58"/>
      <c r="D728" s="58"/>
      <c r="E728" s="58"/>
      <c r="F728" s="58"/>
      <c r="G728" s="58"/>
      <c r="H728" s="58"/>
      <c r="I728" s="5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</row>
    <row r="729" spans="1:29" ht="15.75" customHeight="1" x14ac:dyDescent="0.5">
      <c r="A729" s="38"/>
      <c r="B729" s="38"/>
      <c r="C729" s="58"/>
      <c r="D729" s="58"/>
      <c r="E729" s="58"/>
      <c r="F729" s="58"/>
      <c r="G729" s="58"/>
      <c r="H729" s="58"/>
      <c r="I729" s="5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</row>
    <row r="730" spans="1:29" ht="15.75" customHeight="1" x14ac:dyDescent="0.5">
      <c r="A730" s="38"/>
      <c r="B730" s="38"/>
      <c r="C730" s="58"/>
      <c r="D730" s="58"/>
      <c r="E730" s="58"/>
      <c r="F730" s="58"/>
      <c r="G730" s="58"/>
      <c r="H730" s="58"/>
      <c r="I730" s="5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</row>
    <row r="731" spans="1:29" ht="15.75" customHeight="1" x14ac:dyDescent="0.5">
      <c r="A731" s="38"/>
      <c r="B731" s="38"/>
      <c r="C731" s="58"/>
      <c r="D731" s="58"/>
      <c r="E731" s="58"/>
      <c r="F731" s="58"/>
      <c r="G731" s="58"/>
      <c r="H731" s="58"/>
      <c r="I731" s="5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</row>
    <row r="732" spans="1:29" ht="15.75" customHeight="1" x14ac:dyDescent="0.5">
      <c r="A732" s="38"/>
      <c r="B732" s="38"/>
      <c r="C732" s="58"/>
      <c r="D732" s="58"/>
      <c r="E732" s="58"/>
      <c r="F732" s="58"/>
      <c r="G732" s="58"/>
      <c r="H732" s="58"/>
      <c r="I732" s="5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  <row r="733" spans="1:29" ht="15.75" customHeight="1" x14ac:dyDescent="0.5">
      <c r="A733" s="38"/>
      <c r="B733" s="38"/>
      <c r="C733" s="58"/>
      <c r="D733" s="58"/>
      <c r="E733" s="58"/>
      <c r="F733" s="58"/>
      <c r="G733" s="58"/>
      <c r="H733" s="58"/>
      <c r="I733" s="5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</row>
    <row r="734" spans="1:29" ht="15.75" customHeight="1" x14ac:dyDescent="0.5">
      <c r="A734" s="38"/>
      <c r="B734" s="38"/>
      <c r="C734" s="58"/>
      <c r="D734" s="58"/>
      <c r="E734" s="58"/>
      <c r="F734" s="58"/>
      <c r="G734" s="58"/>
      <c r="H734" s="58"/>
      <c r="I734" s="5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</row>
    <row r="735" spans="1:29" ht="15.75" customHeight="1" x14ac:dyDescent="0.5">
      <c r="A735" s="38"/>
      <c r="B735" s="38"/>
      <c r="C735" s="58"/>
      <c r="D735" s="58"/>
      <c r="E735" s="58"/>
      <c r="F735" s="58"/>
      <c r="G735" s="58"/>
      <c r="H735" s="58"/>
      <c r="I735" s="5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</row>
    <row r="736" spans="1:29" ht="15.75" customHeight="1" x14ac:dyDescent="0.5">
      <c r="A736" s="38"/>
      <c r="B736" s="38"/>
      <c r="C736" s="58"/>
      <c r="D736" s="58"/>
      <c r="E736" s="58"/>
      <c r="F736" s="58"/>
      <c r="G736" s="58"/>
      <c r="H736" s="58"/>
      <c r="I736" s="5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</row>
    <row r="737" spans="1:29" ht="15.75" customHeight="1" x14ac:dyDescent="0.5">
      <c r="A737" s="38"/>
      <c r="B737" s="38"/>
      <c r="C737" s="58"/>
      <c r="D737" s="58"/>
      <c r="E737" s="58"/>
      <c r="F737" s="58"/>
      <c r="G737" s="58"/>
      <c r="H737" s="58"/>
      <c r="I737" s="5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</row>
    <row r="738" spans="1:29" ht="15.75" customHeight="1" x14ac:dyDescent="0.5">
      <c r="A738" s="38"/>
      <c r="B738" s="38"/>
      <c r="C738" s="58"/>
      <c r="D738" s="58"/>
      <c r="E738" s="58"/>
      <c r="F738" s="58"/>
      <c r="G738" s="58"/>
      <c r="H738" s="58"/>
      <c r="I738" s="5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</row>
    <row r="739" spans="1:29" ht="15.75" customHeight="1" x14ac:dyDescent="0.5">
      <c r="A739" s="38"/>
      <c r="B739" s="38"/>
      <c r="C739" s="58"/>
      <c r="D739" s="58"/>
      <c r="E739" s="58"/>
      <c r="F739" s="58"/>
      <c r="G739" s="58"/>
      <c r="H739" s="58"/>
      <c r="I739" s="5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</row>
    <row r="740" spans="1:29" ht="15.75" customHeight="1" x14ac:dyDescent="0.5">
      <c r="A740" s="38"/>
      <c r="B740" s="38"/>
      <c r="C740" s="58"/>
      <c r="D740" s="58"/>
      <c r="E740" s="58"/>
      <c r="F740" s="58"/>
      <c r="G740" s="58"/>
      <c r="H740" s="58"/>
      <c r="I740" s="5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</row>
    <row r="741" spans="1:29" ht="15.75" customHeight="1" x14ac:dyDescent="0.5">
      <c r="A741" s="38"/>
      <c r="B741" s="38"/>
      <c r="C741" s="58"/>
      <c r="D741" s="58"/>
      <c r="E741" s="58"/>
      <c r="F741" s="58"/>
      <c r="G741" s="58"/>
      <c r="H741" s="58"/>
      <c r="I741" s="5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</row>
    <row r="742" spans="1:29" ht="15.75" customHeight="1" x14ac:dyDescent="0.5">
      <c r="A742" s="38"/>
      <c r="B742" s="38"/>
      <c r="C742" s="58"/>
      <c r="D742" s="58"/>
      <c r="E742" s="58"/>
      <c r="F742" s="58"/>
      <c r="G742" s="58"/>
      <c r="H742" s="58"/>
      <c r="I742" s="5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</row>
    <row r="743" spans="1:29" ht="15.75" customHeight="1" x14ac:dyDescent="0.5">
      <c r="A743" s="38"/>
      <c r="B743" s="38"/>
      <c r="C743" s="58"/>
      <c r="D743" s="58"/>
      <c r="E743" s="58"/>
      <c r="F743" s="58"/>
      <c r="G743" s="58"/>
      <c r="H743" s="58"/>
      <c r="I743" s="5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</row>
    <row r="744" spans="1:29" ht="15.75" customHeight="1" x14ac:dyDescent="0.5">
      <c r="A744" s="38"/>
      <c r="B744" s="38"/>
      <c r="C744" s="58"/>
      <c r="D744" s="58"/>
      <c r="E744" s="58"/>
      <c r="F744" s="58"/>
      <c r="G744" s="58"/>
      <c r="H744" s="58"/>
      <c r="I744" s="5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</row>
    <row r="745" spans="1:29" ht="15.75" customHeight="1" x14ac:dyDescent="0.5">
      <c r="A745" s="38"/>
      <c r="B745" s="38"/>
      <c r="C745" s="58"/>
      <c r="D745" s="58"/>
      <c r="E745" s="58"/>
      <c r="F745" s="58"/>
      <c r="G745" s="58"/>
      <c r="H745" s="58"/>
      <c r="I745" s="5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</row>
    <row r="746" spans="1:29" ht="15.75" customHeight="1" x14ac:dyDescent="0.5">
      <c r="A746" s="38"/>
      <c r="B746" s="38"/>
      <c r="C746" s="58"/>
      <c r="D746" s="58"/>
      <c r="E746" s="58"/>
      <c r="F746" s="58"/>
      <c r="G746" s="58"/>
      <c r="H746" s="58"/>
      <c r="I746" s="5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</row>
    <row r="747" spans="1:29" ht="15.75" customHeight="1" x14ac:dyDescent="0.5">
      <c r="A747" s="38"/>
      <c r="B747" s="38"/>
      <c r="C747" s="58"/>
      <c r="D747" s="58"/>
      <c r="E747" s="58"/>
      <c r="F747" s="58"/>
      <c r="G747" s="58"/>
      <c r="H747" s="58"/>
      <c r="I747" s="5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</row>
    <row r="748" spans="1:29" ht="15.75" customHeight="1" x14ac:dyDescent="0.5">
      <c r="A748" s="38"/>
      <c r="B748" s="38"/>
      <c r="C748" s="58"/>
      <c r="D748" s="58"/>
      <c r="E748" s="58"/>
      <c r="F748" s="58"/>
      <c r="G748" s="58"/>
      <c r="H748" s="58"/>
      <c r="I748" s="5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</row>
    <row r="749" spans="1:29" ht="15.75" customHeight="1" x14ac:dyDescent="0.5">
      <c r="A749" s="38"/>
      <c r="B749" s="38"/>
      <c r="C749" s="58"/>
      <c r="D749" s="58"/>
      <c r="E749" s="58"/>
      <c r="F749" s="58"/>
      <c r="G749" s="58"/>
      <c r="H749" s="58"/>
      <c r="I749" s="5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</row>
    <row r="750" spans="1:29" ht="15.75" customHeight="1" x14ac:dyDescent="0.5">
      <c r="A750" s="38"/>
      <c r="B750" s="38"/>
      <c r="C750" s="58"/>
      <c r="D750" s="58"/>
      <c r="E750" s="58"/>
      <c r="F750" s="58"/>
      <c r="G750" s="58"/>
      <c r="H750" s="58"/>
      <c r="I750" s="5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</row>
    <row r="751" spans="1:29" ht="15.75" customHeight="1" x14ac:dyDescent="0.5">
      <c r="A751" s="38"/>
      <c r="B751" s="38"/>
      <c r="C751" s="58"/>
      <c r="D751" s="58"/>
      <c r="E751" s="58"/>
      <c r="F751" s="58"/>
      <c r="G751" s="58"/>
      <c r="H751" s="58"/>
      <c r="I751" s="5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</row>
    <row r="752" spans="1:29" ht="15.75" customHeight="1" x14ac:dyDescent="0.5">
      <c r="A752" s="38"/>
      <c r="B752" s="38"/>
      <c r="C752" s="58"/>
      <c r="D752" s="58"/>
      <c r="E752" s="58"/>
      <c r="F752" s="58"/>
      <c r="G752" s="58"/>
      <c r="H752" s="58"/>
      <c r="I752" s="5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</row>
    <row r="753" spans="1:29" ht="15.75" customHeight="1" x14ac:dyDescent="0.5">
      <c r="A753" s="38"/>
      <c r="B753" s="38"/>
      <c r="C753" s="58"/>
      <c r="D753" s="58"/>
      <c r="E753" s="58"/>
      <c r="F753" s="58"/>
      <c r="G753" s="58"/>
      <c r="H753" s="58"/>
      <c r="I753" s="5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</row>
    <row r="754" spans="1:29" ht="15.75" customHeight="1" x14ac:dyDescent="0.5">
      <c r="A754" s="38"/>
      <c r="B754" s="38"/>
      <c r="C754" s="58"/>
      <c r="D754" s="58"/>
      <c r="E754" s="58"/>
      <c r="F754" s="58"/>
      <c r="G754" s="58"/>
      <c r="H754" s="58"/>
      <c r="I754" s="5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</row>
    <row r="755" spans="1:29" ht="15.75" customHeight="1" x14ac:dyDescent="0.5">
      <c r="A755" s="38"/>
      <c r="B755" s="38"/>
      <c r="C755" s="58"/>
      <c r="D755" s="58"/>
      <c r="E755" s="58"/>
      <c r="F755" s="58"/>
      <c r="G755" s="58"/>
      <c r="H755" s="58"/>
      <c r="I755" s="5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</row>
    <row r="756" spans="1:29" ht="15.75" customHeight="1" x14ac:dyDescent="0.5">
      <c r="A756" s="38"/>
      <c r="B756" s="38"/>
      <c r="C756" s="58"/>
      <c r="D756" s="58"/>
      <c r="E756" s="58"/>
      <c r="F756" s="58"/>
      <c r="G756" s="58"/>
      <c r="H756" s="58"/>
      <c r="I756" s="5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</row>
    <row r="757" spans="1:29" ht="15.75" customHeight="1" x14ac:dyDescent="0.5">
      <c r="A757" s="38"/>
      <c r="B757" s="38"/>
      <c r="C757" s="58"/>
      <c r="D757" s="58"/>
      <c r="E757" s="58"/>
      <c r="F757" s="58"/>
      <c r="G757" s="58"/>
      <c r="H757" s="58"/>
      <c r="I757" s="5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</row>
    <row r="758" spans="1:29" ht="15.75" customHeight="1" x14ac:dyDescent="0.5">
      <c r="A758" s="38"/>
      <c r="B758" s="38"/>
      <c r="C758" s="58"/>
      <c r="D758" s="58"/>
      <c r="E758" s="58"/>
      <c r="F758" s="58"/>
      <c r="G758" s="58"/>
      <c r="H758" s="58"/>
      <c r="I758" s="5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</row>
    <row r="759" spans="1:29" ht="15.75" customHeight="1" x14ac:dyDescent="0.5">
      <c r="A759" s="38"/>
      <c r="B759" s="38"/>
      <c r="C759" s="58"/>
      <c r="D759" s="58"/>
      <c r="E759" s="58"/>
      <c r="F759" s="58"/>
      <c r="G759" s="58"/>
      <c r="H759" s="58"/>
      <c r="I759" s="5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</row>
    <row r="760" spans="1:29" ht="15.75" customHeight="1" x14ac:dyDescent="0.5">
      <c r="A760" s="38"/>
      <c r="B760" s="38"/>
      <c r="C760" s="58"/>
      <c r="D760" s="58"/>
      <c r="E760" s="58"/>
      <c r="F760" s="58"/>
      <c r="G760" s="58"/>
      <c r="H760" s="58"/>
      <c r="I760" s="5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</row>
    <row r="761" spans="1:29" ht="15.75" customHeight="1" x14ac:dyDescent="0.5">
      <c r="A761" s="38"/>
      <c r="B761" s="38"/>
      <c r="C761" s="58"/>
      <c r="D761" s="58"/>
      <c r="E761" s="58"/>
      <c r="F761" s="58"/>
      <c r="G761" s="58"/>
      <c r="H761" s="58"/>
      <c r="I761" s="5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</row>
    <row r="762" spans="1:29" ht="15.75" customHeight="1" x14ac:dyDescent="0.5">
      <c r="A762" s="38"/>
      <c r="B762" s="38"/>
      <c r="C762" s="58"/>
      <c r="D762" s="58"/>
      <c r="E762" s="58"/>
      <c r="F762" s="58"/>
      <c r="G762" s="58"/>
      <c r="H762" s="58"/>
      <c r="I762" s="5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</row>
    <row r="763" spans="1:29" ht="15.75" customHeight="1" x14ac:dyDescent="0.5">
      <c r="A763" s="38"/>
      <c r="B763" s="38"/>
      <c r="C763" s="58"/>
      <c r="D763" s="58"/>
      <c r="E763" s="58"/>
      <c r="F763" s="58"/>
      <c r="G763" s="58"/>
      <c r="H763" s="58"/>
      <c r="I763" s="5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</row>
    <row r="764" spans="1:29" ht="15.75" customHeight="1" x14ac:dyDescent="0.5">
      <c r="A764" s="38"/>
      <c r="B764" s="38"/>
      <c r="C764" s="58"/>
      <c r="D764" s="58"/>
      <c r="E764" s="58"/>
      <c r="F764" s="58"/>
      <c r="G764" s="58"/>
      <c r="H764" s="58"/>
      <c r="I764" s="5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</row>
    <row r="765" spans="1:29" ht="15.75" customHeight="1" x14ac:dyDescent="0.5">
      <c r="A765" s="38"/>
      <c r="B765" s="38"/>
      <c r="C765" s="58"/>
      <c r="D765" s="58"/>
      <c r="E765" s="58"/>
      <c r="F765" s="58"/>
      <c r="G765" s="58"/>
      <c r="H765" s="58"/>
      <c r="I765" s="5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</row>
    <row r="766" spans="1:29" ht="15.75" customHeight="1" x14ac:dyDescent="0.5">
      <c r="A766" s="38"/>
      <c r="B766" s="38"/>
      <c r="C766" s="58"/>
      <c r="D766" s="58"/>
      <c r="E766" s="58"/>
      <c r="F766" s="58"/>
      <c r="G766" s="58"/>
      <c r="H766" s="58"/>
      <c r="I766" s="5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</row>
    <row r="767" spans="1:29" ht="15.75" customHeight="1" x14ac:dyDescent="0.5">
      <c r="A767" s="38"/>
      <c r="B767" s="38"/>
      <c r="C767" s="58"/>
      <c r="D767" s="58"/>
      <c r="E767" s="58"/>
      <c r="F767" s="58"/>
      <c r="G767" s="58"/>
      <c r="H767" s="58"/>
      <c r="I767" s="5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</row>
    <row r="768" spans="1:29" ht="15.75" customHeight="1" x14ac:dyDescent="0.5">
      <c r="A768" s="38"/>
      <c r="B768" s="38"/>
      <c r="C768" s="58"/>
      <c r="D768" s="58"/>
      <c r="E768" s="58"/>
      <c r="F768" s="58"/>
      <c r="G768" s="58"/>
      <c r="H768" s="58"/>
      <c r="I768" s="5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</row>
    <row r="769" spans="1:29" ht="15.75" customHeight="1" x14ac:dyDescent="0.5">
      <c r="A769" s="38"/>
      <c r="B769" s="38"/>
      <c r="C769" s="58"/>
      <c r="D769" s="58"/>
      <c r="E769" s="58"/>
      <c r="F769" s="58"/>
      <c r="G769" s="58"/>
      <c r="H769" s="58"/>
      <c r="I769" s="5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</row>
    <row r="770" spans="1:29" ht="15.75" customHeight="1" x14ac:dyDescent="0.5">
      <c r="A770" s="38"/>
      <c r="B770" s="38"/>
      <c r="C770" s="58"/>
      <c r="D770" s="58"/>
      <c r="E770" s="58"/>
      <c r="F770" s="58"/>
      <c r="G770" s="58"/>
      <c r="H770" s="58"/>
      <c r="I770" s="5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</row>
    <row r="771" spans="1:29" ht="15.75" customHeight="1" x14ac:dyDescent="0.5">
      <c r="A771" s="38"/>
      <c r="B771" s="38"/>
      <c r="C771" s="58"/>
      <c r="D771" s="58"/>
      <c r="E771" s="58"/>
      <c r="F771" s="58"/>
      <c r="G771" s="58"/>
      <c r="H771" s="58"/>
      <c r="I771" s="5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</row>
    <row r="772" spans="1:29" ht="15.75" customHeight="1" x14ac:dyDescent="0.5">
      <c r="A772" s="38"/>
      <c r="B772" s="38"/>
      <c r="C772" s="58"/>
      <c r="D772" s="58"/>
      <c r="E772" s="58"/>
      <c r="F772" s="58"/>
      <c r="G772" s="58"/>
      <c r="H772" s="58"/>
      <c r="I772" s="5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</row>
    <row r="773" spans="1:29" ht="15.75" customHeight="1" x14ac:dyDescent="0.5">
      <c r="A773" s="38"/>
      <c r="B773" s="38"/>
      <c r="C773" s="58"/>
      <c r="D773" s="58"/>
      <c r="E773" s="58"/>
      <c r="F773" s="58"/>
      <c r="G773" s="58"/>
      <c r="H773" s="58"/>
      <c r="I773" s="5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</row>
    <row r="774" spans="1:29" ht="15.75" customHeight="1" x14ac:dyDescent="0.5">
      <c r="A774" s="38"/>
      <c r="B774" s="38"/>
      <c r="C774" s="58"/>
      <c r="D774" s="58"/>
      <c r="E774" s="58"/>
      <c r="F774" s="58"/>
      <c r="G774" s="58"/>
      <c r="H774" s="58"/>
      <c r="I774" s="5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</row>
    <row r="775" spans="1:29" ht="15.75" customHeight="1" x14ac:dyDescent="0.5">
      <c r="A775" s="38"/>
      <c r="B775" s="38"/>
      <c r="C775" s="58"/>
      <c r="D775" s="58"/>
      <c r="E775" s="58"/>
      <c r="F775" s="58"/>
      <c r="G775" s="58"/>
      <c r="H775" s="58"/>
      <c r="I775" s="5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</row>
    <row r="776" spans="1:29" ht="15.75" customHeight="1" x14ac:dyDescent="0.5">
      <c r="A776" s="38"/>
      <c r="B776" s="38"/>
      <c r="C776" s="58"/>
      <c r="D776" s="58"/>
      <c r="E776" s="58"/>
      <c r="F776" s="58"/>
      <c r="G776" s="58"/>
      <c r="H776" s="58"/>
      <c r="I776" s="5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</row>
    <row r="777" spans="1:29" ht="15.75" customHeight="1" x14ac:dyDescent="0.5">
      <c r="A777" s="38"/>
      <c r="B777" s="38"/>
      <c r="C777" s="58"/>
      <c r="D777" s="58"/>
      <c r="E777" s="58"/>
      <c r="F777" s="58"/>
      <c r="G777" s="58"/>
      <c r="H777" s="58"/>
      <c r="I777" s="5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</row>
    <row r="778" spans="1:29" ht="15.75" customHeight="1" x14ac:dyDescent="0.5">
      <c r="A778" s="38"/>
      <c r="B778" s="38"/>
      <c r="C778" s="58"/>
      <c r="D778" s="58"/>
      <c r="E778" s="58"/>
      <c r="F778" s="58"/>
      <c r="G778" s="58"/>
      <c r="H778" s="58"/>
      <c r="I778" s="5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</row>
    <row r="779" spans="1:29" ht="15.75" customHeight="1" x14ac:dyDescent="0.5">
      <c r="A779" s="38"/>
      <c r="B779" s="38"/>
      <c r="C779" s="58"/>
      <c r="D779" s="58"/>
      <c r="E779" s="58"/>
      <c r="F779" s="58"/>
      <c r="G779" s="58"/>
      <c r="H779" s="58"/>
      <c r="I779" s="5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</row>
    <row r="780" spans="1:29" ht="15.75" customHeight="1" x14ac:dyDescent="0.5">
      <c r="A780" s="38"/>
      <c r="B780" s="38"/>
      <c r="C780" s="58"/>
      <c r="D780" s="58"/>
      <c r="E780" s="58"/>
      <c r="F780" s="58"/>
      <c r="G780" s="58"/>
      <c r="H780" s="58"/>
      <c r="I780" s="5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</row>
    <row r="781" spans="1:29" ht="15.75" customHeight="1" x14ac:dyDescent="0.5">
      <c r="A781" s="38"/>
      <c r="B781" s="38"/>
      <c r="C781" s="58"/>
      <c r="D781" s="58"/>
      <c r="E781" s="58"/>
      <c r="F781" s="58"/>
      <c r="G781" s="58"/>
      <c r="H781" s="58"/>
      <c r="I781" s="5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</row>
    <row r="782" spans="1:29" ht="15.75" customHeight="1" x14ac:dyDescent="0.5">
      <c r="A782" s="38"/>
      <c r="B782" s="38"/>
      <c r="C782" s="58"/>
      <c r="D782" s="58"/>
      <c r="E782" s="58"/>
      <c r="F782" s="58"/>
      <c r="G782" s="58"/>
      <c r="H782" s="58"/>
      <c r="I782" s="5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</row>
    <row r="783" spans="1:29" ht="15.75" customHeight="1" x14ac:dyDescent="0.5">
      <c r="A783" s="38"/>
      <c r="B783" s="38"/>
      <c r="C783" s="58"/>
      <c r="D783" s="58"/>
      <c r="E783" s="58"/>
      <c r="F783" s="58"/>
      <c r="G783" s="58"/>
      <c r="H783" s="58"/>
      <c r="I783" s="5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</row>
    <row r="784" spans="1:29" ht="15.75" customHeight="1" x14ac:dyDescent="0.5">
      <c r="A784" s="38"/>
      <c r="B784" s="38"/>
      <c r="C784" s="58"/>
      <c r="D784" s="58"/>
      <c r="E784" s="58"/>
      <c r="F784" s="58"/>
      <c r="G784" s="58"/>
      <c r="H784" s="58"/>
      <c r="I784" s="5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</row>
    <row r="785" spans="1:29" ht="15.75" customHeight="1" x14ac:dyDescent="0.5">
      <c r="A785" s="38"/>
      <c r="B785" s="38"/>
      <c r="C785" s="58"/>
      <c r="D785" s="58"/>
      <c r="E785" s="58"/>
      <c r="F785" s="58"/>
      <c r="G785" s="58"/>
      <c r="H785" s="58"/>
      <c r="I785" s="5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</row>
    <row r="786" spans="1:29" ht="15.75" customHeight="1" x14ac:dyDescent="0.5">
      <c r="A786" s="38"/>
      <c r="B786" s="38"/>
      <c r="C786" s="58"/>
      <c r="D786" s="58"/>
      <c r="E786" s="58"/>
      <c r="F786" s="58"/>
      <c r="G786" s="58"/>
      <c r="H786" s="58"/>
      <c r="I786" s="5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</row>
    <row r="787" spans="1:29" ht="15.75" customHeight="1" x14ac:dyDescent="0.5">
      <c r="A787" s="38"/>
      <c r="B787" s="38"/>
      <c r="C787" s="58"/>
      <c r="D787" s="58"/>
      <c r="E787" s="58"/>
      <c r="F787" s="58"/>
      <c r="G787" s="58"/>
      <c r="H787" s="58"/>
      <c r="I787" s="5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</row>
    <row r="788" spans="1:29" ht="15.75" customHeight="1" x14ac:dyDescent="0.5">
      <c r="A788" s="38"/>
      <c r="B788" s="38"/>
      <c r="C788" s="58"/>
      <c r="D788" s="58"/>
      <c r="E788" s="58"/>
      <c r="F788" s="58"/>
      <c r="G788" s="58"/>
      <c r="H788" s="58"/>
      <c r="I788" s="5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</row>
    <row r="789" spans="1:29" ht="15.75" customHeight="1" x14ac:dyDescent="0.5">
      <c r="A789" s="38"/>
      <c r="B789" s="38"/>
      <c r="C789" s="58"/>
      <c r="D789" s="58"/>
      <c r="E789" s="58"/>
      <c r="F789" s="58"/>
      <c r="G789" s="58"/>
      <c r="H789" s="58"/>
      <c r="I789" s="5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</row>
    <row r="790" spans="1:29" ht="15.75" customHeight="1" x14ac:dyDescent="0.5">
      <c r="A790" s="38"/>
      <c r="B790" s="38"/>
      <c r="C790" s="58"/>
      <c r="D790" s="58"/>
      <c r="E790" s="58"/>
      <c r="F790" s="58"/>
      <c r="G790" s="58"/>
      <c r="H790" s="58"/>
      <c r="I790" s="5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</row>
    <row r="791" spans="1:29" ht="15.75" customHeight="1" x14ac:dyDescent="0.5">
      <c r="A791" s="38"/>
      <c r="B791" s="38"/>
      <c r="C791" s="58"/>
      <c r="D791" s="58"/>
      <c r="E791" s="58"/>
      <c r="F791" s="58"/>
      <c r="G791" s="58"/>
      <c r="H791" s="58"/>
      <c r="I791" s="5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</row>
    <row r="792" spans="1:29" ht="15.75" customHeight="1" x14ac:dyDescent="0.5">
      <c r="A792" s="38"/>
      <c r="B792" s="38"/>
      <c r="C792" s="58"/>
      <c r="D792" s="58"/>
      <c r="E792" s="58"/>
      <c r="F792" s="58"/>
      <c r="G792" s="58"/>
      <c r="H792" s="58"/>
      <c r="I792" s="5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</row>
    <row r="793" spans="1:29" ht="15.75" customHeight="1" x14ac:dyDescent="0.5">
      <c r="A793" s="38"/>
      <c r="B793" s="38"/>
      <c r="C793" s="58"/>
      <c r="D793" s="58"/>
      <c r="E793" s="58"/>
      <c r="F793" s="58"/>
      <c r="G793" s="58"/>
      <c r="H793" s="58"/>
      <c r="I793" s="5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</row>
    <row r="794" spans="1:29" ht="15.75" customHeight="1" x14ac:dyDescent="0.5">
      <c r="A794" s="38"/>
      <c r="B794" s="38"/>
      <c r="C794" s="58"/>
      <c r="D794" s="58"/>
      <c r="E794" s="58"/>
      <c r="F794" s="58"/>
      <c r="G794" s="58"/>
      <c r="H794" s="58"/>
      <c r="I794" s="5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</row>
    <row r="795" spans="1:29" ht="15.75" customHeight="1" x14ac:dyDescent="0.5">
      <c r="A795" s="38"/>
      <c r="B795" s="38"/>
      <c r="C795" s="58"/>
      <c r="D795" s="58"/>
      <c r="E795" s="58"/>
      <c r="F795" s="58"/>
      <c r="G795" s="58"/>
      <c r="H795" s="58"/>
      <c r="I795" s="5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</row>
    <row r="796" spans="1:29" ht="15.75" customHeight="1" x14ac:dyDescent="0.5">
      <c r="A796" s="38"/>
      <c r="B796" s="38"/>
      <c r="C796" s="58"/>
      <c r="D796" s="58"/>
      <c r="E796" s="58"/>
      <c r="F796" s="58"/>
      <c r="G796" s="58"/>
      <c r="H796" s="58"/>
      <c r="I796" s="5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</row>
    <row r="797" spans="1:29" ht="15.75" customHeight="1" x14ac:dyDescent="0.5">
      <c r="A797" s="38"/>
      <c r="B797" s="38"/>
      <c r="C797" s="58"/>
      <c r="D797" s="58"/>
      <c r="E797" s="58"/>
      <c r="F797" s="58"/>
      <c r="G797" s="58"/>
      <c r="H797" s="58"/>
      <c r="I797" s="5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</row>
    <row r="798" spans="1:29" ht="15.75" customHeight="1" x14ac:dyDescent="0.5">
      <c r="A798" s="38"/>
      <c r="B798" s="38"/>
      <c r="C798" s="58"/>
      <c r="D798" s="58"/>
      <c r="E798" s="58"/>
      <c r="F798" s="58"/>
      <c r="G798" s="58"/>
      <c r="H798" s="58"/>
      <c r="I798" s="5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</row>
    <row r="799" spans="1:29" ht="15.75" customHeight="1" x14ac:dyDescent="0.5">
      <c r="A799" s="38"/>
      <c r="B799" s="38"/>
      <c r="C799" s="58"/>
      <c r="D799" s="58"/>
      <c r="E799" s="58"/>
      <c r="F799" s="58"/>
      <c r="G799" s="58"/>
      <c r="H799" s="58"/>
      <c r="I799" s="5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</row>
    <row r="800" spans="1:29" ht="15.75" customHeight="1" x14ac:dyDescent="0.5">
      <c r="A800" s="38"/>
      <c r="B800" s="38"/>
      <c r="C800" s="58"/>
      <c r="D800" s="58"/>
      <c r="E800" s="58"/>
      <c r="F800" s="58"/>
      <c r="G800" s="58"/>
      <c r="H800" s="58"/>
      <c r="I800" s="5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</row>
    <row r="801" spans="1:29" ht="15.75" customHeight="1" x14ac:dyDescent="0.5">
      <c r="A801" s="38"/>
      <c r="B801" s="38"/>
      <c r="C801" s="58"/>
      <c r="D801" s="58"/>
      <c r="E801" s="58"/>
      <c r="F801" s="58"/>
      <c r="G801" s="58"/>
      <c r="H801" s="58"/>
      <c r="I801" s="5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</row>
    <row r="802" spans="1:29" ht="15.75" customHeight="1" x14ac:dyDescent="0.5">
      <c r="A802" s="38"/>
      <c r="B802" s="38"/>
      <c r="C802" s="58"/>
      <c r="D802" s="58"/>
      <c r="E802" s="58"/>
      <c r="F802" s="58"/>
      <c r="G802" s="58"/>
      <c r="H802" s="58"/>
      <c r="I802" s="5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</row>
    <row r="803" spans="1:29" ht="15.75" customHeight="1" x14ac:dyDescent="0.5">
      <c r="A803" s="38"/>
      <c r="B803" s="38"/>
      <c r="C803" s="58"/>
      <c r="D803" s="58"/>
      <c r="E803" s="58"/>
      <c r="F803" s="58"/>
      <c r="G803" s="58"/>
      <c r="H803" s="58"/>
      <c r="I803" s="5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</row>
    <row r="804" spans="1:29" ht="15.75" customHeight="1" x14ac:dyDescent="0.5">
      <c r="A804" s="38"/>
      <c r="B804" s="38"/>
      <c r="C804" s="58"/>
      <c r="D804" s="58"/>
      <c r="E804" s="58"/>
      <c r="F804" s="58"/>
      <c r="G804" s="58"/>
      <c r="H804" s="58"/>
      <c r="I804" s="5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</row>
    <row r="805" spans="1:29" ht="15.75" customHeight="1" x14ac:dyDescent="0.5">
      <c r="A805" s="38"/>
      <c r="B805" s="38"/>
      <c r="C805" s="58"/>
      <c r="D805" s="58"/>
      <c r="E805" s="58"/>
      <c r="F805" s="58"/>
      <c r="G805" s="58"/>
      <c r="H805" s="58"/>
      <c r="I805" s="5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</row>
    <row r="806" spans="1:29" ht="15.75" customHeight="1" x14ac:dyDescent="0.5">
      <c r="A806" s="38"/>
      <c r="B806" s="38"/>
      <c r="C806" s="58"/>
      <c r="D806" s="58"/>
      <c r="E806" s="58"/>
      <c r="F806" s="58"/>
      <c r="G806" s="58"/>
      <c r="H806" s="58"/>
      <c r="I806" s="5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</row>
    <row r="807" spans="1:29" ht="15.75" customHeight="1" x14ac:dyDescent="0.5">
      <c r="A807" s="38"/>
      <c r="B807" s="38"/>
      <c r="C807" s="58"/>
      <c r="D807" s="58"/>
      <c r="E807" s="58"/>
      <c r="F807" s="58"/>
      <c r="G807" s="58"/>
      <c r="H807" s="58"/>
      <c r="I807" s="5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</row>
    <row r="808" spans="1:29" ht="15.75" customHeight="1" x14ac:dyDescent="0.5">
      <c r="A808" s="38"/>
      <c r="B808" s="38"/>
      <c r="C808" s="58"/>
      <c r="D808" s="58"/>
      <c r="E808" s="58"/>
      <c r="F808" s="58"/>
      <c r="G808" s="58"/>
      <c r="H808" s="58"/>
      <c r="I808" s="5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</row>
    <row r="809" spans="1:29" ht="15.75" customHeight="1" x14ac:dyDescent="0.5">
      <c r="A809" s="38"/>
      <c r="B809" s="38"/>
      <c r="C809" s="58"/>
      <c r="D809" s="58"/>
      <c r="E809" s="58"/>
      <c r="F809" s="58"/>
      <c r="G809" s="58"/>
      <c r="H809" s="58"/>
      <c r="I809" s="5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</row>
    <row r="810" spans="1:29" ht="15.75" customHeight="1" x14ac:dyDescent="0.5">
      <c r="A810" s="38"/>
      <c r="B810" s="38"/>
      <c r="C810" s="58"/>
      <c r="D810" s="58"/>
      <c r="E810" s="58"/>
      <c r="F810" s="58"/>
      <c r="G810" s="58"/>
      <c r="H810" s="58"/>
      <c r="I810" s="5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</row>
    <row r="811" spans="1:29" ht="15.75" customHeight="1" x14ac:dyDescent="0.5">
      <c r="A811" s="38"/>
      <c r="B811" s="38"/>
      <c r="C811" s="58"/>
      <c r="D811" s="58"/>
      <c r="E811" s="58"/>
      <c r="F811" s="58"/>
      <c r="G811" s="58"/>
      <c r="H811" s="58"/>
      <c r="I811" s="5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</row>
    <row r="812" spans="1:29" ht="15.75" customHeight="1" x14ac:dyDescent="0.5">
      <c r="A812" s="38"/>
      <c r="B812" s="38"/>
      <c r="C812" s="58"/>
      <c r="D812" s="58"/>
      <c r="E812" s="58"/>
      <c r="F812" s="58"/>
      <c r="G812" s="58"/>
      <c r="H812" s="58"/>
      <c r="I812" s="5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</row>
    <row r="813" spans="1:29" ht="15.75" customHeight="1" x14ac:dyDescent="0.5">
      <c r="A813" s="38"/>
      <c r="B813" s="38"/>
      <c r="C813" s="58"/>
      <c r="D813" s="58"/>
      <c r="E813" s="58"/>
      <c r="F813" s="58"/>
      <c r="G813" s="58"/>
      <c r="H813" s="58"/>
      <c r="I813" s="5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</row>
    <row r="814" spans="1:29" ht="15.75" customHeight="1" x14ac:dyDescent="0.5">
      <c r="A814" s="38"/>
      <c r="B814" s="38"/>
      <c r="C814" s="58"/>
      <c r="D814" s="58"/>
      <c r="E814" s="58"/>
      <c r="F814" s="58"/>
      <c r="G814" s="58"/>
      <c r="H814" s="58"/>
      <c r="I814" s="5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</row>
    <row r="815" spans="1:29" ht="15.75" customHeight="1" x14ac:dyDescent="0.5">
      <c r="A815" s="38"/>
      <c r="B815" s="38"/>
      <c r="C815" s="58"/>
      <c r="D815" s="58"/>
      <c r="E815" s="58"/>
      <c r="F815" s="58"/>
      <c r="G815" s="58"/>
      <c r="H815" s="58"/>
      <c r="I815" s="5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</row>
    <row r="816" spans="1:29" ht="15.75" customHeight="1" x14ac:dyDescent="0.5">
      <c r="A816" s="38"/>
      <c r="B816" s="38"/>
      <c r="C816" s="58"/>
      <c r="D816" s="58"/>
      <c r="E816" s="58"/>
      <c r="F816" s="58"/>
      <c r="G816" s="58"/>
      <c r="H816" s="58"/>
      <c r="I816" s="5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</row>
    <row r="817" spans="1:29" ht="15.75" customHeight="1" x14ac:dyDescent="0.5">
      <c r="A817" s="38"/>
      <c r="B817" s="38"/>
      <c r="C817" s="58"/>
      <c r="D817" s="58"/>
      <c r="E817" s="58"/>
      <c r="F817" s="58"/>
      <c r="G817" s="58"/>
      <c r="H817" s="58"/>
      <c r="I817" s="5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</row>
    <row r="818" spans="1:29" ht="15.75" customHeight="1" x14ac:dyDescent="0.5">
      <c r="A818" s="38"/>
      <c r="B818" s="38"/>
      <c r="C818" s="58"/>
      <c r="D818" s="58"/>
      <c r="E818" s="58"/>
      <c r="F818" s="58"/>
      <c r="G818" s="58"/>
      <c r="H818" s="58"/>
      <c r="I818" s="5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</row>
    <row r="819" spans="1:29" ht="15.75" customHeight="1" x14ac:dyDescent="0.5">
      <c r="A819" s="38"/>
      <c r="B819" s="38"/>
      <c r="C819" s="58"/>
      <c r="D819" s="58"/>
      <c r="E819" s="58"/>
      <c r="F819" s="58"/>
      <c r="G819" s="58"/>
      <c r="H819" s="58"/>
      <c r="I819" s="5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</row>
    <row r="820" spans="1:29" ht="15.75" customHeight="1" x14ac:dyDescent="0.5">
      <c r="A820" s="38"/>
      <c r="B820" s="38"/>
      <c r="C820" s="58"/>
      <c r="D820" s="58"/>
      <c r="E820" s="58"/>
      <c r="F820" s="58"/>
      <c r="G820" s="58"/>
      <c r="H820" s="58"/>
      <c r="I820" s="5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</row>
    <row r="821" spans="1:29" ht="15.75" customHeight="1" x14ac:dyDescent="0.5">
      <c r="A821" s="38"/>
      <c r="B821" s="38"/>
      <c r="C821" s="58"/>
      <c r="D821" s="58"/>
      <c r="E821" s="58"/>
      <c r="F821" s="58"/>
      <c r="G821" s="58"/>
      <c r="H821" s="58"/>
      <c r="I821" s="5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</row>
    <row r="822" spans="1:29" ht="15.75" customHeight="1" x14ac:dyDescent="0.5">
      <c r="A822" s="38"/>
      <c r="B822" s="38"/>
      <c r="C822" s="58"/>
      <c r="D822" s="58"/>
      <c r="E822" s="58"/>
      <c r="F822" s="58"/>
      <c r="G822" s="58"/>
      <c r="H822" s="58"/>
      <c r="I822" s="5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</row>
    <row r="823" spans="1:29" ht="15.75" customHeight="1" x14ac:dyDescent="0.5">
      <c r="A823" s="38"/>
      <c r="B823" s="38"/>
      <c r="C823" s="58"/>
      <c r="D823" s="58"/>
      <c r="E823" s="58"/>
      <c r="F823" s="58"/>
      <c r="G823" s="58"/>
      <c r="H823" s="58"/>
      <c r="I823" s="5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</row>
    <row r="824" spans="1:29" ht="15.75" customHeight="1" x14ac:dyDescent="0.5">
      <c r="A824" s="38"/>
      <c r="B824" s="38"/>
      <c r="C824" s="58"/>
      <c r="D824" s="58"/>
      <c r="E824" s="58"/>
      <c r="F824" s="58"/>
      <c r="G824" s="58"/>
      <c r="H824" s="58"/>
      <c r="I824" s="5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</row>
    <row r="825" spans="1:29" ht="15.75" customHeight="1" x14ac:dyDescent="0.5">
      <c r="A825" s="38"/>
      <c r="B825" s="38"/>
      <c r="C825" s="58"/>
      <c r="D825" s="58"/>
      <c r="E825" s="58"/>
      <c r="F825" s="58"/>
      <c r="G825" s="58"/>
      <c r="H825" s="58"/>
      <c r="I825" s="5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</row>
    <row r="826" spans="1:29" ht="15.75" customHeight="1" x14ac:dyDescent="0.5">
      <c r="A826" s="38"/>
      <c r="B826" s="38"/>
      <c r="C826" s="58"/>
      <c r="D826" s="58"/>
      <c r="E826" s="58"/>
      <c r="F826" s="58"/>
      <c r="G826" s="58"/>
      <c r="H826" s="58"/>
      <c r="I826" s="5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</row>
    <row r="827" spans="1:29" ht="15.75" customHeight="1" x14ac:dyDescent="0.5">
      <c r="A827" s="38"/>
      <c r="B827" s="38"/>
      <c r="C827" s="58"/>
      <c r="D827" s="58"/>
      <c r="E827" s="58"/>
      <c r="F827" s="58"/>
      <c r="G827" s="58"/>
      <c r="H827" s="58"/>
      <c r="I827" s="5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</row>
    <row r="828" spans="1:29" ht="15.75" customHeight="1" x14ac:dyDescent="0.5">
      <c r="A828" s="38"/>
      <c r="B828" s="38"/>
      <c r="C828" s="58"/>
      <c r="D828" s="58"/>
      <c r="E828" s="58"/>
      <c r="F828" s="58"/>
      <c r="G828" s="58"/>
      <c r="H828" s="58"/>
      <c r="I828" s="5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</row>
    <row r="829" spans="1:29" ht="15.75" customHeight="1" x14ac:dyDescent="0.5">
      <c r="A829" s="38"/>
      <c r="B829" s="38"/>
      <c r="C829" s="58"/>
      <c r="D829" s="58"/>
      <c r="E829" s="58"/>
      <c r="F829" s="58"/>
      <c r="G829" s="58"/>
      <c r="H829" s="58"/>
      <c r="I829" s="5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</row>
    <row r="830" spans="1:29" ht="15.75" customHeight="1" x14ac:dyDescent="0.5">
      <c r="A830" s="38"/>
      <c r="B830" s="38"/>
      <c r="C830" s="58"/>
      <c r="D830" s="58"/>
      <c r="E830" s="58"/>
      <c r="F830" s="58"/>
      <c r="G830" s="58"/>
      <c r="H830" s="58"/>
      <c r="I830" s="5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</row>
    <row r="831" spans="1:29" ht="15.75" customHeight="1" x14ac:dyDescent="0.5">
      <c r="A831" s="38"/>
      <c r="B831" s="38"/>
      <c r="C831" s="58"/>
      <c r="D831" s="58"/>
      <c r="E831" s="58"/>
      <c r="F831" s="58"/>
      <c r="G831" s="58"/>
      <c r="H831" s="58"/>
      <c r="I831" s="5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</row>
    <row r="832" spans="1:29" ht="15.75" customHeight="1" x14ac:dyDescent="0.5">
      <c r="A832" s="38"/>
      <c r="B832" s="38"/>
      <c r="C832" s="58"/>
      <c r="D832" s="58"/>
      <c r="E832" s="58"/>
      <c r="F832" s="58"/>
      <c r="G832" s="58"/>
      <c r="H832" s="58"/>
      <c r="I832" s="5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</row>
    <row r="833" spans="1:29" ht="15.75" customHeight="1" x14ac:dyDescent="0.5">
      <c r="A833" s="38"/>
      <c r="B833" s="38"/>
      <c r="C833" s="58"/>
      <c r="D833" s="58"/>
      <c r="E833" s="58"/>
      <c r="F833" s="58"/>
      <c r="G833" s="58"/>
      <c r="H833" s="58"/>
      <c r="I833" s="5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</row>
    <row r="834" spans="1:29" ht="15.75" customHeight="1" x14ac:dyDescent="0.5">
      <c r="A834" s="38"/>
      <c r="B834" s="38"/>
      <c r="C834" s="58"/>
      <c r="D834" s="58"/>
      <c r="E834" s="58"/>
      <c r="F834" s="58"/>
      <c r="G834" s="58"/>
      <c r="H834" s="58"/>
      <c r="I834" s="5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</row>
    <row r="835" spans="1:29" ht="15.75" customHeight="1" x14ac:dyDescent="0.5">
      <c r="A835" s="38"/>
      <c r="B835" s="38"/>
      <c r="C835" s="58"/>
      <c r="D835" s="58"/>
      <c r="E835" s="58"/>
      <c r="F835" s="58"/>
      <c r="G835" s="58"/>
      <c r="H835" s="58"/>
      <c r="I835" s="5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</row>
    <row r="836" spans="1:29" ht="15.75" customHeight="1" x14ac:dyDescent="0.5">
      <c r="A836" s="38"/>
      <c r="B836" s="38"/>
      <c r="C836" s="58"/>
      <c r="D836" s="58"/>
      <c r="E836" s="58"/>
      <c r="F836" s="58"/>
      <c r="G836" s="58"/>
      <c r="H836" s="58"/>
      <c r="I836" s="5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</row>
    <row r="837" spans="1:29" ht="15.75" customHeight="1" x14ac:dyDescent="0.5">
      <c r="A837" s="38"/>
      <c r="B837" s="38"/>
      <c r="C837" s="58"/>
      <c r="D837" s="58"/>
      <c r="E837" s="58"/>
      <c r="F837" s="58"/>
      <c r="G837" s="58"/>
      <c r="H837" s="58"/>
      <c r="I837" s="5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</row>
    <row r="838" spans="1:29" ht="15.75" customHeight="1" x14ac:dyDescent="0.5">
      <c r="A838" s="38"/>
      <c r="B838" s="38"/>
      <c r="C838" s="58"/>
      <c r="D838" s="58"/>
      <c r="E838" s="58"/>
      <c r="F838" s="58"/>
      <c r="G838" s="58"/>
      <c r="H838" s="58"/>
      <c r="I838" s="5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</row>
    <row r="839" spans="1:29" ht="15.75" customHeight="1" x14ac:dyDescent="0.5">
      <c r="A839" s="38"/>
      <c r="B839" s="38"/>
      <c r="C839" s="58"/>
      <c r="D839" s="58"/>
      <c r="E839" s="58"/>
      <c r="F839" s="58"/>
      <c r="G839" s="58"/>
      <c r="H839" s="58"/>
      <c r="I839" s="5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</row>
    <row r="840" spans="1:29" ht="15.75" customHeight="1" x14ac:dyDescent="0.5">
      <c r="A840" s="38"/>
      <c r="B840" s="38"/>
      <c r="C840" s="58"/>
      <c r="D840" s="58"/>
      <c r="E840" s="58"/>
      <c r="F840" s="58"/>
      <c r="G840" s="58"/>
      <c r="H840" s="58"/>
      <c r="I840" s="5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</row>
    <row r="841" spans="1:29" ht="15.75" customHeight="1" x14ac:dyDescent="0.5">
      <c r="A841" s="38"/>
      <c r="B841" s="38"/>
      <c r="C841" s="58"/>
      <c r="D841" s="58"/>
      <c r="E841" s="58"/>
      <c r="F841" s="58"/>
      <c r="G841" s="58"/>
      <c r="H841" s="58"/>
      <c r="I841" s="5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</row>
    <row r="842" spans="1:29" ht="15.75" customHeight="1" x14ac:dyDescent="0.5">
      <c r="A842" s="38"/>
      <c r="B842" s="38"/>
      <c r="C842" s="58"/>
      <c r="D842" s="58"/>
      <c r="E842" s="58"/>
      <c r="F842" s="58"/>
      <c r="G842" s="58"/>
      <c r="H842" s="58"/>
      <c r="I842" s="5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</row>
    <row r="843" spans="1:29" ht="15.75" customHeight="1" x14ac:dyDescent="0.5">
      <c r="A843" s="38"/>
      <c r="B843" s="38"/>
      <c r="C843" s="58"/>
      <c r="D843" s="58"/>
      <c r="E843" s="58"/>
      <c r="F843" s="58"/>
      <c r="G843" s="58"/>
      <c r="H843" s="58"/>
      <c r="I843" s="5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</row>
    <row r="844" spans="1:29" ht="15.75" customHeight="1" x14ac:dyDescent="0.5">
      <c r="A844" s="38"/>
      <c r="B844" s="38"/>
      <c r="C844" s="58"/>
      <c r="D844" s="58"/>
      <c r="E844" s="58"/>
      <c r="F844" s="58"/>
      <c r="G844" s="58"/>
      <c r="H844" s="58"/>
      <c r="I844" s="5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</row>
    <row r="845" spans="1:29" ht="15.75" customHeight="1" x14ac:dyDescent="0.5">
      <c r="A845" s="38"/>
      <c r="B845" s="38"/>
      <c r="C845" s="58"/>
      <c r="D845" s="58"/>
      <c r="E845" s="58"/>
      <c r="F845" s="58"/>
      <c r="G845" s="58"/>
      <c r="H845" s="58"/>
      <c r="I845" s="5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</row>
    <row r="846" spans="1:29" ht="15.75" customHeight="1" x14ac:dyDescent="0.5">
      <c r="A846" s="38"/>
      <c r="B846" s="38"/>
      <c r="C846" s="58"/>
      <c r="D846" s="58"/>
      <c r="E846" s="58"/>
      <c r="F846" s="58"/>
      <c r="G846" s="58"/>
      <c r="H846" s="58"/>
      <c r="I846" s="5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</row>
    <row r="847" spans="1:29" ht="15.75" customHeight="1" x14ac:dyDescent="0.5">
      <c r="A847" s="38"/>
      <c r="B847" s="38"/>
      <c r="C847" s="58"/>
      <c r="D847" s="58"/>
      <c r="E847" s="58"/>
      <c r="F847" s="58"/>
      <c r="G847" s="58"/>
      <c r="H847" s="58"/>
      <c r="I847" s="5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</row>
    <row r="848" spans="1:29" ht="15.75" customHeight="1" x14ac:dyDescent="0.5">
      <c r="A848" s="38"/>
      <c r="B848" s="38"/>
      <c r="C848" s="58"/>
      <c r="D848" s="58"/>
      <c r="E848" s="58"/>
      <c r="F848" s="58"/>
      <c r="G848" s="58"/>
      <c r="H848" s="58"/>
      <c r="I848" s="5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</row>
    <row r="849" spans="1:29" ht="15.75" customHeight="1" x14ac:dyDescent="0.5">
      <c r="A849" s="38"/>
      <c r="B849" s="38"/>
      <c r="C849" s="58"/>
      <c r="D849" s="58"/>
      <c r="E849" s="58"/>
      <c r="F849" s="58"/>
      <c r="G849" s="58"/>
      <c r="H849" s="58"/>
      <c r="I849" s="5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</row>
    <row r="850" spans="1:29" ht="15.75" customHeight="1" x14ac:dyDescent="0.5">
      <c r="A850" s="38"/>
      <c r="B850" s="38"/>
      <c r="C850" s="58"/>
      <c r="D850" s="58"/>
      <c r="E850" s="58"/>
      <c r="F850" s="58"/>
      <c r="G850" s="58"/>
      <c r="H850" s="58"/>
      <c r="I850" s="5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</row>
    <row r="851" spans="1:29" ht="15.75" customHeight="1" x14ac:dyDescent="0.5">
      <c r="A851" s="38"/>
      <c r="B851" s="38"/>
      <c r="C851" s="58"/>
      <c r="D851" s="58"/>
      <c r="E851" s="58"/>
      <c r="F851" s="58"/>
      <c r="G851" s="58"/>
      <c r="H851" s="58"/>
      <c r="I851" s="5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</row>
    <row r="852" spans="1:29" ht="15.75" customHeight="1" x14ac:dyDescent="0.5">
      <c r="A852" s="38"/>
      <c r="B852" s="38"/>
      <c r="C852" s="58"/>
      <c r="D852" s="58"/>
      <c r="E852" s="58"/>
      <c r="F852" s="58"/>
      <c r="G852" s="58"/>
      <c r="H852" s="58"/>
      <c r="I852" s="5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</row>
    <row r="853" spans="1:29" ht="15.75" customHeight="1" x14ac:dyDescent="0.5">
      <c r="A853" s="38"/>
      <c r="B853" s="38"/>
      <c r="C853" s="58"/>
      <c r="D853" s="58"/>
      <c r="E853" s="58"/>
      <c r="F853" s="58"/>
      <c r="G853" s="58"/>
      <c r="H853" s="58"/>
      <c r="I853" s="5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</row>
    <row r="854" spans="1:29" ht="15.75" customHeight="1" x14ac:dyDescent="0.5">
      <c r="A854" s="38"/>
      <c r="B854" s="38"/>
      <c r="C854" s="58"/>
      <c r="D854" s="58"/>
      <c r="E854" s="58"/>
      <c r="F854" s="58"/>
      <c r="G854" s="58"/>
      <c r="H854" s="58"/>
      <c r="I854" s="5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</row>
    <row r="855" spans="1:29" ht="15.75" customHeight="1" x14ac:dyDescent="0.5">
      <c r="A855" s="38"/>
      <c r="B855" s="38"/>
      <c r="C855" s="58"/>
      <c r="D855" s="58"/>
      <c r="E855" s="58"/>
      <c r="F855" s="58"/>
      <c r="G855" s="58"/>
      <c r="H855" s="58"/>
      <c r="I855" s="5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</row>
    <row r="856" spans="1:29" ht="15.75" customHeight="1" x14ac:dyDescent="0.5">
      <c r="A856" s="38"/>
      <c r="B856" s="38"/>
      <c r="C856" s="58"/>
      <c r="D856" s="58"/>
      <c r="E856" s="58"/>
      <c r="F856" s="58"/>
      <c r="G856" s="58"/>
      <c r="H856" s="58"/>
      <c r="I856" s="5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</row>
    <row r="857" spans="1:29" ht="15.75" customHeight="1" x14ac:dyDescent="0.5">
      <c r="A857" s="38"/>
      <c r="B857" s="38"/>
      <c r="C857" s="58"/>
      <c r="D857" s="58"/>
      <c r="E857" s="58"/>
      <c r="F857" s="58"/>
      <c r="G857" s="58"/>
      <c r="H857" s="58"/>
      <c r="I857" s="5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</row>
    <row r="858" spans="1:29" ht="15.75" customHeight="1" x14ac:dyDescent="0.5">
      <c r="A858" s="38"/>
      <c r="B858" s="38"/>
      <c r="C858" s="58"/>
      <c r="D858" s="58"/>
      <c r="E858" s="58"/>
      <c r="F858" s="58"/>
      <c r="G858" s="58"/>
      <c r="H858" s="58"/>
      <c r="I858" s="5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</row>
    <row r="859" spans="1:29" ht="15.75" customHeight="1" x14ac:dyDescent="0.5">
      <c r="A859" s="38"/>
      <c r="B859" s="38"/>
      <c r="C859" s="58"/>
      <c r="D859" s="58"/>
      <c r="E859" s="58"/>
      <c r="F859" s="58"/>
      <c r="G859" s="58"/>
      <c r="H859" s="58"/>
      <c r="I859" s="5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</row>
    <row r="860" spans="1:29" ht="15.75" customHeight="1" x14ac:dyDescent="0.5">
      <c r="A860" s="38"/>
      <c r="B860" s="38"/>
      <c r="C860" s="58"/>
      <c r="D860" s="58"/>
      <c r="E860" s="58"/>
      <c r="F860" s="58"/>
      <c r="G860" s="58"/>
      <c r="H860" s="58"/>
      <c r="I860" s="5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</row>
    <row r="861" spans="1:29" ht="15.75" customHeight="1" x14ac:dyDescent="0.5">
      <c r="A861" s="38"/>
      <c r="B861" s="38"/>
      <c r="C861" s="58"/>
      <c r="D861" s="58"/>
      <c r="E861" s="58"/>
      <c r="F861" s="58"/>
      <c r="G861" s="58"/>
      <c r="H861" s="58"/>
      <c r="I861" s="5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</row>
    <row r="862" spans="1:29" ht="15.75" customHeight="1" x14ac:dyDescent="0.5">
      <c r="A862" s="38"/>
      <c r="B862" s="38"/>
      <c r="C862" s="58"/>
      <c r="D862" s="58"/>
      <c r="E862" s="58"/>
      <c r="F862" s="58"/>
      <c r="G862" s="58"/>
      <c r="H862" s="58"/>
      <c r="I862" s="5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</row>
    <row r="863" spans="1:29" ht="15.75" customHeight="1" x14ac:dyDescent="0.5">
      <c r="A863" s="38"/>
      <c r="B863" s="38"/>
      <c r="C863" s="58"/>
      <c r="D863" s="58"/>
      <c r="E863" s="58"/>
      <c r="F863" s="58"/>
      <c r="G863" s="58"/>
      <c r="H863" s="58"/>
      <c r="I863" s="5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</row>
    <row r="864" spans="1:29" ht="15.75" customHeight="1" x14ac:dyDescent="0.5">
      <c r="A864" s="38"/>
      <c r="B864" s="38"/>
      <c r="C864" s="58"/>
      <c r="D864" s="58"/>
      <c r="E864" s="58"/>
      <c r="F864" s="58"/>
      <c r="G864" s="58"/>
      <c r="H864" s="58"/>
      <c r="I864" s="5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</row>
    <row r="865" spans="1:29" ht="15.75" customHeight="1" x14ac:dyDescent="0.5">
      <c r="A865" s="38"/>
      <c r="B865" s="38"/>
      <c r="C865" s="58"/>
      <c r="D865" s="58"/>
      <c r="E865" s="58"/>
      <c r="F865" s="58"/>
      <c r="G865" s="58"/>
      <c r="H865" s="58"/>
      <c r="I865" s="5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</row>
    <row r="866" spans="1:29" ht="15.75" customHeight="1" x14ac:dyDescent="0.5">
      <c r="A866" s="38"/>
      <c r="B866" s="38"/>
      <c r="C866" s="58"/>
      <c r="D866" s="58"/>
      <c r="E866" s="58"/>
      <c r="F866" s="58"/>
      <c r="G866" s="58"/>
      <c r="H866" s="58"/>
      <c r="I866" s="5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</row>
    <row r="867" spans="1:29" ht="15.75" customHeight="1" x14ac:dyDescent="0.5">
      <c r="A867" s="38"/>
      <c r="B867" s="38"/>
      <c r="C867" s="58"/>
      <c r="D867" s="58"/>
      <c r="E867" s="58"/>
      <c r="F867" s="58"/>
      <c r="G867" s="58"/>
      <c r="H867" s="58"/>
      <c r="I867" s="5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</row>
    <row r="868" spans="1:29" ht="15.75" customHeight="1" x14ac:dyDescent="0.5">
      <c r="A868" s="38"/>
      <c r="B868" s="38"/>
      <c r="C868" s="58"/>
      <c r="D868" s="58"/>
      <c r="E868" s="58"/>
      <c r="F868" s="58"/>
      <c r="G868" s="58"/>
      <c r="H868" s="58"/>
      <c r="I868" s="5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</row>
    <row r="869" spans="1:29" ht="15.75" customHeight="1" x14ac:dyDescent="0.5">
      <c r="A869" s="38"/>
      <c r="B869" s="38"/>
      <c r="C869" s="58"/>
      <c r="D869" s="58"/>
      <c r="E869" s="58"/>
      <c r="F869" s="58"/>
      <c r="G869" s="58"/>
      <c r="H869" s="58"/>
      <c r="I869" s="5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</row>
    <row r="870" spans="1:29" ht="15.75" customHeight="1" x14ac:dyDescent="0.5">
      <c r="A870" s="38"/>
      <c r="B870" s="38"/>
      <c r="C870" s="58"/>
      <c r="D870" s="58"/>
      <c r="E870" s="58"/>
      <c r="F870" s="58"/>
      <c r="G870" s="58"/>
      <c r="H870" s="58"/>
      <c r="I870" s="5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</row>
    <row r="871" spans="1:29" ht="15.75" customHeight="1" x14ac:dyDescent="0.5">
      <c r="A871" s="38"/>
      <c r="B871" s="38"/>
      <c r="C871" s="58"/>
      <c r="D871" s="58"/>
      <c r="E871" s="58"/>
      <c r="F871" s="58"/>
      <c r="G871" s="58"/>
      <c r="H871" s="58"/>
      <c r="I871" s="5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</row>
    <row r="872" spans="1:29" ht="15.75" customHeight="1" x14ac:dyDescent="0.5">
      <c r="A872" s="38"/>
      <c r="B872" s="38"/>
      <c r="C872" s="58"/>
      <c r="D872" s="58"/>
      <c r="E872" s="58"/>
      <c r="F872" s="58"/>
      <c r="G872" s="58"/>
      <c r="H872" s="58"/>
      <c r="I872" s="5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</row>
    <row r="873" spans="1:29" ht="15.75" customHeight="1" x14ac:dyDescent="0.5">
      <c r="A873" s="38"/>
      <c r="B873" s="38"/>
      <c r="C873" s="58"/>
      <c r="D873" s="58"/>
      <c r="E873" s="58"/>
      <c r="F873" s="58"/>
      <c r="G873" s="58"/>
      <c r="H873" s="58"/>
      <c r="I873" s="5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</row>
    <row r="874" spans="1:29" ht="15.75" customHeight="1" x14ac:dyDescent="0.5">
      <c r="A874" s="38"/>
      <c r="B874" s="38"/>
      <c r="C874" s="58"/>
      <c r="D874" s="58"/>
      <c r="E874" s="58"/>
      <c r="F874" s="58"/>
      <c r="G874" s="58"/>
      <c r="H874" s="58"/>
      <c r="I874" s="5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</row>
    <row r="875" spans="1:29" ht="15.75" customHeight="1" x14ac:dyDescent="0.5">
      <c r="A875" s="38"/>
      <c r="B875" s="38"/>
      <c r="C875" s="58"/>
      <c r="D875" s="58"/>
      <c r="E875" s="58"/>
      <c r="F875" s="58"/>
      <c r="G875" s="58"/>
      <c r="H875" s="58"/>
      <c r="I875" s="5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</row>
    <row r="876" spans="1:29" ht="15.75" customHeight="1" x14ac:dyDescent="0.5">
      <c r="A876" s="38"/>
      <c r="B876" s="38"/>
      <c r="C876" s="58"/>
      <c r="D876" s="58"/>
      <c r="E876" s="58"/>
      <c r="F876" s="58"/>
      <c r="G876" s="58"/>
      <c r="H876" s="58"/>
      <c r="I876" s="5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</row>
    <row r="877" spans="1:29" ht="15.75" customHeight="1" x14ac:dyDescent="0.5">
      <c r="A877" s="38"/>
      <c r="B877" s="38"/>
      <c r="C877" s="58"/>
      <c r="D877" s="58"/>
      <c r="E877" s="58"/>
      <c r="F877" s="58"/>
      <c r="G877" s="58"/>
      <c r="H877" s="58"/>
      <c r="I877" s="5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</row>
    <row r="878" spans="1:29" ht="15.75" customHeight="1" x14ac:dyDescent="0.5">
      <c r="A878" s="38"/>
      <c r="B878" s="38"/>
      <c r="C878" s="58"/>
      <c r="D878" s="58"/>
      <c r="E878" s="58"/>
      <c r="F878" s="58"/>
      <c r="G878" s="58"/>
      <c r="H878" s="58"/>
      <c r="I878" s="5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</row>
    <row r="879" spans="1:29" ht="15.75" customHeight="1" x14ac:dyDescent="0.5">
      <c r="A879" s="38"/>
      <c r="B879" s="38"/>
      <c r="C879" s="58"/>
      <c r="D879" s="58"/>
      <c r="E879" s="58"/>
      <c r="F879" s="58"/>
      <c r="G879" s="58"/>
      <c r="H879" s="58"/>
      <c r="I879" s="5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</row>
    <row r="880" spans="1:29" ht="15.75" customHeight="1" x14ac:dyDescent="0.5">
      <c r="A880" s="38"/>
      <c r="B880" s="38"/>
      <c r="C880" s="58"/>
      <c r="D880" s="58"/>
      <c r="E880" s="58"/>
      <c r="F880" s="58"/>
      <c r="G880" s="58"/>
      <c r="H880" s="58"/>
      <c r="I880" s="5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</row>
    <row r="881" spans="1:29" ht="15.75" customHeight="1" x14ac:dyDescent="0.5">
      <c r="A881" s="38"/>
      <c r="B881" s="38"/>
      <c r="C881" s="58"/>
      <c r="D881" s="58"/>
      <c r="E881" s="58"/>
      <c r="F881" s="58"/>
      <c r="G881" s="58"/>
      <c r="H881" s="58"/>
      <c r="I881" s="5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</row>
    <row r="882" spans="1:29" ht="15.75" customHeight="1" x14ac:dyDescent="0.5">
      <c r="A882" s="38"/>
      <c r="B882" s="38"/>
      <c r="C882" s="58"/>
      <c r="D882" s="58"/>
      <c r="E882" s="58"/>
      <c r="F882" s="58"/>
      <c r="G882" s="58"/>
      <c r="H882" s="58"/>
      <c r="I882" s="5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</row>
    <row r="883" spans="1:29" ht="15.75" customHeight="1" x14ac:dyDescent="0.5">
      <c r="A883" s="38"/>
      <c r="B883" s="38"/>
      <c r="C883" s="58"/>
      <c r="D883" s="58"/>
      <c r="E883" s="58"/>
      <c r="F883" s="58"/>
      <c r="G883" s="58"/>
      <c r="H883" s="58"/>
      <c r="I883" s="5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</row>
    <row r="884" spans="1:29" ht="15.75" customHeight="1" x14ac:dyDescent="0.5">
      <c r="A884" s="38"/>
      <c r="B884" s="38"/>
      <c r="C884" s="58"/>
      <c r="D884" s="58"/>
      <c r="E884" s="58"/>
      <c r="F884" s="58"/>
      <c r="G884" s="58"/>
      <c r="H884" s="58"/>
      <c r="I884" s="5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</row>
    <row r="885" spans="1:29" ht="15.75" customHeight="1" x14ac:dyDescent="0.5">
      <c r="A885" s="38"/>
      <c r="B885" s="38"/>
      <c r="C885" s="58"/>
      <c r="D885" s="58"/>
      <c r="E885" s="58"/>
      <c r="F885" s="58"/>
      <c r="G885" s="58"/>
      <c r="H885" s="58"/>
      <c r="I885" s="5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</row>
    <row r="886" spans="1:29" ht="15.75" customHeight="1" x14ac:dyDescent="0.5">
      <c r="A886" s="38"/>
      <c r="B886" s="38"/>
      <c r="C886" s="58"/>
      <c r="D886" s="58"/>
      <c r="E886" s="58"/>
      <c r="F886" s="58"/>
      <c r="G886" s="58"/>
      <c r="H886" s="58"/>
      <c r="I886" s="5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</row>
    <row r="887" spans="1:29" ht="15.75" customHeight="1" x14ac:dyDescent="0.5">
      <c r="A887" s="38"/>
      <c r="B887" s="38"/>
      <c r="C887" s="58"/>
      <c r="D887" s="58"/>
      <c r="E887" s="58"/>
      <c r="F887" s="58"/>
      <c r="G887" s="58"/>
      <c r="H887" s="58"/>
      <c r="I887" s="5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</row>
    <row r="888" spans="1:29" ht="15.75" customHeight="1" x14ac:dyDescent="0.5">
      <c r="A888" s="38"/>
      <c r="B888" s="38"/>
      <c r="C888" s="58"/>
      <c r="D888" s="58"/>
      <c r="E888" s="58"/>
      <c r="F888" s="58"/>
      <c r="G888" s="58"/>
      <c r="H888" s="58"/>
      <c r="I888" s="5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</row>
    <row r="889" spans="1:29" ht="15.75" customHeight="1" x14ac:dyDescent="0.5">
      <c r="A889" s="38"/>
      <c r="B889" s="38"/>
      <c r="C889" s="58"/>
      <c r="D889" s="58"/>
      <c r="E889" s="58"/>
      <c r="F889" s="58"/>
      <c r="G889" s="58"/>
      <c r="H889" s="58"/>
      <c r="I889" s="5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</row>
    <row r="890" spans="1:29" ht="15.75" customHeight="1" x14ac:dyDescent="0.5">
      <c r="A890" s="38"/>
      <c r="B890" s="38"/>
      <c r="C890" s="58"/>
      <c r="D890" s="58"/>
      <c r="E890" s="58"/>
      <c r="F890" s="58"/>
      <c r="G890" s="58"/>
      <c r="H890" s="58"/>
      <c r="I890" s="5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</row>
    <row r="891" spans="1:29" ht="15.75" customHeight="1" x14ac:dyDescent="0.5">
      <c r="A891" s="38"/>
      <c r="B891" s="38"/>
      <c r="C891" s="58"/>
      <c r="D891" s="58"/>
      <c r="E891" s="58"/>
      <c r="F891" s="58"/>
      <c r="G891" s="58"/>
      <c r="H891" s="58"/>
      <c r="I891" s="5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</row>
    <row r="892" spans="1:29" ht="15.75" customHeight="1" x14ac:dyDescent="0.5">
      <c r="A892" s="38"/>
      <c r="B892" s="38"/>
      <c r="C892" s="58"/>
      <c r="D892" s="58"/>
      <c r="E892" s="58"/>
      <c r="F892" s="58"/>
      <c r="G892" s="58"/>
      <c r="H892" s="58"/>
      <c r="I892" s="5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</row>
    <row r="893" spans="1:29" ht="15.75" customHeight="1" x14ac:dyDescent="0.5">
      <c r="A893" s="38"/>
      <c r="B893" s="38"/>
      <c r="C893" s="58"/>
      <c r="D893" s="58"/>
      <c r="E893" s="58"/>
      <c r="F893" s="58"/>
      <c r="G893" s="58"/>
      <c r="H893" s="58"/>
      <c r="I893" s="5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</row>
    <row r="894" spans="1:29" ht="15.75" customHeight="1" x14ac:dyDescent="0.5">
      <c r="A894" s="38"/>
      <c r="B894" s="38"/>
      <c r="C894" s="58"/>
      <c r="D894" s="58"/>
      <c r="E894" s="58"/>
      <c r="F894" s="58"/>
      <c r="G894" s="58"/>
      <c r="H894" s="58"/>
      <c r="I894" s="5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</row>
    <row r="895" spans="1:29" ht="15.75" customHeight="1" x14ac:dyDescent="0.5">
      <c r="A895" s="38"/>
      <c r="B895" s="38"/>
      <c r="C895" s="58"/>
      <c r="D895" s="58"/>
      <c r="E895" s="58"/>
      <c r="F895" s="58"/>
      <c r="G895" s="58"/>
      <c r="H895" s="58"/>
      <c r="I895" s="5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</row>
    <row r="896" spans="1:29" ht="15.75" customHeight="1" x14ac:dyDescent="0.5">
      <c r="A896" s="38"/>
      <c r="B896" s="38"/>
      <c r="C896" s="58"/>
      <c r="D896" s="58"/>
      <c r="E896" s="58"/>
      <c r="F896" s="58"/>
      <c r="G896" s="58"/>
      <c r="H896" s="58"/>
      <c r="I896" s="5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</row>
    <row r="897" spans="1:29" ht="15.75" customHeight="1" x14ac:dyDescent="0.5">
      <c r="A897" s="38"/>
      <c r="B897" s="38"/>
      <c r="C897" s="58"/>
      <c r="D897" s="58"/>
      <c r="E897" s="58"/>
      <c r="F897" s="58"/>
      <c r="G897" s="58"/>
      <c r="H897" s="58"/>
      <c r="I897" s="5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</row>
    <row r="898" spans="1:29" ht="15.75" customHeight="1" x14ac:dyDescent="0.5">
      <c r="A898" s="38"/>
      <c r="B898" s="38"/>
      <c r="C898" s="58"/>
      <c r="D898" s="58"/>
      <c r="E898" s="58"/>
      <c r="F898" s="58"/>
      <c r="G898" s="58"/>
      <c r="H898" s="58"/>
      <c r="I898" s="5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</row>
    <row r="899" spans="1:29" ht="15.75" customHeight="1" x14ac:dyDescent="0.5">
      <c r="A899" s="38"/>
      <c r="B899" s="38"/>
      <c r="C899" s="58"/>
      <c r="D899" s="58"/>
      <c r="E899" s="58"/>
      <c r="F899" s="58"/>
      <c r="G899" s="58"/>
      <c r="H899" s="58"/>
      <c r="I899" s="5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</row>
    <row r="900" spans="1:29" ht="15.75" customHeight="1" x14ac:dyDescent="0.5">
      <c r="A900" s="38"/>
      <c r="B900" s="38"/>
      <c r="C900" s="58"/>
      <c r="D900" s="58"/>
      <c r="E900" s="58"/>
      <c r="F900" s="58"/>
      <c r="G900" s="58"/>
      <c r="H900" s="58"/>
      <c r="I900" s="5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</row>
    <row r="901" spans="1:29" ht="15.75" customHeight="1" x14ac:dyDescent="0.5">
      <c r="A901" s="38"/>
      <c r="B901" s="38"/>
      <c r="C901" s="58"/>
      <c r="D901" s="58"/>
      <c r="E901" s="58"/>
      <c r="F901" s="58"/>
      <c r="G901" s="58"/>
      <c r="H901" s="58"/>
      <c r="I901" s="5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</row>
    <row r="902" spans="1:29" ht="15.75" customHeight="1" x14ac:dyDescent="0.5">
      <c r="A902" s="38"/>
      <c r="B902" s="38"/>
      <c r="C902" s="58"/>
      <c r="D902" s="58"/>
      <c r="E902" s="58"/>
      <c r="F902" s="58"/>
      <c r="G902" s="58"/>
      <c r="H902" s="58"/>
      <c r="I902" s="5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</row>
    <row r="903" spans="1:29" ht="15.75" customHeight="1" x14ac:dyDescent="0.5">
      <c r="A903" s="38"/>
      <c r="B903" s="38"/>
      <c r="C903" s="58"/>
      <c r="D903" s="58"/>
      <c r="E903" s="58"/>
      <c r="F903" s="58"/>
      <c r="G903" s="58"/>
      <c r="H903" s="58"/>
      <c r="I903" s="5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</row>
    <row r="904" spans="1:29" ht="15.75" customHeight="1" x14ac:dyDescent="0.5">
      <c r="A904" s="38"/>
      <c r="B904" s="38"/>
      <c r="C904" s="58"/>
      <c r="D904" s="58"/>
      <c r="E904" s="58"/>
      <c r="F904" s="58"/>
      <c r="G904" s="58"/>
      <c r="H904" s="58"/>
      <c r="I904" s="5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</row>
    <row r="905" spans="1:29" ht="15.75" customHeight="1" x14ac:dyDescent="0.5">
      <c r="A905" s="38"/>
      <c r="B905" s="38"/>
      <c r="C905" s="58"/>
      <c r="D905" s="58"/>
      <c r="E905" s="58"/>
      <c r="F905" s="58"/>
      <c r="G905" s="58"/>
      <c r="H905" s="58"/>
      <c r="I905" s="5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</row>
    <row r="906" spans="1:29" ht="15.75" customHeight="1" x14ac:dyDescent="0.5">
      <c r="A906" s="38"/>
      <c r="B906" s="38"/>
      <c r="C906" s="58"/>
      <c r="D906" s="58"/>
      <c r="E906" s="58"/>
      <c r="F906" s="58"/>
      <c r="G906" s="58"/>
      <c r="H906" s="58"/>
      <c r="I906" s="5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</row>
    <row r="907" spans="1:29" ht="15.75" customHeight="1" x14ac:dyDescent="0.5">
      <c r="A907" s="38"/>
      <c r="B907" s="38"/>
      <c r="C907" s="58"/>
      <c r="D907" s="58"/>
      <c r="E907" s="58"/>
      <c r="F907" s="58"/>
      <c r="G907" s="58"/>
      <c r="H907" s="58"/>
      <c r="I907" s="5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</row>
    <row r="908" spans="1:29" ht="15.75" customHeight="1" x14ac:dyDescent="0.5">
      <c r="A908" s="38"/>
      <c r="B908" s="38"/>
      <c r="C908" s="58"/>
      <c r="D908" s="58"/>
      <c r="E908" s="58"/>
      <c r="F908" s="58"/>
      <c r="G908" s="58"/>
      <c r="H908" s="58"/>
      <c r="I908" s="5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</row>
    <row r="909" spans="1:29" ht="15.75" customHeight="1" x14ac:dyDescent="0.5">
      <c r="A909" s="38"/>
      <c r="B909" s="38"/>
      <c r="C909" s="58"/>
      <c r="D909" s="58"/>
      <c r="E909" s="58"/>
      <c r="F909" s="58"/>
      <c r="G909" s="58"/>
      <c r="H909" s="58"/>
      <c r="I909" s="5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</row>
    <row r="910" spans="1:29" ht="15.75" customHeight="1" x14ac:dyDescent="0.5">
      <c r="A910" s="38"/>
      <c r="B910" s="38"/>
      <c r="C910" s="58"/>
      <c r="D910" s="58"/>
      <c r="E910" s="58"/>
      <c r="F910" s="58"/>
      <c r="G910" s="58"/>
      <c r="H910" s="58"/>
      <c r="I910" s="5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</row>
    <row r="911" spans="1:29" ht="15.75" customHeight="1" x14ac:dyDescent="0.5">
      <c r="A911" s="38"/>
      <c r="B911" s="38"/>
      <c r="C911" s="58"/>
      <c r="D911" s="58"/>
      <c r="E911" s="58"/>
      <c r="F911" s="58"/>
      <c r="G911" s="58"/>
      <c r="H911" s="58"/>
      <c r="I911" s="5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</row>
    <row r="912" spans="1:29" ht="15.75" customHeight="1" x14ac:dyDescent="0.5">
      <c r="A912" s="38"/>
      <c r="B912" s="38"/>
      <c r="C912" s="58"/>
      <c r="D912" s="58"/>
      <c r="E912" s="58"/>
      <c r="F912" s="58"/>
      <c r="G912" s="58"/>
      <c r="H912" s="58"/>
      <c r="I912" s="5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</row>
    <row r="913" spans="1:29" ht="15.75" customHeight="1" x14ac:dyDescent="0.5">
      <c r="A913" s="38"/>
      <c r="B913" s="38"/>
      <c r="C913" s="58"/>
      <c r="D913" s="58"/>
      <c r="E913" s="58"/>
      <c r="F913" s="58"/>
      <c r="G913" s="58"/>
      <c r="H913" s="58"/>
      <c r="I913" s="5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</row>
    <row r="914" spans="1:29" ht="15.75" customHeight="1" x14ac:dyDescent="0.5">
      <c r="A914" s="38"/>
      <c r="B914" s="38"/>
      <c r="C914" s="58"/>
      <c r="D914" s="58"/>
      <c r="E914" s="58"/>
      <c r="F914" s="58"/>
      <c r="G914" s="58"/>
      <c r="H914" s="58"/>
      <c r="I914" s="5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</row>
    <row r="915" spans="1:29" ht="15.75" customHeight="1" x14ac:dyDescent="0.5">
      <c r="A915" s="38"/>
      <c r="B915" s="38"/>
      <c r="C915" s="58"/>
      <c r="D915" s="58"/>
      <c r="E915" s="58"/>
      <c r="F915" s="58"/>
      <c r="G915" s="58"/>
      <c r="H915" s="58"/>
      <c r="I915" s="5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</row>
    <row r="916" spans="1:29" ht="15.75" customHeight="1" x14ac:dyDescent="0.5">
      <c r="A916" s="38"/>
      <c r="B916" s="38"/>
      <c r="C916" s="58"/>
      <c r="D916" s="58"/>
      <c r="E916" s="58"/>
      <c r="F916" s="58"/>
      <c r="G916" s="58"/>
      <c r="H916" s="58"/>
      <c r="I916" s="5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</row>
    <row r="917" spans="1:29" ht="15.75" customHeight="1" x14ac:dyDescent="0.5">
      <c r="A917" s="38"/>
      <c r="B917" s="38"/>
      <c r="C917" s="58"/>
      <c r="D917" s="58"/>
      <c r="E917" s="58"/>
      <c r="F917" s="58"/>
      <c r="G917" s="58"/>
      <c r="H917" s="58"/>
      <c r="I917" s="5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</row>
    <row r="918" spans="1:29" ht="15.75" customHeight="1" x14ac:dyDescent="0.5">
      <c r="A918" s="38"/>
      <c r="B918" s="38"/>
      <c r="C918" s="58"/>
      <c r="D918" s="58"/>
      <c r="E918" s="58"/>
      <c r="F918" s="58"/>
      <c r="G918" s="58"/>
      <c r="H918" s="58"/>
      <c r="I918" s="5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</row>
    <row r="919" spans="1:29" ht="15.75" customHeight="1" x14ac:dyDescent="0.5">
      <c r="A919" s="38"/>
      <c r="B919" s="38"/>
      <c r="C919" s="58"/>
      <c r="D919" s="58"/>
      <c r="E919" s="58"/>
      <c r="F919" s="58"/>
      <c r="G919" s="58"/>
      <c r="H919" s="58"/>
      <c r="I919" s="5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</row>
    <row r="920" spans="1:29" ht="15.75" customHeight="1" x14ac:dyDescent="0.5">
      <c r="A920" s="38"/>
      <c r="B920" s="38"/>
      <c r="C920" s="58"/>
      <c r="D920" s="58"/>
      <c r="E920" s="58"/>
      <c r="F920" s="58"/>
      <c r="G920" s="58"/>
      <c r="H920" s="58"/>
      <c r="I920" s="5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</row>
    <row r="921" spans="1:29" ht="15.75" customHeight="1" x14ac:dyDescent="0.5">
      <c r="A921" s="38"/>
      <c r="B921" s="38"/>
      <c r="C921" s="58"/>
      <c r="D921" s="58"/>
      <c r="E921" s="58"/>
      <c r="F921" s="58"/>
      <c r="G921" s="58"/>
      <c r="H921" s="58"/>
      <c r="I921" s="5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</row>
    <row r="922" spans="1:29" ht="15.75" customHeight="1" x14ac:dyDescent="0.5">
      <c r="A922" s="38"/>
      <c r="B922" s="38"/>
      <c r="C922" s="58"/>
      <c r="D922" s="58"/>
      <c r="E922" s="58"/>
      <c r="F922" s="58"/>
      <c r="G922" s="58"/>
      <c r="H922" s="58"/>
      <c r="I922" s="5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</row>
    <row r="923" spans="1:29" ht="15.75" customHeight="1" x14ac:dyDescent="0.5">
      <c r="A923" s="38"/>
      <c r="B923" s="38"/>
      <c r="C923" s="58"/>
      <c r="D923" s="58"/>
      <c r="E923" s="58"/>
      <c r="F923" s="58"/>
      <c r="G923" s="58"/>
      <c r="H923" s="58"/>
      <c r="I923" s="5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</row>
    <row r="924" spans="1:29" ht="15.75" customHeight="1" x14ac:dyDescent="0.5">
      <c r="A924" s="38"/>
      <c r="B924" s="38"/>
      <c r="C924" s="58"/>
      <c r="D924" s="58"/>
      <c r="E924" s="58"/>
      <c r="F924" s="58"/>
      <c r="G924" s="58"/>
      <c r="H924" s="58"/>
      <c r="I924" s="5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</row>
    <row r="925" spans="1:29" ht="15.75" customHeight="1" x14ac:dyDescent="0.5">
      <c r="A925" s="38"/>
      <c r="B925" s="38"/>
      <c r="C925" s="58"/>
      <c r="D925" s="58"/>
      <c r="E925" s="58"/>
      <c r="F925" s="58"/>
      <c r="G925" s="58"/>
      <c r="H925" s="58"/>
      <c r="I925" s="5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</row>
    <row r="926" spans="1:29" ht="15.75" customHeight="1" x14ac:dyDescent="0.5">
      <c r="A926" s="38"/>
      <c r="B926" s="38"/>
      <c r="C926" s="58"/>
      <c r="D926" s="58"/>
      <c r="E926" s="58"/>
      <c r="F926" s="58"/>
      <c r="G926" s="58"/>
      <c r="H926" s="58"/>
      <c r="I926" s="5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</row>
    <row r="927" spans="1:29" ht="15.75" customHeight="1" x14ac:dyDescent="0.5">
      <c r="A927" s="38"/>
      <c r="B927" s="38"/>
      <c r="C927" s="58"/>
      <c r="D927" s="58"/>
      <c r="E927" s="58"/>
      <c r="F927" s="58"/>
      <c r="G927" s="58"/>
      <c r="H927" s="58"/>
      <c r="I927" s="5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</row>
    <row r="928" spans="1:29" ht="15.75" customHeight="1" x14ac:dyDescent="0.5">
      <c r="A928" s="38"/>
      <c r="B928" s="38"/>
      <c r="C928" s="58"/>
      <c r="D928" s="58"/>
      <c r="E928" s="58"/>
      <c r="F928" s="58"/>
      <c r="G928" s="58"/>
      <c r="H928" s="58"/>
      <c r="I928" s="5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</row>
    <row r="929" spans="1:29" ht="15.75" customHeight="1" x14ac:dyDescent="0.5">
      <c r="A929" s="38"/>
      <c r="B929" s="38"/>
      <c r="C929" s="58"/>
      <c r="D929" s="58"/>
      <c r="E929" s="58"/>
      <c r="F929" s="58"/>
      <c r="G929" s="58"/>
      <c r="H929" s="58"/>
      <c r="I929" s="5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</row>
    <row r="930" spans="1:29" ht="15.75" customHeight="1" x14ac:dyDescent="0.5">
      <c r="A930" s="38"/>
      <c r="B930" s="38"/>
      <c r="C930" s="58"/>
      <c r="D930" s="58"/>
      <c r="E930" s="58"/>
      <c r="F930" s="58"/>
      <c r="G930" s="58"/>
      <c r="H930" s="58"/>
      <c r="I930" s="5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</row>
    <row r="931" spans="1:29" ht="15.75" customHeight="1" x14ac:dyDescent="0.5">
      <c r="A931" s="38"/>
      <c r="B931" s="38"/>
      <c r="C931" s="58"/>
      <c r="D931" s="58"/>
      <c r="E931" s="58"/>
      <c r="F931" s="58"/>
      <c r="G931" s="58"/>
      <c r="H931" s="58"/>
      <c r="I931" s="5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</row>
    <row r="932" spans="1:29" ht="15.75" customHeight="1" x14ac:dyDescent="0.5">
      <c r="A932" s="38"/>
      <c r="B932" s="38"/>
      <c r="C932" s="58"/>
      <c r="D932" s="58"/>
      <c r="E932" s="58"/>
      <c r="F932" s="58"/>
      <c r="G932" s="58"/>
      <c r="H932" s="58"/>
      <c r="I932" s="5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</row>
    <row r="933" spans="1:29" ht="15.75" customHeight="1" x14ac:dyDescent="0.5">
      <c r="A933" s="38"/>
      <c r="B933" s="38"/>
      <c r="C933" s="58"/>
      <c r="D933" s="58"/>
      <c r="E933" s="58"/>
      <c r="F933" s="58"/>
      <c r="G933" s="58"/>
      <c r="H933" s="58"/>
      <c r="I933" s="5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</row>
    <row r="934" spans="1:29" ht="15.75" customHeight="1" x14ac:dyDescent="0.5">
      <c r="A934" s="38"/>
      <c r="B934" s="38"/>
      <c r="C934" s="58"/>
      <c r="D934" s="58"/>
      <c r="E934" s="58"/>
      <c r="F934" s="58"/>
      <c r="G934" s="58"/>
      <c r="H934" s="58"/>
      <c r="I934" s="5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</row>
    <row r="935" spans="1:29" ht="15.75" customHeight="1" x14ac:dyDescent="0.5">
      <c r="A935" s="38"/>
      <c r="B935" s="38"/>
      <c r="C935" s="58"/>
      <c r="D935" s="58"/>
      <c r="E935" s="58"/>
      <c r="F935" s="58"/>
      <c r="G935" s="58"/>
      <c r="H935" s="58"/>
      <c r="I935" s="5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</row>
    <row r="936" spans="1:29" ht="15.75" customHeight="1" x14ac:dyDescent="0.5">
      <c r="A936" s="38"/>
      <c r="B936" s="38"/>
      <c r="C936" s="58"/>
      <c r="D936" s="58"/>
      <c r="E936" s="58"/>
      <c r="F936" s="58"/>
      <c r="G936" s="58"/>
      <c r="H936" s="58"/>
      <c r="I936" s="5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</row>
    <row r="937" spans="1:29" ht="15.75" customHeight="1" x14ac:dyDescent="0.5">
      <c r="A937" s="38"/>
      <c r="B937" s="38"/>
      <c r="C937" s="58"/>
      <c r="D937" s="58"/>
      <c r="E937" s="58"/>
      <c r="F937" s="58"/>
      <c r="G937" s="58"/>
      <c r="H937" s="58"/>
      <c r="I937" s="5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</row>
    <row r="938" spans="1:29" ht="15.75" customHeight="1" x14ac:dyDescent="0.5">
      <c r="A938" s="38"/>
      <c r="B938" s="38"/>
      <c r="C938" s="58"/>
      <c r="D938" s="58"/>
      <c r="E938" s="58"/>
      <c r="F938" s="58"/>
      <c r="G938" s="58"/>
      <c r="H938" s="58"/>
      <c r="I938" s="5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</row>
    <row r="939" spans="1:29" ht="15.75" customHeight="1" x14ac:dyDescent="0.5">
      <c r="A939" s="38"/>
      <c r="B939" s="38"/>
      <c r="C939" s="58"/>
      <c r="D939" s="58"/>
      <c r="E939" s="58"/>
      <c r="F939" s="58"/>
      <c r="G939" s="58"/>
      <c r="H939" s="58"/>
      <c r="I939" s="5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</row>
    <row r="940" spans="1:29" ht="15.75" customHeight="1" x14ac:dyDescent="0.5">
      <c r="A940" s="38"/>
      <c r="B940" s="38"/>
      <c r="C940" s="58"/>
      <c r="D940" s="58"/>
      <c r="E940" s="58"/>
      <c r="F940" s="58"/>
      <c r="G940" s="58"/>
      <c r="H940" s="58"/>
      <c r="I940" s="5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</row>
    <row r="941" spans="1:29" ht="15.75" customHeight="1" x14ac:dyDescent="0.5">
      <c r="A941" s="38"/>
      <c r="B941" s="38"/>
      <c r="C941" s="58"/>
      <c r="D941" s="58"/>
      <c r="E941" s="58"/>
      <c r="F941" s="58"/>
      <c r="G941" s="58"/>
      <c r="H941" s="58"/>
      <c r="I941" s="5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</row>
    <row r="942" spans="1:29" ht="15.75" customHeight="1" x14ac:dyDescent="0.5">
      <c r="A942" s="38"/>
      <c r="B942" s="38"/>
      <c r="C942" s="58"/>
      <c r="D942" s="58"/>
      <c r="E942" s="58"/>
      <c r="F942" s="58"/>
      <c r="G942" s="58"/>
      <c r="H942" s="58"/>
      <c r="I942" s="5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</row>
    <row r="943" spans="1:29" ht="15.75" customHeight="1" x14ac:dyDescent="0.5">
      <c r="A943" s="38"/>
      <c r="B943" s="38"/>
      <c r="C943" s="58"/>
      <c r="D943" s="58"/>
      <c r="E943" s="58"/>
      <c r="F943" s="58"/>
      <c r="G943" s="58"/>
      <c r="H943" s="58"/>
      <c r="I943" s="5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</row>
    <row r="944" spans="1:29" ht="15.75" customHeight="1" x14ac:dyDescent="0.5">
      <c r="A944" s="38"/>
      <c r="B944" s="38"/>
      <c r="C944" s="58"/>
      <c r="D944" s="58"/>
      <c r="E944" s="58"/>
      <c r="F944" s="58"/>
      <c r="G944" s="58"/>
      <c r="H944" s="58"/>
      <c r="I944" s="5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</row>
    <row r="945" spans="1:29" ht="15.75" customHeight="1" x14ac:dyDescent="0.5">
      <c r="A945" s="38"/>
      <c r="B945" s="38"/>
      <c r="C945" s="58"/>
      <c r="D945" s="58"/>
      <c r="E945" s="58"/>
      <c r="F945" s="58"/>
      <c r="G945" s="58"/>
      <c r="H945" s="58"/>
      <c r="I945" s="5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</row>
    <row r="946" spans="1:29" ht="15.75" customHeight="1" x14ac:dyDescent="0.5">
      <c r="A946" s="38"/>
      <c r="B946" s="38"/>
      <c r="C946" s="58"/>
      <c r="D946" s="58"/>
      <c r="E946" s="58"/>
      <c r="F946" s="58"/>
      <c r="G946" s="58"/>
      <c r="H946" s="58"/>
      <c r="I946" s="5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</row>
    <row r="947" spans="1:29" ht="15.75" customHeight="1" x14ac:dyDescent="0.5">
      <c r="A947" s="38"/>
      <c r="B947" s="38"/>
      <c r="C947" s="58"/>
      <c r="D947" s="58"/>
      <c r="E947" s="58"/>
      <c r="F947" s="58"/>
      <c r="G947" s="58"/>
      <c r="H947" s="58"/>
      <c r="I947" s="5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</row>
    <row r="948" spans="1:29" ht="15.75" customHeight="1" x14ac:dyDescent="0.5">
      <c r="A948" s="38"/>
      <c r="B948" s="38"/>
      <c r="C948" s="58"/>
      <c r="D948" s="58"/>
      <c r="E948" s="58"/>
      <c r="F948" s="58"/>
      <c r="G948" s="58"/>
      <c r="H948" s="58"/>
      <c r="I948" s="5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</row>
    <row r="949" spans="1:29" ht="15.75" customHeight="1" x14ac:dyDescent="0.5">
      <c r="A949" s="38"/>
      <c r="B949" s="38"/>
      <c r="C949" s="58"/>
      <c r="D949" s="58"/>
      <c r="E949" s="58"/>
      <c r="F949" s="58"/>
      <c r="G949" s="58"/>
      <c r="H949" s="58"/>
      <c r="I949" s="5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</row>
    <row r="950" spans="1:29" ht="15.75" customHeight="1" x14ac:dyDescent="0.5">
      <c r="A950" s="38"/>
      <c r="B950" s="38"/>
      <c r="C950" s="58"/>
      <c r="D950" s="58"/>
      <c r="E950" s="58"/>
      <c r="F950" s="58"/>
      <c r="G950" s="58"/>
      <c r="H950" s="58"/>
      <c r="I950" s="5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</row>
    <row r="951" spans="1:29" ht="15.75" customHeight="1" x14ac:dyDescent="0.5">
      <c r="A951" s="38"/>
      <c r="B951" s="38"/>
      <c r="C951" s="58"/>
      <c r="D951" s="58"/>
      <c r="E951" s="58"/>
      <c r="F951" s="58"/>
      <c r="G951" s="58"/>
      <c r="H951" s="58"/>
      <c r="I951" s="5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</row>
    <row r="952" spans="1:29" ht="15.75" customHeight="1" x14ac:dyDescent="0.5">
      <c r="A952" s="38"/>
      <c r="B952" s="38"/>
      <c r="C952" s="58"/>
      <c r="D952" s="58"/>
      <c r="E952" s="58"/>
      <c r="F952" s="58"/>
      <c r="G952" s="58"/>
      <c r="H952" s="58"/>
      <c r="I952" s="5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</row>
    <row r="953" spans="1:29" ht="15.75" customHeight="1" x14ac:dyDescent="0.5">
      <c r="A953" s="38"/>
      <c r="B953" s="38"/>
      <c r="C953" s="58"/>
      <c r="D953" s="58"/>
      <c r="E953" s="58"/>
      <c r="F953" s="58"/>
      <c r="G953" s="58"/>
      <c r="H953" s="58"/>
      <c r="I953" s="5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</row>
    <row r="954" spans="1:29" ht="15.75" customHeight="1" x14ac:dyDescent="0.5">
      <c r="A954" s="38"/>
      <c r="B954" s="38"/>
      <c r="C954" s="58"/>
      <c r="D954" s="58"/>
      <c r="E954" s="58"/>
      <c r="F954" s="58"/>
      <c r="G954" s="58"/>
      <c r="H954" s="58"/>
      <c r="I954" s="5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</row>
    <row r="955" spans="1:29" ht="15.75" customHeight="1" x14ac:dyDescent="0.5">
      <c r="A955" s="38"/>
      <c r="B955" s="38"/>
      <c r="C955" s="58"/>
      <c r="D955" s="58"/>
      <c r="E955" s="58"/>
      <c r="F955" s="58"/>
      <c r="G955" s="58"/>
      <c r="H955" s="58"/>
      <c r="I955" s="5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</row>
    <row r="956" spans="1:29" ht="15.75" customHeight="1" x14ac:dyDescent="0.5">
      <c r="A956" s="38"/>
      <c r="B956" s="38"/>
      <c r="C956" s="58"/>
      <c r="D956" s="58"/>
      <c r="E956" s="58"/>
      <c r="F956" s="58"/>
      <c r="G956" s="58"/>
      <c r="H956" s="58"/>
      <c r="I956" s="5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</row>
    <row r="957" spans="1:29" ht="15.75" customHeight="1" x14ac:dyDescent="0.5">
      <c r="A957" s="38"/>
      <c r="B957" s="38"/>
      <c r="C957" s="58"/>
      <c r="D957" s="58"/>
      <c r="E957" s="58"/>
      <c r="F957" s="58"/>
      <c r="G957" s="58"/>
      <c r="H957" s="58"/>
      <c r="I957" s="5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</row>
    <row r="958" spans="1:29" ht="15.75" customHeight="1" x14ac:dyDescent="0.5">
      <c r="A958" s="38"/>
      <c r="B958" s="38"/>
      <c r="C958" s="58"/>
      <c r="D958" s="58"/>
      <c r="E958" s="58"/>
      <c r="F958" s="58"/>
      <c r="G958" s="58"/>
      <c r="H958" s="58"/>
      <c r="I958" s="5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</row>
    <row r="959" spans="1:29" ht="15.75" customHeight="1" x14ac:dyDescent="0.5">
      <c r="A959" s="38"/>
      <c r="B959" s="38"/>
      <c r="C959" s="58"/>
      <c r="D959" s="58"/>
      <c r="E959" s="58"/>
      <c r="F959" s="58"/>
      <c r="G959" s="58"/>
      <c r="H959" s="58"/>
      <c r="I959" s="5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</row>
    <row r="960" spans="1:29" ht="15.75" customHeight="1" x14ac:dyDescent="0.5">
      <c r="A960" s="38"/>
      <c r="B960" s="38"/>
      <c r="C960" s="58"/>
      <c r="D960" s="58"/>
      <c r="E960" s="58"/>
      <c r="F960" s="58"/>
      <c r="G960" s="58"/>
      <c r="H960" s="58"/>
      <c r="I960" s="5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</row>
    <row r="961" spans="1:29" ht="15.75" customHeight="1" x14ac:dyDescent="0.5">
      <c r="A961" s="38"/>
      <c r="B961" s="38"/>
      <c r="C961" s="58"/>
      <c r="D961" s="58"/>
      <c r="E961" s="58"/>
      <c r="F961" s="58"/>
      <c r="G961" s="58"/>
      <c r="H961" s="58"/>
      <c r="I961" s="5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</row>
    <row r="962" spans="1:29" ht="15.75" customHeight="1" x14ac:dyDescent="0.5">
      <c r="A962" s="38"/>
      <c r="B962" s="38"/>
      <c r="C962" s="58"/>
      <c r="D962" s="58"/>
      <c r="E962" s="58"/>
      <c r="F962" s="58"/>
      <c r="G962" s="58"/>
      <c r="H962" s="58"/>
      <c r="I962" s="5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</row>
    <row r="963" spans="1:29" ht="15.75" customHeight="1" x14ac:dyDescent="0.5">
      <c r="A963" s="38"/>
      <c r="B963" s="38"/>
      <c r="C963" s="58"/>
      <c r="D963" s="58"/>
      <c r="E963" s="58"/>
      <c r="F963" s="58"/>
      <c r="G963" s="58"/>
      <c r="H963" s="58"/>
      <c r="I963" s="5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</row>
    <row r="964" spans="1:29" ht="15.75" customHeight="1" x14ac:dyDescent="0.5">
      <c r="A964" s="38"/>
      <c r="B964" s="38"/>
      <c r="C964" s="58"/>
      <c r="D964" s="58"/>
      <c r="E964" s="58"/>
      <c r="F964" s="58"/>
      <c r="G964" s="58"/>
      <c r="H964" s="58"/>
      <c r="I964" s="5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</row>
    <row r="965" spans="1:29" ht="15.75" customHeight="1" x14ac:dyDescent="0.5">
      <c r="A965" s="38"/>
      <c r="B965" s="38"/>
      <c r="C965" s="58"/>
      <c r="D965" s="58"/>
      <c r="E965" s="58"/>
      <c r="F965" s="58"/>
      <c r="G965" s="58"/>
      <c r="H965" s="58"/>
      <c r="I965" s="5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</row>
    <row r="966" spans="1:29" ht="15.75" customHeight="1" x14ac:dyDescent="0.5">
      <c r="A966" s="38"/>
      <c r="B966" s="38"/>
      <c r="C966" s="58"/>
      <c r="D966" s="58"/>
      <c r="E966" s="58"/>
      <c r="F966" s="58"/>
      <c r="G966" s="58"/>
      <c r="H966" s="58"/>
      <c r="I966" s="5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</row>
    <row r="967" spans="1:29" ht="15.75" customHeight="1" x14ac:dyDescent="0.5">
      <c r="A967" s="38"/>
      <c r="B967" s="38"/>
      <c r="C967" s="58"/>
      <c r="D967" s="58"/>
      <c r="E967" s="58"/>
      <c r="F967" s="58"/>
      <c r="G967" s="58"/>
      <c r="H967" s="58"/>
      <c r="I967" s="5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</row>
    <row r="968" spans="1:29" ht="15.75" customHeight="1" x14ac:dyDescent="0.5">
      <c r="A968" s="38"/>
      <c r="B968" s="38"/>
      <c r="C968" s="58"/>
      <c r="D968" s="58"/>
      <c r="E968" s="58"/>
      <c r="F968" s="58"/>
      <c r="G968" s="58"/>
      <c r="H968" s="58"/>
      <c r="I968" s="5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</row>
    <row r="969" spans="1:29" ht="15.75" customHeight="1" x14ac:dyDescent="0.5">
      <c r="A969" s="38"/>
      <c r="B969" s="38"/>
      <c r="C969" s="58"/>
      <c r="D969" s="58"/>
      <c r="E969" s="58"/>
      <c r="F969" s="58"/>
      <c r="G969" s="58"/>
      <c r="H969" s="58"/>
      <c r="I969" s="5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</row>
    <row r="970" spans="1:29" ht="15.75" customHeight="1" x14ac:dyDescent="0.5">
      <c r="A970" s="38"/>
      <c r="B970" s="38"/>
      <c r="C970" s="58"/>
      <c r="D970" s="58"/>
      <c r="E970" s="58"/>
      <c r="F970" s="58"/>
      <c r="G970" s="58"/>
      <c r="H970" s="58"/>
      <c r="I970" s="5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</row>
    <row r="971" spans="1:29" ht="15.75" customHeight="1" x14ac:dyDescent="0.5">
      <c r="A971" s="38"/>
      <c r="B971" s="38"/>
      <c r="C971" s="58"/>
      <c r="D971" s="58"/>
      <c r="E971" s="58"/>
      <c r="F971" s="58"/>
      <c r="G971" s="58"/>
      <c r="H971" s="58"/>
      <c r="I971" s="5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</row>
    <row r="972" spans="1:29" ht="15.75" customHeight="1" x14ac:dyDescent="0.5">
      <c r="A972" s="38"/>
      <c r="B972" s="38"/>
      <c r="C972" s="58"/>
      <c r="D972" s="58"/>
      <c r="E972" s="58"/>
      <c r="F972" s="58"/>
      <c r="G972" s="58"/>
      <c r="H972" s="58"/>
      <c r="I972" s="5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</row>
    <row r="973" spans="1:29" ht="15.75" customHeight="1" x14ac:dyDescent="0.5">
      <c r="A973" s="38"/>
      <c r="B973" s="38"/>
      <c r="C973" s="58"/>
      <c r="D973" s="58"/>
      <c r="E973" s="58"/>
      <c r="F973" s="58"/>
      <c r="G973" s="58"/>
      <c r="H973" s="58"/>
      <c r="I973" s="5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</row>
    <row r="974" spans="1:29" ht="15.75" customHeight="1" x14ac:dyDescent="0.5">
      <c r="A974" s="38"/>
      <c r="B974" s="38"/>
      <c r="C974" s="58"/>
      <c r="D974" s="58"/>
      <c r="E974" s="58"/>
      <c r="F974" s="58"/>
      <c r="G974" s="58"/>
      <c r="H974" s="58"/>
      <c r="I974" s="5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</row>
    <row r="975" spans="1:29" ht="15.75" customHeight="1" x14ac:dyDescent="0.5">
      <c r="A975" s="38"/>
      <c r="B975" s="38"/>
      <c r="C975" s="58"/>
      <c r="D975" s="58"/>
      <c r="E975" s="58"/>
      <c r="F975" s="58"/>
      <c r="G975" s="58"/>
      <c r="H975" s="58"/>
      <c r="I975" s="5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</row>
    <row r="976" spans="1:29" ht="15.75" customHeight="1" x14ac:dyDescent="0.5">
      <c r="A976" s="38"/>
      <c r="B976" s="38"/>
      <c r="C976" s="58"/>
      <c r="D976" s="58"/>
      <c r="E976" s="58"/>
      <c r="F976" s="58"/>
      <c r="G976" s="58"/>
      <c r="H976" s="58"/>
      <c r="I976" s="5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</row>
    <row r="977" spans="1:29" ht="15.75" customHeight="1" x14ac:dyDescent="0.5">
      <c r="A977" s="38"/>
      <c r="B977" s="38"/>
      <c r="C977" s="58"/>
      <c r="D977" s="58"/>
      <c r="E977" s="58"/>
      <c r="F977" s="58"/>
      <c r="G977" s="58"/>
      <c r="H977" s="58"/>
      <c r="I977" s="5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</row>
    <row r="978" spans="1:29" ht="15.75" customHeight="1" x14ac:dyDescent="0.5">
      <c r="A978" s="38"/>
      <c r="B978" s="38"/>
      <c r="C978" s="58"/>
      <c r="D978" s="58"/>
      <c r="E978" s="58"/>
      <c r="F978" s="58"/>
      <c r="G978" s="58"/>
      <c r="H978" s="58"/>
      <c r="I978" s="5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</row>
    <row r="979" spans="1:29" ht="15.75" customHeight="1" x14ac:dyDescent="0.5">
      <c r="A979" s="38"/>
      <c r="B979" s="38"/>
      <c r="C979" s="58"/>
      <c r="D979" s="58"/>
      <c r="E979" s="58"/>
      <c r="F979" s="58"/>
      <c r="G979" s="58"/>
      <c r="H979" s="58"/>
      <c r="I979" s="5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</row>
    <row r="980" spans="1:29" ht="15.75" customHeight="1" x14ac:dyDescent="0.5">
      <c r="A980" s="38"/>
      <c r="B980" s="38"/>
      <c r="C980" s="58"/>
      <c r="D980" s="58"/>
      <c r="E980" s="58"/>
      <c r="F980" s="58"/>
      <c r="G980" s="58"/>
      <c r="H980" s="58"/>
      <c r="I980" s="5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</row>
    <row r="981" spans="1:29" ht="15.75" customHeight="1" x14ac:dyDescent="0.5">
      <c r="A981" s="38"/>
      <c r="B981" s="38"/>
      <c r="C981" s="58"/>
      <c r="D981" s="58"/>
      <c r="E981" s="58"/>
      <c r="F981" s="58"/>
      <c r="G981" s="58"/>
      <c r="H981" s="58"/>
      <c r="I981" s="5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</row>
    <row r="982" spans="1:29" ht="15.75" customHeight="1" x14ac:dyDescent="0.5">
      <c r="A982" s="38"/>
      <c r="B982" s="38"/>
      <c r="C982" s="58"/>
      <c r="D982" s="58"/>
      <c r="E982" s="58"/>
      <c r="F982" s="58"/>
      <c r="G982" s="58"/>
      <c r="H982" s="58"/>
      <c r="I982" s="5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</row>
    <row r="983" spans="1:29" ht="15.75" customHeight="1" x14ac:dyDescent="0.5">
      <c r="A983" s="38"/>
      <c r="B983" s="38"/>
      <c r="C983" s="58"/>
      <c r="D983" s="58"/>
      <c r="E983" s="58"/>
      <c r="F983" s="58"/>
      <c r="G983" s="58"/>
      <c r="H983" s="58"/>
      <c r="I983" s="5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</row>
    <row r="984" spans="1:29" ht="15.75" customHeight="1" x14ac:dyDescent="0.5">
      <c r="A984" s="38"/>
      <c r="B984" s="38"/>
      <c r="C984" s="58"/>
      <c r="D984" s="58"/>
      <c r="E984" s="58"/>
      <c r="F984" s="58"/>
      <c r="G984" s="58"/>
      <c r="H984" s="58"/>
      <c r="I984" s="5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</row>
    <row r="985" spans="1:29" ht="15.75" customHeight="1" x14ac:dyDescent="0.5">
      <c r="A985" s="38"/>
      <c r="B985" s="38"/>
      <c r="C985" s="58"/>
      <c r="D985" s="58"/>
      <c r="E985" s="58"/>
      <c r="F985" s="58"/>
      <c r="G985" s="58"/>
      <c r="H985" s="58"/>
      <c r="I985" s="5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</row>
    <row r="986" spans="1:29" ht="15.75" customHeight="1" x14ac:dyDescent="0.5">
      <c r="A986" s="38"/>
      <c r="B986" s="38"/>
      <c r="C986" s="58"/>
      <c r="D986" s="58"/>
      <c r="E986" s="58"/>
      <c r="F986" s="58"/>
      <c r="G986" s="58"/>
      <c r="H986" s="58"/>
      <c r="I986" s="5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</row>
    <row r="987" spans="1:29" ht="15.75" customHeight="1" x14ac:dyDescent="0.5">
      <c r="A987" s="38"/>
      <c r="B987" s="38"/>
      <c r="C987" s="58"/>
      <c r="D987" s="58"/>
      <c r="E987" s="58"/>
      <c r="F987" s="58"/>
      <c r="G987" s="58"/>
      <c r="H987" s="58"/>
      <c r="I987" s="5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</row>
    <row r="988" spans="1:29" ht="15.75" customHeight="1" x14ac:dyDescent="0.5">
      <c r="A988" s="38"/>
      <c r="B988" s="38"/>
      <c r="C988" s="58"/>
      <c r="D988" s="58"/>
      <c r="E988" s="58"/>
      <c r="F988" s="58"/>
      <c r="G988" s="58"/>
      <c r="H988" s="58"/>
      <c r="I988" s="5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</row>
    <row r="989" spans="1:29" ht="15.75" customHeight="1" x14ac:dyDescent="0.5">
      <c r="A989" s="38"/>
      <c r="B989" s="38"/>
      <c r="C989" s="58"/>
      <c r="D989" s="58"/>
      <c r="E989" s="58"/>
      <c r="F989" s="58"/>
      <c r="G989" s="58"/>
      <c r="H989" s="58"/>
      <c r="I989" s="5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</row>
    <row r="990" spans="1:29" ht="15.75" customHeight="1" x14ac:dyDescent="0.5">
      <c r="A990" s="38"/>
      <c r="B990" s="38"/>
      <c r="C990" s="58"/>
      <c r="D990" s="58"/>
      <c r="E990" s="58"/>
      <c r="F990" s="58"/>
      <c r="G990" s="58"/>
      <c r="H990" s="58"/>
      <c r="I990" s="5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</row>
    <row r="991" spans="1:29" ht="15.75" customHeight="1" x14ac:dyDescent="0.5">
      <c r="A991" s="38"/>
      <c r="B991" s="38"/>
      <c r="C991" s="58"/>
      <c r="D991" s="58"/>
      <c r="E991" s="58"/>
      <c r="F991" s="58"/>
      <c r="G991" s="58"/>
      <c r="H991" s="58"/>
      <c r="I991" s="5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</row>
    <row r="992" spans="1:29" ht="15.75" customHeight="1" x14ac:dyDescent="0.5">
      <c r="A992" s="38"/>
      <c r="B992" s="38"/>
      <c r="C992" s="58"/>
      <c r="D992" s="58"/>
      <c r="E992" s="58"/>
      <c r="F992" s="58"/>
      <c r="G992" s="58"/>
      <c r="H992" s="58"/>
      <c r="I992" s="5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</row>
    <row r="993" spans="1:29" ht="15.75" customHeight="1" x14ac:dyDescent="0.5">
      <c r="A993" s="38"/>
      <c r="B993" s="38"/>
      <c r="C993" s="58"/>
      <c r="D993" s="58"/>
      <c r="E993" s="58"/>
      <c r="F993" s="58"/>
      <c r="G993" s="58"/>
      <c r="H993" s="58"/>
      <c r="I993" s="5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</row>
    <row r="994" spans="1:29" ht="15.75" customHeight="1" x14ac:dyDescent="0.5">
      <c r="A994" s="38"/>
      <c r="B994" s="38"/>
      <c r="C994" s="58"/>
      <c r="D994" s="58"/>
      <c r="E994" s="58"/>
      <c r="F994" s="58"/>
      <c r="G994" s="58"/>
      <c r="H994" s="58"/>
      <c r="I994" s="5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</row>
    <row r="995" spans="1:29" ht="15.75" customHeight="1" x14ac:dyDescent="0.5">
      <c r="A995" s="38"/>
      <c r="B995" s="38"/>
      <c r="C995" s="58"/>
      <c r="D995" s="58"/>
      <c r="E995" s="58"/>
      <c r="F995" s="58"/>
      <c r="G995" s="58"/>
      <c r="H995" s="58"/>
      <c r="I995" s="5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2024-02-08T09:31:55Z</dcterms:created>
  <dcterms:modified xsi:type="dcterms:W3CDTF">2026-06-10T10:07:49Z</dcterms:modified>
</cp:coreProperties>
</file>