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5E2547CF-E472-4C4D-A3D0-AD0EADC0D3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LTGC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ZLTGC!$D$12:$D$14</definedName>
    <definedName name="XDO_?FINAL_ISIN?55?">#REF!</definedName>
    <definedName name="XDO_?FINAL_ISIN?56?" localSheetId="0">ZLTGC!$D$12:$D$18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ZLTGC!$G$12:$G$14</definedName>
    <definedName name="XDO_?FINAL_MV?55?">#REF!</definedName>
    <definedName name="XDO_?FINAL_MV?56?" localSheetId="0">ZLTGC!$G$12:$G$18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ZLTGC!$C$12:$C$14</definedName>
    <definedName name="XDO_?FINAL_NAME?55?">#REF!</definedName>
    <definedName name="XDO_?FINAL_NAME?56?" localSheetId="0">ZLTGC!$C$12:$C$18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ZLTGC!$H$12:$H$14</definedName>
    <definedName name="XDO_?FINAL_PER_NET?55?">#REF!</definedName>
    <definedName name="XDO_?FINAL_PER_NET?56?" localSheetId="0">ZLTGC!$H$12:$H$18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ZLTGC!$F$12:$F$14</definedName>
    <definedName name="XDO_?FINAL_QUANTITE?55?">#REF!</definedName>
    <definedName name="XDO_?FINAL_QUANTITE?56?" localSheetId="0">ZLTGC!$F$12:$F$18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ZLTGC!$J$12:$J$13</definedName>
    <definedName name="XDO_?IND_02?55?">#REF!</definedName>
    <definedName name="XDO_?IND_02?56?" localSheetId="0">ZLTGC!$J$12:$J$17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ZLTGC!$C$1:$C$11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ZLTGC!$B$12:$B$13</definedName>
    <definedName name="XDO_?NOVAL?55?">#REF!</definedName>
    <definedName name="XDO_?NOVAL?56?" localSheetId="0">ZLTGC!$B$12:$B$17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ZLTGC!$D$1:$D$11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ZLTGC!$E$12:$E$14</definedName>
    <definedName name="XDO_?RATING?55?">#REF!</definedName>
    <definedName name="XDO_?RATING?56?" localSheetId="0">ZLTGC!$E$12:$E$18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ZLTGC!$I$12:$I$14</definedName>
    <definedName name="XDO_?YTM?55?">#REF!</definedName>
    <definedName name="XDO_?YTM?56?" localSheetId="0">ZLTGC!$I$12:$I$18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ZLTGC!$1:$11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bZ2xehWRpzu5R5mfo0E9wbnOY3x9LQYxfEqwzl7oZk="/>
    </ext>
  </extLst>
</workbook>
</file>

<file path=xl/calcChain.xml><?xml version="1.0" encoding="utf-8"?>
<calcChain xmlns="http://schemas.openxmlformats.org/spreadsheetml/2006/main">
  <c r="G15" i="1" l="1"/>
  <c r="H14" i="1"/>
  <c r="H15" i="1" s="1"/>
  <c r="G10" i="1"/>
  <c r="H9" i="1"/>
  <c r="H8" i="1"/>
  <c r="H7" i="1"/>
  <c r="H10" i="1" s="1"/>
  <c r="G18" i="1" l="1"/>
  <c r="G19" i="1"/>
  <c r="H18" i="1"/>
  <c r="H19" i="1" s="1"/>
</calcChain>
</file>

<file path=xl/sharedStrings.xml><?xml version="1.0" encoding="utf-8"?>
<sst xmlns="http://schemas.openxmlformats.org/spreadsheetml/2006/main" count="70" uniqueCount="62">
  <si>
    <t>PURSUANT TO REGULATION 59A OF SECURITIES &amp; EXCHANGE BOARD OF INDIA (MUTUAL FUNDS) REGULATIONS, 1996</t>
  </si>
  <si>
    <t>MONTHLY PORTFOLIO STATEMENT OF ZERODHA NIFTY 8-13 Yr G-Sec ETF FOR MAY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</si>
  <si>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</si>
  <si>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</si>
  <si>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</si>
  <si>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</si>
  <si>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</si>
  <si>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</si>
  <si>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</si>
  <si>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</si>
  <si>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</si>
  <si>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6.33% GOI 05-May-2035</t>
  </si>
  <si>
    <t>IN0020250026</t>
  </si>
  <si>
    <t>Sovereign</t>
  </si>
  <si>
    <t>6.48% GOI 06-Oct-2035</t>
  </si>
  <si>
    <t>IN0020250091</t>
  </si>
  <si>
    <t>6.94% GOI 11-May-2036</t>
  </si>
  <si>
    <t>IN0020260025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</si>
  <si>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</si>
  <si>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</si>
  <si>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</si>
  <si>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</si>
  <si>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</si>
  <si>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</si>
  <si>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</si>
  <si>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</si>
  <si>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</si>
  <si>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</si>
  <si>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</si>
  <si>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</si>
  <si>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</si>
  <si>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</si>
  <si>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</si>
  <si>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</si>
  <si>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 xml:space="preserve">Direct Plan </t>
  </si>
  <si>
    <t>$ Since May 31, 2026 was a non-business day, the NAVs mentioned above is of previous business day.</t>
  </si>
  <si>
    <t>(3) Details of Schemes having exposure in Derivatives is as follows :</t>
  </si>
  <si>
    <t>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</si>
  <si>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</si>
  <si>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</si>
  <si>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</si>
  <si>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</si>
  <si>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</si>
  <si>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</si>
  <si>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ended May 31, 2026 - Not Applicable</t>
  </si>
  <si>
    <t>(5) Bonus declared  for the month ended May 31, 2026 - Not Applicable</t>
  </si>
  <si>
    <t>(6) The total market value of investments in foreign securities / American Depositary Receipts / Global Depositary Receipts as on May 31, 2026 is Nil.</t>
  </si>
  <si>
    <t>(7)Annualised Portfolio YTM : 7.10%</t>
  </si>
  <si>
    <t>(8) Macaulay Duration : 7.04 Years</t>
  </si>
  <si>
    <t>(9) The Average Maturity Period of the Portfolio is 9.35 years</t>
  </si>
  <si>
    <t>(10) Investment in Repo in Corporate Debt Securities during the fortnightly period ended May 31, 2026 is Nil.</t>
  </si>
  <si>
    <t>(11) No. of instances of deviation from valuation guidelines is Nil.</t>
  </si>
  <si>
    <t>(12) Debt Index Replication Factor (DIRF) : 99.13%</t>
  </si>
  <si>
    <t>This product is suitable for investors who are seeking*</t>
  </si>
  <si>
    <t>&gt;Medium to long term Income.</t>
  </si>
  <si>
    <t>&gt; Investment in securities in line with Nifty 8- 13 Yr G-Sec Index to generate comparable returns subject to tracking error.</t>
  </si>
  <si>
    <t>&gt; Degree of risk – Moderate Risk.</t>
  </si>
  <si>
    <t>*Investors should consult their financial advisers if in doubt about whether the product is suitable for them.</t>
  </si>
  <si>
    <t>Scheme Risk-O-Meter</t>
  </si>
  <si>
    <t>Benchmark - Nifty 8-13 Yr G-Sec Index*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</si>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</sst>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7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i/>
      <sz val="9"/>
      <color rgb="FF333333"/>
      <name val="Arial"/>
    </font>
    <font>
      <sz val="12"/>
      <color rgb="FF000000"/>
      <name val="Libre Franklin"/>
    </font>
    <font>
      <i/>
      <sz val="10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49" fontId="7" fillId="0" borderId="16" xfId="0" applyNumberFormat="1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0" fontId="7" fillId="0" borderId="16" xfId="0" applyFont="1" applyBorder="1"/>
    <xf numFmtId="166" fontId="4" fillId="3" borderId="17" xfId="0" applyNumberFormat="1" applyFont="1" applyFill="1" applyBorder="1" applyAlignment="1">
      <alignment horizontal="right"/>
    </xf>
    <xf numFmtId="167" fontId="4" fillId="3" borderId="18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19" xfId="0" applyFont="1" applyFill="1" applyBorder="1"/>
    <xf numFmtId="0" fontId="5" fillId="0" borderId="20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0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167" fontId="1" fillId="0" borderId="15" xfId="0" applyNumberFormat="1" applyFont="1" applyBorder="1"/>
    <xf numFmtId="0" fontId="5" fillId="0" borderId="16" xfId="0" applyFont="1" applyBorder="1"/>
    <xf numFmtId="0" fontId="8" fillId="3" borderId="21" xfId="0" applyFont="1" applyFill="1" applyBorder="1"/>
    <xf numFmtId="166" fontId="1" fillId="0" borderId="13" xfId="0" applyNumberFormat="1" applyFont="1" applyBorder="1" applyAlignment="1">
      <alignment horizontal="right"/>
    </xf>
    <xf numFmtId="10" fontId="4" fillId="3" borderId="18" xfId="0" applyNumberFormat="1" applyFont="1" applyFill="1" applyBorder="1" applyAlignment="1">
      <alignment horizontal="right"/>
    </xf>
    <xf numFmtId="0" fontId="4" fillId="3" borderId="22" xfId="0" applyFont="1" applyFill="1" applyBorder="1"/>
    <xf numFmtId="0" fontId="4" fillId="3" borderId="23" xfId="0" applyFont="1" applyFill="1" applyBorder="1"/>
    <xf numFmtId="164" fontId="4" fillId="3" borderId="24" xfId="0" applyNumberFormat="1" applyFont="1" applyFill="1" applyBorder="1"/>
    <xf numFmtId="164" fontId="1" fillId="0" borderId="24" xfId="0" applyNumberFormat="1" applyFont="1" applyBorder="1"/>
    <xf numFmtId="166" fontId="5" fillId="0" borderId="25" xfId="0" applyNumberFormat="1" applyFont="1" applyBorder="1" applyAlignment="1">
      <alignment horizontal="right"/>
    </xf>
    <xf numFmtId="167" fontId="5" fillId="0" borderId="25" xfId="0" applyNumberFormat="1" applyFont="1" applyBorder="1" applyAlignment="1">
      <alignment horizontal="right"/>
    </xf>
    <xf numFmtId="165" fontId="1" fillId="0" borderId="26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left"/>
    </xf>
    <xf numFmtId="49" fontId="10" fillId="3" borderId="17" xfId="0" applyNumberFormat="1" applyFont="1" applyFill="1" applyBorder="1" applyAlignment="1">
      <alignment horizontal="left"/>
    </xf>
    <xf numFmtId="0" fontId="4" fillId="0" borderId="17" xfId="0" applyFont="1" applyBorder="1" applyAlignment="1">
      <alignment horizontal="center"/>
    </xf>
    <xf numFmtId="49" fontId="11" fillId="3" borderId="27" xfId="0" applyNumberFormat="1" applyFont="1" applyFill="1" applyBorder="1" applyAlignment="1">
      <alignment horizontal="left"/>
    </xf>
    <xf numFmtId="0" fontId="12" fillId="0" borderId="28" xfId="0" applyFont="1" applyBorder="1" applyAlignment="1">
      <alignment horizontal="center"/>
    </xf>
    <xf numFmtId="0" fontId="11" fillId="3" borderId="19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7" fillId="0" borderId="0" xfId="0" applyFont="1"/>
    <xf numFmtId="0" fontId="10" fillId="0" borderId="29" xfId="0" applyFont="1" applyBorder="1"/>
    <xf numFmtId="0" fontId="11" fillId="0" borderId="30" xfId="0" applyFont="1" applyBorder="1" applyAlignment="1">
      <alignment horizontal="left" vertical="top" wrapText="1"/>
    </xf>
    <xf numFmtId="164" fontId="14" fillId="0" borderId="0" xfId="0" applyNumberFormat="1" applyFont="1"/>
    <xf numFmtId="0" fontId="11" fillId="0" borderId="28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3" fillId="3" borderId="31" xfId="0" applyFont="1" applyFill="1" applyBorder="1" applyAlignment="1">
      <alignment horizontal="left"/>
    </xf>
    <xf numFmtId="0" fontId="13" fillId="3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60</xdr:row>
      <xdr:rowOff>104775</xdr:rowOff>
    </xdr:from>
    <xdr:ext cx="4286250" cy="27146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78</xdr:row>
      <xdr:rowOff>19050</xdr:rowOff>
    </xdr:from>
    <xdr:ext cx="4286250" cy="23526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0"/>
  <sheetViews>
    <sheetView showGridLines="0" tabSelected="1" topLeftCell="A83" workbookViewId="0">
      <selection activeCell="E58" sqref="E5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9" t="s">
        <v>0</v>
      </c>
      <c r="D1" s="80"/>
      <c r="E1" s="80"/>
      <c r="F1" s="80"/>
      <c r="G1" s="80"/>
      <c r="H1" s="80"/>
      <c r="I1" s="81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9" t="s">
        <v>1</v>
      </c>
      <c r="D2" s="80"/>
      <c r="E2" s="80"/>
      <c r="F2" s="80"/>
      <c r="G2" s="80"/>
      <c r="H2" s="80"/>
      <c r="I2" s="81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2"/>
      <c r="D3" s="83"/>
      <c r="E3" s="83"/>
      <c r="F3" s="83"/>
      <c r="G3" s="83"/>
      <c r="H3" s="83"/>
      <c r="I3" s="84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5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2359500</v>
      </c>
      <c r="G7" s="25">
        <v>2273.609481</v>
      </c>
      <c r="H7" s="26">
        <f t="shared" ref="H7:H9" si="0">G7/$G$21</f>
        <v>0.19073937468920135</v>
      </c>
      <c r="I7" s="27">
        <v>7.1224999999999872E-2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8" t="s">
        <v>14</v>
      </c>
      <c r="D8" s="22" t="s">
        <v>15</v>
      </c>
      <c r="E8" s="23" t="s">
        <v>13</v>
      </c>
      <c r="F8" s="24">
        <v>8344400</v>
      </c>
      <c r="G8" s="25">
        <v>8046.9054512000002</v>
      </c>
      <c r="H8" s="26">
        <f t="shared" si="0"/>
        <v>0.67507710834753232</v>
      </c>
      <c r="I8" s="27">
        <v>6.9983359999999939E-2</v>
      </c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28" t="s">
        <v>16</v>
      </c>
      <c r="D9" s="22" t="s">
        <v>17</v>
      </c>
      <c r="E9" s="23" t="s">
        <v>13</v>
      </c>
      <c r="F9" s="24">
        <v>1500000</v>
      </c>
      <c r="G9" s="25">
        <v>1496.106</v>
      </c>
      <c r="H9" s="26">
        <f t="shared" si="0"/>
        <v>0.1255124617017562</v>
      </c>
      <c r="I9" s="27">
        <v>7.1018009999999965E-2</v>
      </c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x14ac:dyDescent="0.5">
      <c r="A10" s="10"/>
      <c r="B10" s="10"/>
      <c r="C10" s="20" t="s">
        <v>18</v>
      </c>
      <c r="D10" s="12"/>
      <c r="E10" s="13"/>
      <c r="F10" s="14"/>
      <c r="G10" s="29">
        <f t="shared" ref="G10:H10" si="1">SUM(G7:G9)</f>
        <v>11816.6209322</v>
      </c>
      <c r="H10" s="30">
        <f t="shared" si="1"/>
        <v>0.99132894473848987</v>
      </c>
      <c r="I10" s="17"/>
      <c r="J10" s="18"/>
      <c r="K10" s="10"/>
      <c r="L10" s="19"/>
      <c r="M10" s="10"/>
      <c r="N10" s="10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8" x14ac:dyDescent="0.5">
      <c r="A11" s="10"/>
      <c r="B11" s="10"/>
      <c r="C11" s="31"/>
      <c r="D11" s="12"/>
      <c r="E11" s="13"/>
      <c r="F11" s="14"/>
      <c r="G11" s="15"/>
      <c r="H11" s="16"/>
      <c r="I11" s="17"/>
      <c r="J11" s="18"/>
      <c r="K11" s="10"/>
      <c r="L11" s="19"/>
      <c r="M11" s="10"/>
      <c r="N11" s="10"/>
      <c r="O11" s="1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5.75" customHeight="1" x14ac:dyDescent="0.5">
      <c r="A12" s="32"/>
      <c r="B12" s="32"/>
      <c r="C12" s="33" t="s">
        <v>19</v>
      </c>
      <c r="D12" s="34"/>
      <c r="E12" s="35"/>
      <c r="F12" s="36"/>
      <c r="G12" s="37"/>
      <c r="H12" s="38"/>
      <c r="I12" s="39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40" t="s">
        <v>20</v>
      </c>
      <c r="C13" s="41" t="s">
        <v>21</v>
      </c>
      <c r="D13" s="42"/>
      <c r="E13" s="42"/>
      <c r="F13" s="42"/>
      <c r="G13" s="37"/>
      <c r="H13" s="38"/>
      <c r="I13" s="39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3" t="s">
        <v>22</v>
      </c>
      <c r="D14" s="42" t="s">
        <v>23</v>
      </c>
      <c r="E14" s="42" t="s">
        <v>23</v>
      </c>
      <c r="F14" s="42" t="s">
        <v>23</v>
      </c>
      <c r="G14" s="25">
        <v>4</v>
      </c>
      <c r="H14" s="26">
        <f>G14/$G$21</f>
        <v>3.3557104029194773E-4</v>
      </c>
      <c r="I14" s="44">
        <v>5.4600000000000003E-2</v>
      </c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45" t="s">
        <v>24</v>
      </c>
      <c r="D15" s="34"/>
      <c r="E15" s="35"/>
      <c r="F15" s="36"/>
      <c r="G15" s="29">
        <f t="shared" ref="G15:H15" si="2">SUM(G14)</f>
        <v>4</v>
      </c>
      <c r="H15" s="30">
        <f t="shared" si="2"/>
        <v>3.3557104029194773E-4</v>
      </c>
      <c r="I15" s="39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46"/>
      <c r="B16" s="32"/>
      <c r="C16" s="43"/>
      <c r="D16" s="34"/>
      <c r="E16" s="35"/>
      <c r="F16" s="36"/>
      <c r="G16" s="37"/>
      <c r="H16" s="38"/>
      <c r="I16" s="39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40"/>
      <c r="C17" s="33" t="s">
        <v>25</v>
      </c>
      <c r="D17" s="42"/>
      <c r="E17" s="42"/>
      <c r="F17" s="42"/>
      <c r="G17" s="37"/>
      <c r="H17" s="38"/>
      <c r="I17" s="39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3" t="s">
        <v>26</v>
      </c>
      <c r="D18" s="42" t="s">
        <v>23</v>
      </c>
      <c r="E18" s="42" t="s">
        <v>23</v>
      </c>
      <c r="F18" s="42" t="s">
        <v>23</v>
      </c>
      <c r="G18" s="47">
        <f>G21-G10-G15</f>
        <v>99.358803000000989</v>
      </c>
      <c r="H18" s="26">
        <f>G18/$G$21</f>
        <v>8.3354842212182579E-3</v>
      </c>
      <c r="I18" s="39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5" t="s">
        <v>24</v>
      </c>
      <c r="D19" s="34"/>
      <c r="E19" s="35"/>
      <c r="F19" s="36"/>
      <c r="G19" s="29">
        <f t="shared" ref="G19:H19" si="3">SUM(G18)</f>
        <v>99.358803000000989</v>
      </c>
      <c r="H19" s="48">
        <f t="shared" si="3"/>
        <v>8.3354842212182579E-3</v>
      </c>
      <c r="I19" s="39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43"/>
      <c r="D20" s="34"/>
      <c r="E20" s="35"/>
      <c r="F20" s="36"/>
      <c r="G20" s="37"/>
      <c r="H20" s="38"/>
      <c r="I20" s="39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49" t="s">
        <v>27</v>
      </c>
      <c r="D21" s="50"/>
      <c r="E21" s="51"/>
      <c r="F21" s="52"/>
      <c r="G21" s="53">
        <v>11919.979735200001</v>
      </c>
      <c r="H21" s="54">
        <v>1</v>
      </c>
      <c r="I21" s="55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6"/>
      <c r="D22" s="1"/>
      <c r="E22" s="1"/>
      <c r="F22" s="57"/>
      <c r="G22" s="58"/>
      <c r="H22" s="58"/>
      <c r="I22" s="57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6"/>
      <c r="D23" s="1"/>
      <c r="E23" s="1"/>
      <c r="F23" s="57"/>
      <c r="G23" s="58"/>
      <c r="H23" s="58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59" t="s">
        <v>28</v>
      </c>
      <c r="D24" s="60"/>
      <c r="E24" s="60"/>
      <c r="F24" s="60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1" t="s">
        <v>29</v>
      </c>
      <c r="D25" s="60"/>
      <c r="E25" s="60"/>
      <c r="F25" s="60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1" t="s">
        <v>30</v>
      </c>
      <c r="D26" s="62"/>
      <c r="E26" s="62"/>
      <c r="F26" s="60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1"/>
      <c r="D27" s="62"/>
      <c r="E27" s="62"/>
      <c r="F27" s="60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3" t="s">
        <v>31</v>
      </c>
      <c r="D28" s="64" t="s">
        <v>32</v>
      </c>
      <c r="E28" s="64" t="s">
        <v>33</v>
      </c>
      <c r="F28" s="60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5" t="s">
        <v>34</v>
      </c>
      <c r="D29" s="66">
        <v>29.793600000000001</v>
      </c>
      <c r="E29" s="66">
        <v>29.5778</v>
      </c>
      <c r="F29" s="60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85" t="s">
        <v>35</v>
      </c>
      <c r="D30" s="60"/>
      <c r="E30" s="60"/>
      <c r="F30" s="60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86"/>
      <c r="D31" s="60"/>
      <c r="E31" s="60"/>
      <c r="F31" s="60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61" t="s">
        <v>36</v>
      </c>
      <c r="D32" s="60"/>
      <c r="E32" s="60"/>
      <c r="F32" s="60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67" t="s">
        <v>37</v>
      </c>
      <c r="D33" s="60"/>
      <c r="E33" s="60"/>
      <c r="F33" s="60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67" t="s">
        <v>38</v>
      </c>
      <c r="D34" s="60"/>
      <c r="E34" s="60"/>
      <c r="F34" s="60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67" t="s">
        <v>39</v>
      </c>
      <c r="D35" s="60"/>
      <c r="E35" s="60"/>
      <c r="F35" s="60"/>
      <c r="G35" s="58"/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67" t="s">
        <v>40</v>
      </c>
      <c r="D36" s="60"/>
      <c r="E36" s="60"/>
      <c r="F36" s="60"/>
      <c r="G36" s="58"/>
      <c r="H36" s="58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67" t="s">
        <v>41</v>
      </c>
      <c r="D37" s="60"/>
      <c r="E37" s="60"/>
      <c r="F37" s="60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67" t="s">
        <v>42</v>
      </c>
      <c r="D38" s="60"/>
      <c r="E38" s="60"/>
      <c r="F38" s="60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67" t="s">
        <v>43</v>
      </c>
      <c r="D39" s="60"/>
      <c r="E39" s="60"/>
      <c r="F39" s="60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67" t="s">
        <v>44</v>
      </c>
      <c r="D40" s="60"/>
      <c r="E40" s="60"/>
      <c r="F40" s="60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7" t="s">
        <v>45</v>
      </c>
      <c r="D41" s="60"/>
      <c r="E41" s="60"/>
      <c r="F41" s="60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67" t="s">
        <v>46</v>
      </c>
      <c r="D42" s="60"/>
      <c r="E42" s="60"/>
      <c r="F42" s="60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68" t="s">
        <v>47</v>
      </c>
      <c r="D43" s="69"/>
      <c r="E43" s="60"/>
      <c r="F43" s="60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7" t="s">
        <v>48</v>
      </c>
      <c r="D44" s="60"/>
      <c r="E44" s="60"/>
      <c r="F44" s="69"/>
      <c r="G44" s="58"/>
      <c r="H44" s="58"/>
      <c r="I44" s="57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67" t="s">
        <v>49</v>
      </c>
      <c r="D45" s="60"/>
      <c r="E45" s="60"/>
      <c r="F45" s="69"/>
      <c r="G45" s="58"/>
      <c r="H45" s="58"/>
      <c r="I45" s="57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68" t="s">
        <v>50</v>
      </c>
      <c r="D46" s="60"/>
      <c r="E46" s="60"/>
      <c r="F46" s="69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67" t="s">
        <v>51</v>
      </c>
      <c r="D47" s="60"/>
      <c r="E47" s="60"/>
      <c r="F47" s="69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67" t="s">
        <v>52</v>
      </c>
      <c r="D48" s="60"/>
      <c r="E48" s="60"/>
      <c r="F48" s="69"/>
      <c r="G48" s="58"/>
      <c r="H48" s="58"/>
      <c r="I48" s="57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0"/>
      <c r="D49" s="1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70"/>
      <c r="D50" s="1"/>
      <c r="E50" s="1"/>
      <c r="F50" s="57"/>
      <c r="G50" s="58"/>
      <c r="H50" s="58"/>
      <c r="I50" s="57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71" t="s">
        <v>53</v>
      </c>
      <c r="D51" s="1"/>
      <c r="E51" s="1"/>
      <c r="F51" s="57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72" t="s">
        <v>54</v>
      </c>
      <c r="D52" s="70"/>
      <c r="E52" s="1"/>
      <c r="F52" s="57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5000000000000004">
      <c r="A53" s="1"/>
      <c r="B53" s="1"/>
      <c r="C53" s="72"/>
      <c r="D53" s="1"/>
      <c r="E53" s="1"/>
      <c r="F53" s="57"/>
      <c r="G53" s="70"/>
      <c r="H53" s="70"/>
      <c r="I53" s="70"/>
      <c r="J53" s="73"/>
      <c r="K53" s="70"/>
      <c r="L53" s="70"/>
      <c r="M53" s="70"/>
      <c r="N53" s="70"/>
      <c r="O53" s="70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33.75" customHeight="1" x14ac:dyDescent="0.5">
      <c r="A54" s="1"/>
      <c r="B54" s="1"/>
      <c r="C54" s="72" t="s">
        <v>55</v>
      </c>
      <c r="D54" s="1"/>
      <c r="E54" s="1"/>
      <c r="F54" s="57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72"/>
      <c r="D55" s="1"/>
      <c r="E55" s="1"/>
      <c r="F55" s="57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74" t="s">
        <v>56</v>
      </c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75" t="s">
        <v>57</v>
      </c>
      <c r="D57" s="1"/>
      <c r="E57" s="1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60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57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76" t="s">
        <v>58</v>
      </c>
      <c r="D60" s="77"/>
      <c r="E60" s="77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57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57"/>
      <c r="G68" s="58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57"/>
      <c r="G69" s="58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57"/>
      <c r="G70" s="58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57"/>
      <c r="G71" s="58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57"/>
      <c r="G72" s="58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78" t="s">
        <v>59</v>
      </c>
      <c r="D76" s="1"/>
      <c r="E76" s="1"/>
      <c r="F76" s="57"/>
      <c r="G76" s="58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57"/>
      <c r="G77" s="58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76" t="s">
        <v>60</v>
      </c>
      <c r="D78" s="77"/>
      <c r="E78" s="77"/>
      <c r="F78" s="77"/>
      <c r="G78" s="77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57"/>
      <c r="G79" s="58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57"/>
      <c r="G82" s="5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57"/>
      <c r="G83" s="58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56" t="s">
        <v>61</v>
      </c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56"/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7"/>
      <c r="G273" s="58"/>
      <c r="H273" s="58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7"/>
      <c r="G274" s="58"/>
      <c r="H274" s="58"/>
      <c r="I274" s="57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7"/>
      <c r="G275" s="58"/>
      <c r="H275" s="58"/>
      <c r="I275" s="57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7"/>
      <c r="G276" s="58"/>
      <c r="H276" s="58"/>
      <c r="I276" s="57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7"/>
      <c r="G277" s="58"/>
      <c r="H277" s="58"/>
      <c r="I277" s="57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7"/>
      <c r="G278" s="58"/>
      <c r="H278" s="58"/>
      <c r="I278" s="57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</row>
    <row r="280" spans="1:29" ht="15.75" customHeight="1" x14ac:dyDescent="0.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</row>
    <row r="281" spans="1:29" ht="15.75" customHeight="1" x14ac:dyDescent="0.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</row>
    <row r="282" spans="1:29" ht="15.75" customHeight="1" x14ac:dyDescent="0.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</row>
    <row r="283" spans="1:29" ht="15.75" customHeight="1" x14ac:dyDescent="0.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 spans="1:29" ht="15.75" customHeight="1" x14ac:dyDescent="0.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 spans="1:29" ht="15.75" customHeight="1" x14ac:dyDescent="0.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 spans="1:29" ht="15.75" customHeight="1" x14ac:dyDescent="0.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 spans="1:29" ht="15.75" customHeight="1" x14ac:dyDescent="0.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 spans="1:29" ht="15.75" customHeight="1" x14ac:dyDescent="0.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 spans="1:29" ht="15.75" customHeight="1" x14ac:dyDescent="0.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 spans="1:29" ht="15.75" customHeight="1" x14ac:dyDescent="0.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 spans="1:29" ht="15.75" customHeight="1" x14ac:dyDescent="0.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 spans="1:29" ht="15.75" customHeight="1" x14ac:dyDescent="0.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 spans="1:29" ht="15.75" customHeight="1" x14ac:dyDescent="0.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 spans="1:29" ht="15.75" customHeight="1" x14ac:dyDescent="0.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 spans="1:29" ht="15.75" customHeight="1" x14ac:dyDescent="0.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 spans="1:29" ht="15.75" customHeight="1" x14ac:dyDescent="0.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 spans="1:29" ht="15.75" customHeight="1" x14ac:dyDescent="0.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 spans="1:29" ht="15.75" customHeight="1" x14ac:dyDescent="0.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 spans="1:29" ht="15.75" customHeight="1" x14ac:dyDescent="0.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 spans="1:29" ht="15.75" customHeight="1" x14ac:dyDescent="0.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 spans="1:29" ht="15.75" customHeight="1" x14ac:dyDescent="0.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 spans="1:29" ht="15.75" customHeight="1" x14ac:dyDescent="0.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 spans="1:29" ht="15.75" customHeight="1" x14ac:dyDescent="0.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 spans="1:29" ht="15.75" customHeight="1" x14ac:dyDescent="0.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 spans="1:29" ht="15.75" customHeight="1" x14ac:dyDescent="0.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 spans="1:29" ht="15.75" customHeight="1" x14ac:dyDescent="0.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 spans="1:29" ht="15.75" customHeight="1" x14ac:dyDescent="0.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 spans="1:29" ht="15.75" customHeight="1" x14ac:dyDescent="0.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 spans="1:29" ht="15.75" customHeight="1" x14ac:dyDescent="0.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 spans="1:29" ht="15.75" customHeight="1" x14ac:dyDescent="0.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 spans="1:29" ht="15.75" customHeight="1" x14ac:dyDescent="0.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 spans="1:29" ht="15.75" customHeight="1" x14ac:dyDescent="0.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 spans="1:29" ht="15.75" customHeight="1" x14ac:dyDescent="0.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 spans="1:29" ht="15.75" customHeight="1" x14ac:dyDescent="0.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 spans="1:29" ht="15.75" customHeight="1" x14ac:dyDescent="0.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 spans="1:29" ht="15.75" customHeight="1" x14ac:dyDescent="0.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 spans="1:29" ht="15.75" customHeight="1" x14ac:dyDescent="0.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 spans="1:29" ht="15.75" customHeight="1" x14ac:dyDescent="0.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 spans="1:29" ht="15.75" customHeight="1" x14ac:dyDescent="0.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 spans="1:29" ht="15.75" customHeight="1" x14ac:dyDescent="0.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 spans="1:29" ht="15.75" customHeight="1" x14ac:dyDescent="0.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 spans="1:29" ht="15.75" customHeight="1" x14ac:dyDescent="0.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 spans="1:29" ht="15.75" customHeight="1" x14ac:dyDescent="0.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 spans="1:29" ht="15.75" customHeight="1" x14ac:dyDescent="0.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 spans="1:29" ht="15.75" customHeight="1" x14ac:dyDescent="0.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 spans="1:29" ht="15.75" customHeight="1" x14ac:dyDescent="0.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 spans="1:29" ht="15.75" customHeight="1" x14ac:dyDescent="0.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 spans="1:29" ht="15.75" customHeight="1" x14ac:dyDescent="0.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 spans="1:29" ht="15.75" customHeight="1" x14ac:dyDescent="0.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 spans="1:29" ht="15.75" customHeight="1" x14ac:dyDescent="0.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 spans="1:29" ht="15.75" customHeight="1" x14ac:dyDescent="0.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 spans="1:29" ht="15.75" customHeight="1" x14ac:dyDescent="0.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 spans="1:29" ht="15.75" customHeight="1" x14ac:dyDescent="0.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 spans="1:29" ht="15.75" customHeight="1" x14ac:dyDescent="0.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 spans="1:29" ht="15.75" customHeight="1" x14ac:dyDescent="0.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 spans="1:29" ht="15.75" customHeight="1" x14ac:dyDescent="0.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 spans="1:29" ht="15.75" customHeight="1" x14ac:dyDescent="0.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 spans="1:29" ht="15.75" customHeight="1" x14ac:dyDescent="0.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 spans="1:29" ht="15.75" customHeight="1" x14ac:dyDescent="0.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 spans="1:29" ht="15.75" customHeight="1" x14ac:dyDescent="0.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 spans="1:29" ht="15.75" customHeight="1" x14ac:dyDescent="0.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 spans="1:29" ht="15.75" customHeight="1" x14ac:dyDescent="0.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 spans="1:29" ht="15.75" customHeight="1" x14ac:dyDescent="0.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 spans="1:29" ht="15.75" customHeight="1" x14ac:dyDescent="0.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 spans="1:29" ht="15.75" customHeight="1" x14ac:dyDescent="0.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 spans="1:29" ht="15.75" customHeight="1" x14ac:dyDescent="0.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 spans="1:29" ht="15.75" customHeight="1" x14ac:dyDescent="0.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 spans="1:29" ht="15.75" customHeight="1" x14ac:dyDescent="0.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 spans="1:29" ht="15.75" customHeight="1" x14ac:dyDescent="0.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 spans="1:29" ht="15.75" customHeight="1" x14ac:dyDescent="0.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 spans="1:29" ht="15.75" customHeight="1" x14ac:dyDescent="0.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 spans="1:29" ht="15.75" customHeight="1" x14ac:dyDescent="0.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 spans="1:29" ht="15.75" customHeight="1" x14ac:dyDescent="0.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 spans="1:29" ht="15.75" customHeight="1" x14ac:dyDescent="0.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 spans="1:29" ht="15.75" customHeight="1" x14ac:dyDescent="0.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 spans="1:29" ht="15.75" customHeight="1" x14ac:dyDescent="0.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 spans="1:29" ht="15.75" customHeight="1" x14ac:dyDescent="0.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 spans="1:29" ht="15.75" customHeight="1" x14ac:dyDescent="0.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 spans="1:29" ht="15.75" customHeight="1" x14ac:dyDescent="0.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 spans="1:29" ht="15.75" customHeight="1" x14ac:dyDescent="0.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 spans="1:29" ht="15.75" customHeight="1" x14ac:dyDescent="0.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 spans="1:29" ht="15.75" customHeight="1" x14ac:dyDescent="0.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 spans="1:29" ht="15.75" customHeight="1" x14ac:dyDescent="0.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 spans="1:29" ht="15.75" customHeight="1" x14ac:dyDescent="0.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 spans="1:29" ht="15.75" customHeight="1" x14ac:dyDescent="0.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 spans="1:29" ht="15.75" customHeight="1" x14ac:dyDescent="0.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 spans="1:29" ht="15.75" customHeight="1" x14ac:dyDescent="0.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 spans="1:29" ht="15.75" customHeight="1" x14ac:dyDescent="0.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 spans="1:29" ht="15.75" customHeight="1" x14ac:dyDescent="0.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 spans="1:29" ht="15.75" customHeight="1" x14ac:dyDescent="0.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 spans="1:29" ht="15.75" customHeight="1" x14ac:dyDescent="0.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 spans="1:29" ht="15.75" customHeight="1" x14ac:dyDescent="0.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 spans="1:29" ht="15.75" customHeight="1" x14ac:dyDescent="0.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 spans="1:29" ht="15.75" customHeight="1" x14ac:dyDescent="0.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 spans="1:29" ht="15.75" customHeight="1" x14ac:dyDescent="0.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 spans="1:29" ht="15.75" customHeight="1" x14ac:dyDescent="0.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 spans="1:29" ht="15.75" customHeight="1" x14ac:dyDescent="0.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 spans="1:29" ht="15.75" customHeight="1" x14ac:dyDescent="0.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 spans="1:29" ht="15.75" customHeight="1" x14ac:dyDescent="0.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 spans="1:29" ht="15.75" customHeight="1" x14ac:dyDescent="0.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 spans="1:29" ht="15.75" customHeight="1" x14ac:dyDescent="0.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 spans="1:29" ht="15.75" customHeight="1" x14ac:dyDescent="0.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 spans="1:29" ht="15.75" customHeight="1" x14ac:dyDescent="0.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 spans="1:29" ht="15.75" customHeight="1" x14ac:dyDescent="0.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 spans="1:29" ht="15.75" customHeight="1" x14ac:dyDescent="0.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 spans="1:29" ht="15.75" customHeight="1" x14ac:dyDescent="0.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 spans="1:29" ht="15.75" customHeight="1" x14ac:dyDescent="0.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 spans="1:29" ht="15.75" customHeight="1" x14ac:dyDescent="0.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 spans="1:29" ht="15.75" customHeight="1" x14ac:dyDescent="0.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 spans="1:29" ht="15.75" customHeight="1" x14ac:dyDescent="0.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 spans="1:29" ht="15.75" customHeight="1" x14ac:dyDescent="0.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 spans="1:29" ht="15.75" customHeight="1" x14ac:dyDescent="0.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 spans="1:29" ht="15.75" customHeight="1" x14ac:dyDescent="0.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 spans="1:29" ht="15.75" customHeight="1" x14ac:dyDescent="0.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 spans="1:29" ht="15.75" customHeight="1" x14ac:dyDescent="0.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 spans="1:29" ht="15.75" customHeight="1" x14ac:dyDescent="0.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 spans="1:29" ht="15.75" customHeight="1" x14ac:dyDescent="0.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 spans="1:29" ht="15.75" customHeight="1" x14ac:dyDescent="0.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 spans="1:29" ht="15.75" customHeight="1" x14ac:dyDescent="0.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 spans="1:29" ht="15.75" customHeight="1" x14ac:dyDescent="0.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 spans="1:29" ht="15.75" customHeight="1" x14ac:dyDescent="0.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 spans="1:29" ht="15.75" customHeight="1" x14ac:dyDescent="0.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 spans="1:29" ht="15.75" customHeight="1" x14ac:dyDescent="0.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 spans="1:29" ht="15.75" customHeight="1" x14ac:dyDescent="0.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 spans="1:29" ht="15.75" customHeight="1" x14ac:dyDescent="0.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 spans="1:29" ht="15.75" customHeight="1" x14ac:dyDescent="0.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 spans="1:29" ht="15.75" customHeight="1" x14ac:dyDescent="0.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 spans="1:29" ht="15.75" customHeight="1" x14ac:dyDescent="0.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 spans="1:29" ht="15.75" customHeight="1" x14ac:dyDescent="0.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 spans="1:29" ht="15.75" customHeight="1" x14ac:dyDescent="0.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 spans="1:29" ht="15.75" customHeight="1" x14ac:dyDescent="0.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 spans="1:29" ht="15.75" customHeight="1" x14ac:dyDescent="0.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 spans="1:29" ht="15.75" customHeight="1" x14ac:dyDescent="0.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 spans="1:29" ht="15.75" customHeight="1" x14ac:dyDescent="0.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 spans="1:29" ht="15.75" customHeight="1" x14ac:dyDescent="0.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 spans="1:29" ht="15.75" customHeight="1" x14ac:dyDescent="0.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 spans="1:29" ht="15.75" customHeight="1" x14ac:dyDescent="0.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 spans="1:29" ht="15.75" customHeight="1" x14ac:dyDescent="0.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 spans="1:29" ht="15.75" customHeight="1" x14ac:dyDescent="0.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 spans="1:29" ht="15.75" customHeight="1" x14ac:dyDescent="0.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 spans="1:29" ht="15.75" customHeight="1" x14ac:dyDescent="0.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 spans="1:29" ht="15.75" customHeight="1" x14ac:dyDescent="0.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 spans="1:29" ht="15.75" customHeight="1" x14ac:dyDescent="0.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 spans="1:29" ht="15.75" customHeight="1" x14ac:dyDescent="0.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 spans="1:29" ht="15.75" customHeight="1" x14ac:dyDescent="0.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 spans="1:29" ht="15.75" customHeight="1" x14ac:dyDescent="0.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 spans="1:29" ht="15.75" customHeight="1" x14ac:dyDescent="0.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 spans="1:29" ht="15.75" customHeight="1" x14ac:dyDescent="0.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 spans="1:29" ht="15.75" customHeight="1" x14ac:dyDescent="0.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 spans="1:29" ht="15.75" customHeight="1" x14ac:dyDescent="0.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 spans="1:29" ht="15.75" customHeight="1" x14ac:dyDescent="0.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 spans="1:29" ht="15.75" customHeight="1" x14ac:dyDescent="0.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 spans="1:29" ht="15.75" customHeight="1" x14ac:dyDescent="0.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 spans="1:29" ht="15.75" customHeight="1" x14ac:dyDescent="0.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 spans="1:29" ht="15.75" customHeight="1" x14ac:dyDescent="0.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 spans="1:29" ht="15.75" customHeight="1" x14ac:dyDescent="0.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 spans="1:29" ht="15.75" customHeight="1" x14ac:dyDescent="0.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 spans="1:29" ht="15.75" customHeight="1" x14ac:dyDescent="0.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 spans="1:29" ht="15.75" customHeight="1" x14ac:dyDescent="0.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 spans="1:29" ht="15.75" customHeight="1" x14ac:dyDescent="0.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 spans="1:29" ht="15.75" customHeight="1" x14ac:dyDescent="0.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 spans="1:29" ht="15.75" customHeight="1" x14ac:dyDescent="0.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 spans="1:29" ht="15.75" customHeight="1" x14ac:dyDescent="0.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 spans="1:29" ht="15.75" customHeight="1" x14ac:dyDescent="0.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 spans="1:29" ht="15.75" customHeight="1" x14ac:dyDescent="0.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 spans="1:29" ht="15.75" customHeight="1" x14ac:dyDescent="0.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 spans="1:29" ht="15.75" customHeight="1" x14ac:dyDescent="0.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 spans="1:29" ht="15.75" customHeight="1" x14ac:dyDescent="0.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 spans="1:29" ht="15.75" customHeight="1" x14ac:dyDescent="0.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 spans="1:29" ht="15.75" customHeight="1" x14ac:dyDescent="0.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 spans="1:29" ht="15.75" customHeight="1" x14ac:dyDescent="0.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 spans="1:29" ht="15.75" customHeight="1" x14ac:dyDescent="0.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 spans="1:29" ht="15.75" customHeight="1" x14ac:dyDescent="0.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 spans="1:29" ht="15.75" customHeight="1" x14ac:dyDescent="0.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 spans="1:29" ht="15.75" customHeight="1" x14ac:dyDescent="0.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 spans="1:29" ht="15.75" customHeight="1" x14ac:dyDescent="0.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 spans="1:29" ht="15.75" customHeight="1" x14ac:dyDescent="0.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 spans="1:29" ht="15.75" customHeight="1" x14ac:dyDescent="0.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 spans="1:29" ht="15.75" customHeight="1" x14ac:dyDescent="0.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 spans="1:29" ht="15.75" customHeight="1" x14ac:dyDescent="0.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 spans="1:29" ht="15.75" customHeight="1" x14ac:dyDescent="0.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 spans="1:29" ht="15.75" customHeight="1" x14ac:dyDescent="0.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 spans="1:29" ht="15.75" customHeight="1" x14ac:dyDescent="0.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 spans="1:29" ht="15.75" customHeight="1" x14ac:dyDescent="0.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 spans="1:29" ht="15.75" customHeight="1" x14ac:dyDescent="0.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 spans="1:29" ht="15.75" customHeight="1" x14ac:dyDescent="0.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 spans="1:29" ht="15.75" customHeight="1" x14ac:dyDescent="0.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 spans="1:29" ht="15.75" customHeight="1" x14ac:dyDescent="0.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 spans="1:29" ht="15.75" customHeight="1" x14ac:dyDescent="0.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 spans="1:29" ht="15.75" customHeight="1" x14ac:dyDescent="0.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 spans="1:29" ht="15.75" customHeight="1" x14ac:dyDescent="0.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 spans="1:29" ht="15.75" customHeight="1" x14ac:dyDescent="0.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 spans="1:29" ht="15.75" customHeight="1" x14ac:dyDescent="0.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 spans="1:29" ht="15.75" customHeight="1" x14ac:dyDescent="0.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 spans="1:29" ht="15.75" customHeight="1" x14ac:dyDescent="0.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 spans="1:29" ht="15.75" customHeight="1" x14ac:dyDescent="0.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 spans="1:29" ht="15.75" customHeight="1" x14ac:dyDescent="0.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 spans="1:29" ht="15.75" customHeight="1" x14ac:dyDescent="0.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 spans="1:29" ht="15.75" customHeight="1" x14ac:dyDescent="0.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 spans="1:29" ht="15.75" customHeight="1" x14ac:dyDescent="0.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 spans="1:29" ht="15.75" customHeight="1" x14ac:dyDescent="0.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 spans="1:29" ht="15.75" customHeight="1" x14ac:dyDescent="0.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 spans="1:29" ht="15.75" customHeight="1" x14ac:dyDescent="0.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 spans="1:29" ht="15.75" customHeight="1" x14ac:dyDescent="0.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 spans="1:29" ht="15.75" customHeight="1" x14ac:dyDescent="0.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 spans="1:29" ht="15.75" customHeight="1" x14ac:dyDescent="0.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 spans="1:29" ht="15.75" customHeight="1" x14ac:dyDescent="0.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 spans="1:29" ht="15.75" customHeight="1" x14ac:dyDescent="0.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 spans="1:29" ht="15.75" customHeight="1" x14ac:dyDescent="0.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 spans="1:29" ht="15.75" customHeight="1" x14ac:dyDescent="0.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 spans="1:29" ht="15.75" customHeight="1" x14ac:dyDescent="0.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 spans="1:29" ht="15.75" customHeight="1" x14ac:dyDescent="0.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 spans="1:29" ht="15.75" customHeight="1" x14ac:dyDescent="0.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 spans="1:29" ht="15.75" customHeight="1" x14ac:dyDescent="0.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 spans="1:29" ht="15.75" customHeight="1" x14ac:dyDescent="0.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 spans="1:29" ht="15.75" customHeight="1" x14ac:dyDescent="0.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 spans="1:29" ht="15.75" customHeight="1" x14ac:dyDescent="0.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 spans="1:29" ht="15.75" customHeight="1" x14ac:dyDescent="0.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 spans="1:29" ht="15.75" customHeight="1" x14ac:dyDescent="0.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 spans="1:29" ht="15.75" customHeight="1" x14ac:dyDescent="0.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 spans="1:29" ht="15.75" customHeight="1" x14ac:dyDescent="0.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 spans="1:29" ht="15.75" customHeight="1" x14ac:dyDescent="0.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 spans="1:29" ht="15.75" customHeight="1" x14ac:dyDescent="0.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 spans="1:29" ht="15.75" customHeight="1" x14ac:dyDescent="0.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 spans="1:29" ht="15.75" customHeight="1" x14ac:dyDescent="0.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 spans="1:29" ht="15.75" customHeight="1" x14ac:dyDescent="0.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 spans="1:29" ht="15.75" customHeight="1" x14ac:dyDescent="0.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 spans="1:29" ht="15.75" customHeight="1" x14ac:dyDescent="0.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 spans="1:29" ht="15.75" customHeight="1" x14ac:dyDescent="0.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 spans="1:29" ht="15.75" customHeight="1" x14ac:dyDescent="0.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 spans="1:29" ht="15.75" customHeight="1" x14ac:dyDescent="0.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 spans="1:29" ht="15.75" customHeight="1" x14ac:dyDescent="0.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 spans="1:29" ht="15.75" customHeight="1" x14ac:dyDescent="0.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 spans="1:29" ht="15.75" customHeight="1" x14ac:dyDescent="0.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 spans="1:29" ht="15.75" customHeight="1" x14ac:dyDescent="0.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 spans="1:29" ht="15.75" customHeight="1" x14ac:dyDescent="0.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 spans="1:29" ht="15.75" customHeight="1" x14ac:dyDescent="0.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 spans="1:29" ht="15.75" customHeight="1" x14ac:dyDescent="0.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 spans="1:29" ht="15.75" customHeight="1" x14ac:dyDescent="0.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 spans="1:29" ht="15.75" customHeight="1" x14ac:dyDescent="0.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 spans="1:29" ht="15.75" customHeight="1" x14ac:dyDescent="0.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 spans="1:29" ht="15.75" customHeight="1" x14ac:dyDescent="0.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 spans="1:29" ht="15.75" customHeight="1" x14ac:dyDescent="0.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 spans="1:29" ht="15.75" customHeight="1" x14ac:dyDescent="0.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 spans="1:29" ht="15.75" customHeight="1" x14ac:dyDescent="0.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 spans="1:29" ht="15.75" customHeight="1" x14ac:dyDescent="0.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 spans="1:29" ht="15.75" customHeight="1" x14ac:dyDescent="0.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 spans="1:29" ht="15.75" customHeight="1" x14ac:dyDescent="0.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 spans="1:29" ht="15.75" customHeight="1" x14ac:dyDescent="0.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 spans="1:29" ht="15.75" customHeight="1" x14ac:dyDescent="0.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 spans="1:29" ht="15.75" customHeight="1" x14ac:dyDescent="0.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 spans="1:29" ht="15.75" customHeight="1" x14ac:dyDescent="0.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 spans="1:29" ht="15.75" customHeight="1" x14ac:dyDescent="0.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 spans="1:29" ht="15.75" customHeight="1" x14ac:dyDescent="0.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 spans="1:29" ht="15.75" customHeight="1" x14ac:dyDescent="0.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 spans="1:29" ht="15.75" customHeight="1" x14ac:dyDescent="0.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 spans="1:29" ht="15.75" customHeight="1" x14ac:dyDescent="0.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 spans="1:29" ht="15.75" customHeight="1" x14ac:dyDescent="0.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 spans="1:29" ht="15.75" customHeight="1" x14ac:dyDescent="0.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 spans="1:29" ht="15.75" customHeight="1" x14ac:dyDescent="0.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 spans="1:29" ht="15.75" customHeight="1" x14ac:dyDescent="0.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 spans="1:29" ht="15.75" customHeight="1" x14ac:dyDescent="0.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 spans="1:29" ht="15.75" customHeight="1" x14ac:dyDescent="0.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 spans="1:29" ht="15.75" customHeight="1" x14ac:dyDescent="0.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 spans="1:29" ht="15.75" customHeight="1" x14ac:dyDescent="0.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 spans="1:29" ht="15.75" customHeight="1" x14ac:dyDescent="0.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 spans="1:29" ht="15.75" customHeight="1" x14ac:dyDescent="0.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 spans="1:29" ht="15.75" customHeight="1" x14ac:dyDescent="0.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 spans="1:29" ht="15.75" customHeight="1" x14ac:dyDescent="0.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 spans="1:29" ht="15.75" customHeight="1" x14ac:dyDescent="0.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 spans="1:29" ht="15.75" customHeight="1" x14ac:dyDescent="0.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 spans="1:29" ht="15.75" customHeight="1" x14ac:dyDescent="0.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 spans="1:29" ht="15.75" customHeight="1" x14ac:dyDescent="0.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 spans="1:29" ht="15.75" customHeight="1" x14ac:dyDescent="0.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 spans="1:29" ht="15.75" customHeight="1" x14ac:dyDescent="0.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 spans="1:29" ht="15.75" customHeight="1" x14ac:dyDescent="0.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 spans="1:29" ht="15.75" customHeight="1" x14ac:dyDescent="0.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 spans="1:29" ht="15.75" customHeight="1" x14ac:dyDescent="0.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 spans="1:29" ht="15.75" customHeight="1" x14ac:dyDescent="0.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 spans="1:29" ht="15.75" customHeight="1" x14ac:dyDescent="0.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 spans="1:29" ht="15.75" customHeight="1" x14ac:dyDescent="0.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 spans="1:29" ht="15.75" customHeight="1" x14ac:dyDescent="0.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 spans="1:29" ht="15.75" customHeight="1" x14ac:dyDescent="0.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 spans="1:29" ht="15.75" customHeight="1" x14ac:dyDescent="0.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 spans="1:29" ht="15.75" customHeight="1" x14ac:dyDescent="0.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 spans="1:29" ht="15.75" customHeight="1" x14ac:dyDescent="0.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 spans="1:29" ht="15.75" customHeight="1" x14ac:dyDescent="0.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 spans="1:29" ht="15.75" customHeight="1" x14ac:dyDescent="0.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 spans="1:29" ht="15.75" customHeight="1" x14ac:dyDescent="0.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 spans="1:29" ht="15.75" customHeight="1" x14ac:dyDescent="0.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 spans="1:29" ht="15.75" customHeight="1" x14ac:dyDescent="0.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 spans="1:29" ht="15.75" customHeight="1" x14ac:dyDescent="0.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 spans="1:29" ht="15.75" customHeight="1" x14ac:dyDescent="0.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 spans="1:29" ht="15.75" customHeight="1" x14ac:dyDescent="0.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 spans="1:29" ht="15.75" customHeight="1" x14ac:dyDescent="0.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 spans="1:29" ht="15.75" customHeight="1" x14ac:dyDescent="0.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 spans="1:29" ht="15.75" customHeight="1" x14ac:dyDescent="0.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 spans="1:29" ht="15.75" customHeight="1" x14ac:dyDescent="0.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 spans="1:29" ht="15.75" customHeight="1" x14ac:dyDescent="0.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 spans="1:29" ht="15.75" customHeight="1" x14ac:dyDescent="0.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 spans="1:29" ht="15.75" customHeight="1" x14ac:dyDescent="0.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 spans="1:29" ht="15.75" customHeight="1" x14ac:dyDescent="0.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 spans="1:29" ht="15.75" customHeight="1" x14ac:dyDescent="0.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 spans="1:29" ht="15.75" customHeight="1" x14ac:dyDescent="0.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 spans="1:29" ht="15.75" customHeight="1" x14ac:dyDescent="0.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 spans="1:29" ht="15.75" customHeight="1" x14ac:dyDescent="0.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 spans="1:29" ht="15.75" customHeight="1" x14ac:dyDescent="0.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 spans="1:29" ht="15.75" customHeight="1" x14ac:dyDescent="0.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 spans="1:29" ht="15.75" customHeight="1" x14ac:dyDescent="0.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 spans="1:29" ht="15.75" customHeight="1" x14ac:dyDescent="0.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 spans="1:29" ht="15.75" customHeight="1" x14ac:dyDescent="0.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 spans="1:29" ht="15.75" customHeight="1" x14ac:dyDescent="0.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 spans="1:29" ht="15.75" customHeight="1" x14ac:dyDescent="0.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 spans="1:29" ht="15.75" customHeight="1" x14ac:dyDescent="0.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 spans="1:29" ht="15.75" customHeight="1" x14ac:dyDescent="0.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 spans="1:29" ht="15.75" customHeight="1" x14ac:dyDescent="0.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 spans="1:29" ht="15.75" customHeight="1" x14ac:dyDescent="0.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 spans="1:29" ht="15.75" customHeight="1" x14ac:dyDescent="0.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 spans="1:29" ht="15.75" customHeight="1" x14ac:dyDescent="0.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 spans="1:29" ht="15.75" customHeight="1" x14ac:dyDescent="0.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 spans="1:29" ht="15.75" customHeight="1" x14ac:dyDescent="0.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 spans="1:29" ht="15.75" customHeight="1" x14ac:dyDescent="0.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 spans="1:29" ht="15.75" customHeight="1" x14ac:dyDescent="0.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 spans="1:29" ht="15.75" customHeight="1" x14ac:dyDescent="0.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 spans="1:29" ht="15.75" customHeight="1" x14ac:dyDescent="0.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 spans="1:29" ht="15.75" customHeight="1" x14ac:dyDescent="0.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 spans="1:29" ht="15.75" customHeight="1" x14ac:dyDescent="0.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 spans="1:29" ht="15.75" customHeight="1" x14ac:dyDescent="0.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 spans="1:29" ht="15.75" customHeight="1" x14ac:dyDescent="0.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 spans="1:29" ht="15.75" customHeight="1" x14ac:dyDescent="0.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 spans="1:29" ht="15.75" customHeight="1" x14ac:dyDescent="0.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 spans="1:29" ht="15.75" customHeight="1" x14ac:dyDescent="0.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 spans="1:29" ht="15.75" customHeight="1" x14ac:dyDescent="0.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 spans="1:29" ht="15.75" customHeight="1" x14ac:dyDescent="0.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 spans="1:29" ht="15.75" customHeight="1" x14ac:dyDescent="0.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 spans="1:29" ht="15.75" customHeight="1" x14ac:dyDescent="0.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 spans="1:29" ht="15.75" customHeight="1" x14ac:dyDescent="0.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 spans="1:29" ht="15.75" customHeight="1" x14ac:dyDescent="0.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 spans="1:29" ht="15.75" customHeight="1" x14ac:dyDescent="0.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 spans="1:29" ht="15.75" customHeight="1" x14ac:dyDescent="0.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 spans="1:29" ht="15.75" customHeight="1" x14ac:dyDescent="0.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 spans="1:29" ht="15.75" customHeight="1" x14ac:dyDescent="0.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 spans="1:29" ht="15.75" customHeight="1" x14ac:dyDescent="0.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 spans="1:29" ht="15.75" customHeight="1" x14ac:dyDescent="0.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 spans="1:29" ht="15.75" customHeight="1" x14ac:dyDescent="0.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 spans="1:29" ht="15.75" customHeight="1" x14ac:dyDescent="0.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 spans="1:29" ht="15.75" customHeight="1" x14ac:dyDescent="0.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 spans="1:29" ht="15.75" customHeight="1" x14ac:dyDescent="0.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 spans="1:29" ht="15.75" customHeight="1" x14ac:dyDescent="0.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 spans="1:29" ht="15.75" customHeight="1" x14ac:dyDescent="0.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 spans="1:29" ht="15.75" customHeight="1" x14ac:dyDescent="0.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 spans="1:29" ht="15.75" customHeight="1" x14ac:dyDescent="0.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 spans="1:29" ht="15.75" customHeight="1" x14ac:dyDescent="0.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 spans="1:29" ht="15.75" customHeight="1" x14ac:dyDescent="0.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 spans="1:29" ht="15.75" customHeight="1" x14ac:dyDescent="0.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 spans="1:29" ht="15.75" customHeight="1" x14ac:dyDescent="0.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 spans="1:29" ht="15.75" customHeight="1" x14ac:dyDescent="0.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 spans="1:29" ht="15.75" customHeight="1" x14ac:dyDescent="0.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 spans="1:29" ht="15.75" customHeight="1" x14ac:dyDescent="0.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 spans="1:29" ht="15.75" customHeight="1" x14ac:dyDescent="0.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 spans="1:29" ht="15.75" customHeight="1" x14ac:dyDescent="0.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 spans="1:29" ht="15.75" customHeight="1" x14ac:dyDescent="0.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 spans="1:29" ht="15.75" customHeight="1" x14ac:dyDescent="0.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 spans="1:29" ht="15.75" customHeight="1" x14ac:dyDescent="0.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 spans="1:29" ht="15.75" customHeight="1" x14ac:dyDescent="0.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 spans="1:29" ht="15.75" customHeight="1" x14ac:dyDescent="0.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 spans="1:29" ht="15.75" customHeight="1" x14ac:dyDescent="0.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 spans="1:29" ht="15.75" customHeight="1" x14ac:dyDescent="0.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 spans="1:29" ht="15.75" customHeight="1" x14ac:dyDescent="0.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 spans="1:29" ht="15.75" customHeight="1" x14ac:dyDescent="0.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 spans="1:29" ht="15.75" customHeight="1" x14ac:dyDescent="0.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 spans="1:29" ht="15.75" customHeight="1" x14ac:dyDescent="0.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 spans="1:29" ht="15.75" customHeight="1" x14ac:dyDescent="0.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 spans="1:29" ht="15.75" customHeight="1" x14ac:dyDescent="0.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 spans="1:29" ht="15.75" customHeight="1" x14ac:dyDescent="0.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 spans="1:29" ht="15.75" customHeight="1" x14ac:dyDescent="0.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 spans="1:29" ht="15.75" customHeight="1" x14ac:dyDescent="0.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 spans="1:29" ht="15.75" customHeight="1" x14ac:dyDescent="0.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 spans="1:29" ht="15.75" customHeight="1" x14ac:dyDescent="0.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 spans="1:29" ht="15.75" customHeight="1" x14ac:dyDescent="0.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 spans="1:29" ht="15.75" customHeight="1" x14ac:dyDescent="0.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 spans="1:29" ht="15.75" customHeight="1" x14ac:dyDescent="0.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 spans="1:29" ht="15.75" customHeight="1" x14ac:dyDescent="0.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 spans="1:29" ht="15.75" customHeight="1" x14ac:dyDescent="0.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 spans="1:29" ht="15.75" customHeight="1" x14ac:dyDescent="0.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 spans="1:29" ht="15.75" customHeight="1" x14ac:dyDescent="0.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 spans="1:29" ht="15.75" customHeight="1" x14ac:dyDescent="0.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 spans="1:29" ht="15.75" customHeight="1" x14ac:dyDescent="0.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 spans="1:29" ht="15.75" customHeight="1" x14ac:dyDescent="0.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 spans="1:29" ht="15.75" customHeight="1" x14ac:dyDescent="0.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 spans="1:29" ht="15.75" customHeight="1" x14ac:dyDescent="0.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 spans="1:29" ht="15.75" customHeight="1" x14ac:dyDescent="0.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 spans="1:29" ht="15.75" customHeight="1" x14ac:dyDescent="0.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 spans="1:29" ht="15.75" customHeight="1" x14ac:dyDescent="0.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 spans="1:29" ht="15.75" customHeight="1" x14ac:dyDescent="0.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 spans="1:29" ht="15.75" customHeight="1" x14ac:dyDescent="0.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 spans="1:29" ht="15.75" customHeight="1" x14ac:dyDescent="0.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 spans="1:29" ht="15.75" customHeight="1" x14ac:dyDescent="0.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 spans="1:29" ht="15.75" customHeight="1" x14ac:dyDescent="0.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 spans="1:29" ht="15.75" customHeight="1" x14ac:dyDescent="0.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 spans="1:29" ht="15.75" customHeight="1" x14ac:dyDescent="0.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 spans="1:29" ht="15.75" customHeight="1" x14ac:dyDescent="0.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 spans="1:29" ht="15.75" customHeight="1" x14ac:dyDescent="0.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 spans="1:29" ht="15.75" customHeight="1" x14ac:dyDescent="0.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 spans="1:29" ht="15.75" customHeight="1" x14ac:dyDescent="0.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 spans="1:29" ht="15.75" customHeight="1" x14ac:dyDescent="0.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 spans="1:29" ht="15.75" customHeight="1" x14ac:dyDescent="0.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 spans="1:29" ht="15.75" customHeight="1" x14ac:dyDescent="0.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 spans="1:29" ht="15.75" customHeight="1" x14ac:dyDescent="0.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 spans="1:29" ht="15.75" customHeight="1" x14ac:dyDescent="0.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 spans="1:29" ht="15.75" customHeight="1" x14ac:dyDescent="0.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 spans="1:29" ht="15.75" customHeight="1" x14ac:dyDescent="0.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 spans="1:29" ht="15.75" customHeight="1" x14ac:dyDescent="0.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 spans="1:29" ht="15.75" customHeight="1" x14ac:dyDescent="0.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 spans="1:29" ht="15.75" customHeight="1" x14ac:dyDescent="0.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 spans="1:29" ht="15.75" customHeight="1" x14ac:dyDescent="0.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 spans="1:29" ht="15.75" customHeight="1" x14ac:dyDescent="0.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 spans="1:29" ht="15.75" customHeight="1" x14ac:dyDescent="0.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 spans="1:29" ht="15.75" customHeight="1" x14ac:dyDescent="0.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 spans="1:29" ht="15.75" customHeight="1" x14ac:dyDescent="0.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 spans="1:29" ht="15.75" customHeight="1" x14ac:dyDescent="0.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 spans="1:29" ht="15.75" customHeight="1" x14ac:dyDescent="0.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 spans="1:29" ht="15.75" customHeight="1" x14ac:dyDescent="0.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 spans="1:29" ht="15.75" customHeight="1" x14ac:dyDescent="0.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 spans="1:29" ht="15.75" customHeight="1" x14ac:dyDescent="0.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 spans="1:29" ht="15.75" customHeight="1" x14ac:dyDescent="0.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 spans="1:29" ht="15.75" customHeight="1" x14ac:dyDescent="0.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 spans="1:29" ht="15.75" customHeight="1" x14ac:dyDescent="0.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 spans="1:29" ht="15.75" customHeight="1" x14ac:dyDescent="0.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 spans="1:29" ht="15.75" customHeight="1" x14ac:dyDescent="0.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 spans="1:29" ht="15.75" customHeight="1" x14ac:dyDescent="0.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 spans="1:29" ht="15.75" customHeight="1" x14ac:dyDescent="0.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 spans="1:29" ht="15.75" customHeight="1" x14ac:dyDescent="0.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 spans="1:29" ht="15.75" customHeight="1" x14ac:dyDescent="0.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 spans="1:29" ht="15.75" customHeight="1" x14ac:dyDescent="0.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 spans="1:29" ht="15.75" customHeight="1" x14ac:dyDescent="0.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 spans="1:29" ht="15.75" customHeight="1" x14ac:dyDescent="0.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 spans="1:29" ht="15.75" customHeight="1" x14ac:dyDescent="0.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 spans="1:29" ht="15.75" customHeight="1" x14ac:dyDescent="0.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 spans="1:29" ht="15.75" customHeight="1" x14ac:dyDescent="0.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 spans="1:29" ht="15.75" customHeight="1" x14ac:dyDescent="0.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 spans="1:29" ht="15.75" customHeight="1" x14ac:dyDescent="0.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 spans="1:29" ht="15.75" customHeight="1" x14ac:dyDescent="0.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 spans="1:29" ht="15.75" customHeight="1" x14ac:dyDescent="0.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 spans="1:29" ht="15.75" customHeight="1" x14ac:dyDescent="0.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 spans="1:29" ht="15.75" customHeight="1" x14ac:dyDescent="0.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 spans="1:29" ht="15.75" customHeight="1" x14ac:dyDescent="0.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 spans="1:29" ht="15.75" customHeight="1" x14ac:dyDescent="0.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 spans="1:29" ht="15.75" customHeight="1" x14ac:dyDescent="0.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 spans="1:29" ht="15.75" customHeight="1" x14ac:dyDescent="0.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 spans="1:29" ht="15.75" customHeight="1" x14ac:dyDescent="0.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 spans="1:29" ht="15.75" customHeight="1" x14ac:dyDescent="0.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 spans="1:29" ht="15.75" customHeight="1" x14ac:dyDescent="0.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 spans="1:29" ht="15.75" customHeight="1" x14ac:dyDescent="0.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 spans="1:29" ht="15.75" customHeight="1" x14ac:dyDescent="0.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 spans="1:29" ht="15.75" customHeight="1" x14ac:dyDescent="0.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 spans="1:29" ht="15.75" customHeight="1" x14ac:dyDescent="0.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 spans="1:29" ht="15.75" customHeight="1" x14ac:dyDescent="0.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 spans="1:29" ht="15.75" customHeight="1" x14ac:dyDescent="0.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 spans="1:29" ht="15.75" customHeight="1" x14ac:dyDescent="0.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 spans="1:29" ht="15.75" customHeight="1" x14ac:dyDescent="0.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 spans="1:29" ht="15.75" customHeight="1" x14ac:dyDescent="0.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 spans="1:29" ht="15.75" customHeight="1" x14ac:dyDescent="0.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 spans="1:29" ht="15.75" customHeight="1" x14ac:dyDescent="0.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 spans="1:29" ht="15.75" customHeight="1" x14ac:dyDescent="0.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 spans="1:29" ht="15.75" customHeight="1" x14ac:dyDescent="0.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 spans="1:29" ht="15.75" customHeight="1" x14ac:dyDescent="0.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 spans="1:29" ht="15.75" customHeight="1" x14ac:dyDescent="0.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 spans="1:29" ht="15.75" customHeight="1" x14ac:dyDescent="0.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 spans="1:29" ht="15.75" customHeight="1" x14ac:dyDescent="0.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 spans="1:29" ht="15.75" customHeight="1" x14ac:dyDescent="0.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 spans="1:29" ht="15.75" customHeight="1" x14ac:dyDescent="0.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 spans="1:29" ht="15.75" customHeight="1" x14ac:dyDescent="0.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 spans="1:29" ht="15.75" customHeight="1" x14ac:dyDescent="0.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 spans="1:29" ht="15.75" customHeight="1" x14ac:dyDescent="0.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 spans="1:29" ht="15.75" customHeight="1" x14ac:dyDescent="0.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 spans="1:29" ht="15.75" customHeight="1" x14ac:dyDescent="0.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 spans="1:29" ht="15.75" customHeight="1" x14ac:dyDescent="0.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 spans="1:29" ht="15.75" customHeight="1" x14ac:dyDescent="0.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 spans="1:29" ht="15.75" customHeight="1" x14ac:dyDescent="0.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 spans="1:29" ht="15.75" customHeight="1" x14ac:dyDescent="0.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 spans="1:29" ht="15.75" customHeight="1" x14ac:dyDescent="0.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 spans="1:29" ht="15.75" customHeight="1" x14ac:dyDescent="0.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 spans="1:29" ht="15.75" customHeight="1" x14ac:dyDescent="0.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 spans="1:29" ht="15.75" customHeight="1" x14ac:dyDescent="0.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 spans="1:29" ht="15.75" customHeight="1" x14ac:dyDescent="0.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 spans="1:29" ht="15.75" customHeight="1" x14ac:dyDescent="0.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 spans="1:29" ht="15.75" customHeight="1" x14ac:dyDescent="0.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 spans="1:29" ht="15.75" customHeight="1" x14ac:dyDescent="0.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 spans="1:29" ht="15.75" customHeight="1" x14ac:dyDescent="0.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 spans="1:29" ht="15.75" customHeight="1" x14ac:dyDescent="0.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 spans="1:29" ht="15.75" customHeight="1" x14ac:dyDescent="0.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 spans="1:29" ht="15.75" customHeight="1" x14ac:dyDescent="0.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 spans="1:29" ht="15.75" customHeight="1" x14ac:dyDescent="0.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 spans="1:29" ht="15.75" customHeight="1" x14ac:dyDescent="0.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 spans="1:29" ht="15.75" customHeight="1" x14ac:dyDescent="0.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 spans="1:29" ht="15.75" customHeight="1" x14ac:dyDescent="0.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 spans="1:29" ht="15.75" customHeight="1" x14ac:dyDescent="0.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 spans="1:29" ht="15.75" customHeight="1" x14ac:dyDescent="0.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 spans="1:29" ht="15.75" customHeight="1" x14ac:dyDescent="0.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 spans="1:29" ht="15.75" customHeight="1" x14ac:dyDescent="0.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 spans="1:29" ht="15.75" customHeight="1" x14ac:dyDescent="0.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 spans="1:29" ht="15.75" customHeight="1" x14ac:dyDescent="0.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 spans="1:29" ht="15.75" customHeight="1" x14ac:dyDescent="0.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 spans="1:29" ht="15.75" customHeight="1" x14ac:dyDescent="0.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 spans="1:29" ht="15.75" customHeight="1" x14ac:dyDescent="0.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 spans="1:29" ht="15.75" customHeight="1" x14ac:dyDescent="0.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 spans="1:29" ht="15.75" customHeight="1" x14ac:dyDescent="0.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 spans="1:29" ht="15.75" customHeight="1" x14ac:dyDescent="0.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 spans="1:29" ht="15.75" customHeight="1" x14ac:dyDescent="0.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 spans="1:29" ht="15.75" customHeight="1" x14ac:dyDescent="0.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 spans="1:29" ht="15.75" customHeight="1" x14ac:dyDescent="0.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 spans="1:29" ht="15.75" customHeight="1" x14ac:dyDescent="0.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 spans="1:29" ht="15.75" customHeight="1" x14ac:dyDescent="0.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 spans="1:29" ht="15.75" customHeight="1" x14ac:dyDescent="0.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 spans="1:29" ht="15.75" customHeight="1" x14ac:dyDescent="0.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 spans="1:29" ht="15.75" customHeight="1" x14ac:dyDescent="0.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 spans="1:29" ht="15.75" customHeight="1" x14ac:dyDescent="0.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 spans="1:29" ht="15.75" customHeight="1" x14ac:dyDescent="0.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 spans="1:29" ht="15.75" customHeight="1" x14ac:dyDescent="0.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 spans="1:29" ht="15.75" customHeight="1" x14ac:dyDescent="0.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 spans="1:29" ht="15.75" customHeight="1" x14ac:dyDescent="0.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 spans="1:29" ht="15.75" customHeight="1" x14ac:dyDescent="0.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 spans="1:29" ht="15.75" customHeight="1" x14ac:dyDescent="0.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 spans="1:29" ht="15.75" customHeight="1" x14ac:dyDescent="0.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 spans="1:29" ht="15.75" customHeight="1" x14ac:dyDescent="0.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 spans="1:29" ht="15.75" customHeight="1" x14ac:dyDescent="0.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 spans="1:29" ht="15.75" customHeight="1" x14ac:dyDescent="0.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 spans="1:29" ht="15.75" customHeight="1" x14ac:dyDescent="0.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 spans="1:29" ht="15.75" customHeight="1" x14ac:dyDescent="0.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 spans="1:29" ht="15.75" customHeight="1" x14ac:dyDescent="0.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 spans="1:29" ht="15.75" customHeight="1" x14ac:dyDescent="0.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 spans="1:29" ht="15.75" customHeight="1" x14ac:dyDescent="0.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 spans="1:29" ht="15.75" customHeight="1" x14ac:dyDescent="0.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 spans="1:29" ht="15.75" customHeight="1" x14ac:dyDescent="0.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 spans="1:29" ht="15.75" customHeight="1" x14ac:dyDescent="0.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 spans="1:29" ht="15.75" customHeight="1" x14ac:dyDescent="0.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 spans="1:29" ht="15.75" customHeight="1" x14ac:dyDescent="0.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 spans="1:29" ht="15.75" customHeight="1" x14ac:dyDescent="0.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 spans="1:29" ht="15.75" customHeight="1" x14ac:dyDescent="0.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 spans="1:29" ht="15.75" customHeight="1" x14ac:dyDescent="0.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 spans="1:29" ht="15.75" customHeight="1" x14ac:dyDescent="0.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 spans="1:29" ht="15.75" customHeight="1" x14ac:dyDescent="0.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 spans="1:29" ht="15.75" customHeight="1" x14ac:dyDescent="0.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 spans="1:29" ht="15.75" customHeight="1" x14ac:dyDescent="0.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 spans="1:29" ht="15.75" customHeight="1" x14ac:dyDescent="0.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 spans="1:29" ht="15.75" customHeight="1" x14ac:dyDescent="0.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 spans="1:29" ht="15.75" customHeight="1" x14ac:dyDescent="0.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 spans="1:29" ht="15.75" customHeight="1" x14ac:dyDescent="0.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 spans="1:29" ht="15.75" customHeight="1" x14ac:dyDescent="0.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 spans="1:29" ht="15.75" customHeight="1" x14ac:dyDescent="0.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 spans="1:29" ht="15.75" customHeight="1" x14ac:dyDescent="0.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 spans="1:29" ht="15.75" customHeight="1" x14ac:dyDescent="0.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 spans="1:29" ht="15.75" customHeight="1" x14ac:dyDescent="0.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 spans="1:29" ht="15.75" customHeight="1" x14ac:dyDescent="0.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 spans="1:29" ht="15.75" customHeight="1" x14ac:dyDescent="0.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 spans="1:29" ht="15.75" customHeight="1" x14ac:dyDescent="0.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  <row r="838" spans="1:29" ht="15.75" customHeight="1" x14ac:dyDescent="0.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</row>
    <row r="839" spans="1:29" ht="15.75" customHeight="1" x14ac:dyDescent="0.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</row>
    <row r="840" spans="1:29" ht="15.75" customHeight="1" x14ac:dyDescent="0.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</row>
    <row r="841" spans="1:29" ht="15.75" customHeight="1" x14ac:dyDescent="0.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</row>
    <row r="842" spans="1:29" ht="15.75" customHeight="1" x14ac:dyDescent="0.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</row>
    <row r="843" spans="1:29" ht="15.75" customHeight="1" x14ac:dyDescent="0.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</row>
    <row r="844" spans="1:29" ht="15.75" customHeight="1" x14ac:dyDescent="0.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</row>
    <row r="845" spans="1:29" ht="15.75" customHeight="1" x14ac:dyDescent="0.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</row>
    <row r="846" spans="1:29" ht="15.75" customHeight="1" x14ac:dyDescent="0.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</row>
    <row r="847" spans="1:29" ht="15.75" customHeight="1" x14ac:dyDescent="0.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</row>
    <row r="848" spans="1:29" ht="15.75" customHeight="1" x14ac:dyDescent="0.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</row>
    <row r="849" spans="1:29" ht="15.75" customHeight="1" x14ac:dyDescent="0.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</row>
    <row r="850" spans="1:29" ht="15.75" customHeight="1" x14ac:dyDescent="0.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</row>
    <row r="851" spans="1:29" ht="15.75" customHeight="1" x14ac:dyDescent="0.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</row>
    <row r="852" spans="1:29" ht="15.75" customHeight="1" x14ac:dyDescent="0.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</row>
    <row r="853" spans="1:29" ht="15.75" customHeight="1" x14ac:dyDescent="0.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</row>
    <row r="854" spans="1:29" ht="15.75" customHeight="1" x14ac:dyDescent="0.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</row>
    <row r="855" spans="1:29" ht="15.75" customHeight="1" x14ac:dyDescent="0.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</row>
    <row r="856" spans="1:29" ht="15.75" customHeight="1" x14ac:dyDescent="0.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</row>
    <row r="857" spans="1:29" ht="15.75" customHeight="1" x14ac:dyDescent="0.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</row>
    <row r="858" spans="1:29" ht="15.75" customHeight="1" x14ac:dyDescent="0.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</row>
    <row r="859" spans="1:29" ht="15.75" customHeight="1" x14ac:dyDescent="0.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</row>
    <row r="860" spans="1:29" ht="15.75" customHeight="1" x14ac:dyDescent="0.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</row>
    <row r="861" spans="1:29" ht="15.75" customHeight="1" x14ac:dyDescent="0.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</row>
    <row r="862" spans="1:29" ht="15.75" customHeight="1" x14ac:dyDescent="0.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</row>
    <row r="863" spans="1:29" ht="15.75" customHeight="1" x14ac:dyDescent="0.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</row>
    <row r="864" spans="1:29" ht="15.75" customHeight="1" x14ac:dyDescent="0.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</row>
    <row r="865" spans="1:29" ht="15.75" customHeight="1" x14ac:dyDescent="0.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</row>
    <row r="866" spans="1:29" ht="15.75" customHeight="1" x14ac:dyDescent="0.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</row>
    <row r="867" spans="1:29" ht="15.75" customHeight="1" x14ac:dyDescent="0.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</row>
    <row r="868" spans="1:29" ht="15.75" customHeight="1" x14ac:dyDescent="0.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</row>
    <row r="869" spans="1:29" ht="15.75" customHeight="1" x14ac:dyDescent="0.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</row>
    <row r="870" spans="1:29" ht="15.75" customHeight="1" x14ac:dyDescent="0.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</row>
    <row r="871" spans="1:29" ht="15.75" customHeight="1" x14ac:dyDescent="0.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</row>
    <row r="872" spans="1:29" ht="15.75" customHeight="1" x14ac:dyDescent="0.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</row>
    <row r="873" spans="1:29" ht="15.75" customHeight="1" x14ac:dyDescent="0.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</row>
    <row r="874" spans="1:29" ht="15.75" customHeight="1" x14ac:dyDescent="0.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</row>
    <row r="875" spans="1:29" ht="15.75" customHeight="1" x14ac:dyDescent="0.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</row>
    <row r="876" spans="1:29" ht="15.75" customHeight="1" x14ac:dyDescent="0.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</row>
    <row r="877" spans="1:29" ht="15.75" customHeight="1" x14ac:dyDescent="0.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</row>
    <row r="878" spans="1:29" ht="15.75" customHeight="1" x14ac:dyDescent="0.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</row>
    <row r="879" spans="1:29" ht="15.75" customHeight="1" x14ac:dyDescent="0.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</row>
    <row r="880" spans="1:29" ht="15.75" customHeight="1" x14ac:dyDescent="0.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</row>
    <row r="881" spans="1:29" ht="15.75" customHeight="1" x14ac:dyDescent="0.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</row>
    <row r="882" spans="1:29" ht="15.75" customHeight="1" x14ac:dyDescent="0.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</row>
    <row r="883" spans="1:29" ht="15.75" customHeight="1" x14ac:dyDescent="0.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</row>
    <row r="884" spans="1:29" ht="15.75" customHeight="1" x14ac:dyDescent="0.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</row>
    <row r="885" spans="1:29" ht="15.75" customHeight="1" x14ac:dyDescent="0.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</row>
    <row r="886" spans="1:29" ht="15.75" customHeight="1" x14ac:dyDescent="0.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</row>
    <row r="887" spans="1:29" ht="15.75" customHeight="1" x14ac:dyDescent="0.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</row>
    <row r="888" spans="1:29" ht="15.75" customHeight="1" x14ac:dyDescent="0.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</row>
    <row r="889" spans="1:29" ht="15.75" customHeight="1" x14ac:dyDescent="0.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</row>
    <row r="890" spans="1:29" ht="15.75" customHeight="1" x14ac:dyDescent="0.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</row>
    <row r="891" spans="1:29" ht="15.75" customHeight="1" x14ac:dyDescent="0.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</row>
    <row r="892" spans="1:29" ht="15.75" customHeight="1" x14ac:dyDescent="0.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</row>
    <row r="893" spans="1:29" ht="15.75" customHeight="1" x14ac:dyDescent="0.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</row>
    <row r="894" spans="1:29" ht="15.75" customHeight="1" x14ac:dyDescent="0.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</row>
    <row r="895" spans="1:29" ht="15.75" customHeight="1" x14ac:dyDescent="0.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</row>
    <row r="896" spans="1:29" ht="15.75" customHeight="1" x14ac:dyDescent="0.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</row>
    <row r="897" spans="1:29" ht="15.75" customHeight="1" x14ac:dyDescent="0.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</row>
    <row r="898" spans="1:29" ht="15.75" customHeight="1" x14ac:dyDescent="0.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</row>
    <row r="899" spans="1:29" ht="15.75" customHeight="1" x14ac:dyDescent="0.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</row>
    <row r="900" spans="1:29" ht="15.75" customHeight="1" x14ac:dyDescent="0.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</row>
    <row r="901" spans="1:29" ht="15.75" customHeight="1" x14ac:dyDescent="0.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</row>
    <row r="902" spans="1:29" ht="15.75" customHeight="1" x14ac:dyDescent="0.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</row>
    <row r="903" spans="1:29" ht="15.75" customHeight="1" x14ac:dyDescent="0.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</row>
    <row r="904" spans="1:29" ht="15.75" customHeight="1" x14ac:dyDescent="0.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</row>
    <row r="905" spans="1:29" ht="15.75" customHeight="1" x14ac:dyDescent="0.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</row>
    <row r="906" spans="1:29" ht="15.75" customHeight="1" x14ac:dyDescent="0.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</row>
    <row r="907" spans="1:29" ht="15.75" customHeight="1" x14ac:dyDescent="0.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</row>
    <row r="908" spans="1:29" ht="15.75" customHeight="1" x14ac:dyDescent="0.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</row>
    <row r="909" spans="1:29" ht="15.75" customHeight="1" x14ac:dyDescent="0.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</row>
    <row r="910" spans="1:29" ht="15.75" customHeight="1" x14ac:dyDescent="0.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</row>
    <row r="911" spans="1:29" ht="15.75" customHeight="1" x14ac:dyDescent="0.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</row>
    <row r="912" spans="1:29" ht="15.75" customHeight="1" x14ac:dyDescent="0.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</row>
    <row r="913" spans="1:29" ht="15.75" customHeight="1" x14ac:dyDescent="0.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</row>
    <row r="914" spans="1:29" ht="15.75" customHeight="1" x14ac:dyDescent="0.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</row>
    <row r="915" spans="1:29" ht="15.75" customHeight="1" x14ac:dyDescent="0.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</row>
    <row r="916" spans="1:29" ht="15.75" customHeight="1" x14ac:dyDescent="0.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</row>
    <row r="917" spans="1:29" ht="15.75" customHeight="1" x14ac:dyDescent="0.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</row>
    <row r="918" spans="1:29" ht="15.75" customHeight="1" x14ac:dyDescent="0.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</row>
    <row r="919" spans="1:29" ht="15.75" customHeight="1" x14ac:dyDescent="0.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</row>
    <row r="920" spans="1:29" ht="15.75" customHeight="1" x14ac:dyDescent="0.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</row>
    <row r="921" spans="1:29" ht="15.75" customHeight="1" x14ac:dyDescent="0.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</row>
    <row r="922" spans="1:29" ht="15.75" customHeight="1" x14ac:dyDescent="0.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</row>
    <row r="923" spans="1:29" ht="15.75" customHeight="1" x14ac:dyDescent="0.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</row>
    <row r="924" spans="1:29" ht="15.75" customHeight="1" x14ac:dyDescent="0.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</row>
    <row r="925" spans="1:29" ht="15.75" customHeight="1" x14ac:dyDescent="0.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</row>
    <row r="926" spans="1:29" ht="15.75" customHeight="1" x14ac:dyDescent="0.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</row>
    <row r="927" spans="1:29" ht="15.75" customHeight="1" x14ac:dyDescent="0.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</row>
    <row r="928" spans="1:29" ht="15.75" customHeight="1" x14ac:dyDescent="0.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</row>
    <row r="929" spans="1:29" ht="15.75" customHeight="1" x14ac:dyDescent="0.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</row>
    <row r="930" spans="1:29" ht="15.75" customHeight="1" x14ac:dyDescent="0.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</row>
    <row r="931" spans="1:29" ht="15.75" customHeight="1" x14ac:dyDescent="0.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</row>
    <row r="932" spans="1:29" ht="15.75" customHeight="1" x14ac:dyDescent="0.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</row>
    <row r="933" spans="1:29" ht="15.75" customHeight="1" x14ac:dyDescent="0.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</row>
    <row r="934" spans="1:29" ht="15.75" customHeight="1" x14ac:dyDescent="0.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</row>
    <row r="935" spans="1:29" ht="15.75" customHeight="1" x14ac:dyDescent="0.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</row>
    <row r="936" spans="1:29" ht="15.75" customHeight="1" x14ac:dyDescent="0.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</row>
    <row r="937" spans="1:29" ht="15.75" customHeight="1" x14ac:dyDescent="0.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</row>
    <row r="938" spans="1:29" ht="15.75" customHeight="1" x14ac:dyDescent="0.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</row>
    <row r="939" spans="1:29" ht="15.75" customHeight="1" x14ac:dyDescent="0.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</row>
    <row r="940" spans="1:29" ht="15.75" customHeight="1" x14ac:dyDescent="0.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</row>
    <row r="941" spans="1:29" ht="15.75" customHeight="1" x14ac:dyDescent="0.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</row>
    <row r="942" spans="1:29" ht="15.75" customHeight="1" x14ac:dyDescent="0.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</row>
    <row r="943" spans="1:29" ht="15.75" customHeight="1" x14ac:dyDescent="0.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</row>
    <row r="944" spans="1:29" ht="15.75" customHeight="1" x14ac:dyDescent="0.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</row>
    <row r="945" spans="1:29" ht="15.75" customHeight="1" x14ac:dyDescent="0.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</row>
    <row r="946" spans="1:29" ht="15.75" customHeight="1" x14ac:dyDescent="0.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</row>
    <row r="947" spans="1:29" ht="15.75" customHeight="1" x14ac:dyDescent="0.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</row>
    <row r="948" spans="1:29" ht="15.75" customHeight="1" x14ac:dyDescent="0.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</row>
    <row r="949" spans="1:29" ht="15.75" customHeight="1" x14ac:dyDescent="0.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</row>
    <row r="950" spans="1:29" ht="15.75" customHeight="1" x14ac:dyDescent="0.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</row>
    <row r="951" spans="1:29" ht="15.75" customHeight="1" x14ac:dyDescent="0.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</row>
    <row r="952" spans="1:29" ht="15.75" customHeight="1" x14ac:dyDescent="0.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</row>
    <row r="953" spans="1:29" ht="15.75" customHeight="1" x14ac:dyDescent="0.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</row>
    <row r="954" spans="1:29" ht="15.75" customHeight="1" x14ac:dyDescent="0.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</row>
    <row r="955" spans="1:29" ht="15.75" customHeight="1" x14ac:dyDescent="0.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</row>
    <row r="956" spans="1:29" ht="15.75" customHeight="1" x14ac:dyDescent="0.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</row>
    <row r="957" spans="1:29" ht="15.75" customHeight="1" x14ac:dyDescent="0.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</row>
    <row r="958" spans="1:29" ht="15.75" customHeight="1" x14ac:dyDescent="0.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</row>
    <row r="959" spans="1:29" ht="15.75" customHeight="1" x14ac:dyDescent="0.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</row>
    <row r="960" spans="1:29" ht="15.75" customHeight="1" x14ac:dyDescent="0.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</row>
    <row r="961" spans="1:29" ht="15.75" customHeight="1" x14ac:dyDescent="0.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</row>
    <row r="962" spans="1:29" ht="15.75" customHeight="1" x14ac:dyDescent="0.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</row>
    <row r="963" spans="1:29" ht="15.75" customHeight="1" x14ac:dyDescent="0.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</row>
    <row r="964" spans="1:29" ht="15.75" customHeight="1" x14ac:dyDescent="0.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</row>
    <row r="965" spans="1:29" ht="15.75" customHeight="1" x14ac:dyDescent="0.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</row>
    <row r="966" spans="1:29" ht="18" x14ac:dyDescent="0.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</row>
    <row r="967" spans="1:29" ht="18" x14ac:dyDescent="0.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</row>
    <row r="968" spans="1:29" ht="18" x14ac:dyDescent="0.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</row>
    <row r="969" spans="1:29" ht="18" x14ac:dyDescent="0.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</row>
    <row r="970" spans="1:29" ht="18" x14ac:dyDescent="0.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</row>
    <row r="971" spans="1:29" ht="18" x14ac:dyDescent="0.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</row>
    <row r="972" spans="1:29" ht="18" x14ac:dyDescent="0.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</row>
    <row r="973" spans="1:29" ht="18" x14ac:dyDescent="0.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</row>
    <row r="974" spans="1:29" ht="18" x14ac:dyDescent="0.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</row>
    <row r="975" spans="1:29" ht="18" x14ac:dyDescent="0.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</row>
    <row r="976" spans="1:29" ht="18" x14ac:dyDescent="0.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</row>
    <row r="977" spans="1:29" ht="18" x14ac:dyDescent="0.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</row>
    <row r="978" spans="1:29" ht="18" x14ac:dyDescent="0.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</row>
    <row r="979" spans="1:29" ht="18" x14ac:dyDescent="0.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</row>
    <row r="980" spans="1:29" ht="18" x14ac:dyDescent="0.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</row>
    <row r="981" spans="1:29" ht="18" x14ac:dyDescent="0.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</row>
    <row r="982" spans="1:29" ht="18" x14ac:dyDescent="0.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</row>
    <row r="983" spans="1:29" ht="18" x14ac:dyDescent="0.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</row>
    <row r="984" spans="1:29" ht="18" x14ac:dyDescent="0.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</row>
    <row r="985" spans="1:29" ht="18" x14ac:dyDescent="0.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</row>
    <row r="986" spans="1:29" ht="18" x14ac:dyDescent="0.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</row>
    <row r="987" spans="1:29" ht="18" x14ac:dyDescent="0.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</row>
    <row r="988" spans="1:29" ht="18" x14ac:dyDescent="0.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</row>
    <row r="989" spans="1:29" ht="18" x14ac:dyDescent="0.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</row>
    <row r="990" spans="1:29" ht="18" x14ac:dyDescent="0.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</row>
    <row r="991" spans="1:29" ht="18" x14ac:dyDescent="0.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</row>
    <row r="992" spans="1:29" ht="18" x14ac:dyDescent="0.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</row>
    <row r="993" spans="1:29" ht="18" x14ac:dyDescent="0.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</row>
    <row r="994" spans="1:29" ht="18" x14ac:dyDescent="0.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</row>
    <row r="995" spans="1:29" ht="18" x14ac:dyDescent="0.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</row>
    <row r="996" spans="1:29" ht="18" x14ac:dyDescent="0.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</row>
    <row r="997" spans="1:29" ht="18" x14ac:dyDescent="0.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</row>
    <row r="998" spans="1:29" ht="18" x14ac:dyDescent="0.5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 spans="1:29" ht="18" x14ac:dyDescent="0.5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  <row r="1000" spans="1:29" ht="18" x14ac:dyDescent="0.5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ZLTGC</vt:lpstr>
      <vt:lpstr>ZLTGC!XDO_?FINAL_ISIN?55?</vt:lpstr>
      <vt:lpstr>ZLTGC!XDO_?FINAL_ISIN?56?</vt:lpstr>
      <vt:lpstr>ZLTGC!XDO_?FINAL_MV?55?</vt:lpstr>
      <vt:lpstr>ZLTGC!XDO_?FINAL_MV?56?</vt:lpstr>
      <vt:lpstr>ZLTGC!XDO_?FINAL_NAME?55?</vt:lpstr>
      <vt:lpstr>ZLTGC!XDO_?FINAL_NAME?56?</vt:lpstr>
      <vt:lpstr>ZLTGC!XDO_?FINAL_PER_NET?55?</vt:lpstr>
      <vt:lpstr>ZLTGC!XDO_?FINAL_PER_NET?56?</vt:lpstr>
      <vt:lpstr>ZLTGC!XDO_?FINAL_QUANTITE?55?</vt:lpstr>
      <vt:lpstr>ZLTGC!XDO_?FINAL_QUANTITE?56?</vt:lpstr>
      <vt:lpstr>ZLTGC!XDO_?IND_02?55?</vt:lpstr>
      <vt:lpstr>ZLTGC!XDO_?IND_02?56?</vt:lpstr>
      <vt:lpstr>ZLTGC!XDO_?NAMCNAME?12?</vt:lpstr>
      <vt:lpstr>ZLTGC!XDO_?NOVAL?55?</vt:lpstr>
      <vt:lpstr>ZLTGC!XDO_?NOVAL?56?</vt:lpstr>
      <vt:lpstr>ZLTGC!XDO_?NPTF?12?</vt:lpstr>
      <vt:lpstr>ZLTGC!XDO_?RATING?55?</vt:lpstr>
      <vt:lpstr>ZLTGC!XDO_?RATING?56?</vt:lpstr>
      <vt:lpstr>ZLTGC!XDO_?YTM?55?</vt:lpstr>
      <vt:lpstr>ZLTGC!XDO_?YTM?56?</vt:lpstr>
      <vt:lpstr>ZLTGC!XDO_GROUP_?G_2?12?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2026-06-10T10:08:25Z</dcterms:modified>
</cp:coreProperties>
</file>