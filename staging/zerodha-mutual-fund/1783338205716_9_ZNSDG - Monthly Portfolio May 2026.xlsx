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5C6FFF32-079E-4F4B-820F-6FB6CD3266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SDG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ZNSDG!$D$12:$D$14</definedName>
    <definedName name="XDO_?FINAL_ISIN?55?">#REF!</definedName>
    <definedName name="XDO_?FINAL_ISIN?56?" localSheetId="0">ZNSDG!$D$12:$D$18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ZNSDG!$G$12:$G$14</definedName>
    <definedName name="XDO_?FINAL_MV?55?">#REF!</definedName>
    <definedName name="XDO_?FINAL_MV?56?" localSheetId="0">ZNSDG!$G$12:$G$18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ZNSDG!$C$12:$C$14</definedName>
    <definedName name="XDO_?FINAL_NAME?55?">#REF!</definedName>
    <definedName name="XDO_?FINAL_NAME?56?" localSheetId="0">ZNSDG!$C$12:$C$18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ZNSDG!$H$12:$H$14</definedName>
    <definedName name="XDO_?FINAL_PER_NET?55?">#REF!</definedName>
    <definedName name="XDO_?FINAL_PER_NET?56?" localSheetId="0">ZNSDG!$H$12:$H$18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ZNSDG!$F$12:$F$14</definedName>
    <definedName name="XDO_?FINAL_QUANTITE?55?">#REF!</definedName>
    <definedName name="XDO_?FINAL_QUANTITE?56?" localSheetId="0">ZNSDG!$F$12:$F$18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ZNSDG!$J$12:$J$13</definedName>
    <definedName name="XDO_?IND_02?55?">#REF!</definedName>
    <definedName name="XDO_?IND_02?56?" localSheetId="0">ZNSDG!$J$12:$J$17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ZNSDG!$C$1:$C$11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ZNSDG!$B$12:$B$13</definedName>
    <definedName name="XDO_?NOVAL?55?">#REF!</definedName>
    <definedName name="XDO_?NOVAL?56?" localSheetId="0">ZNSDG!$B$12:$B$17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ZNSDG!$D$1:$D$11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ZNSDG!$E$12:$E$14</definedName>
    <definedName name="XDO_?RATING?55?">#REF!</definedName>
    <definedName name="XDO_?RATING?56?" localSheetId="0">ZNSDG!$E$12:$E$18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ZNSDG!$I$12:$I$14</definedName>
    <definedName name="XDO_?YTM?55?">#REF!</definedName>
    <definedName name="XDO_?YTM?56?" localSheetId="0">ZNSDG!$I$12:$I$18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ZNSDG!$1:$11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bZ2xehWRpzu5R5mfo0E9wbnOY3x9LQYxfEqwzl7oZk="/>
    </ext>
  </extLst>
</workbook>
</file>

<file path=xl/calcChain.xml><?xml version="1.0" encoding="utf-8"?>
<calcChain xmlns="http://schemas.openxmlformats.org/spreadsheetml/2006/main">
  <c r="G15" i="1" l="1"/>
  <c r="H14" i="1"/>
  <c r="H15" i="1" s="1"/>
  <c r="G10" i="1"/>
  <c r="G18" i="1" s="1"/>
  <c r="G19" i="1" s="1"/>
  <c r="H9" i="1"/>
  <c r="H8" i="1"/>
  <c r="H7" i="1"/>
  <c r="H10" i="1" s="1"/>
  <c r="H18" i="1" s="1"/>
  <c r="H19" i="1" s="1"/>
</calcChain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<sst xmlns="http://schemas.openxmlformats.org/spreadsheetml/2006/main" count="70" uniqueCount="62">
  <si>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</si>
  <si>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SHORT DURATION G-SEC INDEX FUND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</si>
  <si>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</si>
  <si>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</si>
  <si>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</si>
  <si>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</si>
  <si>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</si>
  <si>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</si>
  <si>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</si>
  <si>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</si>
  <si>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</si>
  <si>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7.26% GOI 14-Jan-2029</t>
  </si>
  <si>
    <t>IN0020180454</t>
  </si>
  <si>
    <t>Sovereign</t>
  </si>
  <si>
    <t>7.06% GOI - 10-Apr-2028</t>
  </si>
  <si>
    <t>IN0020230010</t>
  </si>
  <si>
    <t>7.04% GOI - 03-Jun-2029</t>
  </si>
  <si>
    <t>IN0020240050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</si>
  <si>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</si>
  <si>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</si>
  <si>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</si>
  <si>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</si>
  <si>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</si>
  <si>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</si>
  <si>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</si>
  <si>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</si>
  <si>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</si>
  <si>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</si>
  <si>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</si>
  <si>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</si>
  <si>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</si>
  <si>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</si>
  <si>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</si>
  <si>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</si>
  <si>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</si>
  <si>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</si>
  <si>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</si>
  <si>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</si>
  <si>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</si>
  <si>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</si>
  <si>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</si>
  <si>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</si>
  <si>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</si>
  <si>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</si>
  <si>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ended May 31, 2026 - Not Applicable</t>
  </si>
  <si>
    <t>(5) Bonus declared  for the month ended May 31, 2026 - Not Applicable</t>
  </si>
  <si>
    <t>(6) The total market value of investments in foreign securities / American Depositary Receipts / Global Depositary Receipts as on May 31, 2026 is Nil.</t>
  </si>
  <si>
    <t>(7)  Annualised Portfolio YTM : 6.53%</t>
  </si>
  <si>
    <t>(8)  Macaulay Duration :  2.13 Years</t>
  </si>
  <si>
    <t>(9) The Average Maturity Period of the Portfolio is 2.34 Years.</t>
  </si>
  <si>
    <t>(10) Investment in Repo in Corporate Debt Securities during the fortnightly period ended May 31, 2026 is Nil.</t>
  </si>
  <si>
    <t>(11) No. of instances of deviation from valuation guidelines is Nil.</t>
  </si>
  <si>
    <t>(12) Debt Index Replication Factor (DIRF) : 95.31%</t>
  </si>
  <si>
    <t>This product is suitable for investors who are seeking*</t>
  </si>
  <si>
    <t>&gt;Short Duration Income.</t>
  </si>
  <si>
    <t>&gt; Investment in securities in line with Nifty Short Duration G-Sec Index to generate comparable returns subject to tracking error</t>
  </si>
  <si>
    <t>&gt; Degree of risk – Low to Moderate</t>
  </si>
  <si>
    <t>*Investors should consult their financial advisers if in doubt about whether the product is suitable for them.</t>
  </si>
  <si>
    <t>Scheme Risk-O-Meter</t>
  </si>
  <si>
    <t>Benchmark - Nifty Short Duration G-Sec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</si>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</sst>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6" xfId="0" applyFont="1" applyBorder="1"/>
    <xf numFmtId="4" fontId="1" fillId="0" borderId="17" xfId="0" applyNumberFormat="1" applyFont="1" applyBorder="1" applyAlignment="1">
      <alignment horizontal="right"/>
    </xf>
    <xf numFmtId="166" fontId="4" fillId="3" borderId="18" xfId="0" applyNumberFormat="1" applyFont="1" applyFill="1" applyBorder="1" applyAlignment="1">
      <alignment horizontal="right"/>
    </xf>
    <xf numFmtId="167" fontId="4" fillId="3" borderId="19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0" xfId="0" applyFont="1" applyFill="1" applyBorder="1"/>
    <xf numFmtId="0" fontId="5" fillId="0" borderId="21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1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167" fontId="1" fillId="0" borderId="15" xfId="0" applyNumberFormat="1" applyFont="1" applyBorder="1"/>
    <xf numFmtId="0" fontId="5" fillId="0" borderId="16" xfId="0" applyFont="1" applyBorder="1"/>
    <xf numFmtId="0" fontId="8" fillId="3" borderId="22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9" xfId="0" applyNumberFormat="1" applyFont="1" applyFill="1" applyBorder="1" applyAlignment="1">
      <alignment horizontal="right"/>
    </xf>
    <xf numFmtId="0" fontId="4" fillId="3" borderId="23" xfId="0" applyFont="1" applyFill="1" applyBorder="1"/>
    <xf numFmtId="0" fontId="4" fillId="3" borderId="24" xfId="0" applyFont="1" applyFill="1" applyBorder="1"/>
    <xf numFmtId="164" fontId="4" fillId="3" borderId="25" xfId="0" applyNumberFormat="1" applyFont="1" applyFill="1" applyBorder="1"/>
    <xf numFmtId="164" fontId="1" fillId="0" borderId="25" xfId="0" applyNumberFormat="1" applyFont="1" applyBorder="1"/>
    <xf numFmtId="166" fontId="5" fillId="0" borderId="26" xfId="0" applyNumberFormat="1" applyFont="1" applyBorder="1" applyAlignment="1">
      <alignment horizontal="right"/>
    </xf>
    <xf numFmtId="167" fontId="5" fillId="0" borderId="26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0" xfId="0" applyNumberFormat="1" applyFont="1" applyFill="1" applyBorder="1" applyAlignment="1">
      <alignment horizontal="left"/>
    </xf>
    <xf numFmtId="0" fontId="12" fillId="3" borderId="20" xfId="0" applyFont="1" applyFill="1" applyBorder="1" applyAlignment="1">
      <alignment horizontal="left"/>
    </xf>
    <xf numFmtId="49" fontId="10" fillId="3" borderId="18" xfId="0" applyNumberFormat="1" applyFont="1" applyFill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11" fillId="3" borderId="20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9" xfId="0" applyFont="1" applyBorder="1"/>
    <xf numFmtId="0" fontId="11" fillId="0" borderId="17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3" fillId="3" borderId="20" xfId="0" applyFont="1" applyFill="1" applyBorder="1" applyAlignment="1">
      <alignment horizontal="left"/>
    </xf>
    <xf numFmtId="49" fontId="11" fillId="3" borderId="3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60</xdr:row>
      <xdr:rowOff>0</xdr:rowOff>
    </xdr:from>
    <xdr:ext cx="4752975" cy="2752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77</xdr:row>
      <xdr:rowOff>28575</xdr:rowOff>
    </xdr:from>
    <xdr:ext cx="5133975" cy="27527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9"/>
  <sheetViews>
    <sheetView showGridLines="0" tabSelected="1" topLeftCell="A78" workbookViewId="0">
      <selection activeCell="E53" sqref="E53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9" t="s">
        <v>0</v>
      </c>
      <c r="D1" s="80"/>
      <c r="E1" s="80"/>
      <c r="F1" s="80"/>
      <c r="G1" s="80"/>
      <c r="H1" s="80"/>
      <c r="I1" s="8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9" t="s">
        <v>1</v>
      </c>
      <c r="D2" s="80"/>
      <c r="E2" s="80"/>
      <c r="F2" s="80"/>
      <c r="G2" s="80"/>
      <c r="H2" s="80"/>
      <c r="I2" s="8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2"/>
      <c r="D3" s="83"/>
      <c r="E3" s="83"/>
      <c r="F3" s="83"/>
      <c r="G3" s="83"/>
      <c r="H3" s="83"/>
      <c r="I3" s="8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5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884000</v>
      </c>
      <c r="G7" s="25">
        <v>898.98821999999996</v>
      </c>
      <c r="H7" s="26">
        <f t="shared" ref="H7:H9" si="0">G7/$G$21</f>
        <v>0.5034289265368056</v>
      </c>
      <c r="I7" s="27">
        <v>6.6469289999999903E-2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8" t="s">
        <v>14</v>
      </c>
      <c r="D8" s="22" t="s">
        <v>15</v>
      </c>
      <c r="E8" s="23" t="s">
        <v>13</v>
      </c>
      <c r="F8" s="24">
        <v>595000</v>
      </c>
      <c r="G8" s="25">
        <v>602.85340499999995</v>
      </c>
      <c r="H8" s="26">
        <f t="shared" si="0"/>
        <v>0.33759490478997389</v>
      </c>
      <c r="I8" s="27">
        <v>6.3889102499999906E-2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8" t="s">
        <v>16</v>
      </c>
      <c r="D9" s="22" t="s">
        <v>17</v>
      </c>
      <c r="E9" s="23" t="s">
        <v>13</v>
      </c>
      <c r="F9" s="24">
        <v>197600</v>
      </c>
      <c r="G9" s="29">
        <v>200.1688</v>
      </c>
      <c r="H9" s="26">
        <f t="shared" si="0"/>
        <v>0.11209353122576016</v>
      </c>
      <c r="I9" s="27">
        <v>6.667583999999982E-2</v>
      </c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20" t="s">
        <v>18</v>
      </c>
      <c r="D10" s="12"/>
      <c r="E10" s="13"/>
      <c r="F10" s="14"/>
      <c r="G10" s="30">
        <f t="shared" ref="G10:H10" si="1">SUM(G7:G9)</f>
        <v>1702.0104249999999</v>
      </c>
      <c r="H10" s="31">
        <f t="shared" si="1"/>
        <v>0.95311736255253965</v>
      </c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8" x14ac:dyDescent="0.5">
      <c r="A11" s="10"/>
      <c r="B11" s="10"/>
      <c r="C11" s="32"/>
      <c r="D11" s="12"/>
      <c r="E11" s="13"/>
      <c r="F11" s="14"/>
      <c r="G11" s="15"/>
      <c r="H11" s="16"/>
      <c r="I11" s="17"/>
      <c r="J11" s="18"/>
      <c r="K11" s="10"/>
      <c r="L11" s="19"/>
      <c r="M11" s="10"/>
      <c r="N11" s="10"/>
      <c r="O11" s="1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customHeight="1" x14ac:dyDescent="0.5">
      <c r="A12" s="33"/>
      <c r="B12" s="33"/>
      <c r="C12" s="34" t="s">
        <v>19</v>
      </c>
      <c r="D12" s="35"/>
      <c r="E12" s="36"/>
      <c r="F12" s="37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41" t="s">
        <v>20</v>
      </c>
      <c r="C13" s="42" t="s">
        <v>21</v>
      </c>
      <c r="D13" s="43"/>
      <c r="E13" s="43"/>
      <c r="F13" s="43"/>
      <c r="G13" s="38"/>
      <c r="H13" s="39"/>
      <c r="I13" s="40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4" t="s">
        <v>22</v>
      </c>
      <c r="D14" s="43" t="s">
        <v>23</v>
      </c>
      <c r="E14" s="43" t="s">
        <v>23</v>
      </c>
      <c r="F14" s="43" t="s">
        <v>23</v>
      </c>
      <c r="G14" s="25">
        <v>46</v>
      </c>
      <c r="H14" s="26">
        <f>G14/$G$21</f>
        <v>2.5759770935255482E-2</v>
      </c>
      <c r="I14" s="45">
        <v>5.4600000000000003E-2</v>
      </c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6" t="s">
        <v>24</v>
      </c>
      <c r="D15" s="35"/>
      <c r="E15" s="36"/>
      <c r="F15" s="37"/>
      <c r="G15" s="30">
        <f t="shared" ref="G15:H15" si="2">SUM(G14)</f>
        <v>46</v>
      </c>
      <c r="H15" s="31">
        <f t="shared" si="2"/>
        <v>2.5759770935255482E-2</v>
      </c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47"/>
      <c r="B16" s="33"/>
      <c r="C16" s="44"/>
      <c r="D16" s="35"/>
      <c r="E16" s="36"/>
      <c r="F16" s="37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41"/>
      <c r="C17" s="34" t="s">
        <v>25</v>
      </c>
      <c r="D17" s="43"/>
      <c r="E17" s="43"/>
      <c r="F17" s="43"/>
      <c r="G17" s="38"/>
      <c r="H17" s="39"/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4" t="s">
        <v>26</v>
      </c>
      <c r="D18" s="43" t="s">
        <v>23</v>
      </c>
      <c r="E18" s="43" t="s">
        <v>23</v>
      </c>
      <c r="F18" s="43" t="s">
        <v>23</v>
      </c>
      <c r="G18" s="48">
        <f t="shared" ref="G18:H18" si="3">G21-G10-G15</f>
        <v>37.71973990000015</v>
      </c>
      <c r="H18" s="26">
        <f t="shared" si="3"/>
        <v>2.1122866512204869E-2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6" t="s">
        <v>24</v>
      </c>
      <c r="D19" s="35"/>
      <c r="E19" s="36"/>
      <c r="F19" s="37"/>
      <c r="G19" s="30">
        <f t="shared" ref="G19:H19" si="4">SUM(G18)</f>
        <v>37.71973990000015</v>
      </c>
      <c r="H19" s="49">
        <f t="shared" si="4"/>
        <v>2.1122866512204869E-2</v>
      </c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4"/>
      <c r="D20" s="35"/>
      <c r="E20" s="36"/>
      <c r="F20" s="37"/>
      <c r="G20" s="38"/>
      <c r="H20" s="39"/>
      <c r="I20" s="40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0" t="s">
        <v>27</v>
      </c>
      <c r="D21" s="51"/>
      <c r="E21" s="52"/>
      <c r="F21" s="53"/>
      <c r="G21" s="54">
        <v>1785.7301649000001</v>
      </c>
      <c r="H21" s="55">
        <v>1</v>
      </c>
      <c r="I21" s="5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7"/>
      <c r="D22" s="1"/>
      <c r="E22" s="1"/>
      <c r="F22" s="58"/>
      <c r="G22" s="59"/>
      <c r="H22" s="59"/>
      <c r="I22" s="5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0" t="s">
        <v>28</v>
      </c>
      <c r="D23" s="61"/>
      <c r="E23" s="61"/>
      <c r="F23" s="61"/>
      <c r="G23" s="59"/>
      <c r="H23" s="59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2" t="s">
        <v>29</v>
      </c>
      <c r="D24" s="61"/>
      <c r="E24" s="61"/>
      <c r="F24" s="61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2" t="s">
        <v>30</v>
      </c>
      <c r="D25" s="63"/>
      <c r="E25" s="63"/>
      <c r="F25" s="61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2"/>
      <c r="D26" s="63"/>
      <c r="E26" s="63"/>
      <c r="F26" s="61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4" t="s">
        <v>31</v>
      </c>
      <c r="D27" s="65" t="s">
        <v>32</v>
      </c>
      <c r="E27" s="65" t="s">
        <v>33</v>
      </c>
      <c r="F27" s="61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86" t="s">
        <v>34</v>
      </c>
      <c r="D28" s="66">
        <v>1009.4228000000001</v>
      </c>
      <c r="E28" s="66">
        <v>1007.8187</v>
      </c>
      <c r="F28" s="61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85" t="s">
        <v>35</v>
      </c>
      <c r="D29" s="61"/>
      <c r="E29" s="61"/>
      <c r="F29" s="61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2"/>
      <c r="D30" s="61"/>
      <c r="E30" s="61"/>
      <c r="F30" s="61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2" t="s">
        <v>36</v>
      </c>
      <c r="D31" s="61"/>
      <c r="E31" s="61"/>
      <c r="F31" s="61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7" t="s">
        <v>37</v>
      </c>
      <c r="D32" s="61"/>
      <c r="E32" s="61"/>
      <c r="F32" s="61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7" t="s">
        <v>38</v>
      </c>
      <c r="D33" s="61"/>
      <c r="E33" s="61"/>
      <c r="F33" s="61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7" t="s">
        <v>39</v>
      </c>
      <c r="D34" s="61"/>
      <c r="E34" s="61"/>
      <c r="F34" s="61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7" t="s">
        <v>40</v>
      </c>
      <c r="D35" s="61"/>
      <c r="E35" s="61"/>
      <c r="F35" s="61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7" t="s">
        <v>41</v>
      </c>
      <c r="D36" s="61"/>
      <c r="E36" s="61"/>
      <c r="F36" s="61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7" t="s">
        <v>42</v>
      </c>
      <c r="D37" s="61"/>
      <c r="E37" s="61"/>
      <c r="F37" s="61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7" t="s">
        <v>43</v>
      </c>
      <c r="D38" s="61"/>
      <c r="E38" s="61"/>
      <c r="F38" s="61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7" t="s">
        <v>44</v>
      </c>
      <c r="D39" s="61"/>
      <c r="E39" s="61"/>
      <c r="F39" s="61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7" t="s">
        <v>45</v>
      </c>
      <c r="D40" s="61"/>
      <c r="E40" s="61"/>
      <c r="F40" s="61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7" t="s">
        <v>46</v>
      </c>
      <c r="D41" s="61"/>
      <c r="E41" s="61"/>
      <c r="F41" s="61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8" t="s">
        <v>47</v>
      </c>
      <c r="D42" s="69"/>
      <c r="E42" s="61"/>
      <c r="F42" s="61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7" t="s">
        <v>48</v>
      </c>
      <c r="D43" s="61"/>
      <c r="E43" s="61"/>
      <c r="F43" s="69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7" t="s">
        <v>49</v>
      </c>
      <c r="D44" s="61"/>
      <c r="E44" s="61"/>
      <c r="F44" s="69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8" t="s">
        <v>50</v>
      </c>
      <c r="D45" s="61"/>
      <c r="E45" s="61"/>
      <c r="F45" s="69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7" t="s">
        <v>51</v>
      </c>
      <c r="D46" s="61"/>
      <c r="E46" s="61"/>
      <c r="F46" s="69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7" t="s">
        <v>52</v>
      </c>
      <c r="D47" s="61"/>
      <c r="E47" s="61"/>
      <c r="F47" s="69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0"/>
      <c r="D48" s="1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0"/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1" t="s">
        <v>53</v>
      </c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2" t="s">
        <v>54</v>
      </c>
      <c r="D51" s="70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5000000000000004">
      <c r="A52" s="1"/>
      <c r="B52" s="1"/>
      <c r="C52" s="72"/>
      <c r="D52" s="1"/>
      <c r="E52" s="1"/>
      <c r="F52" s="58"/>
      <c r="G52" s="70"/>
      <c r="H52" s="70"/>
      <c r="I52" s="70"/>
      <c r="J52" s="73"/>
      <c r="K52" s="70"/>
      <c r="L52" s="70"/>
      <c r="M52" s="70"/>
      <c r="N52" s="70"/>
      <c r="O52" s="70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33.75" customHeight="1" x14ac:dyDescent="0.5">
      <c r="A53" s="1"/>
      <c r="B53" s="1"/>
      <c r="C53" s="72" t="s">
        <v>55</v>
      </c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72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4" t="s">
        <v>56</v>
      </c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5" t="s">
        <v>57</v>
      </c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6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76" t="s">
        <v>58</v>
      </c>
      <c r="D59" s="77"/>
      <c r="E59" s="77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78" t="s">
        <v>59</v>
      </c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76" t="s">
        <v>60</v>
      </c>
      <c r="D77" s="77"/>
      <c r="E77" s="77"/>
      <c r="F77" s="77"/>
      <c r="G77" s="77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75" customHeight="1" x14ac:dyDescent="0.5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57" t="s">
        <v>61</v>
      </c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57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8"/>
      <c r="G274" s="59"/>
      <c r="H274" s="59"/>
      <c r="I274" s="5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8"/>
      <c r="G275" s="59"/>
      <c r="H275" s="59"/>
      <c r="I275" s="5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8"/>
      <c r="G276" s="59"/>
      <c r="H276" s="59"/>
      <c r="I276" s="5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8"/>
      <c r="G277" s="59"/>
      <c r="H277" s="59"/>
      <c r="I277" s="5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 spans="1:29" ht="15.75" customHeight="1" x14ac:dyDescent="0.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 spans="1:29" ht="15.75" customHeight="1" x14ac:dyDescent="0.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 spans="1:29" ht="15.75" customHeight="1" x14ac:dyDescent="0.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 spans="1:29" ht="15.75" customHeight="1" x14ac:dyDescent="0.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 spans="1:29" ht="15.75" customHeight="1" x14ac:dyDescent="0.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 spans="1:29" ht="15.75" customHeight="1" x14ac:dyDescent="0.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 spans="1:29" ht="15.75" customHeight="1" x14ac:dyDescent="0.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 spans="1:29" ht="15.75" customHeight="1" x14ac:dyDescent="0.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 spans="1:29" ht="15.75" customHeight="1" x14ac:dyDescent="0.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 spans="1:29" ht="15.75" customHeight="1" x14ac:dyDescent="0.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 spans="1:29" ht="15.75" customHeight="1" x14ac:dyDescent="0.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 spans="1:29" ht="15.75" customHeight="1" x14ac:dyDescent="0.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 spans="1:29" ht="15.75" customHeight="1" x14ac:dyDescent="0.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 spans="1:29" ht="15.75" customHeight="1" x14ac:dyDescent="0.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 spans="1:29" ht="15.75" customHeight="1" x14ac:dyDescent="0.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 spans="1:29" ht="15.75" customHeight="1" x14ac:dyDescent="0.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 spans="1:29" ht="15.75" customHeight="1" x14ac:dyDescent="0.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 spans="1:29" ht="15.75" customHeight="1" x14ac:dyDescent="0.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 spans="1:29" ht="15.75" customHeight="1" x14ac:dyDescent="0.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 spans="1:29" ht="15.75" customHeight="1" x14ac:dyDescent="0.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 spans="1:29" ht="15.75" customHeight="1" x14ac:dyDescent="0.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 spans="1:29" ht="15.75" customHeight="1" x14ac:dyDescent="0.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 spans="1:29" ht="15.75" customHeight="1" x14ac:dyDescent="0.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 spans="1:29" ht="15.75" customHeight="1" x14ac:dyDescent="0.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 spans="1:29" ht="15.75" customHeight="1" x14ac:dyDescent="0.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 spans="1:29" ht="15.75" customHeight="1" x14ac:dyDescent="0.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 spans="1:29" ht="15.75" customHeight="1" x14ac:dyDescent="0.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 spans="1:29" ht="15.75" customHeight="1" x14ac:dyDescent="0.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 spans="1:29" ht="15.75" customHeight="1" x14ac:dyDescent="0.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 spans="1:29" ht="15.75" customHeight="1" x14ac:dyDescent="0.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 spans="1:29" ht="15.75" customHeight="1" x14ac:dyDescent="0.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 spans="1:29" ht="15.75" customHeight="1" x14ac:dyDescent="0.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 spans="1:29" ht="15.75" customHeight="1" x14ac:dyDescent="0.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 spans="1:29" ht="15.75" customHeight="1" x14ac:dyDescent="0.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 spans="1:29" ht="15.75" customHeight="1" x14ac:dyDescent="0.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 spans="1:29" ht="15.75" customHeight="1" x14ac:dyDescent="0.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 spans="1:29" ht="15.75" customHeight="1" x14ac:dyDescent="0.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 spans="1:29" ht="15.75" customHeight="1" x14ac:dyDescent="0.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 spans="1:29" ht="15.75" customHeight="1" x14ac:dyDescent="0.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 spans="1:29" ht="15.75" customHeight="1" x14ac:dyDescent="0.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 spans="1:29" ht="15.75" customHeight="1" x14ac:dyDescent="0.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 spans="1:29" ht="15.75" customHeight="1" x14ac:dyDescent="0.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 spans="1:29" ht="15.75" customHeight="1" x14ac:dyDescent="0.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 spans="1:29" ht="15.75" customHeight="1" x14ac:dyDescent="0.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 spans="1:29" ht="15.75" customHeight="1" x14ac:dyDescent="0.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 spans="1:29" ht="15.75" customHeight="1" x14ac:dyDescent="0.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 spans="1:29" ht="15.75" customHeight="1" x14ac:dyDescent="0.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 spans="1:29" ht="15.75" customHeight="1" x14ac:dyDescent="0.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 spans="1:29" ht="15.75" customHeight="1" x14ac:dyDescent="0.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 spans="1:29" ht="15.75" customHeight="1" x14ac:dyDescent="0.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 spans="1:29" ht="15.75" customHeight="1" x14ac:dyDescent="0.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 spans="1:29" ht="15.75" customHeight="1" x14ac:dyDescent="0.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 spans="1:29" ht="15.75" customHeight="1" x14ac:dyDescent="0.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 spans="1:29" ht="15.75" customHeight="1" x14ac:dyDescent="0.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 spans="1:29" ht="15.75" customHeight="1" x14ac:dyDescent="0.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 spans="1:29" ht="15.75" customHeight="1" x14ac:dyDescent="0.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 spans="1:29" ht="15.75" customHeight="1" x14ac:dyDescent="0.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 spans="1:29" ht="15.75" customHeight="1" x14ac:dyDescent="0.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 spans="1:29" ht="15.75" customHeight="1" x14ac:dyDescent="0.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 spans="1:29" ht="15.75" customHeight="1" x14ac:dyDescent="0.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 spans="1:29" ht="15.75" customHeight="1" x14ac:dyDescent="0.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 spans="1:29" ht="15.75" customHeight="1" x14ac:dyDescent="0.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 spans="1:29" ht="15.75" customHeight="1" x14ac:dyDescent="0.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 spans="1:29" ht="15.75" customHeight="1" x14ac:dyDescent="0.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 spans="1:29" ht="15.75" customHeight="1" x14ac:dyDescent="0.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 spans="1:29" ht="15.75" customHeight="1" x14ac:dyDescent="0.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 spans="1:29" ht="15.75" customHeight="1" x14ac:dyDescent="0.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 spans="1:29" ht="15.75" customHeight="1" x14ac:dyDescent="0.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 spans="1:29" ht="15.75" customHeight="1" x14ac:dyDescent="0.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 spans="1:29" ht="15.75" customHeight="1" x14ac:dyDescent="0.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 spans="1:29" ht="15.75" customHeight="1" x14ac:dyDescent="0.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 spans="1:29" ht="15.75" customHeight="1" x14ac:dyDescent="0.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 spans="1:29" ht="15.75" customHeight="1" x14ac:dyDescent="0.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 spans="1:29" ht="15.75" customHeight="1" x14ac:dyDescent="0.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 spans="1:29" ht="15.75" customHeight="1" x14ac:dyDescent="0.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 spans="1:29" ht="15.75" customHeight="1" x14ac:dyDescent="0.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 spans="1:29" ht="15.75" customHeight="1" x14ac:dyDescent="0.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 spans="1:29" ht="15.75" customHeight="1" x14ac:dyDescent="0.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 spans="1:29" ht="15.75" customHeight="1" x14ac:dyDescent="0.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 spans="1:29" ht="15.75" customHeight="1" x14ac:dyDescent="0.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 spans="1:29" ht="15.75" customHeight="1" x14ac:dyDescent="0.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 spans="1:29" ht="15.75" customHeight="1" x14ac:dyDescent="0.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 spans="1:29" ht="15.75" customHeight="1" x14ac:dyDescent="0.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 spans="1:29" ht="15.75" customHeight="1" x14ac:dyDescent="0.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 spans="1:29" ht="15.75" customHeight="1" x14ac:dyDescent="0.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 spans="1:29" ht="15.75" customHeight="1" x14ac:dyDescent="0.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 spans="1:29" ht="15.75" customHeight="1" x14ac:dyDescent="0.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 spans="1:29" ht="15.75" customHeight="1" x14ac:dyDescent="0.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 spans="1:29" ht="15.75" customHeight="1" x14ac:dyDescent="0.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 spans="1:29" ht="15.75" customHeight="1" x14ac:dyDescent="0.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 spans="1:29" ht="15.75" customHeight="1" x14ac:dyDescent="0.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 spans="1:29" ht="15.75" customHeight="1" x14ac:dyDescent="0.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 spans="1:29" ht="15.75" customHeight="1" x14ac:dyDescent="0.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 spans="1:29" ht="15.75" customHeight="1" x14ac:dyDescent="0.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 spans="1:29" ht="15.75" customHeight="1" x14ac:dyDescent="0.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 spans="1:29" ht="15.75" customHeight="1" x14ac:dyDescent="0.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 spans="1:29" ht="15.75" customHeight="1" x14ac:dyDescent="0.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 spans="1:29" ht="15.75" customHeight="1" x14ac:dyDescent="0.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 spans="1:29" ht="15.75" customHeight="1" x14ac:dyDescent="0.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 spans="1:29" ht="15.75" customHeight="1" x14ac:dyDescent="0.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 spans="1:29" ht="15.75" customHeight="1" x14ac:dyDescent="0.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 spans="1:29" ht="15.75" customHeight="1" x14ac:dyDescent="0.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 spans="1:29" ht="15.75" customHeight="1" x14ac:dyDescent="0.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 spans="1:29" ht="15.75" customHeight="1" x14ac:dyDescent="0.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 spans="1:29" ht="15.75" customHeight="1" x14ac:dyDescent="0.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 spans="1:29" ht="15.75" customHeight="1" x14ac:dyDescent="0.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 spans="1:29" ht="15.75" customHeight="1" x14ac:dyDescent="0.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 spans="1:29" ht="15.75" customHeight="1" x14ac:dyDescent="0.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 spans="1:29" ht="15.75" customHeight="1" x14ac:dyDescent="0.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 spans="1:29" ht="15.75" customHeight="1" x14ac:dyDescent="0.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 spans="1:29" ht="15.75" customHeight="1" x14ac:dyDescent="0.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 spans="1:29" ht="15.75" customHeight="1" x14ac:dyDescent="0.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 spans="1:29" ht="15.75" customHeight="1" x14ac:dyDescent="0.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 spans="1:29" ht="15.75" customHeight="1" x14ac:dyDescent="0.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 spans="1:29" ht="15.75" customHeight="1" x14ac:dyDescent="0.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 spans="1:29" ht="15.75" customHeight="1" x14ac:dyDescent="0.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 spans="1:29" ht="15.75" customHeight="1" x14ac:dyDescent="0.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 spans="1:29" ht="15.75" customHeight="1" x14ac:dyDescent="0.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 spans="1:29" ht="15.75" customHeight="1" x14ac:dyDescent="0.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 spans="1:29" ht="15.75" customHeight="1" x14ac:dyDescent="0.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 spans="1:29" ht="15.75" customHeight="1" x14ac:dyDescent="0.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 spans="1:29" ht="15.75" customHeight="1" x14ac:dyDescent="0.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 spans="1:29" ht="15.75" customHeight="1" x14ac:dyDescent="0.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 spans="1:29" ht="15.75" customHeight="1" x14ac:dyDescent="0.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 spans="1:29" ht="15.75" customHeight="1" x14ac:dyDescent="0.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 spans="1:29" ht="15.75" customHeight="1" x14ac:dyDescent="0.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 spans="1:29" ht="15.75" customHeight="1" x14ac:dyDescent="0.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 spans="1:29" ht="15.75" customHeight="1" x14ac:dyDescent="0.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 spans="1:29" ht="15.75" customHeight="1" x14ac:dyDescent="0.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 spans="1:29" ht="15.75" customHeight="1" x14ac:dyDescent="0.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 spans="1:29" ht="15.75" customHeight="1" x14ac:dyDescent="0.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 spans="1:29" ht="15.75" customHeight="1" x14ac:dyDescent="0.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 spans="1:29" ht="15.75" customHeight="1" x14ac:dyDescent="0.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 spans="1:29" ht="15.75" customHeight="1" x14ac:dyDescent="0.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 spans="1:29" ht="15.75" customHeight="1" x14ac:dyDescent="0.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 spans="1:29" ht="15.75" customHeight="1" x14ac:dyDescent="0.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 spans="1:29" ht="15.75" customHeight="1" x14ac:dyDescent="0.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 spans="1:29" ht="15.75" customHeight="1" x14ac:dyDescent="0.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 spans="1:29" ht="15.75" customHeight="1" x14ac:dyDescent="0.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 spans="1:29" ht="15.75" customHeight="1" x14ac:dyDescent="0.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 spans="1:29" ht="15.75" customHeight="1" x14ac:dyDescent="0.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 spans="1:29" ht="15.75" customHeight="1" x14ac:dyDescent="0.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 spans="1:29" ht="15.75" customHeight="1" x14ac:dyDescent="0.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 spans="1:29" ht="15.75" customHeight="1" x14ac:dyDescent="0.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 spans="1:29" ht="15.75" customHeight="1" x14ac:dyDescent="0.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 spans="1:29" ht="15.75" customHeight="1" x14ac:dyDescent="0.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 spans="1:29" ht="15.75" customHeight="1" x14ac:dyDescent="0.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 spans="1:29" ht="15.75" customHeight="1" x14ac:dyDescent="0.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 spans="1:29" ht="15.75" customHeight="1" x14ac:dyDescent="0.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 spans="1:29" ht="15.75" customHeight="1" x14ac:dyDescent="0.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 spans="1:29" ht="15.75" customHeight="1" x14ac:dyDescent="0.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 spans="1:29" ht="15.75" customHeight="1" x14ac:dyDescent="0.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 spans="1:29" ht="15.75" customHeight="1" x14ac:dyDescent="0.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 spans="1:29" ht="15.75" customHeight="1" x14ac:dyDescent="0.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 spans="1:29" ht="15.75" customHeight="1" x14ac:dyDescent="0.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 spans="1:29" ht="15.75" customHeight="1" x14ac:dyDescent="0.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 spans="1:29" ht="15.75" customHeight="1" x14ac:dyDescent="0.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 spans="1:29" ht="15.75" customHeight="1" x14ac:dyDescent="0.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 spans="1:29" ht="15.75" customHeight="1" x14ac:dyDescent="0.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 spans="1:29" ht="15.75" customHeight="1" x14ac:dyDescent="0.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 spans="1:29" ht="15.75" customHeight="1" x14ac:dyDescent="0.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 spans="1:29" ht="15.75" customHeight="1" x14ac:dyDescent="0.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 spans="1:29" ht="15.75" customHeight="1" x14ac:dyDescent="0.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 spans="1:29" ht="15.75" customHeight="1" x14ac:dyDescent="0.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 spans="1:29" ht="15.75" customHeight="1" x14ac:dyDescent="0.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 spans="1:29" ht="15.75" customHeight="1" x14ac:dyDescent="0.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 spans="1:29" ht="15.75" customHeight="1" x14ac:dyDescent="0.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 spans="1:29" ht="15.75" customHeight="1" x14ac:dyDescent="0.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 spans="1:29" ht="15.75" customHeight="1" x14ac:dyDescent="0.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 spans="1:29" ht="15.75" customHeight="1" x14ac:dyDescent="0.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 spans="1:29" ht="15.75" customHeight="1" x14ac:dyDescent="0.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 spans="1:29" ht="15.75" customHeight="1" x14ac:dyDescent="0.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 spans="1:29" ht="15.75" customHeight="1" x14ac:dyDescent="0.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 spans="1:29" ht="15.75" customHeight="1" x14ac:dyDescent="0.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 spans="1:29" ht="15.75" customHeight="1" x14ac:dyDescent="0.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 spans="1:29" ht="15.75" customHeight="1" x14ac:dyDescent="0.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 spans="1:29" ht="15.75" customHeight="1" x14ac:dyDescent="0.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 spans="1:29" ht="15.75" customHeight="1" x14ac:dyDescent="0.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 spans="1:29" ht="15.75" customHeight="1" x14ac:dyDescent="0.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 spans="1:29" ht="15.75" customHeight="1" x14ac:dyDescent="0.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 spans="1:29" ht="15.75" customHeight="1" x14ac:dyDescent="0.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 spans="1:29" ht="15.75" customHeight="1" x14ac:dyDescent="0.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 spans="1:29" ht="15.75" customHeight="1" x14ac:dyDescent="0.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 spans="1:29" ht="15.75" customHeight="1" x14ac:dyDescent="0.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 spans="1:29" ht="15.75" customHeight="1" x14ac:dyDescent="0.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 spans="1:29" ht="15.75" customHeight="1" x14ac:dyDescent="0.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 spans="1:29" ht="15.75" customHeight="1" x14ac:dyDescent="0.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 spans="1:29" ht="15.75" customHeight="1" x14ac:dyDescent="0.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 spans="1:29" ht="15.75" customHeight="1" x14ac:dyDescent="0.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 spans="1:29" ht="15.75" customHeight="1" x14ac:dyDescent="0.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 spans="1:29" ht="15.75" customHeight="1" x14ac:dyDescent="0.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 spans="1:29" ht="15.75" customHeight="1" x14ac:dyDescent="0.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 spans="1:29" ht="15.75" customHeight="1" x14ac:dyDescent="0.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 spans="1:29" ht="15.75" customHeight="1" x14ac:dyDescent="0.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 spans="1:29" ht="15.75" customHeight="1" x14ac:dyDescent="0.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 spans="1:29" ht="15.75" customHeight="1" x14ac:dyDescent="0.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 spans="1:29" ht="15.75" customHeight="1" x14ac:dyDescent="0.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 spans="1:29" ht="15.75" customHeight="1" x14ac:dyDescent="0.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 spans="1:29" ht="15.75" customHeight="1" x14ac:dyDescent="0.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 spans="1:29" ht="15.75" customHeight="1" x14ac:dyDescent="0.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 spans="1:29" ht="15.75" customHeight="1" x14ac:dyDescent="0.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 spans="1:29" ht="15.75" customHeight="1" x14ac:dyDescent="0.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 spans="1:29" ht="15.75" customHeight="1" x14ac:dyDescent="0.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 spans="1:29" ht="15.75" customHeight="1" x14ac:dyDescent="0.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 spans="1:29" ht="15.75" customHeight="1" x14ac:dyDescent="0.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 spans="1:29" ht="15.75" customHeight="1" x14ac:dyDescent="0.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 spans="1:29" ht="15.75" customHeight="1" x14ac:dyDescent="0.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 spans="1:29" ht="15.75" customHeight="1" x14ac:dyDescent="0.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 spans="1:29" ht="15.75" customHeight="1" x14ac:dyDescent="0.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 spans="1:29" ht="15.75" customHeight="1" x14ac:dyDescent="0.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 spans="1:29" ht="15.75" customHeight="1" x14ac:dyDescent="0.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 spans="1:29" ht="15.75" customHeight="1" x14ac:dyDescent="0.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 spans="1:29" ht="15.75" customHeight="1" x14ac:dyDescent="0.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 spans="1:29" ht="15.75" customHeight="1" x14ac:dyDescent="0.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 spans="1:29" ht="15.75" customHeight="1" x14ac:dyDescent="0.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 spans="1:29" ht="15.75" customHeight="1" x14ac:dyDescent="0.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 spans="1:29" ht="15.75" customHeight="1" x14ac:dyDescent="0.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 spans="1:29" ht="15.75" customHeight="1" x14ac:dyDescent="0.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 spans="1:29" ht="15.75" customHeight="1" x14ac:dyDescent="0.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 spans="1:29" ht="15.75" customHeight="1" x14ac:dyDescent="0.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 spans="1:29" ht="15.75" customHeight="1" x14ac:dyDescent="0.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 spans="1:29" ht="15.75" customHeight="1" x14ac:dyDescent="0.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 spans="1:29" ht="15.75" customHeight="1" x14ac:dyDescent="0.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 spans="1:29" ht="15.75" customHeight="1" x14ac:dyDescent="0.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 spans="1:29" ht="15.75" customHeight="1" x14ac:dyDescent="0.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 spans="1:29" ht="15.75" customHeight="1" x14ac:dyDescent="0.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 spans="1:29" ht="15.75" customHeight="1" x14ac:dyDescent="0.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 spans="1:29" ht="15.75" customHeight="1" x14ac:dyDescent="0.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 spans="1:29" ht="15.75" customHeight="1" x14ac:dyDescent="0.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 spans="1:29" ht="15.75" customHeight="1" x14ac:dyDescent="0.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 spans="1:29" ht="15.75" customHeight="1" x14ac:dyDescent="0.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 spans="1:29" ht="15.75" customHeight="1" x14ac:dyDescent="0.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 spans="1:29" ht="15.75" customHeight="1" x14ac:dyDescent="0.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 spans="1:29" ht="15.75" customHeight="1" x14ac:dyDescent="0.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 spans="1:29" ht="15.75" customHeight="1" x14ac:dyDescent="0.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 spans="1:29" ht="15.75" customHeight="1" x14ac:dyDescent="0.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 spans="1:29" ht="15.75" customHeight="1" x14ac:dyDescent="0.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 spans="1:29" ht="15.75" customHeight="1" x14ac:dyDescent="0.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 spans="1:29" ht="15.75" customHeight="1" x14ac:dyDescent="0.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 spans="1:29" ht="15.75" customHeight="1" x14ac:dyDescent="0.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 spans="1:29" ht="15.75" customHeight="1" x14ac:dyDescent="0.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 spans="1:29" ht="15.75" customHeight="1" x14ac:dyDescent="0.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 spans="1:29" ht="15.75" customHeight="1" x14ac:dyDescent="0.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 spans="1:29" ht="15.75" customHeight="1" x14ac:dyDescent="0.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 spans="1:29" ht="15.75" customHeight="1" x14ac:dyDescent="0.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 spans="1:29" ht="15.75" customHeight="1" x14ac:dyDescent="0.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 spans="1:29" ht="15.75" customHeight="1" x14ac:dyDescent="0.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 spans="1:29" ht="15.75" customHeight="1" x14ac:dyDescent="0.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 spans="1:29" ht="15.75" customHeight="1" x14ac:dyDescent="0.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 spans="1:29" ht="15.75" customHeight="1" x14ac:dyDescent="0.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 spans="1:29" ht="15.75" customHeight="1" x14ac:dyDescent="0.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 spans="1:29" ht="15.75" customHeight="1" x14ac:dyDescent="0.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 spans="1:29" ht="15.75" customHeight="1" x14ac:dyDescent="0.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 spans="1:29" ht="15.75" customHeight="1" x14ac:dyDescent="0.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 spans="1:29" ht="15.75" customHeight="1" x14ac:dyDescent="0.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 spans="1:29" ht="15.75" customHeight="1" x14ac:dyDescent="0.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 spans="1:29" ht="15.75" customHeight="1" x14ac:dyDescent="0.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 spans="1:29" ht="15.75" customHeight="1" x14ac:dyDescent="0.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 spans="1:29" ht="15.75" customHeight="1" x14ac:dyDescent="0.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 spans="1:29" ht="15.75" customHeight="1" x14ac:dyDescent="0.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 spans="1:29" ht="15.75" customHeight="1" x14ac:dyDescent="0.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 spans="1:29" ht="15.75" customHeight="1" x14ac:dyDescent="0.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 spans="1:29" ht="15.75" customHeight="1" x14ac:dyDescent="0.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 spans="1:29" ht="15.75" customHeight="1" x14ac:dyDescent="0.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 spans="1:29" ht="15.75" customHeight="1" x14ac:dyDescent="0.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 spans="1:29" ht="15.75" customHeight="1" x14ac:dyDescent="0.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 spans="1:29" ht="15.75" customHeight="1" x14ac:dyDescent="0.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 spans="1:29" ht="15.75" customHeight="1" x14ac:dyDescent="0.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 spans="1:29" ht="15.75" customHeight="1" x14ac:dyDescent="0.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 spans="1:29" ht="15.75" customHeight="1" x14ac:dyDescent="0.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 spans="1:29" ht="15.75" customHeight="1" x14ac:dyDescent="0.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 spans="1:29" ht="15.75" customHeight="1" x14ac:dyDescent="0.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 spans="1:29" ht="15.75" customHeight="1" x14ac:dyDescent="0.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 spans="1:29" ht="15.75" customHeight="1" x14ac:dyDescent="0.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 spans="1:29" ht="15.75" customHeight="1" x14ac:dyDescent="0.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 spans="1:29" ht="15.75" customHeight="1" x14ac:dyDescent="0.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 spans="1:29" ht="15.75" customHeight="1" x14ac:dyDescent="0.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 spans="1:29" ht="15.75" customHeight="1" x14ac:dyDescent="0.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 spans="1:29" ht="15.75" customHeight="1" x14ac:dyDescent="0.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 spans="1:29" ht="15.75" customHeight="1" x14ac:dyDescent="0.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 spans="1:29" ht="15.75" customHeight="1" x14ac:dyDescent="0.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 spans="1:29" ht="15.75" customHeight="1" x14ac:dyDescent="0.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 spans="1:29" ht="15.75" customHeight="1" x14ac:dyDescent="0.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 spans="1:29" ht="15.75" customHeight="1" x14ac:dyDescent="0.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 spans="1:29" ht="15.75" customHeight="1" x14ac:dyDescent="0.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 spans="1:29" ht="15.75" customHeight="1" x14ac:dyDescent="0.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 spans="1:29" ht="15.75" customHeight="1" x14ac:dyDescent="0.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 spans="1:29" ht="15.75" customHeight="1" x14ac:dyDescent="0.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 spans="1:29" ht="15.75" customHeight="1" x14ac:dyDescent="0.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 spans="1:29" ht="15.75" customHeight="1" x14ac:dyDescent="0.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 spans="1:29" ht="15.75" customHeight="1" x14ac:dyDescent="0.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 spans="1:29" ht="15.75" customHeight="1" x14ac:dyDescent="0.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 spans="1:29" ht="15.75" customHeight="1" x14ac:dyDescent="0.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 spans="1:29" ht="15.75" customHeight="1" x14ac:dyDescent="0.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 spans="1:29" ht="15.75" customHeight="1" x14ac:dyDescent="0.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 spans="1:29" ht="15.75" customHeight="1" x14ac:dyDescent="0.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 spans="1:29" ht="15.75" customHeight="1" x14ac:dyDescent="0.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 spans="1:29" ht="15.75" customHeight="1" x14ac:dyDescent="0.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 spans="1:29" ht="15.75" customHeight="1" x14ac:dyDescent="0.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 spans="1:29" ht="15.75" customHeight="1" x14ac:dyDescent="0.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 spans="1:29" ht="15.75" customHeight="1" x14ac:dyDescent="0.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 spans="1:29" ht="15.75" customHeight="1" x14ac:dyDescent="0.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 spans="1:29" ht="15.75" customHeight="1" x14ac:dyDescent="0.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 spans="1:29" ht="15.75" customHeight="1" x14ac:dyDescent="0.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 spans="1:29" ht="15.75" customHeight="1" x14ac:dyDescent="0.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 spans="1:29" ht="15.75" customHeight="1" x14ac:dyDescent="0.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 spans="1:29" ht="15.75" customHeight="1" x14ac:dyDescent="0.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 spans="1:29" ht="15.75" customHeight="1" x14ac:dyDescent="0.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 spans="1:29" ht="15.75" customHeight="1" x14ac:dyDescent="0.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 spans="1:29" ht="15.75" customHeight="1" x14ac:dyDescent="0.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 spans="1:29" ht="15.75" customHeight="1" x14ac:dyDescent="0.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 spans="1:29" ht="15.75" customHeight="1" x14ac:dyDescent="0.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 spans="1:29" ht="15.75" customHeight="1" x14ac:dyDescent="0.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 spans="1:29" ht="15.75" customHeight="1" x14ac:dyDescent="0.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 spans="1:29" ht="15.75" customHeight="1" x14ac:dyDescent="0.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 spans="1:29" ht="15.75" customHeight="1" x14ac:dyDescent="0.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 spans="1:29" ht="15.75" customHeight="1" x14ac:dyDescent="0.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 spans="1:29" ht="15.75" customHeight="1" x14ac:dyDescent="0.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 spans="1:29" ht="15.75" customHeight="1" x14ac:dyDescent="0.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 spans="1:29" ht="15.75" customHeight="1" x14ac:dyDescent="0.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 spans="1:29" ht="15.75" customHeight="1" x14ac:dyDescent="0.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 spans="1:29" ht="15.75" customHeight="1" x14ac:dyDescent="0.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 spans="1:29" ht="15.75" customHeight="1" x14ac:dyDescent="0.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 spans="1:29" ht="15.75" customHeight="1" x14ac:dyDescent="0.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 spans="1:29" ht="15.75" customHeight="1" x14ac:dyDescent="0.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 spans="1:29" ht="15.75" customHeight="1" x14ac:dyDescent="0.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 spans="1:29" ht="15.75" customHeight="1" x14ac:dyDescent="0.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 spans="1:29" ht="15.75" customHeight="1" x14ac:dyDescent="0.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 spans="1:29" ht="15.75" customHeight="1" x14ac:dyDescent="0.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 spans="1:29" ht="15.75" customHeight="1" x14ac:dyDescent="0.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 spans="1:29" ht="15.75" customHeight="1" x14ac:dyDescent="0.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 spans="1:29" ht="15.75" customHeight="1" x14ac:dyDescent="0.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 spans="1:29" ht="15.75" customHeight="1" x14ac:dyDescent="0.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 spans="1:29" ht="15.75" customHeight="1" x14ac:dyDescent="0.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 spans="1:29" ht="15.75" customHeight="1" x14ac:dyDescent="0.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 spans="1:29" ht="15.75" customHeight="1" x14ac:dyDescent="0.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 spans="1:29" ht="15.75" customHeight="1" x14ac:dyDescent="0.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 spans="1:29" ht="15.75" customHeight="1" x14ac:dyDescent="0.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 spans="1:29" ht="15.75" customHeight="1" x14ac:dyDescent="0.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 spans="1:29" ht="15.75" customHeight="1" x14ac:dyDescent="0.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 spans="1:29" ht="15.75" customHeight="1" x14ac:dyDescent="0.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 spans="1:29" ht="15.75" customHeight="1" x14ac:dyDescent="0.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 spans="1:29" ht="15.75" customHeight="1" x14ac:dyDescent="0.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 spans="1:29" ht="15.75" customHeight="1" x14ac:dyDescent="0.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 spans="1:29" ht="15.75" customHeight="1" x14ac:dyDescent="0.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 spans="1:29" ht="15.75" customHeight="1" x14ac:dyDescent="0.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 spans="1:29" ht="15.75" customHeight="1" x14ac:dyDescent="0.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 spans="1:29" ht="15.75" customHeight="1" x14ac:dyDescent="0.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 spans="1:29" ht="15.75" customHeight="1" x14ac:dyDescent="0.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 spans="1:29" ht="15.75" customHeight="1" x14ac:dyDescent="0.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 spans="1:29" ht="15.75" customHeight="1" x14ac:dyDescent="0.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 spans="1:29" ht="15.75" customHeight="1" x14ac:dyDescent="0.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 spans="1:29" ht="15.75" customHeight="1" x14ac:dyDescent="0.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 spans="1:29" ht="15.75" customHeight="1" x14ac:dyDescent="0.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 spans="1:29" ht="15.75" customHeight="1" x14ac:dyDescent="0.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 spans="1:29" ht="15.75" customHeight="1" x14ac:dyDescent="0.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 spans="1:29" ht="15.75" customHeight="1" x14ac:dyDescent="0.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 spans="1:29" ht="15.75" customHeight="1" x14ac:dyDescent="0.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 spans="1:29" ht="15.75" customHeight="1" x14ac:dyDescent="0.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 spans="1:29" ht="15.75" customHeight="1" x14ac:dyDescent="0.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 spans="1:29" ht="15.75" customHeight="1" x14ac:dyDescent="0.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 spans="1:29" ht="15.75" customHeight="1" x14ac:dyDescent="0.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 spans="1:29" ht="15.75" customHeight="1" x14ac:dyDescent="0.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 spans="1:29" ht="15.75" customHeight="1" x14ac:dyDescent="0.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 spans="1:29" ht="15.75" customHeight="1" x14ac:dyDescent="0.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 spans="1:29" ht="15.75" customHeight="1" x14ac:dyDescent="0.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 spans="1:29" ht="15.75" customHeight="1" x14ac:dyDescent="0.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 spans="1:29" ht="15.75" customHeight="1" x14ac:dyDescent="0.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 spans="1:29" ht="15.75" customHeight="1" x14ac:dyDescent="0.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 spans="1:29" ht="15.75" customHeight="1" x14ac:dyDescent="0.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 spans="1:29" ht="15.75" customHeight="1" x14ac:dyDescent="0.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 spans="1:29" ht="15.75" customHeight="1" x14ac:dyDescent="0.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 spans="1:29" ht="15.75" customHeight="1" x14ac:dyDescent="0.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 spans="1:29" ht="15.75" customHeight="1" x14ac:dyDescent="0.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 spans="1:29" ht="15.75" customHeight="1" x14ac:dyDescent="0.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 spans="1:29" ht="15.75" customHeight="1" x14ac:dyDescent="0.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 spans="1:29" ht="15.75" customHeight="1" x14ac:dyDescent="0.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 spans="1:29" ht="15.75" customHeight="1" x14ac:dyDescent="0.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 spans="1:29" ht="15.75" customHeight="1" x14ac:dyDescent="0.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 spans="1:29" ht="15.75" customHeight="1" x14ac:dyDescent="0.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 spans="1:29" ht="15.75" customHeight="1" x14ac:dyDescent="0.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 spans="1:29" ht="15.75" customHeight="1" x14ac:dyDescent="0.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 spans="1:29" ht="15.75" customHeight="1" x14ac:dyDescent="0.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 spans="1:29" ht="15.75" customHeight="1" x14ac:dyDescent="0.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 spans="1:29" ht="15.75" customHeight="1" x14ac:dyDescent="0.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 spans="1:29" ht="15.75" customHeight="1" x14ac:dyDescent="0.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 spans="1:29" ht="15.75" customHeight="1" x14ac:dyDescent="0.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 spans="1:29" ht="15.75" customHeight="1" x14ac:dyDescent="0.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 spans="1:29" ht="15.75" customHeight="1" x14ac:dyDescent="0.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 spans="1:29" ht="15.75" customHeight="1" x14ac:dyDescent="0.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 spans="1:29" ht="15.75" customHeight="1" x14ac:dyDescent="0.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 spans="1:29" ht="15.75" customHeight="1" x14ac:dyDescent="0.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 spans="1:29" ht="15.75" customHeight="1" x14ac:dyDescent="0.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 spans="1:29" ht="15.75" customHeight="1" x14ac:dyDescent="0.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 spans="1:29" ht="15.75" customHeight="1" x14ac:dyDescent="0.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 spans="1:29" ht="15.75" customHeight="1" x14ac:dyDescent="0.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 spans="1:29" ht="15.75" customHeight="1" x14ac:dyDescent="0.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 spans="1:29" ht="15.75" customHeight="1" x14ac:dyDescent="0.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 spans="1:29" ht="15.75" customHeight="1" x14ac:dyDescent="0.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 spans="1:29" ht="15.75" customHeight="1" x14ac:dyDescent="0.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 spans="1:29" ht="15.75" customHeight="1" x14ac:dyDescent="0.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 spans="1:29" ht="15.75" customHeight="1" x14ac:dyDescent="0.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 spans="1:29" ht="15.75" customHeight="1" x14ac:dyDescent="0.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 spans="1:29" ht="15.75" customHeight="1" x14ac:dyDescent="0.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 spans="1:29" ht="15.75" customHeight="1" x14ac:dyDescent="0.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 spans="1:29" ht="15.75" customHeight="1" x14ac:dyDescent="0.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 spans="1:29" ht="15.75" customHeight="1" x14ac:dyDescent="0.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 spans="1:29" ht="15.75" customHeight="1" x14ac:dyDescent="0.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 spans="1:29" ht="15.75" customHeight="1" x14ac:dyDescent="0.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 spans="1:29" ht="15.75" customHeight="1" x14ac:dyDescent="0.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 spans="1:29" ht="15.75" customHeight="1" x14ac:dyDescent="0.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 spans="1:29" ht="15.75" customHeight="1" x14ac:dyDescent="0.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 spans="1:29" ht="15.75" customHeight="1" x14ac:dyDescent="0.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 spans="1:29" ht="15.75" customHeight="1" x14ac:dyDescent="0.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 spans="1:29" ht="15.75" customHeight="1" x14ac:dyDescent="0.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 spans="1:29" ht="15.75" customHeight="1" x14ac:dyDescent="0.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 spans="1:29" ht="15.75" customHeight="1" x14ac:dyDescent="0.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 spans="1:29" ht="15.75" customHeight="1" x14ac:dyDescent="0.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 spans="1:29" ht="15.75" customHeight="1" x14ac:dyDescent="0.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 spans="1:29" ht="15.75" customHeight="1" x14ac:dyDescent="0.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 spans="1:29" ht="15.75" customHeight="1" x14ac:dyDescent="0.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 spans="1:29" ht="15.75" customHeight="1" x14ac:dyDescent="0.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 spans="1:29" ht="15.75" customHeight="1" x14ac:dyDescent="0.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 spans="1:29" ht="15.75" customHeight="1" x14ac:dyDescent="0.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 spans="1:29" ht="15.75" customHeight="1" x14ac:dyDescent="0.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 spans="1:29" ht="15.75" customHeight="1" x14ac:dyDescent="0.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 spans="1:29" ht="15.75" customHeight="1" x14ac:dyDescent="0.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 spans="1:29" ht="15.75" customHeight="1" x14ac:dyDescent="0.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 spans="1:29" ht="15.75" customHeight="1" x14ac:dyDescent="0.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 spans="1:29" ht="15.75" customHeight="1" x14ac:dyDescent="0.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 spans="1:29" ht="15.75" customHeight="1" x14ac:dyDescent="0.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 spans="1:29" ht="15.75" customHeight="1" x14ac:dyDescent="0.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 spans="1:29" ht="15.75" customHeight="1" x14ac:dyDescent="0.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 spans="1:29" ht="15.75" customHeight="1" x14ac:dyDescent="0.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 spans="1:29" ht="15.75" customHeight="1" x14ac:dyDescent="0.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 spans="1:29" ht="15.75" customHeight="1" x14ac:dyDescent="0.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 spans="1:29" ht="15.75" customHeight="1" x14ac:dyDescent="0.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 spans="1:29" ht="15.75" customHeight="1" x14ac:dyDescent="0.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 spans="1:29" ht="15.75" customHeight="1" x14ac:dyDescent="0.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 spans="1:29" ht="15.75" customHeight="1" x14ac:dyDescent="0.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 spans="1:29" ht="15.75" customHeight="1" x14ac:dyDescent="0.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 spans="1:29" ht="15.75" customHeight="1" x14ac:dyDescent="0.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 spans="1:29" ht="15.75" customHeight="1" x14ac:dyDescent="0.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 spans="1:29" ht="15.75" customHeight="1" x14ac:dyDescent="0.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 spans="1:29" ht="15.75" customHeight="1" x14ac:dyDescent="0.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 spans="1:29" ht="15.75" customHeight="1" x14ac:dyDescent="0.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 spans="1:29" ht="15.75" customHeight="1" x14ac:dyDescent="0.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 spans="1:29" ht="15.75" customHeight="1" x14ac:dyDescent="0.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 spans="1:29" ht="15.75" customHeight="1" x14ac:dyDescent="0.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 spans="1:29" ht="15.75" customHeight="1" x14ac:dyDescent="0.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 spans="1:29" ht="15.75" customHeight="1" x14ac:dyDescent="0.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 spans="1:29" ht="15.75" customHeight="1" x14ac:dyDescent="0.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 spans="1:29" ht="15.75" customHeight="1" x14ac:dyDescent="0.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 spans="1:29" ht="15.75" customHeight="1" x14ac:dyDescent="0.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 spans="1:29" ht="15.75" customHeight="1" x14ac:dyDescent="0.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 spans="1:29" ht="15.75" customHeight="1" x14ac:dyDescent="0.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 spans="1:29" ht="15.75" customHeight="1" x14ac:dyDescent="0.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 spans="1:29" ht="15.75" customHeight="1" x14ac:dyDescent="0.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 spans="1:29" ht="15.75" customHeight="1" x14ac:dyDescent="0.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 spans="1:29" ht="15.75" customHeight="1" x14ac:dyDescent="0.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 spans="1:29" ht="15.75" customHeight="1" x14ac:dyDescent="0.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 spans="1:29" ht="15.75" customHeight="1" x14ac:dyDescent="0.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 spans="1:29" ht="15.75" customHeight="1" x14ac:dyDescent="0.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 spans="1:29" ht="15.75" customHeight="1" x14ac:dyDescent="0.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 spans="1:29" ht="15.75" customHeight="1" x14ac:dyDescent="0.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 spans="1:29" ht="15.75" customHeight="1" x14ac:dyDescent="0.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 spans="1:29" ht="15.75" customHeight="1" x14ac:dyDescent="0.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 spans="1:29" ht="15.75" customHeight="1" x14ac:dyDescent="0.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 spans="1:29" ht="15.75" customHeight="1" x14ac:dyDescent="0.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 spans="1:29" ht="15.75" customHeight="1" x14ac:dyDescent="0.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 spans="1:29" ht="15.75" customHeight="1" x14ac:dyDescent="0.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 spans="1:29" ht="15.75" customHeight="1" x14ac:dyDescent="0.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 spans="1:29" ht="15.75" customHeight="1" x14ac:dyDescent="0.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 spans="1:29" ht="15.75" customHeight="1" x14ac:dyDescent="0.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 spans="1:29" ht="15.75" customHeight="1" x14ac:dyDescent="0.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 spans="1:29" ht="15.75" customHeight="1" x14ac:dyDescent="0.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 spans="1:29" ht="15.75" customHeight="1" x14ac:dyDescent="0.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 spans="1:29" ht="15.75" customHeight="1" x14ac:dyDescent="0.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 spans="1:29" ht="15.75" customHeight="1" x14ac:dyDescent="0.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 spans="1:29" ht="15.75" customHeight="1" x14ac:dyDescent="0.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 spans="1:29" ht="15.75" customHeight="1" x14ac:dyDescent="0.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 spans="1:29" ht="15.75" customHeight="1" x14ac:dyDescent="0.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 spans="1:29" ht="15.75" customHeight="1" x14ac:dyDescent="0.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 spans="1:29" ht="15.75" customHeight="1" x14ac:dyDescent="0.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 spans="1:29" ht="15.75" customHeight="1" x14ac:dyDescent="0.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 spans="1:29" ht="15.75" customHeight="1" x14ac:dyDescent="0.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 spans="1:29" ht="15.75" customHeight="1" x14ac:dyDescent="0.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 spans="1:29" ht="15.75" customHeight="1" x14ac:dyDescent="0.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 spans="1:29" ht="15.75" customHeight="1" x14ac:dyDescent="0.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 spans="1:29" ht="15.75" customHeight="1" x14ac:dyDescent="0.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 spans="1:29" ht="15.75" customHeight="1" x14ac:dyDescent="0.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 spans="1:29" ht="15.75" customHeight="1" x14ac:dyDescent="0.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 spans="1:29" ht="15.75" customHeight="1" x14ac:dyDescent="0.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 spans="1:29" ht="15.75" customHeight="1" x14ac:dyDescent="0.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 spans="1:29" ht="15.75" customHeight="1" x14ac:dyDescent="0.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 spans="1:29" ht="15.75" customHeight="1" x14ac:dyDescent="0.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 spans="1:29" ht="15.75" customHeight="1" x14ac:dyDescent="0.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 spans="1:29" ht="15.75" customHeight="1" x14ac:dyDescent="0.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 spans="1:29" ht="15.75" customHeight="1" x14ac:dyDescent="0.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 spans="1:29" ht="15.75" customHeight="1" x14ac:dyDescent="0.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 spans="1:29" ht="15.75" customHeight="1" x14ac:dyDescent="0.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 spans="1:29" ht="15.75" customHeight="1" x14ac:dyDescent="0.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 spans="1:29" ht="15.75" customHeight="1" x14ac:dyDescent="0.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 spans="1:29" ht="15.75" customHeight="1" x14ac:dyDescent="0.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 spans="1:29" ht="15.75" customHeight="1" x14ac:dyDescent="0.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 spans="1:29" ht="15.75" customHeight="1" x14ac:dyDescent="0.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 spans="1:29" ht="15.75" customHeight="1" x14ac:dyDescent="0.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 spans="1:29" ht="15.75" customHeight="1" x14ac:dyDescent="0.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 spans="1:29" ht="15.75" customHeight="1" x14ac:dyDescent="0.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 spans="1:29" ht="15.75" customHeight="1" x14ac:dyDescent="0.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 spans="1:29" ht="15.75" customHeight="1" x14ac:dyDescent="0.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 spans="1:29" ht="15.75" customHeight="1" x14ac:dyDescent="0.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 spans="1:29" ht="15.75" customHeight="1" x14ac:dyDescent="0.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 spans="1:29" ht="15.75" customHeight="1" x14ac:dyDescent="0.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 spans="1:29" ht="15.75" customHeight="1" x14ac:dyDescent="0.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 spans="1:29" ht="15.75" customHeight="1" x14ac:dyDescent="0.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 spans="1:29" ht="15.75" customHeight="1" x14ac:dyDescent="0.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 spans="1:29" ht="15.75" customHeight="1" x14ac:dyDescent="0.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 spans="1:29" ht="15.75" customHeight="1" x14ac:dyDescent="0.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 spans="1:29" ht="15.75" customHeight="1" x14ac:dyDescent="0.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 spans="1:29" ht="15.75" customHeight="1" x14ac:dyDescent="0.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 spans="1:29" ht="15.75" customHeight="1" x14ac:dyDescent="0.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 spans="1:29" ht="15.75" customHeight="1" x14ac:dyDescent="0.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 spans="1:29" ht="15.75" customHeight="1" x14ac:dyDescent="0.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 spans="1:29" ht="15.75" customHeight="1" x14ac:dyDescent="0.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 spans="1:29" ht="15.75" customHeight="1" x14ac:dyDescent="0.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 spans="1:29" ht="15.75" customHeight="1" x14ac:dyDescent="0.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 spans="1:29" ht="15.75" customHeight="1" x14ac:dyDescent="0.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 spans="1:29" ht="15.75" customHeight="1" x14ac:dyDescent="0.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 spans="1:29" ht="15.75" customHeight="1" x14ac:dyDescent="0.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 spans="1:29" ht="15.75" customHeight="1" x14ac:dyDescent="0.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 spans="1:29" ht="15.75" customHeight="1" x14ac:dyDescent="0.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 spans="1:29" ht="15.75" customHeight="1" x14ac:dyDescent="0.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 spans="1:29" ht="15.75" customHeight="1" x14ac:dyDescent="0.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 spans="1:29" ht="15.75" customHeight="1" x14ac:dyDescent="0.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 spans="1:29" ht="15.75" customHeight="1" x14ac:dyDescent="0.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 spans="1:29" ht="15.75" customHeight="1" x14ac:dyDescent="0.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 spans="1:29" ht="15.75" customHeight="1" x14ac:dyDescent="0.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 spans="1:29" ht="15.75" customHeight="1" x14ac:dyDescent="0.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 spans="1:29" ht="15.75" customHeight="1" x14ac:dyDescent="0.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 spans="1:29" ht="15.75" customHeight="1" x14ac:dyDescent="0.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 spans="1:29" ht="15.75" customHeight="1" x14ac:dyDescent="0.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 spans="1:29" ht="15.75" customHeight="1" x14ac:dyDescent="0.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 spans="1:29" ht="15.75" customHeight="1" x14ac:dyDescent="0.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 spans="1:29" ht="15.75" customHeight="1" x14ac:dyDescent="0.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 spans="1:29" ht="15.75" customHeight="1" x14ac:dyDescent="0.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 spans="1:29" ht="15.75" customHeight="1" x14ac:dyDescent="0.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 spans="1:29" ht="15.75" customHeight="1" x14ac:dyDescent="0.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 spans="1:29" ht="15.75" customHeight="1" x14ac:dyDescent="0.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 spans="1:29" ht="15.75" customHeight="1" x14ac:dyDescent="0.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 spans="1:29" ht="15.75" customHeight="1" x14ac:dyDescent="0.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 spans="1:29" ht="15.75" customHeight="1" x14ac:dyDescent="0.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 spans="1:29" ht="15.75" customHeight="1" x14ac:dyDescent="0.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 spans="1:29" ht="15.75" customHeight="1" x14ac:dyDescent="0.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 spans="1:29" ht="15.75" customHeight="1" x14ac:dyDescent="0.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 spans="1:29" ht="15.75" customHeight="1" x14ac:dyDescent="0.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 spans="1:29" ht="15.75" customHeight="1" x14ac:dyDescent="0.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 spans="1:29" ht="15.75" customHeight="1" x14ac:dyDescent="0.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 spans="1:29" ht="15.75" customHeight="1" x14ac:dyDescent="0.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 spans="1:29" ht="15.75" customHeight="1" x14ac:dyDescent="0.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 spans="1:29" ht="15.75" customHeight="1" x14ac:dyDescent="0.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 spans="1:29" ht="15.75" customHeight="1" x14ac:dyDescent="0.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 spans="1:29" ht="15.75" customHeight="1" x14ac:dyDescent="0.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 spans="1:29" ht="15.75" customHeight="1" x14ac:dyDescent="0.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 spans="1:29" ht="15.75" customHeight="1" x14ac:dyDescent="0.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 spans="1:29" ht="15.75" customHeight="1" x14ac:dyDescent="0.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 spans="1:29" ht="15.75" customHeight="1" x14ac:dyDescent="0.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 spans="1:29" ht="15.75" customHeight="1" x14ac:dyDescent="0.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 spans="1:29" ht="15.75" customHeight="1" x14ac:dyDescent="0.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 spans="1:29" ht="15.75" customHeight="1" x14ac:dyDescent="0.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 spans="1:29" ht="15.75" customHeight="1" x14ac:dyDescent="0.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 spans="1:29" ht="15.75" customHeight="1" x14ac:dyDescent="0.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 spans="1:29" ht="15.75" customHeight="1" x14ac:dyDescent="0.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 spans="1:29" ht="15.75" customHeight="1" x14ac:dyDescent="0.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 spans="1:29" ht="15.75" customHeight="1" x14ac:dyDescent="0.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 spans="1:29" ht="15.75" customHeight="1" x14ac:dyDescent="0.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 spans="1:29" ht="15.75" customHeight="1" x14ac:dyDescent="0.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 spans="1:29" ht="15.75" customHeight="1" x14ac:dyDescent="0.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 spans="1:29" ht="15.75" customHeight="1" x14ac:dyDescent="0.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 spans="1:29" ht="15.75" customHeight="1" x14ac:dyDescent="0.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 spans="1:29" ht="15.75" customHeight="1" x14ac:dyDescent="0.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 spans="1:29" ht="15.75" customHeight="1" x14ac:dyDescent="0.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 spans="1:29" ht="15.75" customHeight="1" x14ac:dyDescent="0.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 spans="1:29" ht="15.75" customHeight="1" x14ac:dyDescent="0.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 spans="1:29" ht="15.75" customHeight="1" x14ac:dyDescent="0.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 spans="1:29" ht="15.75" customHeight="1" x14ac:dyDescent="0.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 spans="1:29" ht="15.75" customHeight="1" x14ac:dyDescent="0.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 spans="1:29" ht="15.75" customHeight="1" x14ac:dyDescent="0.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 spans="1:29" ht="15.75" customHeight="1" x14ac:dyDescent="0.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 spans="1:29" ht="15.75" customHeight="1" x14ac:dyDescent="0.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 spans="1:29" ht="15.75" customHeight="1" x14ac:dyDescent="0.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 spans="1:29" ht="15.75" customHeight="1" x14ac:dyDescent="0.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 spans="1:29" ht="15.75" customHeight="1" x14ac:dyDescent="0.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 spans="1:29" ht="15.75" customHeight="1" x14ac:dyDescent="0.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 spans="1:29" ht="15.75" customHeight="1" x14ac:dyDescent="0.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 spans="1:29" ht="15.75" customHeight="1" x14ac:dyDescent="0.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 spans="1:29" ht="15.75" customHeight="1" x14ac:dyDescent="0.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 spans="1:29" ht="15.75" customHeight="1" x14ac:dyDescent="0.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 spans="1:29" ht="15.75" customHeight="1" x14ac:dyDescent="0.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 spans="1:29" ht="15.75" customHeight="1" x14ac:dyDescent="0.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 spans="1:29" ht="15.75" customHeight="1" x14ac:dyDescent="0.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 spans="1:29" ht="15.75" customHeight="1" x14ac:dyDescent="0.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 spans="1:29" ht="15.75" customHeight="1" x14ac:dyDescent="0.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 spans="1:29" ht="15.75" customHeight="1" x14ac:dyDescent="0.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 spans="1:29" ht="15.75" customHeight="1" x14ac:dyDescent="0.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 spans="1:29" ht="15.75" customHeight="1" x14ac:dyDescent="0.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 spans="1:29" ht="15.75" customHeight="1" x14ac:dyDescent="0.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 spans="1:29" ht="15.75" customHeight="1" x14ac:dyDescent="0.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 spans="1:29" ht="15.75" customHeight="1" x14ac:dyDescent="0.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 spans="1:29" ht="15.75" customHeight="1" x14ac:dyDescent="0.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 spans="1:29" ht="15.75" customHeight="1" x14ac:dyDescent="0.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 spans="1:29" ht="15.75" customHeight="1" x14ac:dyDescent="0.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 spans="1:29" ht="15.75" customHeight="1" x14ac:dyDescent="0.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 spans="1:29" ht="15.75" customHeight="1" x14ac:dyDescent="0.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 spans="1:29" ht="15.75" customHeight="1" x14ac:dyDescent="0.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 spans="1:29" ht="15.75" customHeight="1" x14ac:dyDescent="0.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 spans="1:29" ht="15.75" customHeight="1" x14ac:dyDescent="0.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 spans="1:29" ht="15.75" customHeight="1" x14ac:dyDescent="0.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 spans="1:29" ht="15.75" customHeight="1" x14ac:dyDescent="0.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 spans="1:29" ht="15.75" customHeight="1" x14ac:dyDescent="0.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 spans="1:29" ht="15.75" customHeight="1" x14ac:dyDescent="0.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 spans="1:29" ht="15.75" customHeight="1" x14ac:dyDescent="0.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 spans="1:29" ht="15.75" customHeight="1" x14ac:dyDescent="0.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 spans="1:29" ht="15.75" customHeight="1" x14ac:dyDescent="0.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 spans="1:29" ht="15.75" customHeight="1" x14ac:dyDescent="0.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 spans="1:29" ht="15.75" customHeight="1" x14ac:dyDescent="0.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 spans="1:29" ht="15.75" customHeight="1" x14ac:dyDescent="0.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 spans="1:29" ht="15.75" customHeight="1" x14ac:dyDescent="0.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 spans="1:29" ht="15.75" customHeight="1" x14ac:dyDescent="0.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 spans="1:29" ht="15.75" customHeight="1" x14ac:dyDescent="0.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 spans="1:29" ht="15.75" customHeight="1" x14ac:dyDescent="0.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 spans="1:29" ht="15.75" customHeight="1" x14ac:dyDescent="0.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 spans="1:29" ht="15.75" customHeight="1" x14ac:dyDescent="0.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 spans="1:29" ht="15.75" customHeight="1" x14ac:dyDescent="0.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 spans="1:29" ht="15.75" customHeight="1" x14ac:dyDescent="0.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 spans="1:29" ht="15.75" customHeight="1" x14ac:dyDescent="0.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 spans="1:29" ht="15.75" customHeight="1" x14ac:dyDescent="0.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 spans="1:29" ht="15.75" customHeight="1" x14ac:dyDescent="0.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 spans="1:29" ht="15.75" customHeight="1" x14ac:dyDescent="0.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 spans="1:29" ht="15.75" customHeight="1" x14ac:dyDescent="0.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 spans="1:29" ht="15.75" customHeight="1" x14ac:dyDescent="0.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 spans="1:29" ht="15.75" customHeight="1" x14ac:dyDescent="0.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 spans="1:29" ht="15.75" customHeight="1" x14ac:dyDescent="0.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 spans="1:29" ht="15.75" customHeight="1" x14ac:dyDescent="0.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 spans="1:29" ht="15.75" customHeight="1" x14ac:dyDescent="0.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 spans="1:29" ht="15.75" customHeight="1" x14ac:dyDescent="0.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 spans="1:29" ht="15.75" customHeight="1" x14ac:dyDescent="0.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 spans="1:29" ht="15.75" customHeight="1" x14ac:dyDescent="0.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 spans="1:29" ht="15.75" customHeight="1" x14ac:dyDescent="0.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 spans="1:29" ht="15.75" customHeight="1" x14ac:dyDescent="0.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 spans="1:29" ht="15.75" customHeight="1" x14ac:dyDescent="0.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 spans="1:29" ht="15.75" customHeight="1" x14ac:dyDescent="0.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 spans="1:29" ht="15.75" customHeight="1" x14ac:dyDescent="0.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 spans="1:29" ht="15.75" customHeight="1" x14ac:dyDescent="0.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 spans="1:29" ht="15.75" customHeight="1" x14ac:dyDescent="0.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 spans="1:29" ht="15.75" customHeight="1" x14ac:dyDescent="0.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 spans="1:29" ht="15.75" customHeight="1" x14ac:dyDescent="0.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 spans="1:29" ht="15.75" customHeight="1" x14ac:dyDescent="0.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 spans="1:29" ht="15.75" customHeight="1" x14ac:dyDescent="0.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 spans="1:29" ht="15.75" customHeight="1" x14ac:dyDescent="0.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 spans="1:29" ht="15.75" customHeight="1" x14ac:dyDescent="0.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 spans="1:29" ht="15.75" customHeight="1" x14ac:dyDescent="0.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 spans="1:29" ht="15.75" customHeight="1" x14ac:dyDescent="0.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 spans="1:29" ht="15.75" customHeight="1" x14ac:dyDescent="0.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 spans="1:29" ht="15.75" customHeight="1" x14ac:dyDescent="0.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 spans="1:29" ht="15.75" customHeight="1" x14ac:dyDescent="0.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 spans="1:29" ht="15.75" customHeight="1" x14ac:dyDescent="0.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 spans="1:29" ht="15.75" customHeight="1" x14ac:dyDescent="0.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 spans="1:29" ht="15.75" customHeight="1" x14ac:dyDescent="0.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 spans="1:29" ht="15.75" customHeight="1" x14ac:dyDescent="0.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 spans="1:29" ht="15.75" customHeight="1" x14ac:dyDescent="0.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 spans="1:29" ht="15.75" customHeight="1" x14ac:dyDescent="0.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 spans="1:29" ht="15.75" customHeight="1" x14ac:dyDescent="0.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 spans="1:29" ht="15.75" customHeight="1" x14ac:dyDescent="0.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 spans="1:29" ht="15.75" customHeight="1" x14ac:dyDescent="0.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 spans="1:29" ht="15.75" customHeight="1" x14ac:dyDescent="0.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 spans="1:29" ht="15.75" customHeight="1" x14ac:dyDescent="0.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 spans="1:29" ht="15.75" customHeight="1" x14ac:dyDescent="0.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 spans="1:29" ht="15.75" customHeight="1" x14ac:dyDescent="0.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 spans="1:29" ht="15.75" customHeight="1" x14ac:dyDescent="0.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 spans="1:29" ht="15.75" customHeight="1" x14ac:dyDescent="0.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 spans="1:29" ht="15.75" customHeight="1" x14ac:dyDescent="0.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 spans="1:29" ht="15.75" customHeight="1" x14ac:dyDescent="0.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 spans="1:29" ht="15.75" customHeight="1" x14ac:dyDescent="0.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 spans="1:29" ht="15.75" customHeight="1" x14ac:dyDescent="0.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 spans="1:29" ht="15.75" customHeight="1" x14ac:dyDescent="0.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 spans="1:29" ht="18" x14ac:dyDescent="0.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 spans="1:29" ht="18" x14ac:dyDescent="0.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 spans="1:29" ht="18" x14ac:dyDescent="0.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 spans="1:29" ht="18" x14ac:dyDescent="0.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 spans="1:29" ht="18" x14ac:dyDescent="0.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 spans="1:29" ht="18" x14ac:dyDescent="0.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 spans="1:29" ht="18" x14ac:dyDescent="0.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 spans="1:29" ht="18" x14ac:dyDescent="0.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 spans="1:29" ht="18" x14ac:dyDescent="0.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 spans="1:29" ht="18" x14ac:dyDescent="0.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 spans="1:29" ht="18" x14ac:dyDescent="0.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 spans="1:29" ht="18" x14ac:dyDescent="0.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 spans="1:29" ht="18" x14ac:dyDescent="0.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 spans="1:29" ht="18" x14ac:dyDescent="0.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 spans="1:29" ht="18" x14ac:dyDescent="0.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 spans="1:29" ht="18" x14ac:dyDescent="0.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 spans="1:29" ht="18" x14ac:dyDescent="0.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 spans="1:29" ht="18" x14ac:dyDescent="0.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 spans="1:29" ht="18" x14ac:dyDescent="0.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 spans="1:29" ht="18" x14ac:dyDescent="0.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 spans="1:29" ht="18" x14ac:dyDescent="0.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 spans="1:29" ht="18" x14ac:dyDescent="0.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 spans="1:29" ht="18" x14ac:dyDescent="0.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 spans="1:29" ht="18" x14ac:dyDescent="0.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 spans="1:29" ht="18" x14ac:dyDescent="0.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 spans="1:29" ht="18" x14ac:dyDescent="0.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 spans="1:29" ht="18" x14ac:dyDescent="0.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 spans="1:29" ht="18" x14ac:dyDescent="0.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 spans="1:29" ht="18" x14ac:dyDescent="0.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 spans="1:29" ht="18" x14ac:dyDescent="0.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 spans="1:29" ht="18" x14ac:dyDescent="0.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 spans="1:29" ht="18" x14ac:dyDescent="0.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 spans="1:29" ht="18" x14ac:dyDescent="0.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 spans="1:29" ht="18" x14ac:dyDescent="0.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 spans="1:29" ht="15.75" customHeight="1" x14ac:dyDescent="0.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ZNSDG</vt:lpstr>
      <vt:lpstr>ZNSDG!XDO_?FINAL_ISIN?55?</vt:lpstr>
      <vt:lpstr>ZNSDG!XDO_?FINAL_ISIN?56?</vt:lpstr>
      <vt:lpstr>ZNSDG!XDO_?FINAL_MV?55?</vt:lpstr>
      <vt:lpstr>ZNSDG!XDO_?FINAL_MV?56?</vt:lpstr>
      <vt:lpstr>ZNSDG!XDO_?FINAL_NAME?55?</vt:lpstr>
      <vt:lpstr>ZNSDG!XDO_?FINAL_NAME?56?</vt:lpstr>
      <vt:lpstr>ZNSDG!XDO_?FINAL_PER_NET?55?</vt:lpstr>
      <vt:lpstr>ZNSDG!XDO_?FINAL_PER_NET?56?</vt:lpstr>
      <vt:lpstr>ZNSDG!XDO_?FINAL_QUANTITE?55?</vt:lpstr>
      <vt:lpstr>ZNSDG!XDO_?FINAL_QUANTITE?56?</vt:lpstr>
      <vt:lpstr>ZNSDG!XDO_?IND_02?55?</vt:lpstr>
      <vt:lpstr>ZNSDG!XDO_?IND_02?56?</vt:lpstr>
      <vt:lpstr>ZNSDG!XDO_?NAMCNAME?12?</vt:lpstr>
      <vt:lpstr>ZNSDG!XDO_?NOVAL?55?</vt:lpstr>
      <vt:lpstr>ZNSDG!XDO_?NOVAL?56?</vt:lpstr>
      <vt:lpstr>ZNSDG!XDO_?NPTF?12?</vt:lpstr>
      <vt:lpstr>ZNSDG!XDO_?RATING?55?</vt:lpstr>
      <vt:lpstr>ZNSDG!XDO_?RATING?56?</vt:lpstr>
      <vt:lpstr>ZNSDG!XDO_?YTM?55?</vt:lpstr>
      <vt:lpstr>ZNSDG!XDO_?YTM?56?</vt:lpstr>
      <vt:lpstr>ZNSDG!XDO_GROUP_?G_2?12?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2026-06-10T10:32:33Z</dcterms:modified>
</cp:coreProperties>
</file>