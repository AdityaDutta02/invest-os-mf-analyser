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F3F5050E-3CFD-406F-A2C4-DA4A556904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N2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'ZN250'!$C$6:$C$262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'ZN250'!$D$262</definedName>
    <definedName name="XDO_?FINAL_ISIN?53?">#REF!</definedName>
    <definedName name="XDO_?FINAL_ISIN?54?" localSheetId="0">'ZN250'!$D$262:$D$286</definedName>
    <definedName name="XDO_?FINAL_ISIN?54?">#REF!</definedName>
    <definedName name="XDO_?FINAL_ISIN?55?" localSheetId="0">'ZN250'!$D$262:$D$299</definedName>
    <definedName name="XDO_?FINAL_ISIN?55?">#REF!</definedName>
    <definedName name="XDO_?FINAL_ISIN?56?" localSheetId="0">'ZN250'!$D$262:$D$303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'ZN250'!$G$262</definedName>
    <definedName name="XDO_?FINAL_MV?53?">#REF!</definedName>
    <definedName name="XDO_?FINAL_MV?54?" localSheetId="0">'ZN250'!$G$262:$G$286</definedName>
    <definedName name="XDO_?FINAL_MV?54?">#REF!</definedName>
    <definedName name="XDO_?FINAL_MV?55?" localSheetId="0">'ZN250'!$G$262:$G$299</definedName>
    <definedName name="XDO_?FINAL_MV?55?">#REF!</definedName>
    <definedName name="XDO_?FINAL_MV?56?" localSheetId="0">'ZN250'!$G$262:$G$303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'ZN250'!$C$262</definedName>
    <definedName name="XDO_?FINAL_NAME?53?">#REF!</definedName>
    <definedName name="XDO_?FINAL_NAME?54?" localSheetId="0">'ZN250'!$C$262:$C$286</definedName>
    <definedName name="XDO_?FINAL_NAME?54?">#REF!</definedName>
    <definedName name="XDO_?FINAL_NAME?55?" localSheetId="0">'ZN250'!$C$262:$C$299</definedName>
    <definedName name="XDO_?FINAL_NAME?55?">#REF!</definedName>
    <definedName name="XDO_?FINAL_NAME?56?" localSheetId="0">'ZN250'!$C$262:$C$303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'ZN250'!$H$262</definedName>
    <definedName name="XDO_?FINAL_PER_NET?53?">#REF!</definedName>
    <definedName name="XDO_?FINAL_PER_NET?54?" localSheetId="0">'ZN250'!$H$262:$H$286</definedName>
    <definedName name="XDO_?FINAL_PER_NET?54?">#REF!</definedName>
    <definedName name="XDO_?FINAL_PER_NET?55?" localSheetId="0">'ZN250'!$H$262:$H$299</definedName>
    <definedName name="XDO_?FINAL_PER_NET?55?">#REF!</definedName>
    <definedName name="XDO_?FINAL_PER_NET?56?" localSheetId="0">'ZN250'!$H$262:$H$303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'ZN250'!$F$262</definedName>
    <definedName name="XDO_?FINAL_QUANTITE?53?">#REF!</definedName>
    <definedName name="XDO_?FINAL_QUANTITE?54?" localSheetId="0">'ZN250'!$F$262:$F$286</definedName>
    <definedName name="XDO_?FINAL_QUANTITE?54?">#REF!</definedName>
    <definedName name="XDO_?FINAL_QUANTITE?55?" localSheetId="0">'ZN250'!$F$262:$F$299</definedName>
    <definedName name="XDO_?FINAL_QUANTITE?55?">#REF!</definedName>
    <definedName name="XDO_?FINAL_QUANTITE?56?" localSheetId="0">'ZN250'!$F$262:$F$303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'ZN250'!$J$262</definedName>
    <definedName name="XDO_?IND_02?53?">#REF!</definedName>
    <definedName name="XDO_?IND_02?54?" localSheetId="0">'ZN250'!$J$262:$J$285</definedName>
    <definedName name="XDO_?IND_02?54?">#REF!</definedName>
    <definedName name="XDO_?IND_02?55?" localSheetId="0">'ZN250'!$J$262:$J$298</definedName>
    <definedName name="XDO_?IND_02?55?">#REF!</definedName>
    <definedName name="XDO_?IND_02?56?" localSheetId="0">'ZN250'!$J$262:$J$302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'ZN250'!$C$1:$C$262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'ZN250'!$B$262</definedName>
    <definedName name="XDO_?NOVAL?53?">#REF!</definedName>
    <definedName name="XDO_?NOVAL?54?" localSheetId="0">'ZN250'!$B$262:$B$285</definedName>
    <definedName name="XDO_?NOVAL?54?">#REF!</definedName>
    <definedName name="XDO_?NOVAL?55?" localSheetId="0">'ZN250'!$B$262:$B$298</definedName>
    <definedName name="XDO_?NOVAL?55?">#REF!</definedName>
    <definedName name="XDO_?NOVAL?56?" localSheetId="0">'ZN250'!$B$262:$B$302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'ZN250'!$D$1:$D$262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'ZN250'!$E$262</definedName>
    <definedName name="XDO_?RATING?53?">#REF!</definedName>
    <definedName name="XDO_?RATING?54?" localSheetId="0">'ZN250'!$E$262:$E$286</definedName>
    <definedName name="XDO_?RATING?54?">#REF!</definedName>
    <definedName name="XDO_?RATING?55?" localSheetId="0">'ZN250'!$E$262:$E$299</definedName>
    <definedName name="XDO_?RATING?55?">#REF!</definedName>
    <definedName name="XDO_?RATING?56?" localSheetId="0">'ZN250'!$E$262:$E$303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'ZN250'!$A$6:$A$262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'ZN250'!$I$262</definedName>
    <definedName name="XDO_?YTM?53?">#REF!</definedName>
    <definedName name="XDO_?YTM?54?" localSheetId="0">'ZN250'!$I$262:$I$286</definedName>
    <definedName name="XDO_?YTM?54?">#REF!</definedName>
    <definedName name="XDO_?YTM?55?" localSheetId="0">'ZN250'!$I$262:$I$299</definedName>
    <definedName name="XDO_?YTM?55?">#REF!</definedName>
    <definedName name="XDO_?YTM?56?" localSheetId="0">'ZN250'!$I$262:$I$303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'ZN250'!$1:$278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'ZN250'!$6:$277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'ZN250'!$B$262:$IV$262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'ZN250'!$B$270:$IV$270</definedName>
    <definedName name="XDO_GROUP_?G_4?55?">#REF!</definedName>
    <definedName name="XDO_GROUP_?G_4?56?" localSheetId="0">'ZN250'!$B$275:$IV$275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dISUICtYqshItDB7WK4hBO+mdkOo7vw7MKr8KqYKAI="/>
    </ext>
  </extLst>
</workbook>
</file>

<file path=xl/calcChain.xml><?xml version="1.0" encoding="utf-8"?>
<calcChain xmlns="http://schemas.openxmlformats.org/spreadsheetml/2006/main">
  <c r="G300" i="1" l="1"/>
  <c r="H299" i="1"/>
  <c r="G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262" i="1" l="1"/>
  <c r="G303" i="1"/>
  <c r="G304" i="1" s="1"/>
  <c r="H303" i="1"/>
  <c r="H304" i="1" s="1"/>
</calcChain>
</file>

<file path=xl/sharedStrings.xml><?xml version="1.0" encoding="utf-8"?>
<sst xmlns="http://schemas.openxmlformats.org/spreadsheetml/2006/main" count="863" uniqueCount="625">
  <si>
    <t>PURSUANT TO REGULATION 59A OF SECURITIES &amp; EXCHANGE BOARD OF INDIA (MUTUAL FUNDS) REGULATIONS, 1996</t>
  </si>
  <si>
    <t>MONTHLY PORTFOLIO STATEMENT OF ZERODHA NIFTY LARGE MIDCAP 250 INDEX FUND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</si>
  <si>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</si>
  <si>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</si>
  <si>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</si>
  <si>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</si>
  <si>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</si>
  <si>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</si>
  <si>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</si>
  <si>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</si>
  <si>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</si>
  <si>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</si>
  <si>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</si>
  <si>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</si>
  <si>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</si>
  <si>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</si>
  <si>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</si>
  <si>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</si>
  <si>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</si>
  <si>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BSE Ltd</t>
  </si>
  <si>
    <t>INE118H01025</t>
  </si>
  <si>
    <t>Capital Markets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</si>
  <si>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</si>
  <si>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</si>
  <si>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</si>
  <si>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</si>
  <si>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</si>
  <si>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</si>
  <si>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</si>
  <si>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</si>
  <si>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</si>
  <si>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</si>
  <si>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</si>
  <si>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</si>
  <si>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</si>
  <si>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</si>
  <si>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</si>
  <si>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</si>
  <si>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</si>
  <si>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</si>
  <si>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</si>
  <si>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</si>
  <si>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</si>
  <si>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Multi Commodity Exchange of India Ltd.</t>
  </si>
  <si>
    <t>INE745G01043</t>
  </si>
  <si>
    <t>The Federal Bank Limited</t>
  </si>
  <si>
    <t>INE171A01029</t>
  </si>
  <si>
    <t>Suzlon Energy Limited</t>
  </si>
  <si>
    <t>INE040H01021</t>
  </si>
  <si>
    <t>Electrical Equipment</t>
  </si>
  <si>
    <t>Bajaj Finance Limited</t>
  </si>
  <si>
    <t>INE296A01032</t>
  </si>
  <si>
    <t>Finance</t>
  </si>
  <si>
    <t>Tata Consultancy Services Limited</t>
  </si>
  <si>
    <t>INE467B01029</t>
  </si>
  <si>
    <t>GE Vernova T&amp;D India Limited</t>
  </si>
  <si>
    <t>INE200A01026</t>
  </si>
  <si>
    <t>Hero MotoCorp Limited</t>
  </si>
  <si>
    <t>INE158A01026</t>
  </si>
  <si>
    <t>Bharat Heavy Electricals Ltd</t>
  </si>
  <si>
    <t>INE257A01026</t>
  </si>
  <si>
    <t>Indusind Bank Limited</t>
  </si>
  <si>
    <t>INE095A01012</t>
  </si>
  <si>
    <t>PB Fintech Limited</t>
  </si>
  <si>
    <t>INE417T01026</t>
  </si>
  <si>
    <t>Financial Technology (Fintech)</t>
  </si>
  <si>
    <t>Indus Towers Limited</t>
  </si>
  <si>
    <t>INE121J01017</t>
  </si>
  <si>
    <t>Persistent Systems Limited</t>
  </si>
  <si>
    <t>INE262H01021</t>
  </si>
  <si>
    <t>AU Small Finance Bank Ltd</t>
  </si>
  <si>
    <t>INE949L01017</t>
  </si>
  <si>
    <t>Lupin Limited</t>
  </si>
  <si>
    <t>INE326A01037</t>
  </si>
  <si>
    <t>Pharmaceuticals &amp; Biotechnology</t>
  </si>
  <si>
    <t>Hindustan Unilever Limited</t>
  </si>
  <si>
    <t>INE030A01027</t>
  </si>
  <si>
    <t>Sun Pharmaceutical Industries Limited</t>
  </si>
  <si>
    <t>INE044A01036</t>
  </si>
  <si>
    <t>Laurus Labs Ltd</t>
  </si>
  <si>
    <t>INE947Q01028</t>
  </si>
  <si>
    <t>Bharat Forge Limited</t>
  </si>
  <si>
    <t>INE465A01025</t>
  </si>
  <si>
    <t>Auto Components</t>
  </si>
  <si>
    <t>NTPC Limited</t>
  </si>
  <si>
    <t>INE733E01010</t>
  </si>
  <si>
    <t>Power</t>
  </si>
  <si>
    <t>Eternal Limited</t>
  </si>
  <si>
    <t>INE758T01015</t>
  </si>
  <si>
    <t>Retailing</t>
  </si>
  <si>
    <t>Polycab India Ltd.</t>
  </si>
  <si>
    <t>INE455K01017</t>
  </si>
  <si>
    <t>Industrial Products</t>
  </si>
  <si>
    <t>Coforge Ltd.</t>
  </si>
  <si>
    <t>INE591G01025</t>
  </si>
  <si>
    <t>Hitachi Energy India Limited</t>
  </si>
  <si>
    <t>INE07Y701011</t>
  </si>
  <si>
    <t>Fortis Healthcare Ltd</t>
  </si>
  <si>
    <t>INE061F01013</t>
  </si>
  <si>
    <t>Healthcare Services</t>
  </si>
  <si>
    <t>Maruti Suzuki India Limited</t>
  </si>
  <si>
    <t>INE585B01010</t>
  </si>
  <si>
    <t>Tata Steel Limited</t>
  </si>
  <si>
    <t>INE081A01020</t>
  </si>
  <si>
    <t>Ferrous Metals</t>
  </si>
  <si>
    <t>Dixon Technologies (India) Ltd.</t>
  </si>
  <si>
    <t>INE935N01020</t>
  </si>
  <si>
    <t>Consumer Durables</t>
  </si>
  <si>
    <t>IDFC First Bank Limited</t>
  </si>
  <si>
    <t>INE092T01019</t>
  </si>
  <si>
    <t>One 97 Communications Limited</t>
  </si>
  <si>
    <t>INE982J01020</t>
  </si>
  <si>
    <t>Titan Company Limited</t>
  </si>
  <si>
    <t>INE280A01028</t>
  </si>
  <si>
    <t>Hindalco Industries Limited</t>
  </si>
  <si>
    <t>INE038A01020</t>
  </si>
  <si>
    <t>Non - Ferrous Metals</t>
  </si>
  <si>
    <t>Ashok Leyland Limited</t>
  </si>
  <si>
    <t>INE208A01029</t>
  </si>
  <si>
    <t>Agricultural, Commercial &amp; Construction Vehicles</t>
  </si>
  <si>
    <t>Max Financial Services Ltd</t>
  </si>
  <si>
    <t>INE180A01020</t>
  </si>
  <si>
    <t>Insurance</t>
  </si>
  <si>
    <t>Marico Limited</t>
  </si>
  <si>
    <t>INE196A01026</t>
  </si>
  <si>
    <t>Agricultural Food &amp; other Products</t>
  </si>
  <si>
    <t>ICICI Lombard General Insurance Company Ltd.</t>
  </si>
  <si>
    <t>INE765G01017</t>
  </si>
  <si>
    <t>Bharat Electronics Ltd</t>
  </si>
  <si>
    <t>INE263A01024</t>
  </si>
  <si>
    <t>Aerospace &amp; Defense</t>
  </si>
  <si>
    <t>YES Bank Ltd.</t>
  </si>
  <si>
    <t>INE528G01035</t>
  </si>
  <si>
    <t>Aurobindo Pharma Limited</t>
  </si>
  <si>
    <t>INE406A01037</t>
  </si>
  <si>
    <t>SRF Limited</t>
  </si>
  <si>
    <t>INE647A01010</t>
  </si>
  <si>
    <t>Chemicals &amp; Petrochemicals</t>
  </si>
  <si>
    <t>Vodafone Idea Ltd.</t>
  </si>
  <si>
    <t>INE669E01016</t>
  </si>
  <si>
    <t>National Aluminium Company Limited</t>
  </si>
  <si>
    <t>INE139A01034</t>
  </si>
  <si>
    <t>Info Edge (India) Ltd</t>
  </si>
  <si>
    <t>INE663F01032</t>
  </si>
  <si>
    <t>UltraTech Cement Limited</t>
  </si>
  <si>
    <t>INE481G01011</t>
  </si>
  <si>
    <t>Cement &amp; Cement Products</t>
  </si>
  <si>
    <t>Hindustan Petroleum Corporation Ltd</t>
  </si>
  <si>
    <t>INE094A01015</t>
  </si>
  <si>
    <t>Adani Ports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</si>
  <si>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</si>
  <si>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</si>
  <si>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</si>
  <si>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</si>
  <si>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</si>
  <si>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</si>
  <si>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UPL Limited</t>
  </si>
  <si>
    <t>INE628A01036</t>
  </si>
  <si>
    <t>Fertilizers &amp; Agrochemicals</t>
  </si>
  <si>
    <t>FSN E-Commerce Ventures Limited</t>
  </si>
  <si>
    <t>INE388Y01029</t>
  </si>
  <si>
    <t>GMR Airports Limited</t>
  </si>
  <si>
    <t>INE776C01039</t>
  </si>
  <si>
    <t>SWIGGY LIMITED</t>
  </si>
  <si>
    <t>INE00H001014</t>
  </si>
  <si>
    <t>HCL Technologies Limited</t>
  </si>
  <si>
    <t>INE860A01027</t>
  </si>
  <si>
    <t>Glenmark Pharmaceuticals Ltd</t>
  </si>
  <si>
    <t>INE935A01035</t>
  </si>
  <si>
    <t>Asian Paints Limited</t>
  </si>
  <si>
    <t>INE021A01026</t>
  </si>
  <si>
    <t>Tube Investments of India Limited</t>
  </si>
  <si>
    <t>INE974X01010</t>
  </si>
  <si>
    <t>JSW Steel Limited</t>
  </si>
  <si>
    <t>INE019A01038</t>
  </si>
  <si>
    <t>APL Apollo Tubes Limited</t>
  </si>
  <si>
    <t>INE702C01027</t>
  </si>
  <si>
    <t>Grasim Industries Ltd</t>
  </si>
  <si>
    <t>INE047A01021</t>
  </si>
  <si>
    <t>The Phoenix Mills Limited</t>
  </si>
  <si>
    <t>INE211B01039</t>
  </si>
  <si>
    <t>Realty</t>
  </si>
  <si>
    <t>KEI Industries Ltd</t>
  </si>
  <si>
    <t>INE878B01027</t>
  </si>
  <si>
    <t>Bajaj Auto Limited</t>
  </si>
  <si>
    <t>INE917I01010</t>
  </si>
  <si>
    <t>Alkem Laboratories Limited</t>
  </si>
  <si>
    <t>INE540L01014</t>
  </si>
  <si>
    <t>JSW Energy Ltd</t>
  </si>
  <si>
    <t>INE121E01018</t>
  </si>
  <si>
    <t>Biocon Ltd</t>
  </si>
  <si>
    <t>INE376G01013</t>
  </si>
  <si>
    <t>NMDC Ltd</t>
  </si>
  <si>
    <t>INE584A01023</t>
  </si>
  <si>
    <t>Minerals &amp; Mining</t>
  </si>
  <si>
    <t>Waaree Energies Limited</t>
  </si>
  <si>
    <t>INE377N01017</t>
  </si>
  <si>
    <t>Mphasis Ltd</t>
  </si>
  <si>
    <t>INE356A01018</t>
  </si>
  <si>
    <t>Aditya Birla Capital Limited</t>
  </si>
  <si>
    <t>INE674K01013</t>
  </si>
  <si>
    <t>Havells India Ltd</t>
  </si>
  <si>
    <t>INE176B01034</t>
  </si>
  <si>
    <t>Steel Authority of India Ltd</t>
  </si>
  <si>
    <t>INE114A01011</t>
  </si>
  <si>
    <t>Indian Bank</t>
  </si>
  <si>
    <t>INE562A01011</t>
  </si>
  <si>
    <t>Coal India Ltd</t>
  </si>
  <si>
    <t>INE522F01014</t>
  </si>
  <si>
    <t>Consumable Fuels</t>
  </si>
  <si>
    <t>Sundaram Finance Ltd</t>
  </si>
  <si>
    <t>INE660A01013</t>
  </si>
  <si>
    <t>Oil and Natural Gas Corporation Ltd.</t>
  </si>
  <si>
    <t>INE213A01029</t>
  </si>
  <si>
    <t>Oil</t>
  </si>
  <si>
    <t>Bajaj Finserv Ltd.</t>
  </si>
  <si>
    <t>INE918I01026</t>
  </si>
  <si>
    <t>360 ONE WAM LIMITED</t>
  </si>
  <si>
    <t>INE466L01038</t>
  </si>
  <si>
    <t>Nestle India Limited</t>
  </si>
  <si>
    <t>INE239A01024</t>
  </si>
  <si>
    <t>Food Products</t>
  </si>
  <si>
    <t>Voltas Limited</t>
  </si>
  <si>
    <t>INE226A01021</t>
  </si>
  <si>
    <t>Adani Power Limited</t>
  </si>
  <si>
    <t>INE814H01029</t>
  </si>
  <si>
    <t>Interglobe Aviation Limited</t>
  </si>
  <si>
    <t>INE646L01027</t>
  </si>
  <si>
    <t>Transport Services</t>
  </si>
  <si>
    <t>Eicher Motors Ltd</t>
  </si>
  <si>
    <t>INE066A01021</t>
  </si>
  <si>
    <t>Radico Khaitan Ltd.</t>
  </si>
  <si>
    <t>INE944F01028</t>
  </si>
  <si>
    <t>Beverages</t>
  </si>
  <si>
    <t>Colgate-Palmolive (India) Ltd</t>
  </si>
  <si>
    <t>INE259A01022</t>
  </si>
  <si>
    <t>Personal Products</t>
  </si>
  <si>
    <t>Torrent Power Limited</t>
  </si>
  <si>
    <t>INE813H01021</t>
  </si>
  <si>
    <t>MANKIND PHARMA LIMITED</t>
  </si>
  <si>
    <t>INE634S01028</t>
  </si>
  <si>
    <t>Tech Mahindra Limited</t>
  </si>
  <si>
    <t>INE669C01036</t>
  </si>
  <si>
    <t>Godrej Properties Limited</t>
  </si>
  <si>
    <t>INE484J01027</t>
  </si>
  <si>
    <t>Trent Ltd</t>
  </si>
  <si>
    <t>INE849A01020</t>
  </si>
  <si>
    <t>Dabur India Limited</t>
  </si>
  <si>
    <t>INE016A01026</t>
  </si>
  <si>
    <t>Oil India Limited</t>
  </si>
  <si>
    <t>INE274J01014</t>
  </si>
  <si>
    <t>Vishal Mega Mart Limited</t>
  </si>
  <si>
    <t>INE01EA01019</t>
  </si>
  <si>
    <t>MRF Ltd</t>
  </si>
  <si>
    <t>INE883A01011</t>
  </si>
  <si>
    <t>NHPC Ltd</t>
  </si>
  <si>
    <t>INE848E01016</t>
  </si>
  <si>
    <t>L&amp;T Finance Limited</t>
  </si>
  <si>
    <t>INE498L01015</t>
  </si>
  <si>
    <t>Page Industries Ltd</t>
  </si>
  <si>
    <t>INE761H01022</t>
  </si>
  <si>
    <t>Textiles &amp; Apparels</t>
  </si>
  <si>
    <t>Oracle Financial Services Software Ltd</t>
  </si>
  <si>
    <t>INE881D01027</t>
  </si>
  <si>
    <t>Divi's Laboratories Limited</t>
  </si>
  <si>
    <t>INE361B01024</t>
  </si>
  <si>
    <t>Adani Enterprises Limited</t>
  </si>
  <si>
    <t>INE423A01024</t>
  </si>
  <si>
    <t>Metals &amp; Minerals Trading</t>
  </si>
  <si>
    <t>Apollo Hospitals Enterprise Ltd</t>
  </si>
  <si>
    <t>INE437A01024</t>
  </si>
  <si>
    <t>Prestige Estates Projects Ltd</t>
  </si>
  <si>
    <t>INE811K01011</t>
  </si>
  <si>
    <t>Tata Communications Limited</t>
  </si>
  <si>
    <t>INE151A01013</t>
  </si>
  <si>
    <t>Tata Motors Passenger Vehicles Limited</t>
  </si>
  <si>
    <t>INE155A01022</t>
  </si>
  <si>
    <t>SBI Life Insurance Company Limited</t>
  </si>
  <si>
    <t>INE123W01016</t>
  </si>
  <si>
    <t>Supreme Industries Ltd.</t>
  </si>
  <si>
    <t>INE195A01028</t>
  </si>
  <si>
    <t>Hindustan Aeronautics Limited</t>
  </si>
  <si>
    <t>INE066F01020</t>
  </si>
  <si>
    <t>Lloyds Metals And Energy Limited</t>
  </si>
  <si>
    <t>INE281B01032</t>
  </si>
  <si>
    <t>PI Industries Ltd</t>
  </si>
  <si>
    <t>INE603J01030</t>
  </si>
  <si>
    <t>Cummins India Ltd.</t>
  </si>
  <si>
    <t>INE298A01020</t>
  </si>
  <si>
    <t>Dr. Reddy's Laboratories Limited</t>
  </si>
  <si>
    <t>INE089A01031</t>
  </si>
  <si>
    <t>Tata Motors Limited</t>
  </si>
  <si>
    <t>INE1TAE01010</t>
  </si>
  <si>
    <t>Apar Industries Limited</t>
  </si>
  <si>
    <t>INE372A01015</t>
  </si>
  <si>
    <t>Cipla Limited</t>
  </si>
  <si>
    <t>INE059A01026</t>
  </si>
  <si>
    <t>TVS Motor Company Ltd</t>
  </si>
  <si>
    <t>INE494B01023</t>
  </si>
  <si>
    <t>Jio Financial Services Limited</t>
  </si>
  <si>
    <t>INE758E01017</t>
  </si>
  <si>
    <t>Jindal Stainless Limited</t>
  </si>
  <si>
    <t>INE220G01021</t>
  </si>
  <si>
    <t>JK Cement Limited</t>
  </si>
  <si>
    <t>INE823G01014</t>
  </si>
  <si>
    <t>Adani Total Gas Limited</t>
  </si>
  <si>
    <t>INE399L01023</t>
  </si>
  <si>
    <t>Gas</t>
  </si>
  <si>
    <t>Tata Consumer Products Ltd</t>
  </si>
  <si>
    <t>INE192A01025</t>
  </si>
  <si>
    <t>IPCA Laboratories Ltd</t>
  </si>
  <si>
    <t>INE571A01038</t>
  </si>
  <si>
    <t>Coromandel International Ltd</t>
  </si>
  <si>
    <t>INE169A01031</t>
  </si>
  <si>
    <t>Blue Star Limited</t>
  </si>
  <si>
    <t>INE472A01039</t>
  </si>
  <si>
    <t>Petronet LNG Limited</t>
  </si>
  <si>
    <t>INE347G01014</t>
  </si>
  <si>
    <t>Varun Beverages Limited</t>
  </si>
  <si>
    <t>INE200M01039</t>
  </si>
  <si>
    <t>Oberoi Realty Limited</t>
  </si>
  <si>
    <t>INE093I01010</t>
  </si>
  <si>
    <t>Mahindra &amp; Mahindra Financial Ser Ltd</t>
  </si>
  <si>
    <t>INE774D01024</t>
  </si>
  <si>
    <t>Max Healthcare Institute Limited</t>
  </si>
  <si>
    <t>INE027H01010</t>
  </si>
  <si>
    <t>UNO Minda Limited</t>
  </si>
  <si>
    <t>INE405E01023</t>
  </si>
  <si>
    <t>ICICI Prudential Life Insurance Co Ltd</t>
  </si>
  <si>
    <t>INE726G01019</t>
  </si>
  <si>
    <t>Tata Power Company Limited</t>
  </si>
  <si>
    <t>INE245A01021</t>
  </si>
  <si>
    <t>Nippon Life India Asset Management Ltd</t>
  </si>
  <si>
    <t>INE298J01013</t>
  </si>
  <si>
    <t>Astral Limited</t>
  </si>
  <si>
    <t>INE006I01046</t>
  </si>
  <si>
    <t>Thermax Ltd</t>
  </si>
  <si>
    <t>INE152A01029</t>
  </si>
  <si>
    <t>SBI Cards &amp; Payment Services Ltd</t>
  </si>
  <si>
    <t>INE018E01016</t>
  </si>
  <si>
    <t>Cholamandalam Investment &amp; Finance Co</t>
  </si>
  <si>
    <t>INE121A01024</t>
  </si>
  <si>
    <t>Life Insurance Corporation Of India</t>
  </si>
  <si>
    <t>INE0J1Y01017</t>
  </si>
  <si>
    <t>Samvardhana Motherson International Ltd</t>
  </si>
  <si>
    <t>INE775A01035</t>
  </si>
  <si>
    <t>HDFC Life Insurance Co Ltd</t>
  </si>
  <si>
    <t>INE795G01014</t>
  </si>
  <si>
    <t>Balkrishna Industries Limited</t>
  </si>
  <si>
    <t>INE787D01026</t>
  </si>
  <si>
    <t>CG Power and Industrial Solutions Ltd</t>
  </si>
  <si>
    <t>INE067A01029</t>
  </si>
  <si>
    <t>Exide Industries Limited</t>
  </si>
  <si>
    <t>INE302A01020</t>
  </si>
  <si>
    <t>AIA Engineering Ltd</t>
  </si>
  <si>
    <t>INE212H01026</t>
  </si>
  <si>
    <t>Power Finance Corporation Ltd.</t>
  </si>
  <si>
    <t>INE134E01011</t>
  </si>
  <si>
    <t>ITC Hotels Limited</t>
  </si>
  <si>
    <t>INE379A01028</t>
  </si>
  <si>
    <t>Leisure Services</t>
  </si>
  <si>
    <t>Britannia Industries Limited</t>
  </si>
  <si>
    <t>INE216A01030</t>
  </si>
  <si>
    <t>Bank of India</t>
  </si>
  <si>
    <t>INE084A01016</t>
  </si>
  <si>
    <t>Bharat Petroleum Corp Ltd</t>
  </si>
  <si>
    <t>INE029A01011</t>
  </si>
  <si>
    <t>Vedanta Limited</t>
  </si>
  <si>
    <t>INE205A01025</t>
  </si>
  <si>
    <t>Diversified Metals</t>
  </si>
  <si>
    <t>Jubilant Foodworks Limited</t>
  </si>
  <si>
    <t>INE797F01020</t>
  </si>
  <si>
    <t>Avenue Supermarts Limited</t>
  </si>
  <si>
    <t>INE192R01011</t>
  </si>
  <si>
    <t>Schaeffler India Ltd</t>
  </si>
  <si>
    <t>INE513A01022</t>
  </si>
  <si>
    <t>Wipro Ltd</t>
  </si>
  <si>
    <t>INE075A01022</t>
  </si>
  <si>
    <t>Bank of Maharashtra</t>
  </si>
  <si>
    <t>INE457A01014</t>
  </si>
  <si>
    <t>Indian Hotels Co Ltd</t>
  </si>
  <si>
    <t>INE053A01029</t>
  </si>
  <si>
    <t>LIC Housing Finance Ltd</t>
  </si>
  <si>
    <t>INE115A01026</t>
  </si>
  <si>
    <t>Container Corporation of India Ltd</t>
  </si>
  <si>
    <t>INE111A01025</t>
  </si>
  <si>
    <t>Patanjali Foods Limited</t>
  </si>
  <si>
    <t>INE619A01035</t>
  </si>
  <si>
    <t>Indian Railway Catering &amp; Tourism Corp</t>
  </si>
  <si>
    <t>INE335Y01020</t>
  </si>
  <si>
    <t>Lenskart Solutions Limited</t>
  </si>
  <si>
    <t>INE956O01016</t>
  </si>
  <si>
    <t>Gujarat Fluorochemicals Limited</t>
  </si>
  <si>
    <t>INE09N301011</t>
  </si>
  <si>
    <t>HDFC Asset Management Company Ltd</t>
  </si>
  <si>
    <t>INE127D01025</t>
  </si>
  <si>
    <t>Linde India Ltd.</t>
  </si>
  <si>
    <t>INE473A01011</t>
  </si>
  <si>
    <t>Tata Elxsi Limited</t>
  </si>
  <si>
    <t>INE670A01012</t>
  </si>
  <si>
    <t>Adani Energy Solutions Limited</t>
  </si>
  <si>
    <t>INE931S01010</t>
  </si>
  <si>
    <t>Indian Oil Corp Ltd</t>
  </si>
  <si>
    <t>INE242A01010</t>
  </si>
  <si>
    <t>Berger Paints (I) Limited</t>
  </si>
  <si>
    <t>INE463A01038</t>
  </si>
  <si>
    <t>Abbott India Ltd</t>
  </si>
  <si>
    <t>INE358A01014</t>
  </si>
  <si>
    <t>Rail Vikas Nigam Limited</t>
  </si>
  <si>
    <t>INE415G01027</t>
  </si>
  <si>
    <t>Dalmia Bharat Limited</t>
  </si>
  <si>
    <t>INE00R701025</t>
  </si>
  <si>
    <t>Bank of Baroda</t>
  </si>
  <si>
    <t>INE028A01039</t>
  </si>
  <si>
    <t>Adani Green Energy Limited</t>
  </si>
  <si>
    <t>INE364U01010</t>
  </si>
  <si>
    <t>Motilal Oswal Financial Services Limited</t>
  </si>
  <si>
    <t>INE338I01027</t>
  </si>
  <si>
    <t>Kalyan Jewellers India Limited</t>
  </si>
  <si>
    <t>INE303R01014</t>
  </si>
  <si>
    <t>LG Electronics India Limited</t>
  </si>
  <si>
    <t>INE324D01010</t>
  </si>
  <si>
    <t>Torrent Pharmaceuticals Ltd</t>
  </si>
  <si>
    <t>INE685A01028</t>
  </si>
  <si>
    <t>Pidilite Industries Ltd</t>
  </si>
  <si>
    <t>INE318A01026</t>
  </si>
  <si>
    <t>Apollo Tyres Ltd</t>
  </si>
  <si>
    <t>INE438A01022</t>
  </si>
  <si>
    <t>Authum Investment &amp; Infrastructure Ltd</t>
  </si>
  <si>
    <t>INE206F01022</t>
  </si>
  <si>
    <t>KPIT Technologies Limited</t>
  </si>
  <si>
    <t>INE04I401011</t>
  </si>
  <si>
    <t>Bajaj Holdings &amp; Investment Limited</t>
  </si>
  <si>
    <t>INE118A01012</t>
  </si>
  <si>
    <t>Jindal Steel Limited</t>
  </si>
  <si>
    <t>INE749A01030</t>
  </si>
  <si>
    <t>Solar Industries India Ltd</t>
  </si>
  <si>
    <t>INE343H01029</t>
  </si>
  <si>
    <t>Cochin Shipyard Limited</t>
  </si>
  <si>
    <t>INE704P01025</t>
  </si>
  <si>
    <t>Industrial Manufacturing</t>
  </si>
  <si>
    <t>GAIL (India) Limited</t>
  </si>
  <si>
    <t>INE129A01019</t>
  </si>
  <si>
    <t>Premier Energies Limited</t>
  </si>
  <si>
    <t>INE0BS701011</t>
  </si>
  <si>
    <t>ICICI Prudential AMC Ltd</t>
  </si>
  <si>
    <t>INE346A01027</t>
  </si>
  <si>
    <t>Ajanta Pharma Ltd</t>
  </si>
  <si>
    <t>INE031B01049</t>
  </si>
  <si>
    <t>Canara Bank</t>
  </si>
  <si>
    <t>INE476A01022</t>
  </si>
  <si>
    <t>HDB Financial Services Ltd</t>
  </si>
  <si>
    <t>INE756I01012</t>
  </si>
  <si>
    <t>Rural Electrification Corporation Ltd</t>
  </si>
  <si>
    <t>INE020B01018</t>
  </si>
  <si>
    <t>General Insurance Corporation of India</t>
  </si>
  <si>
    <t>INE481Y01014</t>
  </si>
  <si>
    <t>Godrej Consumer Products Limited</t>
  </si>
  <si>
    <t>INE102D01028</t>
  </si>
  <si>
    <t>NLC India Limited</t>
  </si>
  <si>
    <t>INE589A01014</t>
  </si>
  <si>
    <t>Billionbrains Garage Ventures Limited</t>
  </si>
  <si>
    <t>INE0HOQ01053</t>
  </si>
  <si>
    <t>Bharti Hexacom Limited</t>
  </si>
  <si>
    <t>INE343G01021</t>
  </si>
  <si>
    <t>Bharat Dynamics Limited</t>
  </si>
  <si>
    <t>INE171Z01026</t>
  </si>
  <si>
    <t>K.P.R. Mill Limited</t>
  </si>
  <si>
    <t>INE930H01031</t>
  </si>
  <si>
    <t>Adani Wilmar Limited</t>
  </si>
  <si>
    <t>INE699H01024</t>
  </si>
  <si>
    <t>ABB India Ltd</t>
  </si>
  <si>
    <t>INE117A01022</t>
  </si>
  <si>
    <t>Indian Renewable Energy Dev Agency Ltd</t>
  </si>
  <si>
    <t>INE202E01016</t>
  </si>
  <si>
    <t>DLF Limited</t>
  </si>
  <si>
    <t>INE271C01023</t>
  </si>
  <si>
    <t>LTIMindtree Limited</t>
  </si>
  <si>
    <t>INE214T01019</t>
  </si>
  <si>
    <t>United Spirits Limited</t>
  </si>
  <si>
    <t>INE854D01024</t>
  </si>
  <si>
    <t>Punjab National Bank</t>
  </si>
  <si>
    <t>INE160A01022</t>
  </si>
  <si>
    <t>Housing &amp; Urban Devlopment Company Ltd</t>
  </si>
  <si>
    <t>INE031A01017</t>
  </si>
  <si>
    <t>Global Health Limited</t>
  </si>
  <si>
    <t>INE474Q01031</t>
  </si>
  <si>
    <t>Muthoot Finance Ltd.</t>
  </si>
  <si>
    <t>INE414G01012</t>
  </si>
  <si>
    <t>CRISIL Limited</t>
  </si>
  <si>
    <t>INE007A01025</t>
  </si>
  <si>
    <t>NTPC Green Energy Limited</t>
  </si>
  <si>
    <t>INE0ONG01011</t>
  </si>
  <si>
    <t>Endurance Technologies Limited</t>
  </si>
  <si>
    <t>INE913H01037</t>
  </si>
  <si>
    <t>Siemens Energy India Limited</t>
  </si>
  <si>
    <t>INE1NPP01017</t>
  </si>
  <si>
    <t>UNITED BREWERIES LIMITED</t>
  </si>
  <si>
    <t>INE686F01025</t>
  </si>
  <si>
    <t>Siemens Ltd</t>
  </si>
  <si>
    <t>INE003A01024</t>
  </si>
  <si>
    <t>Escorts Kubota Limited</t>
  </si>
  <si>
    <t>INE042A01014</t>
  </si>
  <si>
    <t>L&amp;T Technology Services Limited</t>
  </si>
  <si>
    <t>INE010V01017</t>
  </si>
  <si>
    <t>IT - Services</t>
  </si>
  <si>
    <t>Shree Cements Ltd</t>
  </si>
  <si>
    <t>INE070A01015</t>
  </si>
  <si>
    <t>Bajaj Housing Finance Limited</t>
  </si>
  <si>
    <t>INE377Y01014</t>
  </si>
  <si>
    <t>Godfrey Philips India Ltd</t>
  </si>
  <si>
    <t>INE260B01028</t>
  </si>
  <si>
    <t>Cigarettes &amp; Tobacco Products</t>
  </si>
  <si>
    <t>3M India Limited</t>
  </si>
  <si>
    <t>INE470A01017</t>
  </si>
  <si>
    <t>Diversified</t>
  </si>
  <si>
    <t>Glaxosmithkline Pharmaceuticals Ltd</t>
  </si>
  <si>
    <t>INE159A01016</t>
  </si>
  <si>
    <t>Union Bank of India</t>
  </si>
  <si>
    <t>INE692A01016</t>
  </si>
  <si>
    <t>Tata Investment Corporation Limited</t>
  </si>
  <si>
    <t>INE672A01026</t>
  </si>
  <si>
    <t>JSW Infrastructure Limited</t>
  </si>
  <si>
    <t>INE880J01026</t>
  </si>
  <si>
    <t>Bosch Limited</t>
  </si>
  <si>
    <t>INE323A01026</t>
  </si>
  <si>
    <t>ACC Limited1</t>
  </si>
  <si>
    <t>INE012A01025</t>
  </si>
  <si>
    <t>Honeywell Automation India Limited</t>
  </si>
  <si>
    <t>INE671A01010</t>
  </si>
  <si>
    <t>Hindustan Zinc Limited</t>
  </si>
  <si>
    <t>INE267A01025</t>
  </si>
  <si>
    <t>Hyundai Motor India Limited</t>
  </si>
  <si>
    <t>INE0V6F01027</t>
  </si>
  <si>
    <t>Ambuja Cements Ltd</t>
  </si>
  <si>
    <t>INE079A01024</t>
  </si>
  <si>
    <t>Zydus Lifesciences Limited</t>
  </si>
  <si>
    <t>INE010B01027</t>
  </si>
  <si>
    <t>Hexaware Technologies Limited</t>
  </si>
  <si>
    <t>INE093A01041</t>
  </si>
  <si>
    <t>Lodha Developers Limited</t>
  </si>
  <si>
    <t>INE670K01029</t>
  </si>
  <si>
    <t>Indian Railway Finance Corp Ltd</t>
  </si>
  <si>
    <t>INE053F01010</t>
  </si>
  <si>
    <t>SJVN Limited</t>
  </si>
  <si>
    <t>INE002L01015</t>
  </si>
  <si>
    <t>Mazagon Dock Shipbuilders Limited</t>
  </si>
  <si>
    <t>INE249Z01020</t>
  </si>
  <si>
    <t>Godrej Industries Limited</t>
  </si>
  <si>
    <t>INE233A01035</t>
  </si>
  <si>
    <t>ANTHEM BIOSCIENCES LIMITED</t>
  </si>
  <si>
    <t>INE0CZ201020</t>
  </si>
  <si>
    <t>The New India Assurance Company Limited</t>
  </si>
  <si>
    <t>INE470Y01017</t>
  </si>
  <si>
    <t>Tata Capital Limited</t>
  </si>
  <si>
    <t>INE976I01016</t>
  </si>
  <si>
    <t>Vedanta Aluminium Metal Limited</t>
  </si>
  <si>
    <t>INE1CDF01017</t>
  </si>
  <si>
    <t>Aluminium</t>
  </si>
  <si>
    <t>Talwandi Sabo Power Limited</t>
  </si>
  <si>
    <t>INE694L01019</t>
  </si>
  <si>
    <t>Power Generation</t>
  </si>
  <si>
    <t>Malco Energy Limited</t>
  </si>
  <si>
    <t>INE704J01044</t>
  </si>
  <si>
    <t>Oil &amp; Gas</t>
  </si>
  <si>
    <t>Vedanta Iron and Steel Limited</t>
  </si>
  <si>
    <t>INE1CLE01013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</si>
  <si>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</si>
  <si>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</si>
  <si>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</si>
  <si>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</si>
  <si>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</si>
  <si>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</si>
  <si>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</si>
  <si>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</si>
  <si>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</si>
  <si>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</si>
  <si>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</si>
  <si>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</si>
  <si>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</si>
  <si>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</si>
  <si>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</si>
  <si>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</si>
  <si>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</si>
  <si>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</si>
  <si>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</si>
  <si>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</si>
  <si>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</si>
  <si>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</si>
  <si>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</si>
  <si>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</si>
  <si>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</si>
  <si>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</si>
  <si>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</si>
  <si>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</si>
  <si>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</si>
  <si>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</si>
  <si>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</si>
  <si>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</si>
  <si>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</si>
  <si>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</si>
  <si>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</si>
  <si>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</si>
  <si>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</si>
  <si>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</si>
  <si>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</si>
  <si>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</si>
  <si>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</si>
  <si>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</si>
  <si>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</si>
  <si>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</si>
  <si>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</si>
  <si>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</si>
  <si>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0.13 times.</t>
  </si>
  <si>
    <t>(8) Investment in Repo in Corporate Debt Securities during the month ended May 31, 2026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</si>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</sst>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i/>
      <sz val="9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7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1" fillId="0" borderId="26" xfId="0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7" xfId="0" applyFont="1" applyBorder="1"/>
    <xf numFmtId="0" fontId="5" fillId="0" borderId="26" xfId="0" applyFont="1" applyBorder="1"/>
    <xf numFmtId="49" fontId="4" fillId="3" borderId="23" xfId="0" applyNumberFormat="1" applyFont="1" applyFill="1" applyBorder="1"/>
    <xf numFmtId="49" fontId="7" fillId="0" borderId="19" xfId="0" applyNumberFormat="1" applyFont="1" applyBorder="1"/>
    <xf numFmtId="49" fontId="7" fillId="0" borderId="20" xfId="0" applyNumberFormat="1" applyFont="1" applyBorder="1"/>
    <xf numFmtId="3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10" fontId="7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165" fontId="1" fillId="0" borderId="31" xfId="0" applyNumberFormat="1" applyFont="1" applyBorder="1"/>
    <xf numFmtId="0" fontId="4" fillId="3" borderId="28" xfId="0" applyFont="1" applyFill="1" applyBorder="1"/>
    <xf numFmtId="0" fontId="4" fillId="3" borderId="32" xfId="0" applyFont="1" applyFill="1" applyBorder="1"/>
    <xf numFmtId="164" fontId="4" fillId="3" borderId="33" xfId="0" applyNumberFormat="1" applyFont="1" applyFill="1" applyBorder="1"/>
    <xf numFmtId="164" fontId="1" fillId="0" borderId="33" xfId="0" applyNumberFormat="1" applyFont="1" applyBorder="1"/>
    <xf numFmtId="168" fontId="5" fillId="0" borderId="34" xfId="0" applyNumberFormat="1" applyFont="1" applyBorder="1" applyAlignment="1">
      <alignment horizontal="right"/>
    </xf>
    <xf numFmtId="167" fontId="5" fillId="0" borderId="34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7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7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/>
    </xf>
    <xf numFmtId="49" fontId="7" fillId="3" borderId="35" xfId="0" applyNumberFormat="1" applyFont="1" applyFill="1" applyBorder="1" applyAlignment="1">
      <alignment horizontal="left"/>
    </xf>
    <xf numFmtId="0" fontId="7" fillId="0" borderId="36" xfId="0" applyFont="1" applyBorder="1" applyAlignment="1">
      <alignment horizontal="center"/>
    </xf>
    <xf numFmtId="0" fontId="10" fillId="0" borderId="0" xfId="0" applyFont="1"/>
    <xf numFmtId="0" fontId="4" fillId="0" borderId="37" xfId="0" applyFont="1" applyBorder="1"/>
    <xf numFmtId="0" fontId="1" fillId="0" borderId="24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6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342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366</xdr:row>
      <xdr:rowOff>171450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7"/>
  <sheetViews>
    <sheetView showGridLines="0" tabSelected="1" workbookViewId="0">
      <pane ySplit="4" topLeftCell="A379" activePane="bottomLeft" state="frozen"/>
      <selection pane="bottomLeft" activeCell="E356" sqref="E35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0" t="s">
        <v>0</v>
      </c>
      <c r="D1" s="91"/>
      <c r="E1" s="91"/>
      <c r="F1" s="91"/>
      <c r="G1" s="91"/>
      <c r="H1" s="91"/>
      <c r="I1" s="9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0" t="s">
        <v>1</v>
      </c>
      <c r="D2" s="91"/>
      <c r="E2" s="91"/>
      <c r="F2" s="91"/>
      <c r="G2" s="91"/>
      <c r="H2" s="91"/>
      <c r="I2" s="9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3"/>
      <c r="D3" s="94"/>
      <c r="E3" s="94"/>
      <c r="F3" s="94"/>
      <c r="G3" s="94"/>
      <c r="H3" s="94"/>
      <c r="I3" s="9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797350</v>
      </c>
      <c r="G8" s="34">
        <v>5936.669425</v>
      </c>
      <c r="H8" s="35">
        <f t="shared" ref="H8:H261" si="0">G8/$G$306</f>
        <v>4.1086193756760904E-2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372467</v>
      </c>
      <c r="G9" s="34">
        <v>4679.6753880000006</v>
      </c>
      <c r="H9" s="35">
        <f t="shared" si="0"/>
        <v>3.238685463947881E-2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351896</v>
      </c>
      <c r="G10" s="34">
        <v>4649.2499520000001</v>
      </c>
      <c r="H10" s="35">
        <f t="shared" si="0"/>
        <v>3.2176287860509148E-2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76159</v>
      </c>
      <c r="G11" s="34">
        <v>3157.628299</v>
      </c>
      <c r="H11" s="35">
        <f t="shared" si="0"/>
        <v>2.1853150111107177E-2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159912</v>
      </c>
      <c r="G12" s="34">
        <v>2924.7904800000001</v>
      </c>
      <c r="H12" s="35">
        <f t="shared" si="0"/>
        <v>2.0241738213208616E-2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61170</v>
      </c>
      <c r="G13" s="34">
        <v>2493.5950499999999</v>
      </c>
      <c r="H13" s="35">
        <f t="shared" si="0"/>
        <v>1.7257543252073512E-2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182665</v>
      </c>
      <c r="G14" s="34">
        <v>2120.5579849999999</v>
      </c>
      <c r="H14" s="35">
        <f t="shared" si="0"/>
        <v>1.4675847686121832E-2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216198</v>
      </c>
      <c r="G15" s="34">
        <v>2085.013512</v>
      </c>
      <c r="H15" s="35">
        <f t="shared" si="0"/>
        <v>1.4429853341462838E-2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149484</v>
      </c>
      <c r="G16" s="34">
        <v>1923.2611440000001</v>
      </c>
      <c r="H16" s="35">
        <f t="shared" si="0"/>
        <v>1.3310405944867586E-2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13</v>
      </c>
      <c r="F17" s="33">
        <v>383556</v>
      </c>
      <c r="G17" s="34">
        <v>1473.6221519999999</v>
      </c>
      <c r="H17" s="35">
        <f t="shared" si="0"/>
        <v>1.0198567736711558E-2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502151</v>
      </c>
      <c r="G18" s="34">
        <v>1440.6712190000001</v>
      </c>
      <c r="H18" s="35">
        <f t="shared" si="0"/>
        <v>9.9705226291293657E-3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46555</v>
      </c>
      <c r="G19" s="34">
        <v>1417.8790799999999</v>
      </c>
      <c r="H19" s="35">
        <f t="shared" si="0"/>
        <v>9.8127839760149497E-3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21</v>
      </c>
      <c r="F20" s="33">
        <v>47548</v>
      </c>
      <c r="G20" s="34">
        <v>1404.80566</v>
      </c>
      <c r="H20" s="35">
        <f t="shared" si="0"/>
        <v>9.7223061291398048E-3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13</v>
      </c>
      <c r="F21" s="33">
        <v>458769</v>
      </c>
      <c r="G21" s="34">
        <v>1325.6130255</v>
      </c>
      <c r="H21" s="35">
        <f t="shared" si="0"/>
        <v>9.1742338528777063E-3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2262264</v>
      </c>
      <c r="G22" s="34">
        <v>1289.2642536000001</v>
      </c>
      <c r="H22" s="35">
        <f t="shared" si="0"/>
        <v>8.9226731581193482E-3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139374</v>
      </c>
      <c r="G23" s="34">
        <v>1265.8643549999999</v>
      </c>
      <c r="H23" s="35">
        <f t="shared" si="0"/>
        <v>8.7607283538963712E-3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30</v>
      </c>
      <c r="F24" s="33">
        <v>53202</v>
      </c>
      <c r="G24" s="34">
        <v>1201.779978</v>
      </c>
      <c r="H24" s="35">
        <f t="shared" si="0"/>
        <v>8.3172165223102095E-3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49</v>
      </c>
      <c r="F25" s="33">
        <v>23093</v>
      </c>
      <c r="G25" s="34">
        <v>1188.9661980000001</v>
      </c>
      <c r="H25" s="35">
        <f t="shared" si="0"/>
        <v>8.2285355784767061E-3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42</v>
      </c>
      <c r="F26" s="33">
        <v>24192</v>
      </c>
      <c r="G26" s="34">
        <v>1186.1337599999999</v>
      </c>
      <c r="H26" s="35">
        <f t="shared" si="0"/>
        <v>8.2089329885157505E-3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59</v>
      </c>
      <c r="D27" s="31" t="s">
        <v>60</v>
      </c>
      <c r="E27" s="32" t="s">
        <v>49</v>
      </c>
      <c r="F27" s="33">
        <v>272057</v>
      </c>
      <c r="G27" s="34">
        <v>1133.7975475000001</v>
      </c>
      <c r="H27" s="35">
        <f t="shared" si="0"/>
        <v>7.8467272442957897E-3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61</v>
      </c>
      <c r="D28" s="31" t="s">
        <v>62</v>
      </c>
      <c r="E28" s="32" t="s">
        <v>13</v>
      </c>
      <c r="F28" s="33">
        <v>122742</v>
      </c>
      <c r="G28" s="34">
        <v>1122.291477</v>
      </c>
      <c r="H28" s="35">
        <f t="shared" si="0"/>
        <v>7.7670966285247334E-3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63</v>
      </c>
      <c r="D29" s="31" t="s">
        <v>64</v>
      </c>
      <c r="E29" s="32" t="s">
        <v>65</v>
      </c>
      <c r="F29" s="33">
        <v>63500</v>
      </c>
      <c r="G29" s="34">
        <v>1081.0875000000001</v>
      </c>
      <c r="H29" s="35">
        <f t="shared" si="0"/>
        <v>7.4819342822027273E-3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1" t="s">
        <v>67</v>
      </c>
      <c r="E30" s="32" t="s">
        <v>24</v>
      </c>
      <c r="F30" s="33">
        <v>241234</v>
      </c>
      <c r="G30" s="34">
        <v>1066.3748969999999</v>
      </c>
      <c r="H30" s="35">
        <f t="shared" si="0"/>
        <v>7.3801120626634763E-3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68</v>
      </c>
      <c r="D31" s="31" t="s">
        <v>69</v>
      </c>
      <c r="E31" s="32" t="s">
        <v>30</v>
      </c>
      <c r="F31" s="33">
        <v>20277</v>
      </c>
      <c r="G31" s="34">
        <v>1053.2482109999999</v>
      </c>
      <c r="H31" s="35">
        <f t="shared" si="0"/>
        <v>7.2892655752190179E-3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70</v>
      </c>
      <c r="D32" s="31" t="s">
        <v>71</v>
      </c>
      <c r="E32" s="32" t="s">
        <v>13</v>
      </c>
      <c r="F32" s="33">
        <v>105417</v>
      </c>
      <c r="G32" s="34">
        <v>1038.041199</v>
      </c>
      <c r="H32" s="35">
        <f t="shared" si="0"/>
        <v>7.1840216755229549E-3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72</v>
      </c>
      <c r="D33" s="31" t="s">
        <v>73</v>
      </c>
      <c r="E33" s="32" t="s">
        <v>74</v>
      </c>
      <c r="F33" s="33">
        <v>45202</v>
      </c>
      <c r="G33" s="34">
        <v>1025.045754</v>
      </c>
      <c r="H33" s="35">
        <f t="shared" si="0"/>
        <v>7.0940834739823952E-3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75</v>
      </c>
      <c r="D34" s="31" t="s">
        <v>76</v>
      </c>
      <c r="E34" s="32" t="s">
        <v>39</v>
      </c>
      <c r="F34" s="33">
        <v>46233</v>
      </c>
      <c r="G34" s="34">
        <v>995.627655</v>
      </c>
      <c r="H34" s="35">
        <f t="shared" si="0"/>
        <v>6.890488220660778E-3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77</v>
      </c>
      <c r="D35" s="31" t="s">
        <v>78</v>
      </c>
      <c r="E35" s="32" t="s">
        <v>74</v>
      </c>
      <c r="F35" s="33">
        <v>55163</v>
      </c>
      <c r="G35" s="34">
        <v>992.49269599999991</v>
      </c>
      <c r="H35" s="35">
        <f t="shared" si="0"/>
        <v>6.8687919590580864E-3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79</v>
      </c>
      <c r="D36" s="31" t="s">
        <v>80</v>
      </c>
      <c r="E36" s="32" t="s">
        <v>74</v>
      </c>
      <c r="F36" s="33">
        <v>72514</v>
      </c>
      <c r="G36" s="34">
        <v>987.64067999999997</v>
      </c>
      <c r="H36" s="35">
        <f t="shared" si="0"/>
        <v>6.8352123784522646E-3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81</v>
      </c>
      <c r="D37" s="31" t="s">
        <v>82</v>
      </c>
      <c r="E37" s="32" t="s">
        <v>83</v>
      </c>
      <c r="F37" s="33">
        <v>49679</v>
      </c>
      <c r="G37" s="34">
        <v>972.31738799999994</v>
      </c>
      <c r="H37" s="35">
        <f t="shared" si="0"/>
        <v>6.7291637341649127E-3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84</v>
      </c>
      <c r="D38" s="31" t="s">
        <v>85</v>
      </c>
      <c r="E38" s="32" t="s">
        <v>86</v>
      </c>
      <c r="F38" s="33">
        <v>246994</v>
      </c>
      <c r="G38" s="34">
        <v>955.61978599999998</v>
      </c>
      <c r="H38" s="35">
        <f t="shared" si="0"/>
        <v>6.6136038365300067E-3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87</v>
      </c>
      <c r="D39" s="31" t="s">
        <v>88</v>
      </c>
      <c r="E39" s="32" t="s">
        <v>89</v>
      </c>
      <c r="F39" s="33">
        <v>375288</v>
      </c>
      <c r="G39" s="34">
        <v>940.39667040000006</v>
      </c>
      <c r="H39" s="35">
        <f t="shared" si="0"/>
        <v>6.5082484878745328E-3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90</v>
      </c>
      <c r="D40" s="31" t="s">
        <v>91</v>
      </c>
      <c r="E40" s="32" t="s">
        <v>92</v>
      </c>
      <c r="F40" s="33">
        <v>9835</v>
      </c>
      <c r="G40" s="34">
        <v>932.11212499999999</v>
      </c>
      <c r="H40" s="35">
        <f t="shared" si="0"/>
        <v>6.4509132358799206E-3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93</v>
      </c>
      <c r="D41" s="31" t="s">
        <v>94</v>
      </c>
      <c r="E41" s="32" t="s">
        <v>30</v>
      </c>
      <c r="F41" s="33">
        <v>64847</v>
      </c>
      <c r="G41" s="34">
        <v>921.99464599999999</v>
      </c>
      <c r="H41" s="35">
        <f t="shared" si="0"/>
        <v>6.380892712120681E-3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49</v>
      </c>
      <c r="F42" s="33">
        <v>2370</v>
      </c>
      <c r="G42" s="34">
        <v>911.14649999999995</v>
      </c>
      <c r="H42" s="35">
        <f t="shared" si="0"/>
        <v>6.3058154260955072E-3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1" t="s">
        <v>98</v>
      </c>
      <c r="E43" s="32" t="s">
        <v>99</v>
      </c>
      <c r="F43" s="33">
        <v>97123</v>
      </c>
      <c r="G43" s="34">
        <v>901.73849349999989</v>
      </c>
      <c r="H43" s="35">
        <f t="shared" si="0"/>
        <v>6.2407049828061929E-3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100</v>
      </c>
      <c r="D44" s="31" t="s">
        <v>101</v>
      </c>
      <c r="E44" s="32" t="s">
        <v>42</v>
      </c>
      <c r="F44" s="33">
        <v>6836</v>
      </c>
      <c r="G44" s="34">
        <v>897.36171999999999</v>
      </c>
      <c r="H44" s="35">
        <f t="shared" si="0"/>
        <v>6.2104144358383611E-3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1" t="s">
        <v>103</v>
      </c>
      <c r="E45" s="32" t="s">
        <v>104</v>
      </c>
      <c r="F45" s="33">
        <v>430617</v>
      </c>
      <c r="G45" s="34">
        <v>895.76948340000001</v>
      </c>
      <c r="H45" s="35">
        <f t="shared" si="0"/>
        <v>6.199394967383756E-3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107</v>
      </c>
      <c r="F46" s="33">
        <v>7690</v>
      </c>
      <c r="G46" s="34">
        <v>886.19560000000001</v>
      </c>
      <c r="H46" s="35">
        <f t="shared" si="0"/>
        <v>6.1331365318507657E-3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13</v>
      </c>
      <c r="F47" s="33">
        <v>1234612</v>
      </c>
      <c r="G47" s="34">
        <v>880.52527840000005</v>
      </c>
      <c r="H47" s="35">
        <f t="shared" si="0"/>
        <v>6.0938936643028995E-3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65</v>
      </c>
      <c r="F48" s="33">
        <v>78382</v>
      </c>
      <c r="G48" s="34">
        <v>876.93781599999988</v>
      </c>
      <c r="H48" s="35">
        <f t="shared" si="0"/>
        <v>6.0690657406457724E-3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107</v>
      </c>
      <c r="F49" s="33">
        <v>21498</v>
      </c>
      <c r="G49" s="34">
        <v>876.02200200000004</v>
      </c>
      <c r="H49" s="35">
        <f t="shared" si="0"/>
        <v>6.0627276226278316E-3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1" t="s">
        <v>115</v>
      </c>
      <c r="E50" s="32" t="s">
        <v>116</v>
      </c>
      <c r="F50" s="33">
        <v>75411</v>
      </c>
      <c r="G50" s="34">
        <v>849.65573700000004</v>
      </c>
      <c r="H50" s="35">
        <f t="shared" si="0"/>
        <v>5.8802533437215063E-3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117</v>
      </c>
      <c r="D51" s="31" t="s">
        <v>118</v>
      </c>
      <c r="E51" s="32" t="s">
        <v>119</v>
      </c>
      <c r="F51" s="33">
        <v>533248</v>
      </c>
      <c r="G51" s="34">
        <v>828.8806912</v>
      </c>
      <c r="H51" s="35">
        <f t="shared" si="0"/>
        <v>5.7364744845770322E-3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122</v>
      </c>
      <c r="F52" s="33">
        <v>49432</v>
      </c>
      <c r="G52" s="34">
        <v>827.49167999999997</v>
      </c>
      <c r="H52" s="35">
        <f t="shared" si="0"/>
        <v>5.7268614879272288E-3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1" t="s">
        <v>124</v>
      </c>
      <c r="E53" s="32" t="s">
        <v>125</v>
      </c>
      <c r="F53" s="33">
        <v>98634</v>
      </c>
      <c r="G53" s="34">
        <v>810.47557799999993</v>
      </c>
      <c r="H53" s="35">
        <f t="shared" si="0"/>
        <v>5.6090973320163905E-3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122</v>
      </c>
      <c r="F54" s="33">
        <v>45202</v>
      </c>
      <c r="G54" s="34">
        <v>810.11024400000008</v>
      </c>
      <c r="H54" s="35">
        <f t="shared" si="0"/>
        <v>5.6065689474230499E-3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130</v>
      </c>
      <c r="F55" s="33">
        <v>186604</v>
      </c>
      <c r="G55" s="34">
        <v>766.47592999999995</v>
      </c>
      <c r="H55" s="35">
        <f t="shared" si="0"/>
        <v>5.304586850879524E-3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13</v>
      </c>
      <c r="F56" s="33">
        <v>3272897</v>
      </c>
      <c r="G56" s="34">
        <v>757.67565549999995</v>
      </c>
      <c r="H56" s="35">
        <f t="shared" si="0"/>
        <v>5.2436823676861241E-3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74</v>
      </c>
      <c r="F57" s="33">
        <v>52098</v>
      </c>
      <c r="G57" s="34">
        <v>743.12587200000007</v>
      </c>
      <c r="H57" s="35">
        <f t="shared" si="0"/>
        <v>5.1429869808952526E-3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137</v>
      </c>
      <c r="F58" s="33">
        <v>27055</v>
      </c>
      <c r="G58" s="34">
        <v>734.75968999999998</v>
      </c>
      <c r="H58" s="35">
        <f t="shared" si="0"/>
        <v>5.0850867425547407E-3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24</v>
      </c>
      <c r="F59" s="33">
        <v>5145717</v>
      </c>
      <c r="G59" s="34">
        <v>719.88580830000001</v>
      </c>
      <c r="H59" s="35">
        <f t="shared" si="0"/>
        <v>4.9821483537558159E-3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116</v>
      </c>
      <c r="F60" s="33">
        <v>167131</v>
      </c>
      <c r="G60" s="34">
        <v>709.38752950000003</v>
      </c>
      <c r="H60" s="35">
        <f t="shared" si="0"/>
        <v>4.9094924104969746E-3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89</v>
      </c>
      <c r="F61" s="33">
        <v>71216</v>
      </c>
      <c r="G61" s="34">
        <v>708.5992</v>
      </c>
      <c r="H61" s="35">
        <f t="shared" si="0"/>
        <v>4.9040365805926222E-3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146</v>
      </c>
      <c r="F62" s="33">
        <v>6169</v>
      </c>
      <c r="G62" s="34">
        <v>708.32457999999997</v>
      </c>
      <c r="H62" s="35">
        <f t="shared" si="0"/>
        <v>4.9021360047441561E-3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147</v>
      </c>
      <c r="D63" s="31" t="s">
        <v>148</v>
      </c>
      <c r="E63" s="32" t="s">
        <v>18</v>
      </c>
      <c r="F63" s="33">
        <v>178975</v>
      </c>
      <c r="G63" s="34">
        <v>704.89303749999999</v>
      </c>
      <c r="H63" s="35">
        <f t="shared" si="0"/>
        <v>4.8783871634416843E-3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149</v>
      </c>
      <c r="D64" s="31" t="s">
        <v>150</v>
      </c>
      <c r="E64" s="32" t="s">
        <v>151</v>
      </c>
      <c r="F64" s="33">
        <v>38435</v>
      </c>
      <c r="G64" s="34">
        <v>693.59801000000004</v>
      </c>
      <c r="H64" s="35">
        <f t="shared" si="0"/>
        <v>4.800217123115927E-3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52</v>
      </c>
      <c r="F65" s="33">
        <v>72960</v>
      </c>
      <c r="G65" s="34">
        <v>691.04064000000005</v>
      </c>
      <c r="H65" s="35">
        <f t="shared" si="0"/>
        <v>4.7825182094985959E-3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86</v>
      </c>
      <c r="F66" s="33">
        <v>235960</v>
      </c>
      <c r="G66" s="34">
        <v>685.58177999999998</v>
      </c>
      <c r="H66" s="35">
        <f t="shared" si="0"/>
        <v>4.7447388144211894E-3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158</v>
      </c>
      <c r="F67" s="33">
        <v>104520</v>
      </c>
      <c r="G67" s="34">
        <v>673.94496000000004</v>
      </c>
      <c r="H67" s="35">
        <f t="shared" si="0"/>
        <v>4.6642033142939359E-3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89</v>
      </c>
      <c r="F68" s="33">
        <v>254850</v>
      </c>
      <c r="G68" s="34">
        <v>668.47154999999998</v>
      </c>
      <c r="H68" s="35">
        <f t="shared" si="0"/>
        <v>4.6263232223313971E-3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151</v>
      </c>
      <c r="F69" s="33">
        <v>665031</v>
      </c>
      <c r="G69" s="34">
        <v>667.49161470000001</v>
      </c>
      <c r="H69" s="35">
        <f t="shared" si="0"/>
        <v>4.619541336947087E-3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89</v>
      </c>
      <c r="F70" s="33">
        <v>255742</v>
      </c>
      <c r="G70" s="34">
        <v>659.55861800000002</v>
      </c>
      <c r="H70" s="35">
        <f t="shared" si="0"/>
        <v>4.5646390649567705E-3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30</v>
      </c>
      <c r="F71" s="33">
        <v>54977</v>
      </c>
      <c r="G71" s="34">
        <v>650.81772599999999</v>
      </c>
      <c r="H71" s="35">
        <f t="shared" si="0"/>
        <v>4.5041455530885526E-3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74</v>
      </c>
      <c r="F72" s="33">
        <v>28061</v>
      </c>
      <c r="G72" s="34">
        <v>638.359689</v>
      </c>
      <c r="H72" s="35">
        <f t="shared" si="0"/>
        <v>4.4179266169531804E-3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107</v>
      </c>
      <c r="F73" s="33">
        <v>23556</v>
      </c>
      <c r="G73" s="34">
        <v>629.32209599999999</v>
      </c>
      <c r="H73" s="35">
        <f t="shared" si="0"/>
        <v>4.355379712197279E-3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83</v>
      </c>
      <c r="F74" s="33">
        <v>19912</v>
      </c>
      <c r="G74" s="34">
        <v>625.51556799999992</v>
      </c>
      <c r="H74" s="35">
        <f t="shared" si="0"/>
        <v>4.329035690700994E-3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104</v>
      </c>
      <c r="F75" s="33">
        <v>48847</v>
      </c>
      <c r="G75" s="34">
        <v>624.26466000000005</v>
      </c>
      <c r="H75" s="35">
        <f t="shared" si="0"/>
        <v>4.3203784715128328E-3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92</v>
      </c>
      <c r="F76" s="33">
        <v>33902</v>
      </c>
      <c r="G76" s="34">
        <v>620.77952200000004</v>
      </c>
      <c r="H76" s="35">
        <f t="shared" si="0"/>
        <v>4.2962587092545447E-3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1" t="s">
        <v>178</v>
      </c>
      <c r="E77" s="32" t="s">
        <v>146</v>
      </c>
      <c r="F77" s="33">
        <v>19834</v>
      </c>
      <c r="G77" s="34">
        <v>619.29681600000004</v>
      </c>
      <c r="H77" s="35">
        <f t="shared" si="0"/>
        <v>4.2859972744938727E-3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179</v>
      </c>
      <c r="D78" s="31" t="s">
        <v>180</v>
      </c>
      <c r="E78" s="32" t="s">
        <v>181</v>
      </c>
      <c r="F78" s="33">
        <v>34781</v>
      </c>
      <c r="G78" s="34">
        <v>616.04107199999999</v>
      </c>
      <c r="H78" s="35">
        <f t="shared" si="0"/>
        <v>4.2634650903296155E-3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1" t="s">
        <v>183</v>
      </c>
      <c r="E79" s="32" t="s">
        <v>92</v>
      </c>
      <c r="F79" s="33">
        <v>11501</v>
      </c>
      <c r="G79" s="34">
        <v>605.81517499999995</v>
      </c>
      <c r="H79" s="35">
        <f t="shared" si="0"/>
        <v>4.1926942329008005E-3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184</v>
      </c>
      <c r="D80" s="31" t="s">
        <v>185</v>
      </c>
      <c r="E80" s="32" t="s">
        <v>42</v>
      </c>
      <c r="F80" s="33">
        <v>5772</v>
      </c>
      <c r="G80" s="34">
        <v>603.75120000000004</v>
      </c>
      <c r="H80" s="35">
        <f t="shared" si="0"/>
        <v>4.1784099818016904E-3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74</v>
      </c>
      <c r="F81" s="33">
        <v>10905</v>
      </c>
      <c r="G81" s="34">
        <v>599.55690000000004</v>
      </c>
      <c r="H81" s="35">
        <f t="shared" si="0"/>
        <v>4.1493822879657685E-3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86</v>
      </c>
      <c r="F82" s="33">
        <v>100460</v>
      </c>
      <c r="G82" s="34">
        <v>597.78723000000002</v>
      </c>
      <c r="H82" s="35">
        <f t="shared" si="0"/>
        <v>4.137134847641848E-3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74</v>
      </c>
      <c r="F83" s="33">
        <v>133014</v>
      </c>
      <c r="G83" s="34">
        <v>570.16451100000006</v>
      </c>
      <c r="H83" s="35">
        <f t="shared" si="0"/>
        <v>3.945964967078293E-3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194</v>
      </c>
      <c r="F84" s="33">
        <v>644179</v>
      </c>
      <c r="G84" s="34">
        <v>566.81310210000004</v>
      </c>
      <c r="H84" s="35">
        <f t="shared" si="0"/>
        <v>3.9227707102372977E-3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1" t="s">
        <v>196</v>
      </c>
      <c r="E85" s="32" t="s">
        <v>49</v>
      </c>
      <c r="F85" s="33">
        <v>17857</v>
      </c>
      <c r="G85" s="34">
        <v>560.85265600000002</v>
      </c>
      <c r="H85" s="35">
        <f t="shared" si="0"/>
        <v>3.8815199641017524E-3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30</v>
      </c>
      <c r="F86" s="33">
        <v>24663</v>
      </c>
      <c r="G86" s="34">
        <v>560.195382</v>
      </c>
      <c r="H86" s="35">
        <f t="shared" si="0"/>
        <v>3.8769711363025217E-3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52</v>
      </c>
      <c r="F87" s="33">
        <v>153663</v>
      </c>
      <c r="G87" s="34">
        <v>558.25767899999994</v>
      </c>
      <c r="H87" s="35">
        <f t="shared" si="0"/>
        <v>3.8635607819099056E-3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201</v>
      </c>
      <c r="D88" s="31" t="s">
        <v>202</v>
      </c>
      <c r="E88" s="32" t="s">
        <v>107</v>
      </c>
      <c r="F88" s="33">
        <v>47007</v>
      </c>
      <c r="G88" s="34">
        <v>553.17837600000007</v>
      </c>
      <c r="H88" s="35">
        <f t="shared" si="0"/>
        <v>3.82840820522634E-3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1" t="s">
        <v>204</v>
      </c>
      <c r="E89" s="32" t="s">
        <v>104</v>
      </c>
      <c r="F89" s="33">
        <v>269437</v>
      </c>
      <c r="G89" s="34">
        <v>550.64839689999997</v>
      </c>
      <c r="H89" s="35">
        <f t="shared" si="0"/>
        <v>3.8108988571286628E-3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205</v>
      </c>
      <c r="D90" s="31" t="s">
        <v>206</v>
      </c>
      <c r="E90" s="32" t="s">
        <v>13</v>
      </c>
      <c r="F90" s="33">
        <v>65863</v>
      </c>
      <c r="G90" s="34">
        <v>548.63878999999997</v>
      </c>
      <c r="H90" s="35">
        <f t="shared" si="0"/>
        <v>3.7969908739553665E-3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207</v>
      </c>
      <c r="D91" s="31" t="s">
        <v>208</v>
      </c>
      <c r="E91" s="32" t="s">
        <v>209</v>
      </c>
      <c r="F91" s="33">
        <v>118286</v>
      </c>
      <c r="G91" s="34">
        <v>541.63159399999995</v>
      </c>
      <c r="H91" s="35">
        <f t="shared" si="0"/>
        <v>3.7484958354182325E-3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52</v>
      </c>
      <c r="F92" s="33">
        <v>12833</v>
      </c>
      <c r="G92" s="34">
        <v>537.56153700000004</v>
      </c>
      <c r="H92" s="35">
        <f t="shared" si="0"/>
        <v>3.7203279960908715E-3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1" t="s">
        <v>213</v>
      </c>
      <c r="E93" s="32" t="s">
        <v>214</v>
      </c>
      <c r="F93" s="33">
        <v>202383</v>
      </c>
      <c r="G93" s="34">
        <v>537.12448200000006</v>
      </c>
      <c r="H93" s="35">
        <f t="shared" si="0"/>
        <v>3.7173032485216802E-3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1" t="s">
        <v>216</v>
      </c>
      <c r="E94" s="32" t="s">
        <v>52</v>
      </c>
      <c r="F94" s="33">
        <v>30070</v>
      </c>
      <c r="G94" s="34">
        <v>536.32852000000003</v>
      </c>
      <c r="H94" s="35">
        <f t="shared" si="0"/>
        <v>3.7117945960073082E-3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21</v>
      </c>
      <c r="F95" s="33">
        <v>48424</v>
      </c>
      <c r="G95" s="34">
        <v>534.84307999999999</v>
      </c>
      <c r="H95" s="35">
        <f t="shared" si="0"/>
        <v>3.701514239921279E-3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221</v>
      </c>
      <c r="F96" s="33">
        <v>37354</v>
      </c>
      <c r="G96" s="34">
        <v>530.98711000000003</v>
      </c>
      <c r="H96" s="35">
        <f t="shared" si="0"/>
        <v>3.6748280427964901E-3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107</v>
      </c>
      <c r="F97" s="33">
        <v>42463</v>
      </c>
      <c r="G97" s="34">
        <v>528.961591</v>
      </c>
      <c r="H97" s="35">
        <f t="shared" si="0"/>
        <v>3.6608099359870475E-3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224</v>
      </c>
      <c r="D98" s="31" t="s">
        <v>225</v>
      </c>
      <c r="E98" s="32" t="s">
        <v>86</v>
      </c>
      <c r="F98" s="33">
        <v>215490</v>
      </c>
      <c r="G98" s="34">
        <v>524.43801299999996</v>
      </c>
      <c r="H98" s="35">
        <f t="shared" si="0"/>
        <v>3.6295033920519652E-3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226</v>
      </c>
      <c r="D99" s="31" t="s">
        <v>227</v>
      </c>
      <c r="E99" s="32" t="s">
        <v>228</v>
      </c>
      <c r="F99" s="33">
        <v>11785</v>
      </c>
      <c r="G99" s="34">
        <v>519.12924999999996</v>
      </c>
      <c r="H99" s="35">
        <f t="shared" si="0"/>
        <v>3.5927627805049911E-3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42</v>
      </c>
      <c r="F100" s="33">
        <v>7169</v>
      </c>
      <c r="G100" s="34">
        <v>514.51913000000002</v>
      </c>
      <c r="H100" s="35">
        <f t="shared" si="0"/>
        <v>3.5608573011861868E-3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233</v>
      </c>
      <c r="F101" s="33">
        <v>14590</v>
      </c>
      <c r="G101" s="34">
        <v>513.36374000000001</v>
      </c>
      <c r="H101" s="35">
        <f t="shared" si="0"/>
        <v>3.5528611380168649E-3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234</v>
      </c>
      <c r="D102" s="31" t="s">
        <v>235</v>
      </c>
      <c r="E102" s="32" t="s">
        <v>236</v>
      </c>
      <c r="F102" s="33">
        <v>24545</v>
      </c>
      <c r="G102" s="34">
        <v>505.60245500000002</v>
      </c>
      <c r="H102" s="35">
        <f t="shared" si="0"/>
        <v>3.4991472394513504E-3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237</v>
      </c>
      <c r="D103" s="31" t="s">
        <v>238</v>
      </c>
      <c r="E103" s="32" t="s">
        <v>86</v>
      </c>
      <c r="F103" s="33">
        <v>35427</v>
      </c>
      <c r="G103" s="34">
        <v>503.16968100000003</v>
      </c>
      <c r="H103" s="35">
        <f t="shared" si="0"/>
        <v>3.4823106233666658E-3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239</v>
      </c>
      <c r="D104" s="31" t="s">
        <v>240</v>
      </c>
      <c r="E104" s="32" t="s">
        <v>74</v>
      </c>
      <c r="F104" s="33">
        <v>21087</v>
      </c>
      <c r="G104" s="34">
        <v>500.94277200000005</v>
      </c>
      <c r="H104" s="35">
        <f t="shared" si="0"/>
        <v>3.4668987470935189E-3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241</v>
      </c>
      <c r="D105" s="31" t="s">
        <v>242</v>
      </c>
      <c r="E105" s="32" t="s">
        <v>30</v>
      </c>
      <c r="F105" s="33">
        <v>33075</v>
      </c>
      <c r="G105" s="34">
        <v>490.79992499999997</v>
      </c>
      <c r="H105" s="35">
        <f t="shared" si="0"/>
        <v>3.3967026577959945E-3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243</v>
      </c>
      <c r="D106" s="31" t="s">
        <v>244</v>
      </c>
      <c r="E106" s="32" t="s">
        <v>181</v>
      </c>
      <c r="F106" s="33">
        <v>27735</v>
      </c>
      <c r="G106" s="34">
        <v>488.88484499999998</v>
      </c>
      <c r="H106" s="35">
        <f t="shared" si="0"/>
        <v>3.3834488714880769E-3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245</v>
      </c>
      <c r="D107" s="31" t="s">
        <v>246</v>
      </c>
      <c r="E107" s="32" t="s">
        <v>89</v>
      </c>
      <c r="F107" s="33">
        <v>11559</v>
      </c>
      <c r="G107" s="34">
        <v>488.25216</v>
      </c>
      <c r="H107" s="35">
        <f t="shared" si="0"/>
        <v>3.3790702179643472E-3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247</v>
      </c>
      <c r="D108" s="31" t="s">
        <v>248</v>
      </c>
      <c r="E108" s="32" t="s">
        <v>236</v>
      </c>
      <c r="F108" s="33">
        <v>110045</v>
      </c>
      <c r="G108" s="34">
        <v>487.93952999999999</v>
      </c>
      <c r="H108" s="35">
        <f t="shared" si="0"/>
        <v>3.3769065844798741E-3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249</v>
      </c>
      <c r="D109" s="31" t="s">
        <v>250</v>
      </c>
      <c r="E109" s="32" t="s">
        <v>214</v>
      </c>
      <c r="F109" s="33">
        <v>101652</v>
      </c>
      <c r="G109" s="34">
        <v>484.01599799999997</v>
      </c>
      <c r="H109" s="35">
        <f t="shared" si="0"/>
        <v>3.3497528077706625E-3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251</v>
      </c>
      <c r="D110" s="31" t="s">
        <v>252</v>
      </c>
      <c r="E110" s="32" t="s">
        <v>89</v>
      </c>
      <c r="F110" s="33">
        <v>397011</v>
      </c>
      <c r="G110" s="34">
        <v>483.44029469999998</v>
      </c>
      <c r="H110" s="35">
        <f t="shared" si="0"/>
        <v>3.3457685102400306E-3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253</v>
      </c>
      <c r="D111" s="31" t="s">
        <v>254</v>
      </c>
      <c r="E111" s="32" t="s">
        <v>83</v>
      </c>
      <c r="F111" s="33">
        <v>378</v>
      </c>
      <c r="G111" s="34">
        <v>466.52760000000001</v>
      </c>
      <c r="H111" s="35">
        <f t="shared" si="0"/>
        <v>3.2287200102061684E-3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86</v>
      </c>
      <c r="F112" s="33">
        <v>589599</v>
      </c>
      <c r="G112" s="34">
        <v>465.0167313</v>
      </c>
      <c r="H112" s="35">
        <f t="shared" si="0"/>
        <v>3.2182636684924427E-3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52</v>
      </c>
      <c r="F113" s="33">
        <v>158791</v>
      </c>
      <c r="G113" s="34">
        <v>455.09500600000001</v>
      </c>
      <c r="H113" s="35">
        <f t="shared" si="0"/>
        <v>3.1495979067842849E-3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261</v>
      </c>
      <c r="F114" s="33">
        <v>1175</v>
      </c>
      <c r="G114" s="34">
        <v>448.79124999999999</v>
      </c>
      <c r="H114" s="35">
        <f t="shared" si="0"/>
        <v>3.1059711993040476E-3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262</v>
      </c>
      <c r="D115" s="31" t="s">
        <v>263</v>
      </c>
      <c r="E115" s="32" t="s">
        <v>30</v>
      </c>
      <c r="F115" s="33">
        <v>4440</v>
      </c>
      <c r="G115" s="34">
        <v>442.40159999999997</v>
      </c>
      <c r="H115" s="35">
        <f t="shared" si="0"/>
        <v>3.0617500410848684E-3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264</v>
      </c>
      <c r="D116" s="31" t="s">
        <v>265</v>
      </c>
      <c r="E116" s="32" t="s">
        <v>74</v>
      </c>
      <c r="F116" s="33">
        <v>6620</v>
      </c>
      <c r="G116" s="34">
        <v>441.35539999999997</v>
      </c>
      <c r="H116" s="35">
        <f t="shared" si="0"/>
        <v>3.0545095544026704E-3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266</v>
      </c>
      <c r="D117" s="31" t="s">
        <v>267</v>
      </c>
      <c r="E117" s="32" t="s">
        <v>268</v>
      </c>
      <c r="F117" s="33">
        <v>14930</v>
      </c>
      <c r="G117" s="34">
        <v>438.55381999999997</v>
      </c>
      <c r="H117" s="35">
        <f t="shared" si="0"/>
        <v>3.035120524887175E-3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269</v>
      </c>
      <c r="D118" s="31" t="s">
        <v>270</v>
      </c>
      <c r="E118" s="32" t="s">
        <v>99</v>
      </c>
      <c r="F118" s="33">
        <v>5361</v>
      </c>
      <c r="G118" s="34">
        <v>438.34216500000002</v>
      </c>
      <c r="H118" s="35">
        <f t="shared" si="0"/>
        <v>3.0336557139440281E-3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271</v>
      </c>
      <c r="D119" s="31" t="s">
        <v>272</v>
      </c>
      <c r="E119" s="32" t="s">
        <v>181</v>
      </c>
      <c r="F119" s="33">
        <v>31438</v>
      </c>
      <c r="G119" s="34">
        <v>430.449096</v>
      </c>
      <c r="H119" s="35">
        <f t="shared" si="0"/>
        <v>2.9790297715083865E-3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273</v>
      </c>
      <c r="D120" s="31" t="s">
        <v>274</v>
      </c>
      <c r="E120" s="32" t="s">
        <v>24</v>
      </c>
      <c r="F120" s="33">
        <v>21888</v>
      </c>
      <c r="G120" s="34">
        <v>430.0992</v>
      </c>
      <c r="H120" s="35">
        <f t="shared" si="0"/>
        <v>2.9766082294245071E-3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275</v>
      </c>
      <c r="D121" s="31" t="s">
        <v>276</v>
      </c>
      <c r="E121" s="32" t="s">
        <v>42</v>
      </c>
      <c r="F121" s="33">
        <v>109113</v>
      </c>
      <c r="G121" s="34">
        <v>429.79610700000001</v>
      </c>
      <c r="H121" s="35">
        <f t="shared" si="0"/>
        <v>2.9745105991148464E-3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277</v>
      </c>
      <c r="D122" s="31" t="s">
        <v>278</v>
      </c>
      <c r="E122" s="32" t="s">
        <v>122</v>
      </c>
      <c r="F122" s="33">
        <v>23399</v>
      </c>
      <c r="G122" s="34">
        <v>428.225099</v>
      </c>
      <c r="H122" s="35">
        <f t="shared" si="0"/>
        <v>2.963638048453762E-3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279</v>
      </c>
      <c r="D123" s="31" t="s">
        <v>280</v>
      </c>
      <c r="E123" s="32" t="s">
        <v>92</v>
      </c>
      <c r="F123" s="33">
        <v>12001</v>
      </c>
      <c r="G123" s="34">
        <v>425.91548999999998</v>
      </c>
      <c r="H123" s="35">
        <f t="shared" si="0"/>
        <v>2.9476538263111659E-3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130</v>
      </c>
      <c r="F124" s="33">
        <v>9884</v>
      </c>
      <c r="G124" s="34">
        <v>425.38759200000004</v>
      </c>
      <c r="H124" s="35">
        <f t="shared" si="0"/>
        <v>2.944000377220592E-3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194</v>
      </c>
      <c r="F125" s="33">
        <v>23495</v>
      </c>
      <c r="G125" s="34">
        <v>423.40339499999999</v>
      </c>
      <c r="H125" s="35">
        <f t="shared" si="0"/>
        <v>2.9302682495649266E-3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158</v>
      </c>
      <c r="F126" s="33">
        <v>15097</v>
      </c>
      <c r="G126" s="34">
        <v>418.94175000000001</v>
      </c>
      <c r="H126" s="35">
        <f t="shared" si="0"/>
        <v>2.8993903283231048E-3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92</v>
      </c>
      <c r="F127" s="33">
        <v>7037</v>
      </c>
      <c r="G127" s="34">
        <v>413.84597000000002</v>
      </c>
      <c r="H127" s="35">
        <f t="shared" si="0"/>
        <v>2.8641237184727801E-3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74</v>
      </c>
      <c r="F128" s="33">
        <v>31748</v>
      </c>
      <c r="G128" s="34">
        <v>413.83517999999998</v>
      </c>
      <c r="H128" s="35">
        <f t="shared" si="0"/>
        <v>2.8640490436005746E-3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119</v>
      </c>
      <c r="F129" s="33">
        <v>108885</v>
      </c>
      <c r="G129" s="34">
        <v>413.21857499999999</v>
      </c>
      <c r="H129" s="35">
        <f t="shared" si="0"/>
        <v>2.8597816757065997E-3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49</v>
      </c>
      <c r="F130" s="33">
        <v>3148</v>
      </c>
      <c r="G130" s="34">
        <v>412.95463999999998</v>
      </c>
      <c r="H130" s="35">
        <f t="shared" si="0"/>
        <v>2.8579550480517862E-3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74</v>
      </c>
      <c r="F131" s="33">
        <v>29310</v>
      </c>
      <c r="G131" s="34">
        <v>410.63310000000001</v>
      </c>
      <c r="H131" s="35">
        <f t="shared" si="0"/>
        <v>2.8418882544633812E-3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42</v>
      </c>
      <c r="F132" s="33">
        <v>12235</v>
      </c>
      <c r="G132" s="34">
        <v>410.56989499999997</v>
      </c>
      <c r="H132" s="35">
        <f t="shared" si="0"/>
        <v>2.8414508285785137E-3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52</v>
      </c>
      <c r="F133" s="33">
        <v>170863</v>
      </c>
      <c r="G133" s="34">
        <v>408.27713850000004</v>
      </c>
      <c r="H133" s="35">
        <f t="shared" si="0"/>
        <v>2.8255832383435949E-3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104</v>
      </c>
      <c r="F134" s="33">
        <v>59591</v>
      </c>
      <c r="G134" s="34">
        <v>408.25794100000002</v>
      </c>
      <c r="H134" s="35">
        <f t="shared" si="0"/>
        <v>2.8254503772815786E-3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1" t="s">
        <v>304</v>
      </c>
      <c r="E135" s="32" t="s">
        <v>146</v>
      </c>
      <c r="F135" s="33">
        <v>7798</v>
      </c>
      <c r="G135" s="34">
        <v>403.23457999999999</v>
      </c>
      <c r="H135" s="35">
        <f t="shared" si="0"/>
        <v>2.7906849610892901E-3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305</v>
      </c>
      <c r="D136" s="31" t="s">
        <v>306</v>
      </c>
      <c r="E136" s="32" t="s">
        <v>307</v>
      </c>
      <c r="F136" s="33">
        <v>51700</v>
      </c>
      <c r="G136" s="34">
        <v>399.79610000000002</v>
      </c>
      <c r="H136" s="35">
        <f t="shared" si="0"/>
        <v>2.7668881070967428E-3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125</v>
      </c>
      <c r="F137" s="33">
        <v>33923</v>
      </c>
      <c r="G137" s="34">
        <v>399.74863200000004</v>
      </c>
      <c r="H137" s="35">
        <f t="shared" si="0"/>
        <v>2.7665595930250254E-3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74</v>
      </c>
      <c r="F138" s="33">
        <v>25884</v>
      </c>
      <c r="G138" s="34">
        <v>394.57569599999999</v>
      </c>
      <c r="H138" s="35">
        <f t="shared" si="0"/>
        <v>2.7307590059328234E-3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158</v>
      </c>
      <c r="F139" s="33">
        <v>22030</v>
      </c>
      <c r="G139" s="34">
        <v>386.31808000000001</v>
      </c>
      <c r="H139" s="35">
        <f t="shared" si="0"/>
        <v>2.6736101255326102E-3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107</v>
      </c>
      <c r="F140" s="33">
        <v>24178</v>
      </c>
      <c r="G140" s="34">
        <v>384.18842000000001</v>
      </c>
      <c r="H140" s="35">
        <f t="shared" si="0"/>
        <v>2.6588712850932972E-3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307</v>
      </c>
      <c r="F141" s="33">
        <v>139665</v>
      </c>
      <c r="G141" s="34">
        <v>378.5619825</v>
      </c>
      <c r="H141" s="35">
        <f t="shared" si="0"/>
        <v>2.6199321283479631E-3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233</v>
      </c>
      <c r="F142" s="33">
        <v>71302</v>
      </c>
      <c r="G142" s="34">
        <v>376.47456</v>
      </c>
      <c r="H142" s="35">
        <f t="shared" si="0"/>
        <v>2.6054856030073305E-3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181</v>
      </c>
      <c r="F143" s="33">
        <v>21937</v>
      </c>
      <c r="G143" s="34">
        <v>374.48652700000002</v>
      </c>
      <c r="H143" s="35">
        <f t="shared" si="0"/>
        <v>2.5917269273618808E-3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52</v>
      </c>
      <c r="F144" s="33">
        <v>123311</v>
      </c>
      <c r="G144" s="34">
        <v>374.4338515</v>
      </c>
      <c r="H144" s="35">
        <f t="shared" si="0"/>
        <v>2.5913623734943334E-3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99</v>
      </c>
      <c r="F145" s="33">
        <v>38765</v>
      </c>
      <c r="G145" s="34">
        <v>374.121015</v>
      </c>
      <c r="H145" s="35">
        <f t="shared" si="0"/>
        <v>2.5891973108753737E-3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83</v>
      </c>
      <c r="F146" s="33">
        <v>33855</v>
      </c>
      <c r="G146" s="34">
        <v>372.98053499999997</v>
      </c>
      <c r="H146" s="35">
        <f t="shared" si="0"/>
        <v>2.5813043360605075E-3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122</v>
      </c>
      <c r="F147" s="33">
        <v>73446</v>
      </c>
      <c r="G147" s="34">
        <v>370.13111700000002</v>
      </c>
      <c r="H147" s="35">
        <f t="shared" si="0"/>
        <v>2.5615842317964909E-3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86</v>
      </c>
      <c r="F148" s="33">
        <v>87218</v>
      </c>
      <c r="G148" s="34">
        <v>366.96973500000001</v>
      </c>
      <c r="H148" s="35">
        <f t="shared" si="0"/>
        <v>2.5397051032662482E-3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21</v>
      </c>
      <c r="F149" s="33">
        <v>33187</v>
      </c>
      <c r="G149" s="34">
        <v>365.12337400000001</v>
      </c>
      <c r="H149" s="35">
        <f t="shared" si="0"/>
        <v>2.5269269038483266E-3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92</v>
      </c>
      <c r="F150" s="33">
        <v>22812</v>
      </c>
      <c r="G150" s="34">
        <v>360.01898399999999</v>
      </c>
      <c r="H150" s="35">
        <f t="shared" si="0"/>
        <v>2.4916007063566963E-3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49</v>
      </c>
      <c r="F151" s="33">
        <v>7220</v>
      </c>
      <c r="G151" s="34">
        <v>359.75094000000001</v>
      </c>
      <c r="H151" s="35">
        <f t="shared" si="0"/>
        <v>2.4897456413478618E-3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52</v>
      </c>
      <c r="F152" s="33">
        <v>55872</v>
      </c>
      <c r="G152" s="34">
        <v>348.86476799999997</v>
      </c>
      <c r="H152" s="35">
        <f t="shared" si="0"/>
        <v>2.4144051869547105E-3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52</v>
      </c>
      <c r="F153" s="33">
        <v>22312</v>
      </c>
      <c r="G153" s="34">
        <v>343.09162399999997</v>
      </c>
      <c r="H153" s="35">
        <f t="shared" si="0"/>
        <v>2.3744507114754425E-3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122</v>
      </c>
      <c r="F154" s="33">
        <v>82742</v>
      </c>
      <c r="G154" s="34">
        <v>340.35921700000006</v>
      </c>
      <c r="H154" s="35">
        <f t="shared" si="0"/>
        <v>2.3555404108695898E-3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1" t="s">
        <v>345</v>
      </c>
      <c r="E155" s="32" t="s">
        <v>83</v>
      </c>
      <c r="F155" s="33">
        <v>230578</v>
      </c>
      <c r="G155" s="34">
        <v>336.04437719999999</v>
      </c>
      <c r="H155" s="35">
        <f t="shared" si="0"/>
        <v>2.3256784914395404E-3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1" t="s">
        <v>347</v>
      </c>
      <c r="E156" s="32" t="s">
        <v>122</v>
      </c>
      <c r="F156" s="33">
        <v>56025</v>
      </c>
      <c r="G156" s="34">
        <v>333.23669999999998</v>
      </c>
      <c r="H156" s="35">
        <f t="shared" si="0"/>
        <v>2.306247264738613E-3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1" t="s">
        <v>349</v>
      </c>
      <c r="E157" s="32" t="s">
        <v>83</v>
      </c>
      <c r="F157" s="33">
        <v>14971</v>
      </c>
      <c r="G157" s="34">
        <v>330.185405</v>
      </c>
      <c r="H157" s="35">
        <f t="shared" si="0"/>
        <v>2.2851300206065575E-3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350</v>
      </c>
      <c r="D158" s="31" t="s">
        <v>351</v>
      </c>
      <c r="E158" s="32" t="s">
        <v>49</v>
      </c>
      <c r="F158" s="33">
        <v>35744</v>
      </c>
      <c r="G158" s="34">
        <v>327.93332800000002</v>
      </c>
      <c r="H158" s="35">
        <f t="shared" si="0"/>
        <v>2.2695439629447493E-3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352</v>
      </c>
      <c r="D159" s="31" t="s">
        <v>353</v>
      </c>
      <c r="E159" s="32" t="s">
        <v>83</v>
      </c>
      <c r="F159" s="33">
        <v>84793</v>
      </c>
      <c r="G159" s="34">
        <v>327.72494499999999</v>
      </c>
      <c r="H159" s="35">
        <f t="shared" si="0"/>
        <v>2.2681017966894473E-3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354</v>
      </c>
      <c r="D160" s="31" t="s">
        <v>355</v>
      </c>
      <c r="E160" s="32" t="s">
        <v>92</v>
      </c>
      <c r="F160" s="33">
        <v>7236</v>
      </c>
      <c r="G160" s="34">
        <v>325.88049599999999</v>
      </c>
      <c r="H160" s="35">
        <f t="shared" si="0"/>
        <v>2.2553368297419298E-3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356</v>
      </c>
      <c r="D161" s="31" t="s">
        <v>357</v>
      </c>
      <c r="E161" s="32" t="s">
        <v>52</v>
      </c>
      <c r="F161" s="33">
        <v>75861</v>
      </c>
      <c r="G161" s="34">
        <v>325.14024599999999</v>
      </c>
      <c r="H161" s="35">
        <f t="shared" si="0"/>
        <v>2.2502137459467692E-3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358</v>
      </c>
      <c r="D162" s="31" t="s">
        <v>359</v>
      </c>
      <c r="E162" s="32" t="s">
        <v>360</v>
      </c>
      <c r="F162" s="33">
        <v>208825</v>
      </c>
      <c r="G162" s="34">
        <v>323.36551250000002</v>
      </c>
      <c r="H162" s="35">
        <f t="shared" si="0"/>
        <v>2.2379312624147486E-3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221</v>
      </c>
      <c r="F163" s="33">
        <v>6138</v>
      </c>
      <c r="G163" s="34">
        <v>319.45220999999998</v>
      </c>
      <c r="H163" s="35">
        <f t="shared" si="0"/>
        <v>2.2108482814984214E-3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1" t="s">
        <v>364</v>
      </c>
      <c r="E164" s="32" t="s">
        <v>13</v>
      </c>
      <c r="F164" s="33">
        <v>226482</v>
      </c>
      <c r="G164" s="34">
        <v>316.8709662</v>
      </c>
      <c r="H164" s="35">
        <f t="shared" si="0"/>
        <v>2.1929841433246445E-3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1" t="s">
        <v>366</v>
      </c>
      <c r="E165" s="32" t="s">
        <v>18</v>
      </c>
      <c r="F165" s="33">
        <v>105589</v>
      </c>
      <c r="G165" s="34">
        <v>314.76080899999999</v>
      </c>
      <c r="H165" s="35">
        <f t="shared" si="0"/>
        <v>2.1783802768517483E-3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367</v>
      </c>
      <c r="D166" s="31" t="s">
        <v>368</v>
      </c>
      <c r="E166" s="32" t="s">
        <v>369</v>
      </c>
      <c r="F166" s="33">
        <v>88526</v>
      </c>
      <c r="G166" s="34">
        <v>312.14267599999999</v>
      </c>
      <c r="H166" s="35">
        <f t="shared" si="0"/>
        <v>2.1602608378164562E-3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370</v>
      </c>
      <c r="D167" s="31" t="s">
        <v>371</v>
      </c>
      <c r="E167" s="32" t="s">
        <v>360</v>
      </c>
      <c r="F167" s="33">
        <v>72955</v>
      </c>
      <c r="G167" s="34">
        <v>311.88262500000002</v>
      </c>
      <c r="H167" s="35">
        <f t="shared" si="0"/>
        <v>2.1584610903473377E-3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372</v>
      </c>
      <c r="D168" s="31" t="s">
        <v>373</v>
      </c>
      <c r="E168" s="32" t="s">
        <v>89</v>
      </c>
      <c r="F168" s="33">
        <v>7670</v>
      </c>
      <c r="G168" s="34">
        <v>310.98014999999998</v>
      </c>
      <c r="H168" s="35">
        <f t="shared" si="0"/>
        <v>2.1522152881885566E-3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83</v>
      </c>
      <c r="F169" s="33">
        <v>7500</v>
      </c>
      <c r="G169" s="34">
        <v>309.65249999999997</v>
      </c>
      <c r="H169" s="35">
        <f t="shared" si="0"/>
        <v>2.1430269569482395E-3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30</v>
      </c>
      <c r="F170" s="33">
        <v>148887</v>
      </c>
      <c r="G170" s="34">
        <v>304.1016975</v>
      </c>
      <c r="H170" s="35">
        <f t="shared" si="0"/>
        <v>2.1046112509868938E-3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13</v>
      </c>
      <c r="F171" s="33">
        <v>379493</v>
      </c>
      <c r="G171" s="34">
        <v>300.82410110000001</v>
      </c>
      <c r="H171" s="35">
        <f t="shared" si="0"/>
        <v>2.0819278318664394E-3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360</v>
      </c>
      <c r="F172" s="33">
        <v>45748</v>
      </c>
      <c r="G172" s="34">
        <v>299.30628999999999</v>
      </c>
      <c r="H172" s="35">
        <f t="shared" si="0"/>
        <v>2.0714234435509717E-3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382</v>
      </c>
      <c r="D173" s="31" t="s">
        <v>383</v>
      </c>
      <c r="E173" s="32" t="s">
        <v>52</v>
      </c>
      <c r="F173" s="33">
        <v>56031</v>
      </c>
      <c r="G173" s="34">
        <v>298.72927649999997</v>
      </c>
      <c r="H173" s="35">
        <f t="shared" si="0"/>
        <v>2.0674300784561538E-3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384</v>
      </c>
      <c r="D174" s="31" t="s">
        <v>385</v>
      </c>
      <c r="E174" s="32" t="s">
        <v>228</v>
      </c>
      <c r="F174" s="33">
        <v>64340</v>
      </c>
      <c r="G174" s="34">
        <v>298.31241</v>
      </c>
      <c r="H174" s="35">
        <f t="shared" si="0"/>
        <v>2.0645450504103652E-3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386</v>
      </c>
      <c r="D175" s="31" t="s">
        <v>387</v>
      </c>
      <c r="E175" s="32" t="s">
        <v>125</v>
      </c>
      <c r="F175" s="33">
        <v>64529</v>
      </c>
      <c r="G175" s="34">
        <v>294.38129800000002</v>
      </c>
      <c r="H175" s="35">
        <f t="shared" si="0"/>
        <v>2.0373388144304112E-3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388</v>
      </c>
      <c r="D176" s="31" t="s">
        <v>389</v>
      </c>
      <c r="E176" s="32" t="s">
        <v>360</v>
      </c>
      <c r="F176" s="33">
        <v>56224</v>
      </c>
      <c r="G176" s="34">
        <v>286.65806399999997</v>
      </c>
      <c r="H176" s="35">
        <f t="shared" si="0"/>
        <v>1.983888257251576E-3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390</v>
      </c>
      <c r="D177" s="31" t="s">
        <v>391</v>
      </c>
      <c r="E177" s="32" t="s">
        <v>89</v>
      </c>
      <c r="F177" s="33">
        <v>54561</v>
      </c>
      <c r="G177" s="34">
        <v>285.81779850000004</v>
      </c>
      <c r="H177" s="35">
        <f t="shared" si="0"/>
        <v>1.9780729913729104E-3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392</v>
      </c>
      <c r="D178" s="31" t="s">
        <v>393</v>
      </c>
      <c r="E178" s="32" t="s">
        <v>137</v>
      </c>
      <c r="F178" s="33">
        <v>7857</v>
      </c>
      <c r="G178" s="34">
        <v>285.13053000000002</v>
      </c>
      <c r="H178" s="35">
        <f t="shared" si="0"/>
        <v>1.9733165791942218E-3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394</v>
      </c>
      <c r="D179" s="31" t="s">
        <v>395</v>
      </c>
      <c r="E179" s="32" t="s">
        <v>21</v>
      </c>
      <c r="F179" s="33">
        <v>10614</v>
      </c>
      <c r="G179" s="34">
        <v>283.85020199999997</v>
      </c>
      <c r="H179" s="35">
        <f t="shared" si="0"/>
        <v>1.9644557515963962E-3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396</v>
      </c>
      <c r="D180" s="31" t="s">
        <v>397</v>
      </c>
      <c r="E180" s="32" t="s">
        <v>137</v>
      </c>
      <c r="F180" s="33">
        <v>3921</v>
      </c>
      <c r="G180" s="34">
        <v>282.48844500000001</v>
      </c>
      <c r="H180" s="35">
        <f t="shared" si="0"/>
        <v>1.9550313743999809E-3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398</v>
      </c>
      <c r="D181" s="31" t="s">
        <v>399</v>
      </c>
      <c r="E181" s="32" t="s">
        <v>30</v>
      </c>
      <c r="F181" s="33">
        <v>6413</v>
      </c>
      <c r="G181" s="34">
        <v>274.82270199999999</v>
      </c>
      <c r="H181" s="35">
        <f t="shared" si="0"/>
        <v>1.9019786979512609E-3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400</v>
      </c>
      <c r="D182" s="31" t="s">
        <v>401</v>
      </c>
      <c r="E182" s="32" t="s">
        <v>86</v>
      </c>
      <c r="F182" s="33">
        <v>18073</v>
      </c>
      <c r="G182" s="34">
        <v>273.49870899999996</v>
      </c>
      <c r="H182" s="35">
        <f t="shared" si="0"/>
        <v>1.892815675886815E-3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402</v>
      </c>
      <c r="D183" s="31" t="s">
        <v>403</v>
      </c>
      <c r="E183" s="32" t="s">
        <v>18</v>
      </c>
      <c r="F183" s="33">
        <v>194657</v>
      </c>
      <c r="G183" s="34">
        <v>272.98697679999998</v>
      </c>
      <c r="H183" s="35">
        <f t="shared" si="0"/>
        <v>1.8892741062261846E-3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404</v>
      </c>
      <c r="D184" s="31" t="s">
        <v>405</v>
      </c>
      <c r="E184" s="32" t="s">
        <v>107</v>
      </c>
      <c r="F184" s="33">
        <v>53079</v>
      </c>
      <c r="G184" s="34">
        <v>265.71347399999996</v>
      </c>
      <c r="H184" s="35">
        <f t="shared" si="0"/>
        <v>1.8389360254038481E-3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406</v>
      </c>
      <c r="D185" s="31" t="s">
        <v>407</v>
      </c>
      <c r="E185" s="32" t="s">
        <v>74</v>
      </c>
      <c r="F185" s="33">
        <v>970</v>
      </c>
      <c r="G185" s="34">
        <v>260.49349999999998</v>
      </c>
      <c r="H185" s="35">
        <f t="shared" si="0"/>
        <v>1.8028099001616204E-3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408</v>
      </c>
      <c r="D186" s="31" t="s">
        <v>409</v>
      </c>
      <c r="E186" s="32" t="s">
        <v>27</v>
      </c>
      <c r="F186" s="33">
        <v>105797</v>
      </c>
      <c r="G186" s="34">
        <v>259.67873649999996</v>
      </c>
      <c r="H186" s="35">
        <f t="shared" si="0"/>
        <v>1.7971711272014876E-3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410</v>
      </c>
      <c r="D187" s="31" t="s">
        <v>411</v>
      </c>
      <c r="E187" s="32" t="s">
        <v>146</v>
      </c>
      <c r="F187" s="33">
        <v>14852</v>
      </c>
      <c r="G187" s="34">
        <v>259.64266399999997</v>
      </c>
      <c r="H187" s="35">
        <f t="shared" si="0"/>
        <v>1.7969214785149615E-3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412</v>
      </c>
      <c r="D188" s="31" t="s">
        <v>413</v>
      </c>
      <c r="E188" s="32" t="s">
        <v>13</v>
      </c>
      <c r="F188" s="33">
        <v>96656</v>
      </c>
      <c r="G188" s="34">
        <v>259.52136000000002</v>
      </c>
      <c r="H188" s="35">
        <f t="shared" si="0"/>
        <v>1.7960819640851231E-3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414</v>
      </c>
      <c r="D189" s="31" t="s">
        <v>415</v>
      </c>
      <c r="E189" s="32" t="s">
        <v>86</v>
      </c>
      <c r="F189" s="33">
        <v>17466</v>
      </c>
      <c r="G189" s="34">
        <v>257.69336399999997</v>
      </c>
      <c r="H189" s="35">
        <f t="shared" si="0"/>
        <v>1.7834308642064086E-3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416</v>
      </c>
      <c r="D190" s="31" t="s">
        <v>417</v>
      </c>
      <c r="E190" s="32" t="s">
        <v>21</v>
      </c>
      <c r="F190" s="33">
        <v>29022</v>
      </c>
      <c r="G190" s="34">
        <v>255.24849</v>
      </c>
      <c r="H190" s="35">
        <f t="shared" si="0"/>
        <v>1.7665105070694832E-3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418</v>
      </c>
      <c r="D191" s="31" t="s">
        <v>419</v>
      </c>
      <c r="E191" s="32" t="s">
        <v>107</v>
      </c>
      <c r="F191" s="33">
        <v>71822</v>
      </c>
      <c r="G191" s="34">
        <v>255.00401100000002</v>
      </c>
      <c r="H191" s="35">
        <f t="shared" si="0"/>
        <v>1.7648185294900749E-3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420</v>
      </c>
      <c r="D192" s="31" t="s">
        <v>421</v>
      </c>
      <c r="E192" s="32" t="s">
        <v>107</v>
      </c>
      <c r="F192" s="33">
        <v>16180</v>
      </c>
      <c r="G192" s="34">
        <v>246.56702000000001</v>
      </c>
      <c r="H192" s="35">
        <f t="shared" si="0"/>
        <v>1.7064282398959988E-3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422</v>
      </c>
      <c r="D193" s="31" t="s">
        <v>423</v>
      </c>
      <c r="E193" s="32" t="s">
        <v>74</v>
      </c>
      <c r="F193" s="33">
        <v>5449</v>
      </c>
      <c r="G193" s="34">
        <v>240.344492</v>
      </c>
      <c r="H193" s="35">
        <f t="shared" si="0"/>
        <v>1.6633636909439791E-3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424</v>
      </c>
      <c r="D194" s="31" t="s">
        <v>425</v>
      </c>
      <c r="E194" s="32" t="s">
        <v>137</v>
      </c>
      <c r="F194" s="33">
        <v>16158</v>
      </c>
      <c r="G194" s="34">
        <v>239.590824</v>
      </c>
      <c r="H194" s="35">
        <f t="shared" si="0"/>
        <v>1.6581477445505566E-3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426</v>
      </c>
      <c r="D195" s="31" t="s">
        <v>427</v>
      </c>
      <c r="E195" s="32" t="s">
        <v>83</v>
      </c>
      <c r="F195" s="33">
        <v>60283</v>
      </c>
      <c r="G195" s="34">
        <v>237.81643500000001</v>
      </c>
      <c r="H195" s="35">
        <f t="shared" si="0"/>
        <v>1.6458676452162629E-3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428</v>
      </c>
      <c r="D196" s="31" t="s">
        <v>429</v>
      </c>
      <c r="E196" s="32" t="s">
        <v>52</v>
      </c>
      <c r="F196" s="33">
        <v>49368</v>
      </c>
      <c r="G196" s="34">
        <v>236.3493</v>
      </c>
      <c r="H196" s="35">
        <f t="shared" si="0"/>
        <v>1.6357139734245534E-3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430</v>
      </c>
      <c r="D197" s="31" t="s">
        <v>431</v>
      </c>
      <c r="E197" s="32" t="s">
        <v>30</v>
      </c>
      <c r="F197" s="33">
        <v>30550</v>
      </c>
      <c r="G197" s="34">
        <v>235.830725</v>
      </c>
      <c r="H197" s="35">
        <f t="shared" si="0"/>
        <v>1.6321250464686936E-3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432</v>
      </c>
      <c r="D198" s="31" t="s">
        <v>433</v>
      </c>
      <c r="E198" s="32" t="s">
        <v>52</v>
      </c>
      <c r="F198" s="33">
        <v>2255</v>
      </c>
      <c r="G198" s="34">
        <v>233.64054999999999</v>
      </c>
      <c r="H198" s="35">
        <f t="shared" si="0"/>
        <v>1.6169673969569534E-3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434</v>
      </c>
      <c r="D199" s="31" t="s">
        <v>435</v>
      </c>
      <c r="E199" s="32" t="s">
        <v>104</v>
      </c>
      <c r="F199" s="33">
        <v>19295</v>
      </c>
      <c r="G199" s="34">
        <v>232.92923999999999</v>
      </c>
      <c r="H199" s="35">
        <f t="shared" si="0"/>
        <v>1.6120445996123595E-3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436</v>
      </c>
      <c r="D200" s="31" t="s">
        <v>437</v>
      </c>
      <c r="E200" s="32" t="s">
        <v>137</v>
      </c>
      <c r="F200" s="33">
        <v>1269</v>
      </c>
      <c r="G200" s="34">
        <v>231.55443</v>
      </c>
      <c r="H200" s="35">
        <f t="shared" si="0"/>
        <v>1.6025298858907456E-3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438</v>
      </c>
      <c r="D201" s="31" t="s">
        <v>439</v>
      </c>
      <c r="E201" s="32" t="s">
        <v>440</v>
      </c>
      <c r="F201" s="33">
        <v>15775</v>
      </c>
      <c r="G201" s="34">
        <v>231.48235</v>
      </c>
      <c r="H201" s="35">
        <f t="shared" si="0"/>
        <v>1.6020310383663213E-3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441</v>
      </c>
      <c r="D202" s="31" t="s">
        <v>442</v>
      </c>
      <c r="E202" s="32" t="s">
        <v>307</v>
      </c>
      <c r="F202" s="33">
        <v>140533</v>
      </c>
      <c r="G202" s="34">
        <v>231.1908383</v>
      </c>
      <c r="H202" s="35">
        <f t="shared" si="0"/>
        <v>1.6000135593168519E-3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443</v>
      </c>
      <c r="D203" s="31" t="s">
        <v>444</v>
      </c>
      <c r="E203" s="32" t="s">
        <v>49</v>
      </c>
      <c r="F203" s="33">
        <v>21731</v>
      </c>
      <c r="G203" s="34">
        <v>230.56591</v>
      </c>
      <c r="H203" s="35">
        <f t="shared" si="0"/>
        <v>1.5956885879600574E-3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445</v>
      </c>
      <c r="D204" s="31" t="s">
        <v>446</v>
      </c>
      <c r="E204" s="32" t="s">
        <v>21</v>
      </c>
      <c r="F204" s="33">
        <v>6505</v>
      </c>
      <c r="G204" s="34">
        <v>230.17942500000001</v>
      </c>
      <c r="H204" s="35">
        <f t="shared" si="0"/>
        <v>1.5930138226232487E-3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447</v>
      </c>
      <c r="D205" s="31" t="s">
        <v>448</v>
      </c>
      <c r="E205" s="32" t="s">
        <v>74</v>
      </c>
      <c r="F205" s="33">
        <v>7851</v>
      </c>
      <c r="G205" s="34">
        <v>229.94793899999999</v>
      </c>
      <c r="H205" s="35">
        <f t="shared" si="0"/>
        <v>1.5914117663241517E-3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449</v>
      </c>
      <c r="D206" s="31" t="s">
        <v>450</v>
      </c>
      <c r="E206" s="32" t="s">
        <v>13</v>
      </c>
      <c r="F206" s="33">
        <v>175651</v>
      </c>
      <c r="G206" s="34">
        <v>229.751508</v>
      </c>
      <c r="H206" s="35">
        <f t="shared" si="0"/>
        <v>1.5900523168503697E-3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451</v>
      </c>
      <c r="D207" s="31" t="s">
        <v>452</v>
      </c>
      <c r="E207" s="32" t="s">
        <v>52</v>
      </c>
      <c r="F207" s="33">
        <v>33840</v>
      </c>
      <c r="G207" s="34">
        <v>225.32364000000001</v>
      </c>
      <c r="H207" s="35">
        <f t="shared" si="0"/>
        <v>1.5594081577177663E-3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453</v>
      </c>
      <c r="D208" s="31" t="s">
        <v>454</v>
      </c>
      <c r="E208" s="32" t="s">
        <v>52</v>
      </c>
      <c r="F208" s="33">
        <v>65073</v>
      </c>
      <c r="G208" s="34">
        <v>219.7189845</v>
      </c>
      <c r="H208" s="35">
        <f t="shared" si="0"/>
        <v>1.5206197487079628E-3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455</v>
      </c>
      <c r="D209" s="31" t="s">
        <v>456</v>
      </c>
      <c r="E209" s="32" t="s">
        <v>122</v>
      </c>
      <c r="F209" s="33">
        <v>57630</v>
      </c>
      <c r="G209" s="34">
        <v>219.71437499999999</v>
      </c>
      <c r="H209" s="35">
        <f t="shared" si="0"/>
        <v>1.5205878475195076E-3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457</v>
      </c>
      <c r="D210" s="31" t="s">
        <v>458</v>
      </c>
      <c r="E210" s="32" t="s">
        <v>236</v>
      </c>
      <c r="F210" s="33">
        <v>20957</v>
      </c>
      <c r="G210" s="34">
        <v>215.71040100000002</v>
      </c>
      <c r="H210" s="35">
        <f t="shared" si="0"/>
        <v>1.4928773519901004E-3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459</v>
      </c>
      <c r="D211" s="31" t="s">
        <v>460</v>
      </c>
      <c r="E211" s="32" t="s">
        <v>86</v>
      </c>
      <c r="F211" s="33">
        <v>60799</v>
      </c>
      <c r="G211" s="34">
        <v>211.30692449999998</v>
      </c>
      <c r="H211" s="35">
        <f t="shared" si="0"/>
        <v>1.4624020002852434E-3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461</v>
      </c>
      <c r="D212" s="31" t="s">
        <v>462</v>
      </c>
      <c r="E212" s="32" t="s">
        <v>21</v>
      </c>
      <c r="F212" s="33">
        <v>113836</v>
      </c>
      <c r="G212" s="34">
        <v>210.47138039999999</v>
      </c>
      <c r="H212" s="35">
        <f t="shared" si="0"/>
        <v>1.4566194100267471E-3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463</v>
      </c>
      <c r="D213" s="31" t="s">
        <v>464</v>
      </c>
      <c r="E213" s="32" t="s">
        <v>24</v>
      </c>
      <c r="F213" s="33">
        <v>14017</v>
      </c>
      <c r="G213" s="34">
        <v>209.624235</v>
      </c>
      <c r="H213" s="35">
        <f t="shared" si="0"/>
        <v>1.4507565300930967E-3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465</v>
      </c>
      <c r="D214" s="31" t="s">
        <v>466</v>
      </c>
      <c r="E214" s="32" t="s">
        <v>130</v>
      </c>
      <c r="F214" s="33">
        <v>17177</v>
      </c>
      <c r="G214" s="34">
        <v>206.914142</v>
      </c>
      <c r="H214" s="35">
        <f t="shared" si="0"/>
        <v>1.4320006590607726E-3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467</v>
      </c>
      <c r="D215" s="31" t="s">
        <v>468</v>
      </c>
      <c r="E215" s="32" t="s">
        <v>261</v>
      </c>
      <c r="F215" s="33">
        <v>20729</v>
      </c>
      <c r="G215" s="34">
        <v>200.34578500000001</v>
      </c>
      <c r="H215" s="35">
        <f t="shared" si="0"/>
        <v>1.3865427147074746E-3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469</v>
      </c>
      <c r="D216" s="31" t="s">
        <v>470</v>
      </c>
      <c r="E216" s="32" t="s">
        <v>125</v>
      </c>
      <c r="F216" s="33">
        <v>103782</v>
      </c>
      <c r="G216" s="34">
        <v>199.57278600000001</v>
      </c>
      <c r="H216" s="35">
        <f t="shared" si="0"/>
        <v>1.3811929833321618E-3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471</v>
      </c>
      <c r="D217" s="31" t="s">
        <v>472</v>
      </c>
      <c r="E217" s="32" t="s">
        <v>49</v>
      </c>
      <c r="F217" s="33">
        <v>2732</v>
      </c>
      <c r="G217" s="34">
        <v>198.15196</v>
      </c>
      <c r="H217" s="35">
        <f t="shared" si="0"/>
        <v>1.3713598044650997E-3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473</v>
      </c>
      <c r="D218" s="31" t="s">
        <v>474</v>
      </c>
      <c r="E218" s="32" t="s">
        <v>52</v>
      </c>
      <c r="F218" s="33">
        <v>148277</v>
      </c>
      <c r="G218" s="34">
        <v>197.5791025</v>
      </c>
      <c r="H218" s="35">
        <f t="shared" si="0"/>
        <v>1.3673952019994649E-3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475</v>
      </c>
      <c r="D219" s="31" t="s">
        <v>476</v>
      </c>
      <c r="E219" s="32" t="s">
        <v>181</v>
      </c>
      <c r="F219" s="33">
        <v>33421</v>
      </c>
      <c r="G219" s="34">
        <v>197.38442600000002</v>
      </c>
      <c r="H219" s="35">
        <f t="shared" si="0"/>
        <v>1.366047894978258E-3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477</v>
      </c>
      <c r="D220" s="31" t="s">
        <v>478</v>
      </c>
      <c r="E220" s="32" t="s">
        <v>30</v>
      </c>
      <c r="F220" s="33">
        <v>4834</v>
      </c>
      <c r="G220" s="34">
        <v>196.33774399999999</v>
      </c>
      <c r="H220" s="35">
        <f t="shared" si="0"/>
        <v>1.3588040724954666E-3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479</v>
      </c>
      <c r="D221" s="31" t="s">
        <v>480</v>
      </c>
      <c r="E221" s="32" t="s">
        <v>233</v>
      </c>
      <c r="F221" s="33">
        <v>15388</v>
      </c>
      <c r="G221" s="34">
        <v>195.42760000000001</v>
      </c>
      <c r="H221" s="35">
        <f t="shared" si="0"/>
        <v>1.3525051951193605E-3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481</v>
      </c>
      <c r="D222" s="31" t="s">
        <v>482</v>
      </c>
      <c r="E222" s="32" t="s">
        <v>13</v>
      </c>
      <c r="F222" s="33">
        <v>179640</v>
      </c>
      <c r="G222" s="34">
        <v>190.50821999999999</v>
      </c>
      <c r="H222" s="35">
        <f t="shared" si="0"/>
        <v>1.3184594052372441E-3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483</v>
      </c>
      <c r="D223" s="31" t="s">
        <v>484</v>
      </c>
      <c r="E223" s="32" t="s">
        <v>52</v>
      </c>
      <c r="F223" s="33">
        <v>93532</v>
      </c>
      <c r="G223" s="34">
        <v>190.34697320000001</v>
      </c>
      <c r="H223" s="35">
        <f t="shared" si="0"/>
        <v>1.317343456749434E-3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485</v>
      </c>
      <c r="D224" s="31" t="s">
        <v>486</v>
      </c>
      <c r="E224" s="32" t="s">
        <v>99</v>
      </c>
      <c r="F224" s="33">
        <v>15778</v>
      </c>
      <c r="G224" s="34">
        <v>187.60042000000001</v>
      </c>
      <c r="H224" s="35">
        <f t="shared" si="0"/>
        <v>1.2983352538565381E-3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487</v>
      </c>
      <c r="D225" s="31" t="s">
        <v>488</v>
      </c>
      <c r="E225" s="32" t="s">
        <v>52</v>
      </c>
      <c r="F225" s="33">
        <v>5587</v>
      </c>
      <c r="G225" s="34">
        <v>186.76782300000002</v>
      </c>
      <c r="H225" s="35">
        <f t="shared" si="0"/>
        <v>1.2925730597348236E-3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489</v>
      </c>
      <c r="D226" s="31" t="s">
        <v>490</v>
      </c>
      <c r="E226" s="32" t="s">
        <v>52</v>
      </c>
      <c r="F226" s="33">
        <v>4544</v>
      </c>
      <c r="G226" s="34">
        <v>179.41529600000001</v>
      </c>
      <c r="H226" s="35">
        <f t="shared" si="0"/>
        <v>1.2416880723289741E-3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491</v>
      </c>
      <c r="D227" s="31" t="s">
        <v>492</v>
      </c>
      <c r="E227" s="32" t="s">
        <v>86</v>
      </c>
      <c r="F227" s="33">
        <v>173129</v>
      </c>
      <c r="G227" s="34">
        <v>179.22314079999998</v>
      </c>
      <c r="H227" s="35">
        <f t="shared" si="0"/>
        <v>1.2403582145899996E-3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493</v>
      </c>
      <c r="D228" s="31" t="s">
        <v>494</v>
      </c>
      <c r="E228" s="32" t="s">
        <v>83</v>
      </c>
      <c r="F228" s="33">
        <v>6572</v>
      </c>
      <c r="G228" s="34">
        <v>178.929272</v>
      </c>
      <c r="H228" s="35">
        <f t="shared" si="0"/>
        <v>1.2383244226451388E-3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495</v>
      </c>
      <c r="D229" s="31" t="s">
        <v>496</v>
      </c>
      <c r="E229" s="32" t="s">
        <v>49</v>
      </c>
      <c r="F229" s="33">
        <v>4607</v>
      </c>
      <c r="G229" s="34">
        <v>178.38764699999999</v>
      </c>
      <c r="H229" s="35">
        <f t="shared" si="0"/>
        <v>1.2345759724451337E-3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497</v>
      </c>
      <c r="D230" s="31" t="s">
        <v>498</v>
      </c>
      <c r="E230" s="32" t="s">
        <v>233</v>
      </c>
      <c r="F230" s="33">
        <v>13456</v>
      </c>
      <c r="G230" s="34">
        <v>177.61920000000001</v>
      </c>
      <c r="H230" s="35">
        <f t="shared" si="0"/>
        <v>1.229257744315259E-3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499</v>
      </c>
      <c r="D231" s="31" t="s">
        <v>500</v>
      </c>
      <c r="E231" s="32" t="s">
        <v>49</v>
      </c>
      <c r="F231" s="33">
        <v>4604</v>
      </c>
      <c r="G231" s="34">
        <v>176.97775999999999</v>
      </c>
      <c r="H231" s="35">
        <f t="shared" si="0"/>
        <v>1.2248184996417463E-3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501</v>
      </c>
      <c r="D232" s="31" t="s">
        <v>502</v>
      </c>
      <c r="E232" s="32" t="s">
        <v>119</v>
      </c>
      <c r="F232" s="33">
        <v>6187</v>
      </c>
      <c r="G232" s="34">
        <v>176.93582600000002</v>
      </c>
      <c r="H232" s="35">
        <f t="shared" si="0"/>
        <v>1.2245282849901204E-3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503</v>
      </c>
      <c r="D233" s="31" t="s">
        <v>504</v>
      </c>
      <c r="E233" s="32" t="s">
        <v>505</v>
      </c>
      <c r="F233" s="33">
        <v>5137</v>
      </c>
      <c r="G233" s="34">
        <v>176.32238800000002</v>
      </c>
      <c r="H233" s="35">
        <f t="shared" si="0"/>
        <v>1.2202828351054386E-3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506</v>
      </c>
      <c r="D234" s="31" t="s">
        <v>507</v>
      </c>
      <c r="E234" s="32" t="s">
        <v>146</v>
      </c>
      <c r="F234" s="33">
        <v>696</v>
      </c>
      <c r="G234" s="34">
        <v>175.91399999999999</v>
      </c>
      <c r="H234" s="35">
        <f t="shared" si="0"/>
        <v>1.2174564846225771E-3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508</v>
      </c>
      <c r="D235" s="31" t="s">
        <v>509</v>
      </c>
      <c r="E235" s="32" t="s">
        <v>52</v>
      </c>
      <c r="F235" s="33">
        <v>206355</v>
      </c>
      <c r="G235" s="34">
        <v>175.17475949999999</v>
      </c>
      <c r="H235" s="35">
        <f t="shared" si="0"/>
        <v>1.212340387322643E-3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510</v>
      </c>
      <c r="D236" s="31" t="s">
        <v>511</v>
      </c>
      <c r="E236" s="32" t="s">
        <v>512</v>
      </c>
      <c r="F236" s="33">
        <v>7593</v>
      </c>
      <c r="G236" s="34">
        <v>173.33300399999999</v>
      </c>
      <c r="H236" s="35">
        <f t="shared" si="0"/>
        <v>1.199594061410184E-3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513</v>
      </c>
      <c r="D237" s="31" t="s">
        <v>514</v>
      </c>
      <c r="E237" s="32" t="s">
        <v>515</v>
      </c>
      <c r="F237" s="33">
        <v>526</v>
      </c>
      <c r="G237" s="34">
        <v>172.5806</v>
      </c>
      <c r="H237" s="35">
        <f t="shared" si="0"/>
        <v>1.1943868628423841E-3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1" t="s">
        <v>517</v>
      </c>
      <c r="E238" s="32" t="s">
        <v>74</v>
      </c>
      <c r="F238" s="33">
        <v>7710</v>
      </c>
      <c r="G238" s="34">
        <v>170.40642</v>
      </c>
      <c r="H238" s="35">
        <f t="shared" si="0"/>
        <v>1.1793399106968089E-3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518</v>
      </c>
      <c r="D239" s="31" t="s">
        <v>519</v>
      </c>
      <c r="E239" s="32" t="s">
        <v>13</v>
      </c>
      <c r="F239" s="33">
        <v>100672</v>
      </c>
      <c r="G239" s="34">
        <v>169.00815359999999</v>
      </c>
      <c r="H239" s="35">
        <f t="shared" si="0"/>
        <v>1.1696628611390142E-3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1" t="s">
        <v>521</v>
      </c>
      <c r="E240" s="32" t="s">
        <v>52</v>
      </c>
      <c r="F240" s="33">
        <v>24308</v>
      </c>
      <c r="G240" s="34">
        <v>167.761662</v>
      </c>
      <c r="H240" s="35">
        <f t="shared" si="0"/>
        <v>1.161036206742846E-3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151</v>
      </c>
      <c r="F241" s="33">
        <v>60538</v>
      </c>
      <c r="G241" s="34">
        <v>166.661114</v>
      </c>
      <c r="H241" s="35">
        <f t="shared" si="0"/>
        <v>1.1534195912418716E-3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83</v>
      </c>
      <c r="F242" s="33">
        <v>451</v>
      </c>
      <c r="G242" s="34">
        <v>165.17875000000001</v>
      </c>
      <c r="H242" s="35">
        <f t="shared" si="0"/>
        <v>1.1431605233770566E-3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146</v>
      </c>
      <c r="F243" s="33">
        <v>11175</v>
      </c>
      <c r="G243" s="34">
        <v>156.37177500000001</v>
      </c>
      <c r="H243" s="35">
        <f t="shared" si="0"/>
        <v>1.0822096677108851E-3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440</v>
      </c>
      <c r="F244" s="33">
        <v>410</v>
      </c>
      <c r="G244" s="34">
        <v>145.63200000000001</v>
      </c>
      <c r="H244" s="35">
        <f t="shared" si="0"/>
        <v>1.0078823900801254E-3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116</v>
      </c>
      <c r="F245" s="33">
        <v>22585</v>
      </c>
      <c r="G245" s="34">
        <v>142.95175750000001</v>
      </c>
      <c r="H245" s="35">
        <f t="shared" si="0"/>
        <v>9.893331068395305E-4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42</v>
      </c>
      <c r="F246" s="33">
        <v>7428</v>
      </c>
      <c r="G246" s="34">
        <v>142.91471999999999</v>
      </c>
      <c r="H246" s="35">
        <f t="shared" si="0"/>
        <v>9.8907677963106931E-4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146</v>
      </c>
      <c r="F247" s="33">
        <v>31773</v>
      </c>
      <c r="G247" s="34">
        <v>142.29538050000002</v>
      </c>
      <c r="H247" s="35">
        <f t="shared" si="0"/>
        <v>9.8479048695136284E-4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74</v>
      </c>
      <c r="F248" s="33">
        <v>13033</v>
      </c>
      <c r="G248" s="34">
        <v>140.45664099999999</v>
      </c>
      <c r="H248" s="35">
        <f t="shared" si="0"/>
        <v>9.7206503401523099E-4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30</v>
      </c>
      <c r="F249" s="33">
        <v>27641</v>
      </c>
      <c r="G249" s="34">
        <v>140.41628</v>
      </c>
      <c r="H249" s="35">
        <f t="shared" si="0"/>
        <v>9.717857057003962E-4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181</v>
      </c>
      <c r="F250" s="33">
        <v>14668</v>
      </c>
      <c r="G250" s="34">
        <v>137.60050800000002</v>
      </c>
      <c r="H250" s="35">
        <f t="shared" si="0"/>
        <v>9.5229845692759436E-4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52</v>
      </c>
      <c r="F251" s="33">
        <v>104798</v>
      </c>
      <c r="G251" s="34">
        <v>102.1885298</v>
      </c>
      <c r="H251" s="35">
        <f t="shared" si="0"/>
        <v>7.0722107540649112E-4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86</v>
      </c>
      <c r="F252" s="33">
        <v>133311</v>
      </c>
      <c r="G252" s="34">
        <v>100.1965476</v>
      </c>
      <c r="H252" s="35">
        <f t="shared" si="0"/>
        <v>6.9343506834256929E-4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440</v>
      </c>
      <c r="F253" s="33">
        <v>3958</v>
      </c>
      <c r="G253" s="34">
        <v>97.228269999999995</v>
      </c>
      <c r="H253" s="35">
        <f t="shared" si="0"/>
        <v>6.7289236672541568E-4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515</v>
      </c>
      <c r="F254" s="33">
        <v>8044</v>
      </c>
      <c r="G254" s="34">
        <v>89.071211999999989</v>
      </c>
      <c r="H254" s="35">
        <f t="shared" si="0"/>
        <v>6.164394229145623E-4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74</v>
      </c>
      <c r="F255" s="33">
        <v>11596</v>
      </c>
      <c r="G255" s="34">
        <v>88.123801999999998</v>
      </c>
      <c r="H255" s="35">
        <f t="shared" si="0"/>
        <v>6.0988263693904996E-4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122</v>
      </c>
      <c r="F256" s="33">
        <v>44854</v>
      </c>
      <c r="G256" s="34">
        <v>70.609166799999997</v>
      </c>
      <c r="H256" s="35">
        <f t="shared" si="0"/>
        <v>4.88668258322005E-4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52</v>
      </c>
      <c r="F257" s="33">
        <v>22505</v>
      </c>
      <c r="G257" s="34">
        <v>68.842794999999995</v>
      </c>
      <c r="H257" s="35">
        <f t="shared" si="0"/>
        <v>4.7644364400953153E-4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6" t="s">
        <v>556</v>
      </c>
      <c r="D258" s="23" t="s">
        <v>557</v>
      </c>
      <c r="E258" s="32" t="s">
        <v>558</v>
      </c>
      <c r="F258" s="33">
        <v>87126</v>
      </c>
      <c r="G258" s="34">
        <v>105.4442415</v>
      </c>
      <c r="H258" s="35">
        <f t="shared" si="0"/>
        <v>7.2975303603058355E-4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6" t="s">
        <v>559</v>
      </c>
      <c r="D259" s="23" t="s">
        <v>560</v>
      </c>
      <c r="E259" s="32" t="s">
        <v>561</v>
      </c>
      <c r="F259" s="33">
        <v>87126</v>
      </c>
      <c r="G259" s="34">
        <v>105.4442415</v>
      </c>
      <c r="H259" s="35">
        <f t="shared" si="0"/>
        <v>7.2975303603058355E-4</v>
      </c>
      <c r="I259" s="2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36" t="s">
        <v>562</v>
      </c>
      <c r="D260" s="23" t="s">
        <v>563</v>
      </c>
      <c r="E260" s="32" t="s">
        <v>564</v>
      </c>
      <c r="F260" s="33">
        <v>87126</v>
      </c>
      <c r="G260" s="34">
        <v>105.4442415</v>
      </c>
      <c r="H260" s="35">
        <f t="shared" si="0"/>
        <v>7.2975303603058355E-4</v>
      </c>
      <c r="I260" s="2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36" t="s">
        <v>565</v>
      </c>
      <c r="D261" s="23" t="s">
        <v>566</v>
      </c>
      <c r="E261" s="32" t="s">
        <v>558</v>
      </c>
      <c r="F261" s="33">
        <v>87126</v>
      </c>
      <c r="G261" s="34">
        <v>105.4442415</v>
      </c>
      <c r="H261" s="35">
        <f t="shared" si="0"/>
        <v>7.2975303603058355E-4</v>
      </c>
      <c r="I261" s="2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37"/>
      <c r="C262" s="38" t="s">
        <v>567</v>
      </c>
      <c r="D262" s="23"/>
      <c r="E262" s="24"/>
      <c r="F262" s="25"/>
      <c r="G262" s="39">
        <f t="shared" ref="G262:H262" si="1">SUM(G8:G261)</f>
        <v>144315.58047879991</v>
      </c>
      <c r="H262" s="40">
        <f t="shared" si="1"/>
        <v>0.99877178215483975</v>
      </c>
      <c r="I262" s="28"/>
      <c r="J262" s="2"/>
      <c r="K262" s="41"/>
      <c r="L262" s="3"/>
      <c r="M262" s="1"/>
      <c r="N262" s="4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2"/>
      <c r="D263" s="23"/>
      <c r="E263" s="24"/>
      <c r="F263" s="25"/>
      <c r="G263" s="26"/>
      <c r="H263" s="27"/>
      <c r="I263" s="28"/>
      <c r="J263" s="2"/>
      <c r="K263" s="41"/>
      <c r="L263" s="3"/>
      <c r="M263" s="1"/>
      <c r="N263" s="4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568</v>
      </c>
      <c r="D264" s="23"/>
      <c r="E264" s="24"/>
      <c r="F264" s="25"/>
      <c r="G264" s="26" t="s">
        <v>569</v>
      </c>
      <c r="H264" s="27" t="s">
        <v>569</v>
      </c>
      <c r="I264" s="28"/>
      <c r="J264" s="2"/>
      <c r="K264" s="41"/>
      <c r="L264" s="3"/>
      <c r="M264" s="1"/>
      <c r="N264" s="4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3"/>
      <c r="D265" s="23"/>
      <c r="E265" s="24"/>
      <c r="F265" s="25"/>
      <c r="G265" s="26"/>
      <c r="H265" s="27"/>
      <c r="I265" s="28"/>
      <c r="J265" s="2"/>
      <c r="K265" s="41"/>
      <c r="L265" s="3"/>
      <c r="M265" s="1"/>
      <c r="N265" s="4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570</v>
      </c>
      <c r="D266" s="23"/>
      <c r="E266" s="24"/>
      <c r="F266" s="25"/>
      <c r="G266" s="26" t="s">
        <v>569</v>
      </c>
      <c r="H266" s="27" t="s">
        <v>569</v>
      </c>
      <c r="I266" s="28"/>
      <c r="J266" s="2"/>
      <c r="K266" s="41"/>
      <c r="L266" s="3"/>
      <c r="M266" s="1"/>
      <c r="N266" s="4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2"/>
      <c r="D267" s="23"/>
      <c r="E267" s="24"/>
      <c r="F267" s="25"/>
      <c r="G267" s="26"/>
      <c r="H267" s="27"/>
      <c r="I267" s="28"/>
      <c r="J267" s="2"/>
      <c r="K267" s="41"/>
      <c r="L267" s="3"/>
      <c r="M267" s="1"/>
      <c r="N267" s="4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571</v>
      </c>
      <c r="D268" s="23"/>
      <c r="E268" s="24"/>
      <c r="F268" s="25"/>
      <c r="G268" s="26"/>
      <c r="H268" s="27"/>
      <c r="I268" s="28"/>
      <c r="J268" s="2"/>
      <c r="K268" s="41"/>
      <c r="L268" s="3"/>
      <c r="M268" s="1"/>
      <c r="N268" s="4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2"/>
      <c r="D269" s="23"/>
      <c r="E269" s="24"/>
      <c r="F269" s="25"/>
      <c r="G269" s="26"/>
      <c r="H269" s="27"/>
      <c r="I269" s="28"/>
      <c r="J269" s="2"/>
      <c r="K269" s="41"/>
      <c r="L269" s="3"/>
      <c r="M269" s="1"/>
      <c r="N269" s="4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572</v>
      </c>
      <c r="D270" s="23"/>
      <c r="E270" s="24"/>
      <c r="F270" s="25"/>
      <c r="G270" s="26" t="s">
        <v>569</v>
      </c>
      <c r="H270" s="27" t="s">
        <v>569</v>
      </c>
      <c r="I270" s="28"/>
      <c r="J270" s="2"/>
      <c r="K270" s="41"/>
      <c r="L270" s="3"/>
      <c r="M270" s="1"/>
      <c r="N270" s="4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4"/>
      <c r="D271" s="45"/>
      <c r="E271" s="46"/>
      <c r="F271" s="47"/>
      <c r="G271" s="48"/>
      <c r="H271" s="49"/>
      <c r="I271" s="50"/>
      <c r="J271" s="2"/>
      <c r="K271" s="41"/>
      <c r="L271" s="3"/>
      <c r="M271" s="1"/>
      <c r="N271" s="4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573</v>
      </c>
      <c r="D272" s="23"/>
      <c r="E272" s="24"/>
      <c r="F272" s="25"/>
      <c r="G272" s="26" t="s">
        <v>569</v>
      </c>
      <c r="H272" s="27" t="s">
        <v>569</v>
      </c>
      <c r="I272" s="28"/>
      <c r="J272" s="2"/>
      <c r="K272" s="41"/>
      <c r="L272" s="3"/>
      <c r="M272" s="1"/>
      <c r="N272" s="4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2"/>
      <c r="D273" s="23"/>
      <c r="E273" s="24"/>
      <c r="F273" s="25"/>
      <c r="G273" s="26"/>
      <c r="H273" s="27"/>
      <c r="I273" s="28"/>
      <c r="J273" s="2"/>
      <c r="K273" s="41"/>
      <c r="L273" s="3"/>
      <c r="M273" s="1"/>
      <c r="N273" s="4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574</v>
      </c>
      <c r="D274" s="23"/>
      <c r="E274" s="24"/>
      <c r="F274" s="25"/>
      <c r="G274" s="26" t="s">
        <v>569</v>
      </c>
      <c r="H274" s="27" t="s">
        <v>569</v>
      </c>
      <c r="I274" s="28"/>
      <c r="J274" s="2"/>
      <c r="K274" s="41"/>
      <c r="L274" s="3"/>
      <c r="M274" s="1"/>
      <c r="N274" s="4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42"/>
      <c r="D275" s="23"/>
      <c r="E275" s="24"/>
      <c r="F275" s="25"/>
      <c r="G275" s="26"/>
      <c r="H275" s="27"/>
      <c r="I275" s="28"/>
      <c r="J275" s="2"/>
      <c r="K275" s="41"/>
      <c r="L275" s="3"/>
      <c r="M275" s="1"/>
      <c r="N275" s="4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2" t="s">
        <v>575</v>
      </c>
      <c r="D276" s="23"/>
      <c r="E276" s="24"/>
      <c r="F276" s="25"/>
      <c r="G276" s="26" t="s">
        <v>569</v>
      </c>
      <c r="H276" s="27" t="s">
        <v>569</v>
      </c>
      <c r="I276" s="28"/>
      <c r="J276" s="2"/>
      <c r="K276" s="41"/>
      <c r="L276" s="3"/>
      <c r="M276" s="1"/>
      <c r="N276" s="4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42"/>
      <c r="D277" s="23"/>
      <c r="E277" s="24"/>
      <c r="F277" s="25"/>
      <c r="G277" s="26"/>
      <c r="H277" s="27"/>
      <c r="I277" s="28"/>
      <c r="J277" s="2"/>
      <c r="K277" s="1"/>
      <c r="L277" s="3"/>
      <c r="M277" s="1"/>
      <c r="N277" s="4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22" t="s">
        <v>576</v>
      </c>
      <c r="D278" s="23"/>
      <c r="E278" s="24"/>
      <c r="F278" s="25"/>
      <c r="G278" s="26" t="s">
        <v>569</v>
      </c>
      <c r="H278" s="27" t="s">
        <v>569</v>
      </c>
      <c r="I278" s="28"/>
      <c r="J278" s="2"/>
      <c r="K278" s="1"/>
      <c r="L278" s="3"/>
      <c r="M278" s="1"/>
      <c r="N278" s="4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0"/>
      <c r="B279" s="21"/>
      <c r="C279" s="42"/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577</v>
      </c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 t="s">
        <v>578</v>
      </c>
      <c r="D281" s="23"/>
      <c r="E281" s="24"/>
      <c r="F281" s="25"/>
      <c r="G281" s="26" t="s">
        <v>569</v>
      </c>
      <c r="H281" s="27" t="s">
        <v>569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21"/>
      <c r="B282" s="21"/>
      <c r="C282" s="22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21"/>
      <c r="B283" s="21"/>
      <c r="C283" s="22" t="s">
        <v>579</v>
      </c>
      <c r="D283" s="23"/>
      <c r="E283" s="24"/>
      <c r="F283" s="25"/>
      <c r="G283" s="26" t="s">
        <v>569</v>
      </c>
      <c r="H283" s="27" t="s">
        <v>569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22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37" t="s">
        <v>580</v>
      </c>
      <c r="C285" s="29" t="s">
        <v>581</v>
      </c>
      <c r="D285" s="23"/>
      <c r="E285" s="24"/>
      <c r="F285" s="25"/>
      <c r="G285" s="26" t="s">
        <v>569</v>
      </c>
      <c r="H285" s="27" t="s">
        <v>569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2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38" t="s">
        <v>567</v>
      </c>
      <c r="D287" s="23"/>
      <c r="E287" s="24"/>
      <c r="F287" s="25"/>
      <c r="G287" s="51" t="s">
        <v>569</v>
      </c>
      <c r="H287" s="52" t="s">
        <v>569</v>
      </c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42"/>
      <c r="D288" s="23"/>
      <c r="E288" s="24"/>
      <c r="F288" s="25"/>
      <c r="G288" s="26"/>
      <c r="H288" s="27"/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22" t="s">
        <v>582</v>
      </c>
      <c r="D289" s="23"/>
      <c r="E289" s="24"/>
      <c r="F289" s="25"/>
      <c r="G289" s="26" t="s">
        <v>569</v>
      </c>
      <c r="H289" s="27" t="s">
        <v>569</v>
      </c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0"/>
      <c r="B290" s="21"/>
      <c r="C290" s="42"/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583</v>
      </c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584</v>
      </c>
      <c r="D292" s="23"/>
      <c r="E292" s="24"/>
      <c r="F292" s="25"/>
      <c r="G292" s="26" t="s">
        <v>569</v>
      </c>
      <c r="H292" s="27" t="s">
        <v>569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 t="s">
        <v>585</v>
      </c>
      <c r="D294" s="23"/>
      <c r="E294" s="24"/>
      <c r="F294" s="25"/>
      <c r="G294" s="26" t="s">
        <v>569</v>
      </c>
      <c r="H294" s="27" t="s">
        <v>569</v>
      </c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21"/>
      <c r="B295" s="21"/>
      <c r="C295" s="22"/>
      <c r="D295" s="23"/>
      <c r="E295" s="24"/>
      <c r="F295" s="25"/>
      <c r="G295" s="26"/>
      <c r="H295" s="27"/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21"/>
      <c r="B296" s="21"/>
      <c r="C296" s="22" t="s">
        <v>586</v>
      </c>
      <c r="D296" s="23"/>
      <c r="E296" s="24"/>
      <c r="F296" s="25"/>
      <c r="G296" s="26" t="s">
        <v>569</v>
      </c>
      <c r="H296" s="27" t="s">
        <v>569</v>
      </c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22"/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37" t="s">
        <v>587</v>
      </c>
      <c r="C298" s="29" t="s">
        <v>588</v>
      </c>
      <c r="D298" s="23"/>
      <c r="E298" s="24"/>
      <c r="F298" s="25"/>
      <c r="G298" s="26"/>
      <c r="H298" s="27"/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42" t="s">
        <v>589</v>
      </c>
      <c r="D299" s="23"/>
      <c r="E299" s="24"/>
      <c r="F299" s="25"/>
      <c r="G299" s="53">
        <v>431</v>
      </c>
      <c r="H299" s="35">
        <f>G299/$G$306</f>
        <v>2.9828424393301884E-3</v>
      </c>
      <c r="I299" s="50">
        <v>5.4600000000000003E-2</v>
      </c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38" t="s">
        <v>567</v>
      </c>
      <c r="D300" s="23"/>
      <c r="E300" s="24"/>
      <c r="F300" s="25"/>
      <c r="G300" s="54">
        <f>SUM(G299)</f>
        <v>431</v>
      </c>
      <c r="H300" s="40">
        <v>3.0398861477095502E-3</v>
      </c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20"/>
      <c r="B301" s="21"/>
      <c r="C301" s="42"/>
      <c r="D301" s="23"/>
      <c r="E301" s="24"/>
      <c r="F301" s="25"/>
      <c r="G301" s="26"/>
      <c r="H301" s="27"/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37"/>
      <c r="C302" s="22" t="s">
        <v>590</v>
      </c>
      <c r="D302" s="23"/>
      <c r="E302" s="24"/>
      <c r="F302" s="25"/>
      <c r="G302" s="26"/>
      <c r="H302" s="27"/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2" t="s">
        <v>591</v>
      </c>
      <c r="D303" s="23"/>
      <c r="E303" s="24"/>
      <c r="F303" s="25"/>
      <c r="G303" s="55">
        <f>G306-'ZN250'!XDO_?FINAL_MV?53?-G300</f>
        <v>-253.53105819990742</v>
      </c>
      <c r="H303" s="56">
        <f>H306-'ZN250'!XDO_?FINAL_PER_NET?53?-H299</f>
        <v>-1.7546245941699374E-3</v>
      </c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38" t="s">
        <v>567</v>
      </c>
      <c r="D304" s="23"/>
      <c r="E304" s="24"/>
      <c r="F304" s="25"/>
      <c r="G304" s="57">
        <f t="shared" ref="G304:H304" si="2">SUM(G303)</f>
        <v>-253.53105819990742</v>
      </c>
      <c r="H304" s="40">
        <f t="shared" si="2"/>
        <v>-1.7546245941699374E-3</v>
      </c>
      <c r="I304" s="28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8"/>
      <c r="D305" s="23"/>
      <c r="E305" s="24"/>
      <c r="F305" s="25"/>
      <c r="G305" s="26"/>
      <c r="H305" s="27"/>
      <c r="I305" s="59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60" t="s">
        <v>592</v>
      </c>
      <c r="D306" s="61"/>
      <c r="E306" s="62"/>
      <c r="F306" s="63"/>
      <c r="G306" s="64">
        <v>144493.0494206</v>
      </c>
      <c r="H306" s="65">
        <v>1</v>
      </c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67"/>
      <c r="D307" s="67"/>
      <c r="E307" s="67"/>
      <c r="F307" s="67"/>
      <c r="G307" s="67"/>
      <c r="H307" s="67"/>
      <c r="I307" s="68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69" t="s">
        <v>593</v>
      </c>
      <c r="D308" s="1"/>
      <c r="E308" s="1"/>
      <c r="F308" s="68"/>
      <c r="G308" s="70"/>
      <c r="H308" s="70"/>
      <c r="I308" s="68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69"/>
      <c r="D309" s="1"/>
      <c r="E309" s="1"/>
      <c r="F309" s="68"/>
      <c r="G309" s="70"/>
      <c r="H309" s="70"/>
      <c r="I309" s="68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1" t="s">
        <v>594</v>
      </c>
      <c r="D310" s="67"/>
      <c r="E310" s="67"/>
      <c r="F310" s="67"/>
      <c r="G310" s="70"/>
      <c r="H310" s="70"/>
      <c r="I310" s="68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2" t="s">
        <v>595</v>
      </c>
      <c r="D311" s="67"/>
      <c r="E311" s="67"/>
      <c r="F311" s="67"/>
      <c r="G311" s="70"/>
      <c r="H311" s="70"/>
      <c r="I311" s="68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2" t="s">
        <v>596</v>
      </c>
      <c r="D312" s="73"/>
      <c r="E312" s="73"/>
      <c r="F312" s="67"/>
      <c r="G312" s="70"/>
      <c r="H312" s="70"/>
      <c r="I312" s="68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2"/>
      <c r="D313" s="73"/>
      <c r="E313" s="73"/>
      <c r="F313" s="67"/>
      <c r="G313" s="70"/>
      <c r="H313" s="70"/>
      <c r="I313" s="68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74" t="s">
        <v>597</v>
      </c>
      <c r="D314" s="75" t="s">
        <v>598</v>
      </c>
      <c r="E314" s="75" t="s">
        <v>599</v>
      </c>
      <c r="F314" s="67"/>
      <c r="G314" s="70"/>
      <c r="H314" s="70"/>
      <c r="I314" s="68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76" t="s">
        <v>600</v>
      </c>
      <c r="D315" s="77">
        <v>14.038500000000001</v>
      </c>
      <c r="E315" s="77">
        <v>13.9185</v>
      </c>
      <c r="F315" s="67"/>
      <c r="G315" s="70"/>
      <c r="H315" s="70"/>
      <c r="I315" s="68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78" t="s">
        <v>601</v>
      </c>
      <c r="D316" s="67"/>
      <c r="E316" s="67"/>
      <c r="F316" s="67"/>
      <c r="G316" s="70"/>
      <c r="H316" s="70"/>
      <c r="I316" s="68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7"/>
      <c r="D317" s="67"/>
      <c r="E317" s="67"/>
      <c r="F317" s="67"/>
      <c r="G317" s="70"/>
      <c r="H317" s="70"/>
      <c r="I317" s="68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7" t="s">
        <v>602</v>
      </c>
      <c r="D318" s="67"/>
      <c r="E318" s="67"/>
      <c r="F318" s="67"/>
      <c r="G318" s="70"/>
      <c r="H318" s="70"/>
      <c r="I318" s="68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67" t="s">
        <v>603</v>
      </c>
      <c r="D319" s="67"/>
      <c r="E319" s="67"/>
      <c r="F319" s="67"/>
      <c r="G319" s="70"/>
      <c r="H319" s="70"/>
      <c r="I319" s="68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" customHeight="1" x14ac:dyDescent="0.5">
      <c r="A320" s="1"/>
      <c r="B320" s="1"/>
      <c r="C320" s="67" t="s">
        <v>604</v>
      </c>
      <c r="D320" s="67"/>
      <c r="E320" s="67"/>
      <c r="F320" s="67"/>
      <c r="G320" s="70"/>
      <c r="H320" s="70"/>
      <c r="I320" s="68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7" t="s">
        <v>605</v>
      </c>
      <c r="D321" s="67"/>
      <c r="E321" s="67"/>
      <c r="F321" s="67"/>
      <c r="G321" s="70"/>
      <c r="H321" s="70"/>
      <c r="I321" s="68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7" t="s">
        <v>606</v>
      </c>
      <c r="D322" s="67"/>
      <c r="E322" s="67"/>
      <c r="F322" s="67"/>
      <c r="G322" s="70"/>
      <c r="H322" s="70"/>
      <c r="I322" s="68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7" t="s">
        <v>607</v>
      </c>
      <c r="D323" s="67"/>
      <c r="E323" s="67"/>
      <c r="F323" s="67"/>
      <c r="G323" s="70"/>
      <c r="H323" s="70"/>
      <c r="I323" s="68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7" t="s">
        <v>608</v>
      </c>
      <c r="D324" s="67"/>
      <c r="E324" s="67"/>
      <c r="F324" s="67"/>
      <c r="G324" s="70"/>
      <c r="H324" s="70"/>
      <c r="I324" s="68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7" t="s">
        <v>609</v>
      </c>
      <c r="D325" s="67"/>
      <c r="E325" s="67"/>
      <c r="F325" s="67"/>
      <c r="G325" s="70"/>
      <c r="H325" s="70"/>
      <c r="I325" s="68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7" t="s">
        <v>610</v>
      </c>
      <c r="D326" s="67"/>
      <c r="E326" s="67"/>
      <c r="F326" s="67"/>
      <c r="G326" s="70"/>
      <c r="H326" s="70"/>
      <c r="I326" s="68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67" t="s">
        <v>611</v>
      </c>
      <c r="D327" s="67"/>
      <c r="E327" s="67"/>
      <c r="F327" s="67"/>
      <c r="G327" s="70"/>
      <c r="H327" s="70"/>
      <c r="I327" s="68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67" t="s">
        <v>612</v>
      </c>
      <c r="D328" s="67"/>
      <c r="E328" s="67"/>
      <c r="F328" s="67"/>
      <c r="G328" s="70"/>
      <c r="H328" s="70"/>
      <c r="I328" s="68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67" t="s">
        <v>613</v>
      </c>
      <c r="D329" s="67"/>
      <c r="E329" s="67"/>
      <c r="F329" s="67"/>
      <c r="G329" s="70"/>
      <c r="H329" s="70"/>
      <c r="I329" s="68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67" t="s">
        <v>614</v>
      </c>
      <c r="D330" s="67"/>
      <c r="E330" s="67"/>
      <c r="F330" s="67"/>
      <c r="G330" s="70"/>
      <c r="H330" s="70"/>
      <c r="I330" s="68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67" t="s">
        <v>615</v>
      </c>
      <c r="D331" s="67"/>
      <c r="E331" s="67"/>
      <c r="F331" s="67"/>
      <c r="G331" s="70"/>
      <c r="H331" s="70"/>
      <c r="I331" s="68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8"/>
      <c r="G332" s="70"/>
      <c r="H332" s="70"/>
      <c r="I332" s="68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79" t="s">
        <v>616</v>
      </c>
      <c r="D333" s="1"/>
      <c r="E333" s="1"/>
      <c r="F333" s="68"/>
      <c r="G333" s="70"/>
      <c r="H333" s="70"/>
      <c r="I333" s="68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80" t="s">
        <v>617</v>
      </c>
      <c r="D334" s="1"/>
      <c r="E334" s="1"/>
      <c r="F334" s="68"/>
      <c r="G334" s="70"/>
      <c r="H334" s="70"/>
      <c r="I334" s="68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5000000000000004">
      <c r="A335" s="1"/>
      <c r="B335" s="1"/>
      <c r="C335" s="81"/>
      <c r="D335" s="1"/>
      <c r="E335" s="1"/>
      <c r="F335" s="67"/>
      <c r="G335" s="67"/>
      <c r="H335" s="67"/>
      <c r="I335" s="82"/>
      <c r="J335" s="41"/>
      <c r="K335" s="41"/>
      <c r="L335" s="41"/>
      <c r="M335" s="41"/>
      <c r="N335" s="4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39.75" customHeight="1" x14ac:dyDescent="0.5">
      <c r="A336" s="1"/>
      <c r="B336" s="1"/>
      <c r="C336" s="80" t="s">
        <v>618</v>
      </c>
      <c r="D336" s="1"/>
      <c r="E336" s="1"/>
      <c r="F336" s="68"/>
      <c r="G336" s="70"/>
      <c r="H336" s="70"/>
      <c r="I336" s="68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81"/>
      <c r="D337" s="1"/>
      <c r="E337" s="1"/>
      <c r="F337" s="68"/>
      <c r="G337" s="70"/>
      <c r="H337" s="70"/>
      <c r="I337" s="68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83" t="s">
        <v>619</v>
      </c>
      <c r="D338" s="1"/>
      <c r="E338" s="1"/>
      <c r="F338" s="68"/>
      <c r="G338" s="70"/>
      <c r="H338" s="70"/>
      <c r="I338" s="68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84" t="s">
        <v>620</v>
      </c>
      <c r="D339" s="1"/>
      <c r="E339" s="1"/>
      <c r="F339" s="68"/>
      <c r="G339" s="70"/>
      <c r="H339" s="70"/>
      <c r="I339" s="68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8"/>
      <c r="G340" s="70"/>
      <c r="H340" s="70"/>
      <c r="I340" s="68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85" t="s">
        <v>621</v>
      </c>
      <c r="D341" s="86"/>
      <c r="E341" s="86"/>
      <c r="F341" s="68"/>
      <c r="G341" s="70"/>
      <c r="H341" s="70"/>
      <c r="I341" s="68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8"/>
      <c r="G342" s="70"/>
      <c r="H342" s="70"/>
      <c r="I342" s="68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8"/>
      <c r="G343" s="70"/>
      <c r="H343" s="70"/>
      <c r="I343" s="68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0"/>
      <c r="D344" s="10"/>
      <c r="E344" s="10"/>
      <c r="F344" s="68"/>
      <c r="G344" s="70"/>
      <c r="H344" s="70"/>
      <c r="I344" s="68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87"/>
      <c r="E345" s="87"/>
      <c r="F345" s="68"/>
      <c r="G345" s="70"/>
      <c r="H345" s="70"/>
      <c r="I345" s="68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8"/>
      <c r="G346" s="70"/>
      <c r="H346" s="70"/>
      <c r="I346" s="68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8"/>
      <c r="G347" s="70"/>
      <c r="H347" s="70"/>
      <c r="I347" s="68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8"/>
      <c r="G348" s="70"/>
      <c r="H348" s="70"/>
      <c r="I348" s="68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8"/>
      <c r="G349" s="70"/>
      <c r="H349" s="70"/>
      <c r="I349" s="68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8"/>
      <c r="G350" s="70"/>
      <c r="H350" s="70"/>
      <c r="I350" s="68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8"/>
      <c r="G351" s="70"/>
      <c r="H351" s="70"/>
      <c r="I351" s="68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8"/>
      <c r="G352" s="70"/>
      <c r="H352" s="70"/>
      <c r="I352" s="68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8"/>
      <c r="G353" s="70"/>
      <c r="H353" s="70"/>
      <c r="I353" s="68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8"/>
      <c r="G354" s="70"/>
      <c r="H354" s="70"/>
      <c r="I354" s="68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8"/>
      <c r="G355" s="70"/>
      <c r="H355" s="70"/>
      <c r="I355" s="68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8"/>
      <c r="G356" s="70"/>
      <c r="H356" s="70"/>
      <c r="I356" s="68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8"/>
      <c r="G357" s="70"/>
      <c r="H357" s="70"/>
      <c r="I357" s="68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8"/>
      <c r="G358" s="70"/>
      <c r="H358" s="70"/>
      <c r="I358" s="68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8"/>
      <c r="G359" s="70"/>
      <c r="H359" s="70"/>
      <c r="I359" s="68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8"/>
      <c r="G360" s="70"/>
      <c r="H360" s="70"/>
      <c r="I360" s="68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8"/>
      <c r="G361" s="70"/>
      <c r="H361" s="70"/>
      <c r="I361" s="68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88" t="s">
        <v>622</v>
      </c>
      <c r="D362" s="1"/>
      <c r="E362" s="1"/>
      <c r="F362" s="68"/>
      <c r="G362" s="70"/>
      <c r="H362" s="70"/>
      <c r="I362" s="68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8"/>
      <c r="G363" s="70"/>
      <c r="H363" s="70"/>
      <c r="I363" s="68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8"/>
      <c r="G364" s="70"/>
      <c r="H364" s="70"/>
      <c r="I364" s="68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85" t="s">
        <v>623</v>
      </c>
      <c r="D365" s="86"/>
      <c r="E365" s="86"/>
      <c r="F365" s="86"/>
      <c r="G365" s="86"/>
      <c r="H365" s="70"/>
      <c r="I365" s="68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8"/>
      <c r="G366" s="70"/>
      <c r="H366" s="70"/>
      <c r="I366" s="68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8"/>
      <c r="G367" s="70"/>
      <c r="H367" s="70"/>
      <c r="I367" s="68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8"/>
      <c r="G368" s="70"/>
      <c r="H368" s="70"/>
      <c r="I368" s="68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8"/>
      <c r="G369" s="70"/>
      <c r="H369" s="70"/>
      <c r="I369" s="68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8"/>
      <c r="G370" s="70"/>
      <c r="H370" s="70"/>
      <c r="I370" s="68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8"/>
      <c r="G371" s="70"/>
      <c r="H371" s="70"/>
      <c r="I371" s="68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8"/>
      <c r="G372" s="70"/>
      <c r="H372" s="70"/>
      <c r="I372" s="68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8"/>
      <c r="G373" s="70"/>
      <c r="H373" s="70"/>
      <c r="I373" s="68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8"/>
      <c r="G374" s="70"/>
      <c r="H374" s="70"/>
      <c r="I374" s="68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8"/>
      <c r="G375" s="70"/>
      <c r="H375" s="70"/>
      <c r="I375" s="68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8"/>
      <c r="G376" s="70"/>
      <c r="H376" s="70"/>
      <c r="I376" s="68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8"/>
      <c r="G377" s="70"/>
      <c r="H377" s="70"/>
      <c r="I377" s="68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8"/>
      <c r="G378" s="70"/>
      <c r="H378" s="70"/>
      <c r="I378" s="68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8"/>
      <c r="G379" s="70"/>
      <c r="H379" s="70"/>
      <c r="I379" s="68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8"/>
      <c r="G380" s="70"/>
      <c r="H380" s="70"/>
      <c r="I380" s="68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8"/>
      <c r="G381" s="70"/>
      <c r="H381" s="70"/>
      <c r="I381" s="68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8"/>
      <c r="G382" s="70"/>
      <c r="H382" s="70"/>
      <c r="I382" s="68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8"/>
      <c r="G383" s="70"/>
      <c r="H383" s="70"/>
      <c r="I383" s="68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69" t="s">
        <v>624</v>
      </c>
      <c r="D384" s="1"/>
      <c r="E384" s="1"/>
      <c r="F384" s="68"/>
      <c r="G384" s="70"/>
      <c r="H384" s="70"/>
      <c r="I384" s="68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89"/>
      <c r="D385" s="1"/>
      <c r="E385" s="1"/>
      <c r="F385" s="68"/>
      <c r="G385" s="70"/>
      <c r="H385" s="70"/>
      <c r="I385" s="68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8"/>
      <c r="G386" s="70"/>
      <c r="H386" s="70"/>
      <c r="I386" s="68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8"/>
      <c r="G387" s="70"/>
      <c r="H387" s="70"/>
      <c r="I387" s="68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8"/>
      <c r="G388" s="70"/>
      <c r="H388" s="70"/>
      <c r="I388" s="68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8"/>
      <c r="G389" s="70"/>
      <c r="H389" s="70"/>
      <c r="I389" s="68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8"/>
      <c r="G390" s="70"/>
      <c r="H390" s="70"/>
      <c r="I390" s="68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8"/>
      <c r="G391" s="70"/>
      <c r="H391" s="70"/>
      <c r="I391" s="68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8"/>
      <c r="G392" s="70"/>
      <c r="H392" s="70"/>
      <c r="I392" s="68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8"/>
      <c r="G393" s="70"/>
      <c r="H393" s="70"/>
      <c r="I393" s="68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8"/>
      <c r="G394" s="70"/>
      <c r="H394" s="70"/>
      <c r="I394" s="68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8"/>
      <c r="G395" s="70"/>
      <c r="H395" s="70"/>
      <c r="I395" s="68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8"/>
      <c r="G396" s="70"/>
      <c r="H396" s="70"/>
      <c r="I396" s="68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8"/>
      <c r="G397" s="70"/>
      <c r="H397" s="70"/>
      <c r="I397" s="68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8"/>
      <c r="G398" s="70"/>
      <c r="H398" s="70"/>
      <c r="I398" s="68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8"/>
      <c r="G399" s="70"/>
      <c r="H399" s="70"/>
      <c r="I399" s="68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8"/>
      <c r="G400" s="70"/>
      <c r="H400" s="70"/>
      <c r="I400" s="68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8"/>
      <c r="G401" s="70"/>
      <c r="H401" s="70"/>
      <c r="I401" s="68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8"/>
      <c r="G402" s="70"/>
      <c r="H402" s="70"/>
      <c r="I402" s="68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8"/>
      <c r="G403" s="70"/>
      <c r="H403" s="70"/>
      <c r="I403" s="68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8"/>
      <c r="G404" s="70"/>
      <c r="H404" s="70"/>
      <c r="I404" s="68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8"/>
      <c r="G405" s="70"/>
      <c r="H405" s="70"/>
      <c r="I405" s="68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8"/>
      <c r="G406" s="70"/>
      <c r="H406" s="70"/>
      <c r="I406" s="68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8"/>
      <c r="G407" s="70"/>
      <c r="H407" s="70"/>
      <c r="I407" s="68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8"/>
      <c r="G408" s="70"/>
      <c r="H408" s="70"/>
      <c r="I408" s="68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8"/>
      <c r="G409" s="70"/>
      <c r="H409" s="70"/>
      <c r="I409" s="68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8"/>
      <c r="G410" s="70"/>
      <c r="H410" s="70"/>
      <c r="I410" s="68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8"/>
      <c r="G411" s="70"/>
      <c r="H411" s="70"/>
      <c r="I411" s="68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8"/>
      <c r="G412" s="70"/>
      <c r="H412" s="70"/>
      <c r="I412" s="68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8"/>
      <c r="G413" s="70"/>
      <c r="H413" s="70"/>
      <c r="I413" s="68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8"/>
      <c r="G414" s="70"/>
      <c r="H414" s="70"/>
      <c r="I414" s="68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8"/>
      <c r="G415" s="70"/>
      <c r="H415" s="70"/>
      <c r="I415" s="68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8"/>
      <c r="G416" s="70"/>
      <c r="H416" s="70"/>
      <c r="I416" s="68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8"/>
      <c r="G417" s="70"/>
      <c r="H417" s="70"/>
      <c r="I417" s="68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8"/>
      <c r="G418" s="70"/>
      <c r="H418" s="70"/>
      <c r="I418" s="68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8"/>
      <c r="G419" s="70"/>
      <c r="H419" s="70"/>
      <c r="I419" s="68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8"/>
      <c r="G420" s="70"/>
      <c r="H420" s="70"/>
      <c r="I420" s="68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8"/>
      <c r="G421" s="70"/>
      <c r="H421" s="70"/>
      <c r="I421" s="68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8"/>
      <c r="G422" s="70"/>
      <c r="H422" s="70"/>
      <c r="I422" s="68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8"/>
      <c r="G423" s="70"/>
      <c r="H423" s="70"/>
      <c r="I423" s="68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8"/>
      <c r="G424" s="70"/>
      <c r="H424" s="70"/>
      <c r="I424" s="68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8"/>
      <c r="G425" s="70"/>
      <c r="H425" s="70"/>
      <c r="I425" s="68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8"/>
      <c r="G426" s="70"/>
      <c r="H426" s="70"/>
      <c r="I426" s="68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8"/>
      <c r="G427" s="70"/>
      <c r="H427" s="70"/>
      <c r="I427" s="68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8"/>
      <c r="G428" s="70"/>
      <c r="H428" s="70"/>
      <c r="I428" s="68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8"/>
      <c r="G429" s="70"/>
      <c r="H429" s="70"/>
      <c r="I429" s="68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8"/>
      <c r="G430" s="70"/>
      <c r="H430" s="70"/>
      <c r="I430" s="68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8"/>
      <c r="G431" s="70"/>
      <c r="H431" s="70"/>
      <c r="I431" s="68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8"/>
      <c r="G432" s="70"/>
      <c r="H432" s="70"/>
      <c r="I432" s="68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8"/>
      <c r="G433" s="70"/>
      <c r="H433" s="70"/>
      <c r="I433" s="68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8"/>
      <c r="G434" s="70"/>
      <c r="H434" s="70"/>
      <c r="I434" s="68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8"/>
      <c r="G435" s="70"/>
      <c r="H435" s="70"/>
      <c r="I435" s="68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8"/>
      <c r="G436" s="70"/>
      <c r="H436" s="70"/>
      <c r="I436" s="68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8"/>
      <c r="G437" s="70"/>
      <c r="H437" s="70"/>
      <c r="I437" s="68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8"/>
      <c r="G438" s="70"/>
      <c r="H438" s="70"/>
      <c r="I438" s="68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8"/>
      <c r="G439" s="70"/>
      <c r="H439" s="70"/>
      <c r="I439" s="68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8"/>
      <c r="G440" s="70"/>
      <c r="H440" s="70"/>
      <c r="I440" s="68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8"/>
      <c r="G441" s="70"/>
      <c r="H441" s="70"/>
      <c r="I441" s="68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8"/>
      <c r="G442" s="70"/>
      <c r="H442" s="70"/>
      <c r="I442" s="68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8"/>
      <c r="G443" s="70"/>
      <c r="H443" s="70"/>
      <c r="I443" s="68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8"/>
      <c r="G444" s="70"/>
      <c r="H444" s="70"/>
      <c r="I444" s="68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8"/>
      <c r="G445" s="70"/>
      <c r="H445" s="70"/>
      <c r="I445" s="68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8"/>
      <c r="G446" s="70"/>
      <c r="H446" s="70"/>
      <c r="I446" s="68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8"/>
      <c r="G447" s="70"/>
      <c r="H447" s="70"/>
      <c r="I447" s="68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8"/>
      <c r="G448" s="70"/>
      <c r="H448" s="70"/>
      <c r="I448" s="68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8"/>
      <c r="G449" s="70"/>
      <c r="H449" s="70"/>
      <c r="I449" s="68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8"/>
      <c r="G450" s="70"/>
      <c r="H450" s="70"/>
      <c r="I450" s="68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8"/>
      <c r="G451" s="70"/>
      <c r="H451" s="70"/>
      <c r="I451" s="68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8"/>
      <c r="G452" s="70"/>
      <c r="H452" s="70"/>
      <c r="I452" s="68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8"/>
      <c r="G453" s="70"/>
      <c r="H453" s="70"/>
      <c r="I453" s="68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8"/>
      <c r="G454" s="70"/>
      <c r="H454" s="70"/>
      <c r="I454" s="68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8"/>
      <c r="G455" s="70"/>
      <c r="H455" s="70"/>
      <c r="I455" s="68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8"/>
      <c r="G456" s="70"/>
      <c r="H456" s="70"/>
      <c r="I456" s="68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8"/>
      <c r="G457" s="70"/>
      <c r="H457" s="70"/>
      <c r="I457" s="68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8"/>
      <c r="G458" s="70"/>
      <c r="H458" s="70"/>
      <c r="I458" s="68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8"/>
      <c r="G459" s="70"/>
      <c r="H459" s="70"/>
      <c r="I459" s="68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8"/>
      <c r="G460" s="70"/>
      <c r="H460" s="70"/>
      <c r="I460" s="68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8"/>
      <c r="G461" s="70"/>
      <c r="H461" s="70"/>
      <c r="I461" s="68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8"/>
      <c r="G462" s="70"/>
      <c r="H462" s="70"/>
      <c r="I462" s="68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8"/>
      <c r="G463" s="70"/>
      <c r="H463" s="70"/>
      <c r="I463" s="68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8"/>
      <c r="G464" s="70"/>
      <c r="H464" s="70"/>
      <c r="I464" s="68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8"/>
      <c r="G465" s="70"/>
      <c r="H465" s="70"/>
      <c r="I465" s="68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8"/>
      <c r="G466" s="70"/>
      <c r="H466" s="70"/>
      <c r="I466" s="68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8"/>
      <c r="G467" s="70"/>
      <c r="H467" s="70"/>
      <c r="I467" s="68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8"/>
      <c r="G468" s="70"/>
      <c r="H468" s="70"/>
      <c r="I468" s="68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8"/>
      <c r="G469" s="70"/>
      <c r="H469" s="70"/>
      <c r="I469" s="68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68"/>
      <c r="G470" s="70"/>
      <c r="H470" s="70"/>
      <c r="I470" s="68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68"/>
      <c r="G471" s="70"/>
      <c r="H471" s="70"/>
      <c r="I471" s="68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68"/>
      <c r="G472" s="70"/>
      <c r="H472" s="70"/>
      <c r="I472" s="68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68"/>
      <c r="G473" s="70"/>
      <c r="H473" s="70"/>
      <c r="I473" s="68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0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68"/>
      <c r="G474" s="70"/>
      <c r="H474" s="70"/>
      <c r="I474" s="68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0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68"/>
      <c r="G475" s="70"/>
      <c r="H475" s="70"/>
      <c r="I475" s="68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0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68"/>
      <c r="G476" s="70"/>
      <c r="H476" s="70"/>
      <c r="I476" s="68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68"/>
      <c r="G477" s="70"/>
      <c r="H477" s="70"/>
      <c r="I477" s="68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68"/>
      <c r="G478" s="70"/>
      <c r="H478" s="70"/>
      <c r="I478" s="68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68"/>
      <c r="G479" s="70"/>
      <c r="H479" s="70"/>
      <c r="I479" s="68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68"/>
      <c r="G480" s="70"/>
      <c r="H480" s="70"/>
      <c r="I480" s="68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68"/>
      <c r="G481" s="70"/>
      <c r="H481" s="70"/>
      <c r="I481" s="68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68"/>
      <c r="G482" s="70"/>
      <c r="H482" s="70"/>
      <c r="I482" s="68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68"/>
      <c r="G483" s="70"/>
      <c r="H483" s="70"/>
      <c r="I483" s="68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68"/>
      <c r="G484" s="70"/>
      <c r="H484" s="70"/>
      <c r="I484" s="68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68"/>
      <c r="G485" s="70"/>
      <c r="H485" s="70"/>
      <c r="I485" s="68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68"/>
      <c r="G486" s="70"/>
      <c r="H486" s="70"/>
      <c r="I486" s="68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68"/>
      <c r="G487" s="70"/>
      <c r="H487" s="70"/>
      <c r="I487" s="68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68"/>
      <c r="G488" s="70"/>
      <c r="H488" s="70"/>
      <c r="I488" s="68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68"/>
      <c r="G489" s="70"/>
      <c r="H489" s="70"/>
      <c r="I489" s="68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68"/>
      <c r="G490" s="70"/>
      <c r="H490" s="70"/>
      <c r="I490" s="68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68"/>
      <c r="G491" s="70"/>
      <c r="H491" s="70"/>
      <c r="I491" s="68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68"/>
      <c r="G492" s="70"/>
      <c r="H492" s="70"/>
      <c r="I492" s="68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68"/>
      <c r="G493" s="70"/>
      <c r="H493" s="70"/>
      <c r="I493" s="68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68"/>
      <c r="G494" s="70"/>
      <c r="H494" s="70"/>
      <c r="I494" s="68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68"/>
      <c r="G495" s="70"/>
      <c r="H495" s="70"/>
      <c r="I495" s="68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68"/>
      <c r="G496" s="70"/>
      <c r="H496" s="70"/>
      <c r="I496" s="68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68"/>
      <c r="G497" s="70"/>
      <c r="H497" s="70"/>
      <c r="I497" s="68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68"/>
      <c r="G498" s="70"/>
      <c r="H498" s="70"/>
      <c r="I498" s="68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68"/>
      <c r="G499" s="70"/>
      <c r="H499" s="70"/>
      <c r="I499" s="68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68"/>
      <c r="G500" s="70"/>
      <c r="H500" s="70"/>
      <c r="I500" s="68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68"/>
      <c r="G501" s="70"/>
      <c r="H501" s="70"/>
      <c r="I501" s="68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68"/>
      <c r="G502" s="70"/>
      <c r="H502" s="70"/>
      <c r="I502" s="68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68"/>
      <c r="G503" s="70"/>
      <c r="H503" s="70"/>
      <c r="I503" s="68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68"/>
      <c r="G504" s="70"/>
      <c r="H504" s="70"/>
      <c r="I504" s="68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68"/>
      <c r="G505" s="70"/>
      <c r="H505" s="70"/>
      <c r="I505" s="68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68"/>
      <c r="G506" s="70"/>
      <c r="H506" s="70"/>
      <c r="I506" s="68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68"/>
      <c r="G507" s="70"/>
      <c r="H507" s="70"/>
      <c r="I507" s="68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68"/>
      <c r="G508" s="70"/>
      <c r="H508" s="70"/>
      <c r="I508" s="68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68"/>
      <c r="G509" s="70"/>
      <c r="H509" s="70"/>
      <c r="I509" s="68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68"/>
      <c r="G510" s="70"/>
      <c r="H510" s="70"/>
      <c r="I510" s="68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68"/>
      <c r="G511" s="70"/>
      <c r="H511" s="70"/>
      <c r="I511" s="68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68"/>
      <c r="G512" s="70"/>
      <c r="H512" s="70"/>
      <c r="I512" s="68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68"/>
      <c r="G513" s="70"/>
      <c r="H513" s="70"/>
      <c r="I513" s="68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68"/>
      <c r="G514" s="70"/>
      <c r="H514" s="70"/>
      <c r="I514" s="68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68"/>
      <c r="G515" s="70"/>
      <c r="H515" s="70"/>
      <c r="I515" s="68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68"/>
      <c r="G516" s="70"/>
      <c r="H516" s="70"/>
      <c r="I516" s="68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68"/>
      <c r="G517" s="70"/>
      <c r="H517" s="70"/>
      <c r="I517" s="68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68"/>
      <c r="G518" s="70"/>
      <c r="H518" s="70"/>
      <c r="I518" s="68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68"/>
      <c r="G519" s="70"/>
      <c r="H519" s="70"/>
      <c r="I519" s="68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68"/>
      <c r="G520" s="70"/>
      <c r="H520" s="70"/>
      <c r="I520" s="68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68"/>
      <c r="G521" s="70"/>
      <c r="H521" s="70"/>
      <c r="I521" s="68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68"/>
      <c r="G522" s="70"/>
      <c r="H522" s="70"/>
      <c r="I522" s="68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68"/>
      <c r="G523" s="70"/>
      <c r="H523" s="70"/>
      <c r="I523" s="68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68"/>
      <c r="G524" s="70"/>
      <c r="H524" s="70"/>
      <c r="I524" s="68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68"/>
      <c r="G525" s="70"/>
      <c r="H525" s="70"/>
      <c r="I525" s="68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68"/>
      <c r="G526" s="70"/>
      <c r="H526" s="70"/>
      <c r="I526" s="68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68"/>
      <c r="G527" s="70"/>
      <c r="H527" s="70"/>
      <c r="I527" s="68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68"/>
      <c r="G528" s="70"/>
      <c r="H528" s="70"/>
      <c r="I528" s="68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68"/>
      <c r="G529" s="70"/>
      <c r="H529" s="70"/>
      <c r="I529" s="68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68"/>
      <c r="G530" s="70"/>
      <c r="H530" s="70"/>
      <c r="I530" s="68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68"/>
      <c r="G531" s="70"/>
      <c r="H531" s="70"/>
      <c r="I531" s="68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68"/>
      <c r="G532" s="70"/>
      <c r="H532" s="70"/>
      <c r="I532" s="68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68"/>
      <c r="G533" s="70"/>
      <c r="H533" s="70"/>
      <c r="I533" s="68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68"/>
      <c r="G534" s="70"/>
      <c r="H534" s="70"/>
      <c r="I534" s="68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68"/>
      <c r="G535" s="70"/>
      <c r="H535" s="70"/>
      <c r="I535" s="68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68"/>
      <c r="G536" s="70"/>
      <c r="H536" s="70"/>
      <c r="I536" s="68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68"/>
      <c r="G537" s="70"/>
      <c r="H537" s="70"/>
      <c r="I537" s="68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68"/>
      <c r="G538" s="70"/>
      <c r="H538" s="70"/>
      <c r="I538" s="68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68"/>
      <c r="G539" s="70"/>
      <c r="H539" s="70"/>
      <c r="I539" s="68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68"/>
      <c r="G540" s="70"/>
      <c r="H540" s="70"/>
      <c r="I540" s="68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68"/>
      <c r="G541" s="70"/>
      <c r="H541" s="70"/>
      <c r="I541" s="68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68"/>
      <c r="G542" s="70"/>
      <c r="H542" s="70"/>
      <c r="I542" s="68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68"/>
      <c r="G543" s="70"/>
      <c r="H543" s="70"/>
      <c r="I543" s="68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0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68"/>
      <c r="G544" s="70"/>
      <c r="H544" s="70"/>
      <c r="I544" s="68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0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68"/>
      <c r="G545" s="70"/>
      <c r="H545" s="70"/>
      <c r="I545" s="68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0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68"/>
      <c r="G546" s="70"/>
      <c r="H546" s="70"/>
      <c r="I546" s="68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68"/>
      <c r="G547" s="70"/>
      <c r="H547" s="70"/>
      <c r="I547" s="68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68"/>
      <c r="G548" s="70"/>
      <c r="H548" s="70"/>
      <c r="I548" s="68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68"/>
      <c r="G549" s="70"/>
      <c r="H549" s="70"/>
      <c r="I549" s="68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68"/>
      <c r="G550" s="70"/>
      <c r="H550" s="70"/>
      <c r="I550" s="68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68"/>
      <c r="G551" s="70"/>
      <c r="H551" s="70"/>
      <c r="I551" s="68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68"/>
      <c r="G552" s="70"/>
      <c r="H552" s="70"/>
      <c r="I552" s="68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68"/>
      <c r="G553" s="70"/>
      <c r="H553" s="70"/>
      <c r="I553" s="68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68"/>
      <c r="G554" s="70"/>
      <c r="H554" s="70"/>
      <c r="I554" s="68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68"/>
      <c r="G555" s="70"/>
      <c r="H555" s="70"/>
      <c r="I555" s="68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68"/>
      <c r="G556" s="70"/>
      <c r="H556" s="70"/>
      <c r="I556" s="68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68"/>
      <c r="G557" s="70"/>
      <c r="H557" s="70"/>
      <c r="I557" s="68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68"/>
      <c r="G558" s="70"/>
      <c r="H558" s="70"/>
      <c r="I558" s="68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68"/>
      <c r="G559" s="70"/>
      <c r="H559" s="70"/>
      <c r="I559" s="68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68"/>
      <c r="G560" s="70"/>
      <c r="H560" s="70"/>
      <c r="I560" s="68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68"/>
      <c r="G561" s="70"/>
      <c r="H561" s="70"/>
      <c r="I561" s="68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68"/>
      <c r="G562" s="70"/>
      <c r="H562" s="70"/>
      <c r="I562" s="68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68"/>
      <c r="G563" s="70"/>
      <c r="H563" s="70"/>
      <c r="I563" s="68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68"/>
      <c r="G564" s="70"/>
      <c r="H564" s="70"/>
      <c r="I564" s="68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68"/>
      <c r="G565" s="70"/>
      <c r="H565" s="70"/>
      <c r="I565" s="68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68"/>
      <c r="G566" s="70"/>
      <c r="H566" s="70"/>
      <c r="I566" s="68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41"/>
      <c r="B567" s="41"/>
      <c r="C567" s="67"/>
      <c r="D567" s="67"/>
      <c r="E567" s="67"/>
      <c r="F567" s="67"/>
      <c r="G567" s="67"/>
      <c r="H567" s="67"/>
      <c r="I567" s="67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7"/>
      <c r="D568" s="67"/>
      <c r="E568" s="67"/>
      <c r="F568" s="67"/>
      <c r="G568" s="67"/>
      <c r="H568" s="67"/>
      <c r="I568" s="67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7"/>
      <c r="D569" s="67"/>
      <c r="E569" s="67"/>
      <c r="F569" s="67"/>
      <c r="G569" s="67"/>
      <c r="H569" s="67"/>
      <c r="I569" s="67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7"/>
      <c r="D570" s="67"/>
      <c r="E570" s="67"/>
      <c r="F570" s="67"/>
      <c r="G570" s="67"/>
      <c r="H570" s="67"/>
      <c r="I570" s="67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7"/>
      <c r="D571" s="67"/>
      <c r="E571" s="67"/>
      <c r="F571" s="67"/>
      <c r="G571" s="67"/>
      <c r="H571" s="67"/>
      <c r="I571" s="67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7"/>
      <c r="D572" s="67"/>
      <c r="E572" s="67"/>
      <c r="F572" s="67"/>
      <c r="G572" s="67"/>
      <c r="H572" s="67"/>
      <c r="I572" s="67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7"/>
      <c r="D573" s="67"/>
      <c r="E573" s="67"/>
      <c r="F573" s="67"/>
      <c r="G573" s="67"/>
      <c r="H573" s="67"/>
      <c r="I573" s="67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7"/>
      <c r="D574" s="67"/>
      <c r="E574" s="67"/>
      <c r="F574" s="67"/>
      <c r="G574" s="67"/>
      <c r="H574" s="67"/>
      <c r="I574" s="67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7"/>
      <c r="D575" s="67"/>
      <c r="E575" s="67"/>
      <c r="F575" s="67"/>
      <c r="G575" s="67"/>
      <c r="H575" s="67"/>
      <c r="I575" s="67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7"/>
      <c r="D576" s="67"/>
      <c r="E576" s="67"/>
      <c r="F576" s="67"/>
      <c r="G576" s="67"/>
      <c r="H576" s="67"/>
      <c r="I576" s="67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7"/>
      <c r="D577" s="67"/>
      <c r="E577" s="67"/>
      <c r="F577" s="67"/>
      <c r="G577" s="67"/>
      <c r="H577" s="67"/>
      <c r="I577" s="67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7"/>
      <c r="D578" s="67"/>
      <c r="E578" s="67"/>
      <c r="F578" s="67"/>
      <c r="G578" s="67"/>
      <c r="H578" s="67"/>
      <c r="I578" s="67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7"/>
      <c r="D579" s="67"/>
      <c r="E579" s="67"/>
      <c r="F579" s="67"/>
      <c r="G579" s="67"/>
      <c r="H579" s="67"/>
      <c r="I579" s="67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7"/>
      <c r="D580" s="67"/>
      <c r="E580" s="67"/>
      <c r="F580" s="67"/>
      <c r="G580" s="67"/>
      <c r="H580" s="67"/>
      <c r="I580" s="67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7"/>
      <c r="D581" s="67"/>
      <c r="E581" s="67"/>
      <c r="F581" s="67"/>
      <c r="G581" s="67"/>
      <c r="H581" s="67"/>
      <c r="I581" s="67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7"/>
      <c r="D582" s="67"/>
      <c r="E582" s="67"/>
      <c r="F582" s="67"/>
      <c r="G582" s="67"/>
      <c r="H582" s="67"/>
      <c r="I582" s="67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7"/>
      <c r="D583" s="67"/>
      <c r="E583" s="67"/>
      <c r="F583" s="67"/>
      <c r="G583" s="67"/>
      <c r="H583" s="67"/>
      <c r="I583" s="67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7"/>
      <c r="D584" s="67"/>
      <c r="E584" s="67"/>
      <c r="F584" s="67"/>
      <c r="G584" s="67"/>
      <c r="H584" s="67"/>
      <c r="I584" s="67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7"/>
      <c r="D585" s="67"/>
      <c r="E585" s="67"/>
      <c r="F585" s="67"/>
      <c r="G585" s="67"/>
      <c r="H585" s="67"/>
      <c r="I585" s="67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7"/>
      <c r="D586" s="67"/>
      <c r="E586" s="67"/>
      <c r="F586" s="67"/>
      <c r="G586" s="67"/>
      <c r="H586" s="67"/>
      <c r="I586" s="67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7"/>
      <c r="D587" s="67"/>
      <c r="E587" s="67"/>
      <c r="F587" s="67"/>
      <c r="G587" s="67"/>
      <c r="H587" s="67"/>
      <c r="I587" s="67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7"/>
      <c r="D588" s="67"/>
      <c r="E588" s="67"/>
      <c r="F588" s="67"/>
      <c r="G588" s="67"/>
      <c r="H588" s="67"/>
      <c r="I588" s="67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7"/>
      <c r="D589" s="67"/>
      <c r="E589" s="67"/>
      <c r="F589" s="67"/>
      <c r="G589" s="67"/>
      <c r="H589" s="67"/>
      <c r="I589" s="67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7"/>
      <c r="D590" s="67"/>
      <c r="E590" s="67"/>
      <c r="F590" s="67"/>
      <c r="G590" s="67"/>
      <c r="H590" s="67"/>
      <c r="I590" s="67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7"/>
      <c r="D591" s="67"/>
      <c r="E591" s="67"/>
      <c r="F591" s="67"/>
      <c r="G591" s="67"/>
      <c r="H591" s="67"/>
      <c r="I591" s="67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7"/>
      <c r="D592" s="67"/>
      <c r="E592" s="67"/>
      <c r="F592" s="67"/>
      <c r="G592" s="67"/>
      <c r="H592" s="67"/>
      <c r="I592" s="67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7"/>
      <c r="D593" s="67"/>
      <c r="E593" s="67"/>
      <c r="F593" s="67"/>
      <c r="G593" s="67"/>
      <c r="H593" s="67"/>
      <c r="I593" s="67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7"/>
      <c r="D594" s="67"/>
      <c r="E594" s="67"/>
      <c r="F594" s="67"/>
      <c r="G594" s="67"/>
      <c r="H594" s="67"/>
      <c r="I594" s="67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7"/>
      <c r="D595" s="67"/>
      <c r="E595" s="67"/>
      <c r="F595" s="67"/>
      <c r="G595" s="67"/>
      <c r="H595" s="67"/>
      <c r="I595" s="67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7"/>
      <c r="D596" s="67"/>
      <c r="E596" s="67"/>
      <c r="F596" s="67"/>
      <c r="G596" s="67"/>
      <c r="H596" s="67"/>
      <c r="I596" s="67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7"/>
      <c r="D597" s="67"/>
      <c r="E597" s="67"/>
      <c r="F597" s="67"/>
      <c r="G597" s="67"/>
      <c r="H597" s="67"/>
      <c r="I597" s="67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7"/>
      <c r="D598" s="67"/>
      <c r="E598" s="67"/>
      <c r="F598" s="67"/>
      <c r="G598" s="67"/>
      <c r="H598" s="67"/>
      <c r="I598" s="67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7"/>
      <c r="D599" s="67"/>
      <c r="E599" s="67"/>
      <c r="F599" s="67"/>
      <c r="G599" s="67"/>
      <c r="H599" s="67"/>
      <c r="I599" s="67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7"/>
      <c r="D600" s="67"/>
      <c r="E600" s="67"/>
      <c r="F600" s="67"/>
      <c r="G600" s="67"/>
      <c r="H600" s="67"/>
      <c r="I600" s="67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7"/>
      <c r="D601" s="67"/>
      <c r="E601" s="67"/>
      <c r="F601" s="67"/>
      <c r="G601" s="67"/>
      <c r="H601" s="67"/>
      <c r="I601" s="67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7"/>
      <c r="D602" s="67"/>
      <c r="E602" s="67"/>
      <c r="F602" s="67"/>
      <c r="G602" s="67"/>
      <c r="H602" s="67"/>
      <c r="I602" s="67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7"/>
      <c r="D603" s="67"/>
      <c r="E603" s="67"/>
      <c r="F603" s="67"/>
      <c r="G603" s="67"/>
      <c r="H603" s="67"/>
      <c r="I603" s="67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7"/>
      <c r="D604" s="67"/>
      <c r="E604" s="67"/>
      <c r="F604" s="67"/>
      <c r="G604" s="67"/>
      <c r="H604" s="67"/>
      <c r="I604" s="67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7"/>
      <c r="D605" s="67"/>
      <c r="E605" s="67"/>
      <c r="F605" s="67"/>
      <c r="G605" s="67"/>
      <c r="H605" s="67"/>
      <c r="I605" s="67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7"/>
      <c r="D606" s="67"/>
      <c r="E606" s="67"/>
      <c r="F606" s="67"/>
      <c r="G606" s="67"/>
      <c r="H606" s="67"/>
      <c r="I606" s="67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7"/>
      <c r="D607" s="67"/>
      <c r="E607" s="67"/>
      <c r="F607" s="67"/>
      <c r="G607" s="67"/>
      <c r="H607" s="67"/>
      <c r="I607" s="67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7"/>
      <c r="D608" s="67"/>
      <c r="E608" s="67"/>
      <c r="F608" s="67"/>
      <c r="G608" s="67"/>
      <c r="H608" s="67"/>
      <c r="I608" s="67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7"/>
      <c r="D609" s="67"/>
      <c r="E609" s="67"/>
      <c r="F609" s="67"/>
      <c r="G609" s="67"/>
      <c r="H609" s="67"/>
      <c r="I609" s="67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7"/>
      <c r="D610" s="67"/>
      <c r="E610" s="67"/>
      <c r="F610" s="67"/>
      <c r="G610" s="67"/>
      <c r="H610" s="67"/>
      <c r="I610" s="67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7"/>
      <c r="D611" s="67"/>
      <c r="E611" s="67"/>
      <c r="F611" s="67"/>
      <c r="G611" s="67"/>
      <c r="H611" s="67"/>
      <c r="I611" s="67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7"/>
      <c r="D612" s="67"/>
      <c r="E612" s="67"/>
      <c r="F612" s="67"/>
      <c r="G612" s="67"/>
      <c r="H612" s="67"/>
      <c r="I612" s="67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7"/>
      <c r="D613" s="67"/>
      <c r="E613" s="67"/>
      <c r="F613" s="67"/>
      <c r="G613" s="67"/>
      <c r="H613" s="67"/>
      <c r="I613" s="67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7"/>
      <c r="D614" s="67"/>
      <c r="E614" s="67"/>
      <c r="F614" s="67"/>
      <c r="G614" s="67"/>
      <c r="H614" s="67"/>
      <c r="I614" s="67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7"/>
      <c r="D615" s="67"/>
      <c r="E615" s="67"/>
      <c r="F615" s="67"/>
      <c r="G615" s="67"/>
      <c r="H615" s="67"/>
      <c r="I615" s="67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7"/>
      <c r="D616" s="67"/>
      <c r="E616" s="67"/>
      <c r="F616" s="67"/>
      <c r="G616" s="67"/>
      <c r="H616" s="67"/>
      <c r="I616" s="67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7"/>
      <c r="D617" s="67"/>
      <c r="E617" s="67"/>
      <c r="F617" s="67"/>
      <c r="G617" s="67"/>
      <c r="H617" s="67"/>
      <c r="I617" s="67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7"/>
      <c r="D618" s="67"/>
      <c r="E618" s="67"/>
      <c r="F618" s="67"/>
      <c r="G618" s="67"/>
      <c r="H618" s="67"/>
      <c r="I618" s="67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7"/>
      <c r="D619" s="67"/>
      <c r="E619" s="67"/>
      <c r="F619" s="67"/>
      <c r="G619" s="67"/>
      <c r="H619" s="67"/>
      <c r="I619" s="67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7"/>
      <c r="D620" s="67"/>
      <c r="E620" s="67"/>
      <c r="F620" s="67"/>
      <c r="G620" s="67"/>
      <c r="H620" s="67"/>
      <c r="I620" s="67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7"/>
      <c r="D621" s="67"/>
      <c r="E621" s="67"/>
      <c r="F621" s="67"/>
      <c r="G621" s="67"/>
      <c r="H621" s="67"/>
      <c r="I621" s="67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7"/>
      <c r="D622" s="67"/>
      <c r="E622" s="67"/>
      <c r="F622" s="67"/>
      <c r="G622" s="67"/>
      <c r="H622" s="67"/>
      <c r="I622" s="67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7"/>
      <c r="D623" s="67"/>
      <c r="E623" s="67"/>
      <c r="F623" s="67"/>
      <c r="G623" s="67"/>
      <c r="H623" s="67"/>
      <c r="I623" s="67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7"/>
      <c r="D624" s="67"/>
      <c r="E624" s="67"/>
      <c r="F624" s="67"/>
      <c r="G624" s="67"/>
      <c r="H624" s="67"/>
      <c r="I624" s="67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7"/>
      <c r="D625" s="67"/>
      <c r="E625" s="67"/>
      <c r="F625" s="67"/>
      <c r="G625" s="67"/>
      <c r="H625" s="67"/>
      <c r="I625" s="67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7"/>
      <c r="D626" s="67"/>
      <c r="E626" s="67"/>
      <c r="F626" s="67"/>
      <c r="G626" s="67"/>
      <c r="H626" s="67"/>
      <c r="I626" s="67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7"/>
      <c r="D627" s="67"/>
      <c r="E627" s="67"/>
      <c r="F627" s="67"/>
      <c r="G627" s="67"/>
      <c r="H627" s="67"/>
      <c r="I627" s="67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7"/>
      <c r="D628" s="67"/>
      <c r="E628" s="67"/>
      <c r="F628" s="67"/>
      <c r="G628" s="67"/>
      <c r="H628" s="67"/>
      <c r="I628" s="67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7"/>
      <c r="D629" s="67"/>
      <c r="E629" s="67"/>
      <c r="F629" s="67"/>
      <c r="G629" s="67"/>
      <c r="H629" s="67"/>
      <c r="I629" s="67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7"/>
      <c r="D630" s="67"/>
      <c r="E630" s="67"/>
      <c r="F630" s="67"/>
      <c r="G630" s="67"/>
      <c r="H630" s="67"/>
      <c r="I630" s="67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7"/>
      <c r="D631" s="67"/>
      <c r="E631" s="67"/>
      <c r="F631" s="67"/>
      <c r="G631" s="67"/>
      <c r="H631" s="67"/>
      <c r="I631" s="67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7"/>
      <c r="D632" s="67"/>
      <c r="E632" s="67"/>
      <c r="F632" s="67"/>
      <c r="G632" s="67"/>
      <c r="H632" s="67"/>
      <c r="I632" s="67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7"/>
      <c r="D633" s="67"/>
      <c r="E633" s="67"/>
      <c r="F633" s="67"/>
      <c r="G633" s="67"/>
      <c r="H633" s="67"/>
      <c r="I633" s="67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7"/>
      <c r="D634" s="67"/>
      <c r="E634" s="67"/>
      <c r="F634" s="67"/>
      <c r="G634" s="67"/>
      <c r="H634" s="67"/>
      <c r="I634" s="67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7"/>
      <c r="D635" s="67"/>
      <c r="E635" s="67"/>
      <c r="F635" s="67"/>
      <c r="G635" s="67"/>
      <c r="H635" s="67"/>
      <c r="I635" s="67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7"/>
      <c r="D636" s="67"/>
      <c r="E636" s="67"/>
      <c r="F636" s="67"/>
      <c r="G636" s="67"/>
      <c r="H636" s="67"/>
      <c r="I636" s="67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7"/>
      <c r="D637" s="67"/>
      <c r="E637" s="67"/>
      <c r="F637" s="67"/>
      <c r="G637" s="67"/>
      <c r="H637" s="67"/>
      <c r="I637" s="67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7"/>
      <c r="D638" s="67"/>
      <c r="E638" s="67"/>
      <c r="F638" s="67"/>
      <c r="G638" s="67"/>
      <c r="H638" s="67"/>
      <c r="I638" s="67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7"/>
      <c r="D639" s="67"/>
      <c r="E639" s="67"/>
      <c r="F639" s="67"/>
      <c r="G639" s="67"/>
      <c r="H639" s="67"/>
      <c r="I639" s="67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7"/>
      <c r="D640" s="67"/>
      <c r="E640" s="67"/>
      <c r="F640" s="67"/>
      <c r="G640" s="67"/>
      <c r="H640" s="67"/>
      <c r="I640" s="67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7"/>
      <c r="D641" s="67"/>
      <c r="E641" s="67"/>
      <c r="F641" s="67"/>
      <c r="G641" s="67"/>
      <c r="H641" s="67"/>
      <c r="I641" s="67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7"/>
      <c r="D642" s="67"/>
      <c r="E642" s="67"/>
      <c r="F642" s="67"/>
      <c r="G642" s="67"/>
      <c r="H642" s="67"/>
      <c r="I642" s="67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7"/>
      <c r="D643" s="67"/>
      <c r="E643" s="67"/>
      <c r="F643" s="67"/>
      <c r="G643" s="67"/>
      <c r="H643" s="67"/>
      <c r="I643" s="67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7"/>
      <c r="D644" s="67"/>
      <c r="E644" s="67"/>
      <c r="F644" s="67"/>
      <c r="G644" s="67"/>
      <c r="H644" s="67"/>
      <c r="I644" s="67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7"/>
      <c r="D645" s="67"/>
      <c r="E645" s="67"/>
      <c r="F645" s="67"/>
      <c r="G645" s="67"/>
      <c r="H645" s="67"/>
      <c r="I645" s="67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7"/>
      <c r="D646" s="67"/>
      <c r="E646" s="67"/>
      <c r="F646" s="67"/>
      <c r="G646" s="67"/>
      <c r="H646" s="67"/>
      <c r="I646" s="67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7"/>
      <c r="D647" s="67"/>
      <c r="E647" s="67"/>
      <c r="F647" s="67"/>
      <c r="G647" s="67"/>
      <c r="H647" s="67"/>
      <c r="I647" s="67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7"/>
      <c r="D648" s="67"/>
      <c r="E648" s="67"/>
      <c r="F648" s="67"/>
      <c r="G648" s="67"/>
      <c r="H648" s="67"/>
      <c r="I648" s="67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7"/>
      <c r="D649" s="67"/>
      <c r="E649" s="67"/>
      <c r="F649" s="67"/>
      <c r="G649" s="67"/>
      <c r="H649" s="67"/>
      <c r="I649" s="67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7"/>
      <c r="D650" s="67"/>
      <c r="E650" s="67"/>
      <c r="F650" s="67"/>
      <c r="G650" s="67"/>
      <c r="H650" s="67"/>
      <c r="I650" s="67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7"/>
      <c r="D651" s="67"/>
      <c r="E651" s="67"/>
      <c r="F651" s="67"/>
      <c r="G651" s="67"/>
      <c r="H651" s="67"/>
      <c r="I651" s="67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7"/>
      <c r="D652" s="67"/>
      <c r="E652" s="67"/>
      <c r="F652" s="67"/>
      <c r="G652" s="67"/>
      <c r="H652" s="67"/>
      <c r="I652" s="67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7"/>
      <c r="D653" s="67"/>
      <c r="E653" s="67"/>
      <c r="F653" s="67"/>
      <c r="G653" s="67"/>
      <c r="H653" s="67"/>
      <c r="I653" s="67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7"/>
      <c r="D654" s="67"/>
      <c r="E654" s="67"/>
      <c r="F654" s="67"/>
      <c r="G654" s="67"/>
      <c r="H654" s="67"/>
      <c r="I654" s="67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7"/>
      <c r="D655" s="67"/>
      <c r="E655" s="67"/>
      <c r="F655" s="67"/>
      <c r="G655" s="67"/>
      <c r="H655" s="67"/>
      <c r="I655" s="67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7"/>
      <c r="D656" s="67"/>
      <c r="E656" s="67"/>
      <c r="F656" s="67"/>
      <c r="G656" s="67"/>
      <c r="H656" s="67"/>
      <c r="I656" s="67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7"/>
      <c r="D657" s="67"/>
      <c r="E657" s="67"/>
      <c r="F657" s="67"/>
      <c r="G657" s="67"/>
      <c r="H657" s="67"/>
      <c r="I657" s="67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7"/>
      <c r="D658" s="67"/>
      <c r="E658" s="67"/>
      <c r="F658" s="67"/>
      <c r="G658" s="67"/>
      <c r="H658" s="67"/>
      <c r="I658" s="67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7"/>
      <c r="D659" s="67"/>
      <c r="E659" s="67"/>
      <c r="F659" s="67"/>
      <c r="G659" s="67"/>
      <c r="H659" s="67"/>
      <c r="I659" s="67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7"/>
      <c r="D660" s="67"/>
      <c r="E660" s="67"/>
      <c r="F660" s="67"/>
      <c r="G660" s="67"/>
      <c r="H660" s="67"/>
      <c r="I660" s="67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7"/>
      <c r="D661" s="67"/>
      <c r="E661" s="67"/>
      <c r="F661" s="67"/>
      <c r="G661" s="67"/>
      <c r="H661" s="67"/>
      <c r="I661" s="67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7"/>
      <c r="D662" s="67"/>
      <c r="E662" s="67"/>
      <c r="F662" s="67"/>
      <c r="G662" s="67"/>
      <c r="H662" s="67"/>
      <c r="I662" s="67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7"/>
      <c r="D663" s="67"/>
      <c r="E663" s="67"/>
      <c r="F663" s="67"/>
      <c r="G663" s="67"/>
      <c r="H663" s="67"/>
      <c r="I663" s="67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7"/>
      <c r="D664" s="67"/>
      <c r="E664" s="67"/>
      <c r="F664" s="67"/>
      <c r="G664" s="67"/>
      <c r="H664" s="67"/>
      <c r="I664" s="67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7"/>
      <c r="D665" s="67"/>
      <c r="E665" s="67"/>
      <c r="F665" s="67"/>
      <c r="G665" s="67"/>
      <c r="H665" s="67"/>
      <c r="I665" s="67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7"/>
      <c r="D666" s="67"/>
      <c r="E666" s="67"/>
      <c r="F666" s="67"/>
      <c r="G666" s="67"/>
      <c r="H666" s="67"/>
      <c r="I666" s="67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7"/>
      <c r="D667" s="67"/>
      <c r="E667" s="67"/>
      <c r="F667" s="67"/>
      <c r="G667" s="67"/>
      <c r="H667" s="67"/>
      <c r="I667" s="67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7"/>
      <c r="D668" s="67"/>
      <c r="E668" s="67"/>
      <c r="F668" s="67"/>
      <c r="G668" s="67"/>
      <c r="H668" s="67"/>
      <c r="I668" s="67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7"/>
      <c r="D669" s="67"/>
      <c r="E669" s="67"/>
      <c r="F669" s="67"/>
      <c r="G669" s="67"/>
      <c r="H669" s="67"/>
      <c r="I669" s="67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7"/>
      <c r="D670" s="67"/>
      <c r="E670" s="67"/>
      <c r="F670" s="67"/>
      <c r="G670" s="67"/>
      <c r="H670" s="67"/>
      <c r="I670" s="67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7"/>
      <c r="D671" s="67"/>
      <c r="E671" s="67"/>
      <c r="F671" s="67"/>
      <c r="G671" s="67"/>
      <c r="H671" s="67"/>
      <c r="I671" s="67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7"/>
      <c r="D672" s="67"/>
      <c r="E672" s="67"/>
      <c r="F672" s="67"/>
      <c r="G672" s="67"/>
      <c r="H672" s="67"/>
      <c r="I672" s="67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7"/>
      <c r="D673" s="67"/>
      <c r="E673" s="67"/>
      <c r="F673" s="67"/>
      <c r="G673" s="67"/>
      <c r="H673" s="67"/>
      <c r="I673" s="67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7"/>
      <c r="D674" s="67"/>
      <c r="E674" s="67"/>
      <c r="F674" s="67"/>
      <c r="G674" s="67"/>
      <c r="H674" s="67"/>
      <c r="I674" s="67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7"/>
      <c r="D675" s="67"/>
      <c r="E675" s="67"/>
      <c r="F675" s="67"/>
      <c r="G675" s="67"/>
      <c r="H675" s="67"/>
      <c r="I675" s="67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7"/>
      <c r="D676" s="67"/>
      <c r="E676" s="67"/>
      <c r="F676" s="67"/>
      <c r="G676" s="67"/>
      <c r="H676" s="67"/>
      <c r="I676" s="67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7"/>
      <c r="D677" s="67"/>
      <c r="E677" s="67"/>
      <c r="F677" s="67"/>
      <c r="G677" s="67"/>
      <c r="H677" s="67"/>
      <c r="I677" s="67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7"/>
      <c r="D678" s="67"/>
      <c r="E678" s="67"/>
      <c r="F678" s="67"/>
      <c r="G678" s="67"/>
      <c r="H678" s="67"/>
      <c r="I678" s="67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7"/>
      <c r="D679" s="67"/>
      <c r="E679" s="67"/>
      <c r="F679" s="67"/>
      <c r="G679" s="67"/>
      <c r="H679" s="67"/>
      <c r="I679" s="67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7"/>
      <c r="D680" s="67"/>
      <c r="E680" s="67"/>
      <c r="F680" s="67"/>
      <c r="G680" s="67"/>
      <c r="H680" s="67"/>
      <c r="I680" s="67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7"/>
      <c r="D681" s="67"/>
      <c r="E681" s="67"/>
      <c r="F681" s="67"/>
      <c r="G681" s="67"/>
      <c r="H681" s="67"/>
      <c r="I681" s="67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7"/>
      <c r="D682" s="67"/>
      <c r="E682" s="67"/>
      <c r="F682" s="67"/>
      <c r="G682" s="67"/>
      <c r="H682" s="67"/>
      <c r="I682" s="67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7"/>
      <c r="D683" s="67"/>
      <c r="E683" s="67"/>
      <c r="F683" s="67"/>
      <c r="G683" s="67"/>
      <c r="H683" s="67"/>
      <c r="I683" s="67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7"/>
      <c r="D684" s="67"/>
      <c r="E684" s="67"/>
      <c r="F684" s="67"/>
      <c r="G684" s="67"/>
      <c r="H684" s="67"/>
      <c r="I684" s="67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7"/>
      <c r="D685" s="67"/>
      <c r="E685" s="67"/>
      <c r="F685" s="67"/>
      <c r="G685" s="67"/>
      <c r="H685" s="67"/>
      <c r="I685" s="67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7"/>
      <c r="D686" s="67"/>
      <c r="E686" s="67"/>
      <c r="F686" s="67"/>
      <c r="G686" s="67"/>
      <c r="H686" s="67"/>
      <c r="I686" s="67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7"/>
      <c r="D687" s="67"/>
      <c r="E687" s="67"/>
      <c r="F687" s="67"/>
      <c r="G687" s="67"/>
      <c r="H687" s="67"/>
      <c r="I687" s="67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7"/>
      <c r="D688" s="67"/>
      <c r="E688" s="67"/>
      <c r="F688" s="67"/>
      <c r="G688" s="67"/>
      <c r="H688" s="67"/>
      <c r="I688" s="67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7"/>
      <c r="D689" s="67"/>
      <c r="E689" s="67"/>
      <c r="F689" s="67"/>
      <c r="G689" s="67"/>
      <c r="H689" s="67"/>
      <c r="I689" s="67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7"/>
      <c r="D690" s="67"/>
      <c r="E690" s="67"/>
      <c r="F690" s="67"/>
      <c r="G690" s="67"/>
      <c r="H690" s="67"/>
      <c r="I690" s="67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7"/>
      <c r="D691" s="67"/>
      <c r="E691" s="67"/>
      <c r="F691" s="67"/>
      <c r="G691" s="67"/>
      <c r="H691" s="67"/>
      <c r="I691" s="67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7"/>
      <c r="D692" s="67"/>
      <c r="E692" s="67"/>
      <c r="F692" s="67"/>
      <c r="G692" s="67"/>
      <c r="H692" s="67"/>
      <c r="I692" s="67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7"/>
      <c r="D693" s="67"/>
      <c r="E693" s="67"/>
      <c r="F693" s="67"/>
      <c r="G693" s="67"/>
      <c r="H693" s="67"/>
      <c r="I693" s="67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7"/>
      <c r="D694" s="67"/>
      <c r="E694" s="67"/>
      <c r="F694" s="67"/>
      <c r="G694" s="67"/>
      <c r="H694" s="67"/>
      <c r="I694" s="67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7"/>
      <c r="D695" s="67"/>
      <c r="E695" s="67"/>
      <c r="F695" s="67"/>
      <c r="G695" s="67"/>
      <c r="H695" s="67"/>
      <c r="I695" s="67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7"/>
      <c r="D696" s="67"/>
      <c r="E696" s="67"/>
      <c r="F696" s="67"/>
      <c r="G696" s="67"/>
      <c r="H696" s="67"/>
      <c r="I696" s="67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7"/>
      <c r="D697" s="67"/>
      <c r="E697" s="67"/>
      <c r="F697" s="67"/>
      <c r="G697" s="67"/>
      <c r="H697" s="67"/>
      <c r="I697" s="67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7"/>
      <c r="D698" s="67"/>
      <c r="E698" s="67"/>
      <c r="F698" s="67"/>
      <c r="G698" s="67"/>
      <c r="H698" s="67"/>
      <c r="I698" s="67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7"/>
      <c r="D699" s="67"/>
      <c r="E699" s="67"/>
      <c r="F699" s="67"/>
      <c r="G699" s="67"/>
      <c r="H699" s="67"/>
      <c r="I699" s="67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7"/>
      <c r="D700" s="67"/>
      <c r="E700" s="67"/>
      <c r="F700" s="67"/>
      <c r="G700" s="67"/>
      <c r="H700" s="67"/>
      <c r="I700" s="67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7"/>
      <c r="D701" s="67"/>
      <c r="E701" s="67"/>
      <c r="F701" s="67"/>
      <c r="G701" s="67"/>
      <c r="H701" s="67"/>
      <c r="I701" s="67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7"/>
      <c r="D702" s="67"/>
      <c r="E702" s="67"/>
      <c r="F702" s="67"/>
      <c r="G702" s="67"/>
      <c r="H702" s="67"/>
      <c r="I702" s="67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7"/>
      <c r="D703" s="67"/>
      <c r="E703" s="67"/>
      <c r="F703" s="67"/>
      <c r="G703" s="67"/>
      <c r="H703" s="67"/>
      <c r="I703" s="67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7"/>
      <c r="D704" s="67"/>
      <c r="E704" s="67"/>
      <c r="F704" s="67"/>
      <c r="G704" s="67"/>
      <c r="H704" s="67"/>
      <c r="I704" s="67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7"/>
      <c r="D705" s="67"/>
      <c r="E705" s="67"/>
      <c r="F705" s="67"/>
      <c r="G705" s="67"/>
      <c r="H705" s="67"/>
      <c r="I705" s="67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7"/>
      <c r="D706" s="67"/>
      <c r="E706" s="67"/>
      <c r="F706" s="67"/>
      <c r="G706" s="67"/>
      <c r="H706" s="67"/>
      <c r="I706" s="67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7"/>
      <c r="D707" s="67"/>
      <c r="E707" s="67"/>
      <c r="F707" s="67"/>
      <c r="G707" s="67"/>
      <c r="H707" s="67"/>
      <c r="I707" s="67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7"/>
      <c r="D708" s="67"/>
      <c r="E708" s="67"/>
      <c r="F708" s="67"/>
      <c r="G708" s="67"/>
      <c r="H708" s="67"/>
      <c r="I708" s="67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7"/>
      <c r="D709" s="67"/>
      <c r="E709" s="67"/>
      <c r="F709" s="67"/>
      <c r="G709" s="67"/>
      <c r="H709" s="67"/>
      <c r="I709" s="67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7"/>
      <c r="D710" s="67"/>
      <c r="E710" s="67"/>
      <c r="F710" s="67"/>
      <c r="G710" s="67"/>
      <c r="H710" s="67"/>
      <c r="I710" s="67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7"/>
      <c r="D711" s="67"/>
      <c r="E711" s="67"/>
      <c r="F711" s="67"/>
      <c r="G711" s="67"/>
      <c r="H711" s="67"/>
      <c r="I711" s="67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7"/>
      <c r="D712" s="67"/>
      <c r="E712" s="67"/>
      <c r="F712" s="67"/>
      <c r="G712" s="67"/>
      <c r="H712" s="67"/>
      <c r="I712" s="67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7"/>
      <c r="D713" s="67"/>
      <c r="E713" s="67"/>
      <c r="F713" s="67"/>
      <c r="G713" s="67"/>
      <c r="H713" s="67"/>
      <c r="I713" s="67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7"/>
      <c r="D714" s="67"/>
      <c r="E714" s="67"/>
      <c r="F714" s="67"/>
      <c r="G714" s="67"/>
      <c r="H714" s="67"/>
      <c r="I714" s="67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7"/>
      <c r="D715" s="67"/>
      <c r="E715" s="67"/>
      <c r="F715" s="67"/>
      <c r="G715" s="67"/>
      <c r="H715" s="67"/>
      <c r="I715" s="67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7"/>
      <c r="D716" s="67"/>
      <c r="E716" s="67"/>
      <c r="F716" s="67"/>
      <c r="G716" s="67"/>
      <c r="H716" s="67"/>
      <c r="I716" s="67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7"/>
      <c r="D717" s="67"/>
      <c r="E717" s="67"/>
      <c r="F717" s="67"/>
      <c r="G717" s="67"/>
      <c r="H717" s="67"/>
      <c r="I717" s="67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7"/>
      <c r="D718" s="67"/>
      <c r="E718" s="67"/>
      <c r="F718" s="67"/>
      <c r="G718" s="67"/>
      <c r="H718" s="67"/>
      <c r="I718" s="67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7"/>
      <c r="D719" s="67"/>
      <c r="E719" s="67"/>
      <c r="F719" s="67"/>
      <c r="G719" s="67"/>
      <c r="H719" s="67"/>
      <c r="I719" s="67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7"/>
      <c r="D720" s="67"/>
      <c r="E720" s="67"/>
      <c r="F720" s="67"/>
      <c r="G720" s="67"/>
      <c r="H720" s="67"/>
      <c r="I720" s="67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7"/>
      <c r="D721" s="67"/>
      <c r="E721" s="67"/>
      <c r="F721" s="67"/>
      <c r="G721" s="67"/>
      <c r="H721" s="67"/>
      <c r="I721" s="67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7"/>
      <c r="D722" s="67"/>
      <c r="E722" s="67"/>
      <c r="F722" s="67"/>
      <c r="G722" s="67"/>
      <c r="H722" s="67"/>
      <c r="I722" s="67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7"/>
      <c r="D723" s="67"/>
      <c r="E723" s="67"/>
      <c r="F723" s="67"/>
      <c r="G723" s="67"/>
      <c r="H723" s="67"/>
      <c r="I723" s="67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7"/>
      <c r="D724" s="67"/>
      <c r="E724" s="67"/>
      <c r="F724" s="67"/>
      <c r="G724" s="67"/>
      <c r="H724" s="67"/>
      <c r="I724" s="67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7"/>
      <c r="D725" s="67"/>
      <c r="E725" s="67"/>
      <c r="F725" s="67"/>
      <c r="G725" s="67"/>
      <c r="H725" s="67"/>
      <c r="I725" s="67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7"/>
      <c r="D726" s="67"/>
      <c r="E726" s="67"/>
      <c r="F726" s="67"/>
      <c r="G726" s="67"/>
      <c r="H726" s="67"/>
      <c r="I726" s="67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7"/>
      <c r="D727" s="67"/>
      <c r="E727" s="67"/>
      <c r="F727" s="67"/>
      <c r="G727" s="67"/>
      <c r="H727" s="67"/>
      <c r="I727" s="67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7"/>
      <c r="D728" s="67"/>
      <c r="E728" s="67"/>
      <c r="F728" s="67"/>
      <c r="G728" s="67"/>
      <c r="H728" s="67"/>
      <c r="I728" s="67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7"/>
      <c r="D729" s="67"/>
      <c r="E729" s="67"/>
      <c r="F729" s="67"/>
      <c r="G729" s="67"/>
      <c r="H729" s="67"/>
      <c r="I729" s="67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7"/>
      <c r="D730" s="67"/>
      <c r="E730" s="67"/>
      <c r="F730" s="67"/>
      <c r="G730" s="67"/>
      <c r="H730" s="67"/>
      <c r="I730" s="67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7"/>
      <c r="D731" s="67"/>
      <c r="E731" s="67"/>
      <c r="F731" s="67"/>
      <c r="G731" s="67"/>
      <c r="H731" s="67"/>
      <c r="I731" s="67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7"/>
      <c r="D732" s="67"/>
      <c r="E732" s="67"/>
      <c r="F732" s="67"/>
      <c r="G732" s="67"/>
      <c r="H732" s="67"/>
      <c r="I732" s="67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7"/>
      <c r="D733" s="67"/>
      <c r="E733" s="67"/>
      <c r="F733" s="67"/>
      <c r="G733" s="67"/>
      <c r="H733" s="67"/>
      <c r="I733" s="67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7"/>
      <c r="D734" s="67"/>
      <c r="E734" s="67"/>
      <c r="F734" s="67"/>
      <c r="G734" s="67"/>
      <c r="H734" s="67"/>
      <c r="I734" s="67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7"/>
      <c r="D735" s="67"/>
      <c r="E735" s="67"/>
      <c r="F735" s="67"/>
      <c r="G735" s="67"/>
      <c r="H735" s="67"/>
      <c r="I735" s="67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7"/>
      <c r="D736" s="67"/>
      <c r="E736" s="67"/>
      <c r="F736" s="67"/>
      <c r="G736" s="67"/>
      <c r="H736" s="67"/>
      <c r="I736" s="67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7"/>
      <c r="D737" s="67"/>
      <c r="E737" s="67"/>
      <c r="F737" s="67"/>
      <c r="G737" s="67"/>
      <c r="H737" s="67"/>
      <c r="I737" s="67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7"/>
      <c r="D738" s="67"/>
      <c r="E738" s="67"/>
      <c r="F738" s="67"/>
      <c r="G738" s="67"/>
      <c r="H738" s="67"/>
      <c r="I738" s="67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7"/>
      <c r="D739" s="67"/>
      <c r="E739" s="67"/>
      <c r="F739" s="67"/>
      <c r="G739" s="67"/>
      <c r="H739" s="67"/>
      <c r="I739" s="67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7"/>
      <c r="D740" s="67"/>
      <c r="E740" s="67"/>
      <c r="F740" s="67"/>
      <c r="G740" s="67"/>
      <c r="H740" s="67"/>
      <c r="I740" s="67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7"/>
      <c r="D741" s="67"/>
      <c r="E741" s="67"/>
      <c r="F741" s="67"/>
      <c r="G741" s="67"/>
      <c r="H741" s="67"/>
      <c r="I741" s="67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7"/>
      <c r="D742" s="67"/>
      <c r="E742" s="67"/>
      <c r="F742" s="67"/>
      <c r="G742" s="67"/>
      <c r="H742" s="67"/>
      <c r="I742" s="67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7"/>
      <c r="D743" s="67"/>
      <c r="E743" s="67"/>
      <c r="F743" s="67"/>
      <c r="G743" s="67"/>
      <c r="H743" s="67"/>
      <c r="I743" s="67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7"/>
      <c r="D744" s="67"/>
      <c r="E744" s="67"/>
      <c r="F744" s="67"/>
      <c r="G744" s="67"/>
      <c r="H744" s="67"/>
      <c r="I744" s="67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7"/>
      <c r="D745" s="67"/>
      <c r="E745" s="67"/>
      <c r="F745" s="67"/>
      <c r="G745" s="67"/>
      <c r="H745" s="67"/>
      <c r="I745" s="67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7"/>
      <c r="D746" s="67"/>
      <c r="E746" s="67"/>
      <c r="F746" s="67"/>
      <c r="G746" s="67"/>
      <c r="H746" s="67"/>
      <c r="I746" s="67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7"/>
      <c r="D747" s="67"/>
      <c r="E747" s="67"/>
      <c r="F747" s="67"/>
      <c r="G747" s="67"/>
      <c r="H747" s="67"/>
      <c r="I747" s="67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7"/>
      <c r="D748" s="67"/>
      <c r="E748" s="67"/>
      <c r="F748" s="67"/>
      <c r="G748" s="67"/>
      <c r="H748" s="67"/>
      <c r="I748" s="67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7"/>
      <c r="D749" s="67"/>
      <c r="E749" s="67"/>
      <c r="F749" s="67"/>
      <c r="G749" s="67"/>
      <c r="H749" s="67"/>
      <c r="I749" s="67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7"/>
      <c r="D750" s="67"/>
      <c r="E750" s="67"/>
      <c r="F750" s="67"/>
      <c r="G750" s="67"/>
      <c r="H750" s="67"/>
      <c r="I750" s="67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7"/>
      <c r="D751" s="67"/>
      <c r="E751" s="67"/>
      <c r="F751" s="67"/>
      <c r="G751" s="67"/>
      <c r="H751" s="67"/>
      <c r="I751" s="67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7"/>
      <c r="D752" s="67"/>
      <c r="E752" s="67"/>
      <c r="F752" s="67"/>
      <c r="G752" s="67"/>
      <c r="H752" s="67"/>
      <c r="I752" s="67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7"/>
      <c r="D753" s="67"/>
      <c r="E753" s="67"/>
      <c r="F753" s="67"/>
      <c r="G753" s="67"/>
      <c r="H753" s="67"/>
      <c r="I753" s="67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7"/>
      <c r="D754" s="67"/>
      <c r="E754" s="67"/>
      <c r="F754" s="67"/>
      <c r="G754" s="67"/>
      <c r="H754" s="67"/>
      <c r="I754" s="67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7"/>
      <c r="D755" s="67"/>
      <c r="E755" s="67"/>
      <c r="F755" s="67"/>
      <c r="G755" s="67"/>
      <c r="H755" s="67"/>
      <c r="I755" s="67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7"/>
      <c r="D756" s="67"/>
      <c r="E756" s="67"/>
      <c r="F756" s="67"/>
      <c r="G756" s="67"/>
      <c r="H756" s="67"/>
      <c r="I756" s="67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7"/>
      <c r="D757" s="67"/>
      <c r="E757" s="67"/>
      <c r="F757" s="67"/>
      <c r="G757" s="67"/>
      <c r="H757" s="67"/>
      <c r="I757" s="67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7"/>
      <c r="D758" s="67"/>
      <c r="E758" s="67"/>
      <c r="F758" s="67"/>
      <c r="G758" s="67"/>
      <c r="H758" s="67"/>
      <c r="I758" s="67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7"/>
      <c r="D759" s="67"/>
      <c r="E759" s="67"/>
      <c r="F759" s="67"/>
      <c r="G759" s="67"/>
      <c r="H759" s="67"/>
      <c r="I759" s="67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7"/>
      <c r="D760" s="67"/>
      <c r="E760" s="67"/>
      <c r="F760" s="67"/>
      <c r="G760" s="67"/>
      <c r="H760" s="67"/>
      <c r="I760" s="67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7"/>
      <c r="D761" s="67"/>
      <c r="E761" s="67"/>
      <c r="F761" s="67"/>
      <c r="G761" s="67"/>
      <c r="H761" s="67"/>
      <c r="I761" s="67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7"/>
      <c r="D762" s="67"/>
      <c r="E762" s="67"/>
      <c r="F762" s="67"/>
      <c r="G762" s="67"/>
      <c r="H762" s="67"/>
      <c r="I762" s="67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7"/>
      <c r="D763" s="67"/>
      <c r="E763" s="67"/>
      <c r="F763" s="67"/>
      <c r="G763" s="67"/>
      <c r="H763" s="67"/>
      <c r="I763" s="67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7"/>
      <c r="D764" s="67"/>
      <c r="E764" s="67"/>
      <c r="F764" s="67"/>
      <c r="G764" s="67"/>
      <c r="H764" s="67"/>
      <c r="I764" s="67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7"/>
      <c r="D765" s="67"/>
      <c r="E765" s="67"/>
      <c r="F765" s="67"/>
      <c r="G765" s="67"/>
      <c r="H765" s="67"/>
      <c r="I765" s="67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7"/>
      <c r="D766" s="67"/>
      <c r="E766" s="67"/>
      <c r="F766" s="67"/>
      <c r="G766" s="67"/>
      <c r="H766" s="67"/>
      <c r="I766" s="67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7"/>
      <c r="D767" s="67"/>
      <c r="E767" s="67"/>
      <c r="F767" s="67"/>
      <c r="G767" s="67"/>
      <c r="H767" s="67"/>
      <c r="I767" s="67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7"/>
      <c r="D768" s="67"/>
      <c r="E768" s="67"/>
      <c r="F768" s="67"/>
      <c r="G768" s="67"/>
      <c r="H768" s="67"/>
      <c r="I768" s="67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7"/>
      <c r="D769" s="67"/>
      <c r="E769" s="67"/>
      <c r="F769" s="67"/>
      <c r="G769" s="67"/>
      <c r="H769" s="67"/>
      <c r="I769" s="67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7"/>
      <c r="D770" s="67"/>
      <c r="E770" s="67"/>
      <c r="F770" s="67"/>
      <c r="G770" s="67"/>
      <c r="H770" s="67"/>
      <c r="I770" s="67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7"/>
      <c r="D771" s="67"/>
      <c r="E771" s="67"/>
      <c r="F771" s="67"/>
      <c r="G771" s="67"/>
      <c r="H771" s="67"/>
      <c r="I771" s="67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7"/>
      <c r="D772" s="67"/>
      <c r="E772" s="67"/>
      <c r="F772" s="67"/>
      <c r="G772" s="67"/>
      <c r="H772" s="67"/>
      <c r="I772" s="67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7"/>
      <c r="D773" s="67"/>
      <c r="E773" s="67"/>
      <c r="F773" s="67"/>
      <c r="G773" s="67"/>
      <c r="H773" s="67"/>
      <c r="I773" s="67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7"/>
      <c r="D774" s="67"/>
      <c r="E774" s="67"/>
      <c r="F774" s="67"/>
      <c r="G774" s="67"/>
      <c r="H774" s="67"/>
      <c r="I774" s="67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7"/>
      <c r="D775" s="67"/>
      <c r="E775" s="67"/>
      <c r="F775" s="67"/>
      <c r="G775" s="67"/>
      <c r="H775" s="67"/>
      <c r="I775" s="67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7"/>
      <c r="D776" s="67"/>
      <c r="E776" s="67"/>
      <c r="F776" s="67"/>
      <c r="G776" s="67"/>
      <c r="H776" s="67"/>
      <c r="I776" s="67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7"/>
      <c r="D777" s="67"/>
      <c r="E777" s="67"/>
      <c r="F777" s="67"/>
      <c r="G777" s="67"/>
      <c r="H777" s="67"/>
      <c r="I777" s="67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7"/>
      <c r="D778" s="67"/>
      <c r="E778" s="67"/>
      <c r="F778" s="67"/>
      <c r="G778" s="67"/>
      <c r="H778" s="67"/>
      <c r="I778" s="67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7"/>
      <c r="D779" s="67"/>
      <c r="E779" s="67"/>
      <c r="F779" s="67"/>
      <c r="G779" s="67"/>
      <c r="H779" s="67"/>
      <c r="I779" s="67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7"/>
      <c r="D780" s="67"/>
      <c r="E780" s="67"/>
      <c r="F780" s="67"/>
      <c r="G780" s="67"/>
      <c r="H780" s="67"/>
      <c r="I780" s="67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7"/>
      <c r="D781" s="67"/>
      <c r="E781" s="67"/>
      <c r="F781" s="67"/>
      <c r="G781" s="67"/>
      <c r="H781" s="67"/>
      <c r="I781" s="67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7"/>
      <c r="D782" s="67"/>
      <c r="E782" s="67"/>
      <c r="F782" s="67"/>
      <c r="G782" s="67"/>
      <c r="H782" s="67"/>
      <c r="I782" s="67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7"/>
      <c r="D783" s="67"/>
      <c r="E783" s="67"/>
      <c r="F783" s="67"/>
      <c r="G783" s="67"/>
      <c r="H783" s="67"/>
      <c r="I783" s="67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7"/>
      <c r="D784" s="67"/>
      <c r="E784" s="67"/>
      <c r="F784" s="67"/>
      <c r="G784" s="67"/>
      <c r="H784" s="67"/>
      <c r="I784" s="67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7"/>
      <c r="D785" s="67"/>
      <c r="E785" s="67"/>
      <c r="F785" s="67"/>
      <c r="G785" s="67"/>
      <c r="H785" s="67"/>
      <c r="I785" s="67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7"/>
      <c r="D786" s="67"/>
      <c r="E786" s="67"/>
      <c r="F786" s="67"/>
      <c r="G786" s="67"/>
      <c r="H786" s="67"/>
      <c r="I786" s="67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7"/>
      <c r="D787" s="67"/>
      <c r="E787" s="67"/>
      <c r="F787" s="67"/>
      <c r="G787" s="67"/>
      <c r="H787" s="67"/>
      <c r="I787" s="67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7"/>
      <c r="D788" s="67"/>
      <c r="E788" s="67"/>
      <c r="F788" s="67"/>
      <c r="G788" s="67"/>
      <c r="H788" s="67"/>
      <c r="I788" s="67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7"/>
      <c r="D789" s="67"/>
      <c r="E789" s="67"/>
      <c r="F789" s="67"/>
      <c r="G789" s="67"/>
      <c r="H789" s="67"/>
      <c r="I789" s="67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7"/>
      <c r="D790" s="67"/>
      <c r="E790" s="67"/>
      <c r="F790" s="67"/>
      <c r="G790" s="67"/>
      <c r="H790" s="67"/>
      <c r="I790" s="67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7"/>
      <c r="D791" s="67"/>
      <c r="E791" s="67"/>
      <c r="F791" s="67"/>
      <c r="G791" s="67"/>
      <c r="H791" s="67"/>
      <c r="I791" s="67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7"/>
      <c r="D792" s="67"/>
      <c r="E792" s="67"/>
      <c r="F792" s="67"/>
      <c r="G792" s="67"/>
      <c r="H792" s="67"/>
      <c r="I792" s="67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7"/>
      <c r="D793" s="67"/>
      <c r="E793" s="67"/>
      <c r="F793" s="67"/>
      <c r="G793" s="67"/>
      <c r="H793" s="67"/>
      <c r="I793" s="67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7"/>
      <c r="D794" s="67"/>
      <c r="E794" s="67"/>
      <c r="F794" s="67"/>
      <c r="G794" s="67"/>
      <c r="H794" s="67"/>
      <c r="I794" s="67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7"/>
      <c r="D795" s="67"/>
      <c r="E795" s="67"/>
      <c r="F795" s="67"/>
      <c r="G795" s="67"/>
      <c r="H795" s="67"/>
      <c r="I795" s="67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7"/>
      <c r="D796" s="67"/>
      <c r="E796" s="67"/>
      <c r="F796" s="67"/>
      <c r="G796" s="67"/>
      <c r="H796" s="67"/>
      <c r="I796" s="67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7"/>
      <c r="D797" s="67"/>
      <c r="E797" s="67"/>
      <c r="F797" s="67"/>
      <c r="G797" s="67"/>
      <c r="H797" s="67"/>
      <c r="I797" s="67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7"/>
      <c r="D798" s="67"/>
      <c r="E798" s="67"/>
      <c r="F798" s="67"/>
      <c r="G798" s="67"/>
      <c r="H798" s="67"/>
      <c r="I798" s="67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7"/>
      <c r="D799" s="67"/>
      <c r="E799" s="67"/>
      <c r="F799" s="67"/>
      <c r="G799" s="67"/>
      <c r="H799" s="67"/>
      <c r="I799" s="67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7"/>
      <c r="D800" s="67"/>
      <c r="E800" s="67"/>
      <c r="F800" s="67"/>
      <c r="G800" s="67"/>
      <c r="H800" s="67"/>
      <c r="I800" s="67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7"/>
      <c r="D801" s="67"/>
      <c r="E801" s="67"/>
      <c r="F801" s="67"/>
      <c r="G801" s="67"/>
      <c r="H801" s="67"/>
      <c r="I801" s="67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7"/>
      <c r="D802" s="67"/>
      <c r="E802" s="67"/>
      <c r="F802" s="67"/>
      <c r="G802" s="67"/>
      <c r="H802" s="67"/>
      <c r="I802" s="67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7"/>
      <c r="D803" s="67"/>
      <c r="E803" s="67"/>
      <c r="F803" s="67"/>
      <c r="G803" s="67"/>
      <c r="H803" s="67"/>
      <c r="I803" s="67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7"/>
      <c r="D804" s="67"/>
      <c r="E804" s="67"/>
      <c r="F804" s="67"/>
      <c r="G804" s="67"/>
      <c r="H804" s="67"/>
      <c r="I804" s="67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7"/>
      <c r="D805" s="67"/>
      <c r="E805" s="67"/>
      <c r="F805" s="67"/>
      <c r="G805" s="67"/>
      <c r="H805" s="67"/>
      <c r="I805" s="67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7"/>
      <c r="D806" s="67"/>
      <c r="E806" s="67"/>
      <c r="F806" s="67"/>
      <c r="G806" s="67"/>
      <c r="H806" s="67"/>
      <c r="I806" s="67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7"/>
      <c r="D807" s="67"/>
      <c r="E807" s="67"/>
      <c r="F807" s="67"/>
      <c r="G807" s="67"/>
      <c r="H807" s="67"/>
      <c r="I807" s="67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7"/>
      <c r="D808" s="67"/>
      <c r="E808" s="67"/>
      <c r="F808" s="67"/>
      <c r="G808" s="67"/>
      <c r="H808" s="67"/>
      <c r="I808" s="67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7"/>
      <c r="D809" s="67"/>
      <c r="E809" s="67"/>
      <c r="F809" s="67"/>
      <c r="G809" s="67"/>
      <c r="H809" s="67"/>
      <c r="I809" s="67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7"/>
      <c r="D810" s="67"/>
      <c r="E810" s="67"/>
      <c r="F810" s="67"/>
      <c r="G810" s="67"/>
      <c r="H810" s="67"/>
      <c r="I810" s="67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7"/>
      <c r="D811" s="67"/>
      <c r="E811" s="67"/>
      <c r="F811" s="67"/>
      <c r="G811" s="67"/>
      <c r="H811" s="67"/>
      <c r="I811" s="67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7"/>
      <c r="D812" s="67"/>
      <c r="E812" s="67"/>
      <c r="F812" s="67"/>
      <c r="G812" s="67"/>
      <c r="H812" s="67"/>
      <c r="I812" s="67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7"/>
      <c r="D813" s="67"/>
      <c r="E813" s="67"/>
      <c r="F813" s="67"/>
      <c r="G813" s="67"/>
      <c r="H813" s="67"/>
      <c r="I813" s="67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7"/>
      <c r="D814" s="67"/>
      <c r="E814" s="67"/>
      <c r="F814" s="67"/>
      <c r="G814" s="67"/>
      <c r="H814" s="67"/>
      <c r="I814" s="67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7"/>
      <c r="D815" s="67"/>
      <c r="E815" s="67"/>
      <c r="F815" s="67"/>
      <c r="G815" s="67"/>
      <c r="H815" s="67"/>
      <c r="I815" s="67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7"/>
      <c r="D816" s="67"/>
      <c r="E816" s="67"/>
      <c r="F816" s="67"/>
      <c r="G816" s="67"/>
      <c r="H816" s="67"/>
      <c r="I816" s="67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7"/>
      <c r="D817" s="67"/>
      <c r="E817" s="67"/>
      <c r="F817" s="67"/>
      <c r="G817" s="67"/>
      <c r="H817" s="67"/>
      <c r="I817" s="67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7"/>
      <c r="D818" s="67"/>
      <c r="E818" s="67"/>
      <c r="F818" s="67"/>
      <c r="G818" s="67"/>
      <c r="H818" s="67"/>
      <c r="I818" s="67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7"/>
      <c r="D819" s="67"/>
      <c r="E819" s="67"/>
      <c r="F819" s="67"/>
      <c r="G819" s="67"/>
      <c r="H819" s="67"/>
      <c r="I819" s="67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7"/>
      <c r="D820" s="67"/>
      <c r="E820" s="67"/>
      <c r="F820" s="67"/>
      <c r="G820" s="67"/>
      <c r="H820" s="67"/>
      <c r="I820" s="67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7"/>
      <c r="D821" s="67"/>
      <c r="E821" s="67"/>
      <c r="F821" s="67"/>
      <c r="G821" s="67"/>
      <c r="H821" s="67"/>
      <c r="I821" s="67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7"/>
      <c r="D822" s="67"/>
      <c r="E822" s="67"/>
      <c r="F822" s="67"/>
      <c r="G822" s="67"/>
      <c r="H822" s="67"/>
      <c r="I822" s="67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7"/>
      <c r="D823" s="67"/>
      <c r="E823" s="67"/>
      <c r="F823" s="67"/>
      <c r="G823" s="67"/>
      <c r="H823" s="67"/>
      <c r="I823" s="67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7"/>
      <c r="D824" s="67"/>
      <c r="E824" s="67"/>
      <c r="F824" s="67"/>
      <c r="G824" s="67"/>
      <c r="H824" s="67"/>
      <c r="I824" s="67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7"/>
      <c r="D825" s="67"/>
      <c r="E825" s="67"/>
      <c r="F825" s="67"/>
      <c r="G825" s="67"/>
      <c r="H825" s="67"/>
      <c r="I825" s="67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7"/>
      <c r="D826" s="67"/>
      <c r="E826" s="67"/>
      <c r="F826" s="67"/>
      <c r="G826" s="67"/>
      <c r="H826" s="67"/>
      <c r="I826" s="67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7"/>
      <c r="D827" s="67"/>
      <c r="E827" s="67"/>
      <c r="F827" s="67"/>
      <c r="G827" s="67"/>
      <c r="H827" s="67"/>
      <c r="I827" s="67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7"/>
      <c r="D828" s="67"/>
      <c r="E828" s="67"/>
      <c r="F828" s="67"/>
      <c r="G828" s="67"/>
      <c r="H828" s="67"/>
      <c r="I828" s="67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7"/>
      <c r="D829" s="67"/>
      <c r="E829" s="67"/>
      <c r="F829" s="67"/>
      <c r="G829" s="67"/>
      <c r="H829" s="67"/>
      <c r="I829" s="67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7"/>
      <c r="D830" s="67"/>
      <c r="E830" s="67"/>
      <c r="F830" s="67"/>
      <c r="G830" s="67"/>
      <c r="H830" s="67"/>
      <c r="I830" s="67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7"/>
      <c r="D831" s="67"/>
      <c r="E831" s="67"/>
      <c r="F831" s="67"/>
      <c r="G831" s="67"/>
      <c r="H831" s="67"/>
      <c r="I831" s="67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7"/>
      <c r="D832" s="67"/>
      <c r="E832" s="67"/>
      <c r="F832" s="67"/>
      <c r="G832" s="67"/>
      <c r="H832" s="67"/>
      <c r="I832" s="67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7"/>
      <c r="D833" s="67"/>
      <c r="E833" s="67"/>
      <c r="F833" s="67"/>
      <c r="G833" s="67"/>
      <c r="H833" s="67"/>
      <c r="I833" s="67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7"/>
      <c r="D834" s="67"/>
      <c r="E834" s="67"/>
      <c r="F834" s="67"/>
      <c r="G834" s="67"/>
      <c r="H834" s="67"/>
      <c r="I834" s="67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7"/>
      <c r="D835" s="67"/>
      <c r="E835" s="67"/>
      <c r="F835" s="67"/>
      <c r="G835" s="67"/>
      <c r="H835" s="67"/>
      <c r="I835" s="67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7"/>
      <c r="D836" s="67"/>
      <c r="E836" s="67"/>
      <c r="F836" s="67"/>
      <c r="G836" s="67"/>
      <c r="H836" s="67"/>
      <c r="I836" s="67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7"/>
      <c r="D837" s="67"/>
      <c r="E837" s="67"/>
      <c r="F837" s="67"/>
      <c r="G837" s="67"/>
      <c r="H837" s="67"/>
      <c r="I837" s="67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7"/>
      <c r="D838" s="67"/>
      <c r="E838" s="67"/>
      <c r="F838" s="67"/>
      <c r="G838" s="67"/>
      <c r="H838" s="67"/>
      <c r="I838" s="67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7"/>
      <c r="D839" s="67"/>
      <c r="E839" s="67"/>
      <c r="F839" s="67"/>
      <c r="G839" s="67"/>
      <c r="H839" s="67"/>
      <c r="I839" s="67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7"/>
      <c r="D840" s="67"/>
      <c r="E840" s="67"/>
      <c r="F840" s="67"/>
      <c r="G840" s="67"/>
      <c r="H840" s="67"/>
      <c r="I840" s="67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7"/>
      <c r="D841" s="67"/>
      <c r="E841" s="67"/>
      <c r="F841" s="67"/>
      <c r="G841" s="67"/>
      <c r="H841" s="67"/>
      <c r="I841" s="67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7"/>
      <c r="D842" s="67"/>
      <c r="E842" s="67"/>
      <c r="F842" s="67"/>
      <c r="G842" s="67"/>
      <c r="H842" s="67"/>
      <c r="I842" s="67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7"/>
      <c r="D843" s="67"/>
      <c r="E843" s="67"/>
      <c r="F843" s="67"/>
      <c r="G843" s="67"/>
      <c r="H843" s="67"/>
      <c r="I843" s="67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7"/>
      <c r="D844" s="67"/>
      <c r="E844" s="67"/>
      <c r="F844" s="67"/>
      <c r="G844" s="67"/>
      <c r="H844" s="67"/>
      <c r="I844" s="67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7"/>
      <c r="D845" s="67"/>
      <c r="E845" s="67"/>
      <c r="F845" s="67"/>
      <c r="G845" s="67"/>
      <c r="H845" s="67"/>
      <c r="I845" s="67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7"/>
      <c r="D846" s="67"/>
      <c r="E846" s="67"/>
      <c r="F846" s="67"/>
      <c r="G846" s="67"/>
      <c r="H846" s="67"/>
      <c r="I846" s="67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7"/>
      <c r="D847" s="67"/>
      <c r="E847" s="67"/>
      <c r="F847" s="67"/>
      <c r="G847" s="67"/>
      <c r="H847" s="67"/>
      <c r="I847" s="67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7"/>
      <c r="D848" s="67"/>
      <c r="E848" s="67"/>
      <c r="F848" s="67"/>
      <c r="G848" s="67"/>
      <c r="H848" s="67"/>
      <c r="I848" s="67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7"/>
      <c r="D849" s="67"/>
      <c r="E849" s="67"/>
      <c r="F849" s="67"/>
      <c r="G849" s="67"/>
      <c r="H849" s="67"/>
      <c r="I849" s="67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7"/>
      <c r="D850" s="67"/>
      <c r="E850" s="67"/>
      <c r="F850" s="67"/>
      <c r="G850" s="67"/>
      <c r="H850" s="67"/>
      <c r="I850" s="67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7"/>
      <c r="D851" s="67"/>
      <c r="E851" s="67"/>
      <c r="F851" s="67"/>
      <c r="G851" s="67"/>
      <c r="H851" s="67"/>
      <c r="I851" s="67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7"/>
      <c r="D852" s="67"/>
      <c r="E852" s="67"/>
      <c r="F852" s="67"/>
      <c r="G852" s="67"/>
      <c r="H852" s="67"/>
      <c r="I852" s="67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7"/>
      <c r="D853" s="67"/>
      <c r="E853" s="67"/>
      <c r="F853" s="67"/>
      <c r="G853" s="67"/>
      <c r="H853" s="67"/>
      <c r="I853" s="67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7"/>
      <c r="D854" s="67"/>
      <c r="E854" s="67"/>
      <c r="F854" s="67"/>
      <c r="G854" s="67"/>
      <c r="H854" s="67"/>
      <c r="I854" s="67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7"/>
      <c r="D855" s="67"/>
      <c r="E855" s="67"/>
      <c r="F855" s="67"/>
      <c r="G855" s="67"/>
      <c r="H855" s="67"/>
      <c r="I855" s="67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7"/>
      <c r="D856" s="67"/>
      <c r="E856" s="67"/>
      <c r="F856" s="67"/>
      <c r="G856" s="67"/>
      <c r="H856" s="67"/>
      <c r="I856" s="67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7"/>
      <c r="D857" s="67"/>
      <c r="E857" s="67"/>
      <c r="F857" s="67"/>
      <c r="G857" s="67"/>
      <c r="H857" s="67"/>
      <c r="I857" s="67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7"/>
      <c r="D858" s="67"/>
      <c r="E858" s="67"/>
      <c r="F858" s="67"/>
      <c r="G858" s="67"/>
      <c r="H858" s="67"/>
      <c r="I858" s="67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7"/>
      <c r="D859" s="67"/>
      <c r="E859" s="67"/>
      <c r="F859" s="67"/>
      <c r="G859" s="67"/>
      <c r="H859" s="67"/>
      <c r="I859" s="67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7"/>
      <c r="D860" s="67"/>
      <c r="E860" s="67"/>
      <c r="F860" s="67"/>
      <c r="G860" s="67"/>
      <c r="H860" s="67"/>
      <c r="I860" s="67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67"/>
      <c r="D861" s="67"/>
      <c r="E861" s="67"/>
      <c r="F861" s="67"/>
      <c r="G861" s="67"/>
      <c r="H861" s="67"/>
      <c r="I861" s="67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67"/>
      <c r="D862" s="67"/>
      <c r="E862" s="67"/>
      <c r="F862" s="67"/>
      <c r="G862" s="67"/>
      <c r="H862" s="67"/>
      <c r="I862" s="67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67"/>
      <c r="D863" s="67"/>
      <c r="E863" s="67"/>
      <c r="F863" s="67"/>
      <c r="G863" s="67"/>
      <c r="H863" s="67"/>
      <c r="I863" s="67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5.75" customHeight="1" x14ac:dyDescent="0.5">
      <c r="A864" s="41"/>
      <c r="B864" s="41"/>
      <c r="C864" s="67"/>
      <c r="D864" s="67"/>
      <c r="E864" s="67"/>
      <c r="F864" s="67"/>
      <c r="G864" s="67"/>
      <c r="H864" s="67"/>
      <c r="I864" s="67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spans="1:29" ht="15.75" customHeight="1" x14ac:dyDescent="0.5">
      <c r="A865" s="41"/>
      <c r="B865" s="41"/>
      <c r="C865" s="67"/>
      <c r="D865" s="67"/>
      <c r="E865" s="67"/>
      <c r="F865" s="67"/>
      <c r="G865" s="67"/>
      <c r="H865" s="67"/>
      <c r="I865" s="67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spans="1:29" ht="15.75" customHeight="1" x14ac:dyDescent="0.5">
      <c r="A866" s="41"/>
      <c r="B866" s="41"/>
      <c r="C866" s="67"/>
      <c r="D866" s="67"/>
      <c r="E866" s="67"/>
      <c r="F866" s="67"/>
      <c r="G866" s="67"/>
      <c r="H866" s="67"/>
      <c r="I866" s="67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</row>
    <row r="867" spans="1:29" ht="15.75" customHeight="1" x14ac:dyDescent="0.5">
      <c r="A867" s="41"/>
      <c r="B867" s="41"/>
      <c r="C867" s="67"/>
      <c r="D867" s="67"/>
      <c r="E867" s="67"/>
      <c r="F867" s="67"/>
      <c r="G867" s="67"/>
      <c r="H867" s="67"/>
      <c r="I867" s="67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</row>
    <row r="868" spans="1:29" ht="15.75" customHeight="1" x14ac:dyDescent="0.5">
      <c r="A868" s="41"/>
      <c r="B868" s="41"/>
      <c r="C868" s="67"/>
      <c r="D868" s="67"/>
      <c r="E868" s="67"/>
      <c r="F868" s="67"/>
      <c r="G868" s="67"/>
      <c r="H868" s="67"/>
      <c r="I868" s="67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</row>
    <row r="869" spans="1:29" ht="15.75" customHeight="1" x14ac:dyDescent="0.5">
      <c r="A869" s="41"/>
      <c r="B869" s="41"/>
      <c r="C869" s="67"/>
      <c r="D869" s="67"/>
      <c r="E869" s="67"/>
      <c r="F869" s="67"/>
      <c r="G869" s="67"/>
      <c r="H869" s="67"/>
      <c r="I869" s="67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</row>
    <row r="870" spans="1:29" ht="15.75" customHeight="1" x14ac:dyDescent="0.5">
      <c r="A870" s="41"/>
      <c r="B870" s="41"/>
      <c r="C870" s="67"/>
      <c r="D870" s="67"/>
      <c r="E870" s="67"/>
      <c r="F870" s="67"/>
      <c r="G870" s="67"/>
      <c r="H870" s="67"/>
      <c r="I870" s="67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</row>
    <row r="871" spans="1:29" ht="15.75" customHeight="1" x14ac:dyDescent="0.5">
      <c r="A871" s="41"/>
      <c r="B871" s="41"/>
      <c r="C871" s="67"/>
      <c r="D871" s="67"/>
      <c r="E871" s="67"/>
      <c r="F871" s="67"/>
      <c r="G871" s="67"/>
      <c r="H871" s="67"/>
      <c r="I871" s="67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</row>
    <row r="872" spans="1:29" ht="15.75" customHeight="1" x14ac:dyDescent="0.5">
      <c r="A872" s="41"/>
      <c r="B872" s="41"/>
      <c r="C872" s="67"/>
      <c r="D872" s="67"/>
      <c r="E872" s="67"/>
      <c r="F872" s="67"/>
      <c r="G872" s="67"/>
      <c r="H872" s="67"/>
      <c r="I872" s="67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</row>
    <row r="873" spans="1:29" ht="15.75" customHeight="1" x14ac:dyDescent="0.5">
      <c r="A873" s="41"/>
      <c r="B873" s="41"/>
      <c r="C873" s="67"/>
      <c r="D873" s="67"/>
      <c r="E873" s="67"/>
      <c r="F873" s="67"/>
      <c r="G873" s="67"/>
      <c r="H873" s="67"/>
      <c r="I873" s="67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</row>
    <row r="874" spans="1:29" ht="15.75" customHeight="1" x14ac:dyDescent="0.5">
      <c r="A874" s="41"/>
      <c r="B874" s="41"/>
      <c r="C874" s="67"/>
      <c r="D874" s="67"/>
      <c r="E874" s="67"/>
      <c r="F874" s="67"/>
      <c r="G874" s="67"/>
      <c r="H874" s="67"/>
      <c r="I874" s="67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</row>
    <row r="875" spans="1:29" ht="15.75" customHeight="1" x14ac:dyDescent="0.5">
      <c r="A875" s="41"/>
      <c r="B875" s="41"/>
      <c r="C875" s="67"/>
      <c r="D875" s="67"/>
      <c r="E875" s="67"/>
      <c r="F875" s="67"/>
      <c r="G875" s="67"/>
      <c r="H875" s="67"/>
      <c r="I875" s="67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</row>
    <row r="876" spans="1:29" ht="15.75" customHeight="1" x14ac:dyDescent="0.5">
      <c r="A876" s="41"/>
      <c r="B876" s="41"/>
      <c r="C876" s="67"/>
      <c r="D876" s="67"/>
      <c r="E876" s="67"/>
      <c r="F876" s="67"/>
      <c r="G876" s="67"/>
      <c r="H876" s="67"/>
      <c r="I876" s="67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</row>
    <row r="877" spans="1:29" ht="15.75" customHeight="1" x14ac:dyDescent="0.5">
      <c r="A877" s="41"/>
      <c r="B877" s="41"/>
      <c r="C877" s="67"/>
      <c r="D877" s="67"/>
      <c r="E877" s="67"/>
      <c r="F877" s="67"/>
      <c r="G877" s="67"/>
      <c r="H877" s="67"/>
      <c r="I877" s="67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</row>
    <row r="878" spans="1:29" ht="15.75" customHeight="1" x14ac:dyDescent="0.5">
      <c r="A878" s="41"/>
      <c r="B878" s="41"/>
      <c r="C878" s="67"/>
      <c r="D878" s="67"/>
      <c r="E878" s="67"/>
      <c r="F878" s="67"/>
      <c r="G878" s="67"/>
      <c r="H878" s="67"/>
      <c r="I878" s="67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</row>
    <row r="879" spans="1:29" ht="15.75" customHeight="1" x14ac:dyDescent="0.5">
      <c r="A879" s="41"/>
      <c r="B879" s="41"/>
      <c r="C879" s="67"/>
      <c r="D879" s="67"/>
      <c r="E879" s="67"/>
      <c r="F879" s="67"/>
      <c r="G879" s="67"/>
      <c r="H879" s="67"/>
      <c r="I879" s="67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</row>
    <row r="880" spans="1:29" ht="15.75" customHeight="1" x14ac:dyDescent="0.5">
      <c r="A880" s="41"/>
      <c r="B880" s="41"/>
      <c r="C880" s="67"/>
      <c r="D880" s="67"/>
      <c r="E880" s="67"/>
      <c r="F880" s="67"/>
      <c r="G880" s="67"/>
      <c r="H880" s="67"/>
      <c r="I880" s="67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</row>
    <row r="881" spans="1:29" ht="15.75" customHeight="1" x14ac:dyDescent="0.5">
      <c r="A881" s="41"/>
      <c r="B881" s="41"/>
      <c r="C881" s="67"/>
      <c r="D881" s="67"/>
      <c r="E881" s="67"/>
      <c r="F881" s="67"/>
      <c r="G881" s="67"/>
      <c r="H881" s="67"/>
      <c r="I881" s="67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</row>
    <row r="882" spans="1:29" ht="15.75" customHeight="1" x14ac:dyDescent="0.5">
      <c r="A882" s="41"/>
      <c r="B882" s="41"/>
      <c r="C882" s="67"/>
      <c r="D882" s="67"/>
      <c r="E882" s="67"/>
      <c r="F882" s="67"/>
      <c r="G882" s="67"/>
      <c r="H882" s="67"/>
      <c r="I882" s="67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</row>
    <row r="883" spans="1:29" ht="15.75" customHeight="1" x14ac:dyDescent="0.5">
      <c r="A883" s="41"/>
      <c r="B883" s="41"/>
      <c r="C883" s="67"/>
      <c r="D883" s="67"/>
      <c r="E883" s="67"/>
      <c r="F883" s="67"/>
      <c r="G883" s="67"/>
      <c r="H883" s="67"/>
      <c r="I883" s="67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</row>
    <row r="884" spans="1:29" ht="15.75" customHeight="1" x14ac:dyDescent="0.5">
      <c r="A884" s="41"/>
      <c r="B884" s="41"/>
      <c r="C884" s="67"/>
      <c r="D884" s="67"/>
      <c r="E884" s="67"/>
      <c r="F884" s="67"/>
      <c r="G884" s="67"/>
      <c r="H884" s="67"/>
      <c r="I884" s="67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</row>
    <row r="885" spans="1:29" ht="15.75" customHeight="1" x14ac:dyDescent="0.5">
      <c r="A885" s="41"/>
      <c r="B885" s="41"/>
      <c r="C885" s="67"/>
      <c r="D885" s="67"/>
      <c r="E885" s="67"/>
      <c r="F885" s="67"/>
      <c r="G885" s="67"/>
      <c r="H885" s="67"/>
      <c r="I885" s="67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</row>
    <row r="886" spans="1:29" ht="15.75" customHeight="1" x14ac:dyDescent="0.5">
      <c r="A886" s="41"/>
      <c r="B886" s="41"/>
      <c r="C886" s="67"/>
      <c r="D886" s="67"/>
      <c r="E886" s="67"/>
      <c r="F886" s="67"/>
      <c r="G886" s="67"/>
      <c r="H886" s="67"/>
      <c r="I886" s="67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</row>
    <row r="887" spans="1:29" ht="15.75" customHeight="1" x14ac:dyDescent="0.5">
      <c r="A887" s="41"/>
      <c r="B887" s="41"/>
      <c r="C887" s="67"/>
      <c r="D887" s="67"/>
      <c r="E887" s="67"/>
      <c r="F887" s="67"/>
      <c r="G887" s="67"/>
      <c r="H887" s="67"/>
      <c r="I887" s="67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</row>
    <row r="888" spans="1:29" ht="15.75" customHeight="1" x14ac:dyDescent="0.5">
      <c r="A888" s="41"/>
      <c r="B888" s="41"/>
      <c r="C888" s="67"/>
      <c r="D888" s="67"/>
      <c r="E888" s="67"/>
      <c r="F888" s="67"/>
      <c r="G888" s="67"/>
      <c r="H888" s="67"/>
      <c r="I888" s="67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</row>
    <row r="889" spans="1:29" ht="15.75" customHeight="1" x14ac:dyDescent="0.5">
      <c r="A889" s="41"/>
      <c r="B889" s="41"/>
      <c r="C889" s="67"/>
      <c r="D889" s="67"/>
      <c r="E889" s="67"/>
      <c r="F889" s="67"/>
      <c r="G889" s="67"/>
      <c r="H889" s="67"/>
      <c r="I889" s="67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</row>
    <row r="890" spans="1:29" ht="15.75" customHeight="1" x14ac:dyDescent="0.5">
      <c r="A890" s="41"/>
      <c r="B890" s="41"/>
      <c r="C890" s="67"/>
      <c r="D890" s="67"/>
      <c r="E890" s="67"/>
      <c r="F890" s="67"/>
      <c r="G890" s="67"/>
      <c r="H890" s="67"/>
      <c r="I890" s="67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</row>
    <row r="891" spans="1:29" ht="15.75" customHeight="1" x14ac:dyDescent="0.5">
      <c r="A891" s="41"/>
      <c r="B891" s="41"/>
      <c r="C891" s="67"/>
      <c r="D891" s="67"/>
      <c r="E891" s="67"/>
      <c r="F891" s="67"/>
      <c r="G891" s="67"/>
      <c r="H891" s="67"/>
      <c r="I891" s="67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</row>
    <row r="892" spans="1:29" ht="15.75" customHeight="1" x14ac:dyDescent="0.5">
      <c r="A892" s="41"/>
      <c r="B892" s="41"/>
      <c r="C892" s="67"/>
      <c r="D892" s="67"/>
      <c r="E892" s="67"/>
      <c r="F892" s="67"/>
      <c r="G892" s="67"/>
      <c r="H892" s="67"/>
      <c r="I892" s="67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</row>
    <row r="893" spans="1:29" ht="15.75" customHeight="1" x14ac:dyDescent="0.5">
      <c r="A893" s="41"/>
      <c r="B893" s="41"/>
      <c r="C893" s="67"/>
      <c r="D893" s="67"/>
      <c r="E893" s="67"/>
      <c r="F893" s="67"/>
      <c r="G893" s="67"/>
      <c r="H893" s="67"/>
      <c r="I893" s="67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</row>
    <row r="894" spans="1:29" ht="15.75" customHeight="1" x14ac:dyDescent="0.5">
      <c r="A894" s="41"/>
      <c r="B894" s="41"/>
      <c r="C894" s="67"/>
      <c r="D894" s="67"/>
      <c r="E894" s="67"/>
      <c r="F894" s="67"/>
      <c r="G894" s="67"/>
      <c r="H894" s="67"/>
      <c r="I894" s="67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</row>
    <row r="895" spans="1:29" ht="15.75" customHeight="1" x14ac:dyDescent="0.5">
      <c r="A895" s="41"/>
      <c r="B895" s="41"/>
      <c r="C895" s="67"/>
      <c r="D895" s="67"/>
      <c r="E895" s="67"/>
      <c r="F895" s="67"/>
      <c r="G895" s="67"/>
      <c r="H895" s="67"/>
      <c r="I895" s="67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</row>
    <row r="896" spans="1:29" ht="15.75" customHeight="1" x14ac:dyDescent="0.5">
      <c r="A896" s="41"/>
      <c r="B896" s="41"/>
      <c r="C896" s="67"/>
      <c r="D896" s="67"/>
      <c r="E896" s="67"/>
      <c r="F896" s="67"/>
      <c r="G896" s="67"/>
      <c r="H896" s="67"/>
      <c r="I896" s="67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</row>
    <row r="897" spans="1:29" ht="15.75" customHeight="1" x14ac:dyDescent="0.5">
      <c r="A897" s="41"/>
      <c r="B897" s="41"/>
      <c r="C897" s="67"/>
      <c r="D897" s="67"/>
      <c r="E897" s="67"/>
      <c r="F897" s="67"/>
      <c r="G897" s="67"/>
      <c r="H897" s="67"/>
      <c r="I897" s="67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</row>
    <row r="898" spans="1:29" ht="15.75" customHeight="1" x14ac:dyDescent="0.5">
      <c r="A898" s="41"/>
      <c r="B898" s="41"/>
      <c r="C898" s="67"/>
      <c r="D898" s="67"/>
      <c r="E898" s="67"/>
      <c r="F898" s="67"/>
      <c r="G898" s="67"/>
      <c r="H898" s="67"/>
      <c r="I898" s="67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</row>
    <row r="899" spans="1:29" ht="15.75" customHeight="1" x14ac:dyDescent="0.5">
      <c r="A899" s="41"/>
      <c r="B899" s="41"/>
      <c r="C899" s="67"/>
      <c r="D899" s="67"/>
      <c r="E899" s="67"/>
      <c r="F899" s="67"/>
      <c r="G899" s="67"/>
      <c r="H899" s="67"/>
      <c r="I899" s="67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</row>
    <row r="900" spans="1:29" ht="15.75" customHeight="1" x14ac:dyDescent="0.5">
      <c r="A900" s="41"/>
      <c r="B900" s="41"/>
      <c r="C900" s="67"/>
      <c r="D900" s="67"/>
      <c r="E900" s="67"/>
      <c r="F900" s="67"/>
      <c r="G900" s="67"/>
      <c r="H900" s="67"/>
      <c r="I900" s="67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</row>
    <row r="901" spans="1:29" ht="15.75" customHeight="1" x14ac:dyDescent="0.5">
      <c r="A901" s="41"/>
      <c r="B901" s="41"/>
      <c r="C901" s="67"/>
      <c r="D901" s="67"/>
      <c r="E901" s="67"/>
      <c r="F901" s="67"/>
      <c r="G901" s="67"/>
      <c r="H901" s="67"/>
      <c r="I901" s="67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</row>
    <row r="902" spans="1:29" ht="15.75" customHeight="1" x14ac:dyDescent="0.5">
      <c r="A902" s="41"/>
      <c r="B902" s="41"/>
      <c r="C902" s="67"/>
      <c r="D902" s="67"/>
      <c r="E902" s="67"/>
      <c r="F902" s="67"/>
      <c r="G902" s="67"/>
      <c r="H902" s="67"/>
      <c r="I902" s="67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</row>
    <row r="903" spans="1:29" ht="15.75" customHeight="1" x14ac:dyDescent="0.5">
      <c r="A903" s="41"/>
      <c r="B903" s="41"/>
      <c r="C903" s="67"/>
      <c r="D903" s="67"/>
      <c r="E903" s="67"/>
      <c r="F903" s="67"/>
      <c r="G903" s="67"/>
      <c r="H903" s="67"/>
      <c r="I903" s="67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</row>
    <row r="904" spans="1:29" ht="15.75" customHeight="1" x14ac:dyDescent="0.5">
      <c r="A904" s="41"/>
      <c r="B904" s="41"/>
      <c r="C904" s="67"/>
      <c r="D904" s="67"/>
      <c r="E904" s="67"/>
      <c r="F904" s="67"/>
      <c r="G904" s="67"/>
      <c r="H904" s="67"/>
      <c r="I904" s="67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</row>
    <row r="905" spans="1:29" ht="15.75" customHeight="1" x14ac:dyDescent="0.5">
      <c r="A905" s="41"/>
      <c r="B905" s="41"/>
      <c r="C905" s="67"/>
      <c r="D905" s="67"/>
      <c r="E905" s="67"/>
      <c r="F905" s="67"/>
      <c r="G905" s="67"/>
      <c r="H905" s="67"/>
      <c r="I905" s="67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</row>
    <row r="906" spans="1:29" ht="15.75" customHeight="1" x14ac:dyDescent="0.5">
      <c r="A906" s="41"/>
      <c r="B906" s="41"/>
      <c r="C906" s="67"/>
      <c r="D906" s="67"/>
      <c r="E906" s="67"/>
      <c r="F906" s="67"/>
      <c r="G906" s="67"/>
      <c r="H906" s="67"/>
      <c r="I906" s="67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</row>
    <row r="907" spans="1:29" ht="15.75" customHeight="1" x14ac:dyDescent="0.5">
      <c r="A907" s="41"/>
      <c r="B907" s="41"/>
      <c r="C907" s="67"/>
      <c r="D907" s="67"/>
      <c r="E907" s="67"/>
      <c r="F907" s="67"/>
      <c r="G907" s="67"/>
      <c r="H907" s="67"/>
      <c r="I907" s="67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</row>
    <row r="908" spans="1:29" ht="15.75" customHeight="1" x14ac:dyDescent="0.5">
      <c r="A908" s="41"/>
      <c r="B908" s="41"/>
      <c r="C908" s="67"/>
      <c r="D908" s="67"/>
      <c r="E908" s="67"/>
      <c r="F908" s="67"/>
      <c r="G908" s="67"/>
      <c r="H908" s="67"/>
      <c r="I908" s="67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</row>
    <row r="909" spans="1:29" ht="15.75" customHeight="1" x14ac:dyDescent="0.5">
      <c r="A909" s="41"/>
      <c r="B909" s="41"/>
      <c r="C909" s="67"/>
      <c r="D909" s="67"/>
      <c r="E909" s="67"/>
      <c r="F909" s="67"/>
      <c r="G909" s="67"/>
      <c r="H909" s="67"/>
      <c r="I909" s="67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</row>
    <row r="910" spans="1:29" ht="15.75" customHeight="1" x14ac:dyDescent="0.5">
      <c r="A910" s="41"/>
      <c r="B910" s="41"/>
      <c r="C910" s="67"/>
      <c r="D910" s="67"/>
      <c r="E910" s="67"/>
      <c r="F910" s="67"/>
      <c r="G910" s="67"/>
      <c r="H910" s="67"/>
      <c r="I910" s="67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</row>
    <row r="911" spans="1:29" ht="15.75" customHeight="1" x14ac:dyDescent="0.5">
      <c r="A911" s="41"/>
      <c r="B911" s="41"/>
      <c r="C911" s="67"/>
      <c r="D911" s="67"/>
      <c r="E911" s="67"/>
      <c r="F911" s="67"/>
      <c r="G911" s="67"/>
      <c r="H911" s="67"/>
      <c r="I911" s="67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</row>
    <row r="912" spans="1:29" ht="15.75" customHeight="1" x14ac:dyDescent="0.5">
      <c r="A912" s="41"/>
      <c r="B912" s="41"/>
      <c r="C912" s="67"/>
      <c r="D912" s="67"/>
      <c r="E912" s="67"/>
      <c r="F912" s="67"/>
      <c r="G912" s="67"/>
      <c r="H912" s="67"/>
      <c r="I912" s="67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</row>
    <row r="913" spans="1:29" ht="15.75" customHeight="1" x14ac:dyDescent="0.5">
      <c r="A913" s="41"/>
      <c r="B913" s="41"/>
      <c r="C913" s="67"/>
      <c r="D913" s="67"/>
      <c r="E913" s="67"/>
      <c r="F913" s="67"/>
      <c r="G913" s="67"/>
      <c r="H913" s="67"/>
      <c r="I913" s="67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</row>
    <row r="914" spans="1:29" ht="15.75" customHeight="1" x14ac:dyDescent="0.5">
      <c r="A914" s="41"/>
      <c r="B914" s="41"/>
      <c r="C914" s="67"/>
      <c r="D914" s="67"/>
      <c r="E914" s="67"/>
      <c r="F914" s="67"/>
      <c r="G914" s="67"/>
      <c r="H914" s="67"/>
      <c r="I914" s="67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</row>
    <row r="915" spans="1:29" ht="15.75" customHeight="1" x14ac:dyDescent="0.5">
      <c r="A915" s="41"/>
      <c r="B915" s="41"/>
      <c r="C915" s="67"/>
      <c r="D915" s="67"/>
      <c r="E915" s="67"/>
      <c r="F915" s="67"/>
      <c r="G915" s="67"/>
      <c r="H915" s="67"/>
      <c r="I915" s="67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</row>
    <row r="916" spans="1:29" ht="15.75" customHeight="1" x14ac:dyDescent="0.5">
      <c r="A916" s="41"/>
      <c r="B916" s="41"/>
      <c r="C916" s="67"/>
      <c r="D916" s="67"/>
      <c r="E916" s="67"/>
      <c r="F916" s="67"/>
      <c r="G916" s="67"/>
      <c r="H916" s="67"/>
      <c r="I916" s="67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</row>
    <row r="917" spans="1:29" ht="15.75" customHeight="1" x14ac:dyDescent="0.5">
      <c r="A917" s="41"/>
      <c r="B917" s="41"/>
      <c r="C917" s="67"/>
      <c r="D917" s="67"/>
      <c r="E917" s="67"/>
      <c r="F917" s="67"/>
      <c r="G917" s="67"/>
      <c r="H917" s="67"/>
      <c r="I917" s="67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</row>
    <row r="918" spans="1:29" ht="15.75" customHeight="1" x14ac:dyDescent="0.5">
      <c r="A918" s="41"/>
      <c r="B918" s="41"/>
      <c r="C918" s="67"/>
      <c r="D918" s="67"/>
      <c r="E918" s="67"/>
      <c r="F918" s="67"/>
      <c r="G918" s="67"/>
      <c r="H918" s="67"/>
      <c r="I918" s="67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</row>
    <row r="919" spans="1:29" ht="15.75" customHeight="1" x14ac:dyDescent="0.5">
      <c r="A919" s="41"/>
      <c r="B919" s="41"/>
      <c r="C919" s="67"/>
      <c r="D919" s="67"/>
      <c r="E919" s="67"/>
      <c r="F919" s="67"/>
      <c r="G919" s="67"/>
      <c r="H919" s="67"/>
      <c r="I919" s="67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</row>
    <row r="920" spans="1:29" ht="15.75" customHeight="1" x14ac:dyDescent="0.5">
      <c r="A920" s="41"/>
      <c r="B920" s="41"/>
      <c r="C920" s="67"/>
      <c r="D920" s="67"/>
      <c r="E920" s="67"/>
      <c r="F920" s="67"/>
      <c r="G920" s="67"/>
      <c r="H920" s="67"/>
      <c r="I920" s="67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</row>
    <row r="921" spans="1:29" ht="15.75" customHeight="1" x14ac:dyDescent="0.5">
      <c r="A921" s="41"/>
      <c r="B921" s="41"/>
      <c r="C921" s="67"/>
      <c r="D921" s="67"/>
      <c r="E921" s="67"/>
      <c r="F921" s="67"/>
      <c r="G921" s="67"/>
      <c r="H921" s="67"/>
      <c r="I921" s="67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</row>
    <row r="922" spans="1:29" ht="15.75" customHeight="1" x14ac:dyDescent="0.5">
      <c r="A922" s="41"/>
      <c r="B922" s="41"/>
      <c r="C922" s="67"/>
      <c r="D922" s="67"/>
      <c r="E922" s="67"/>
      <c r="F922" s="67"/>
      <c r="G922" s="67"/>
      <c r="H922" s="67"/>
      <c r="I922" s="67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</row>
    <row r="923" spans="1:29" ht="15.75" customHeight="1" x14ac:dyDescent="0.5">
      <c r="A923" s="41"/>
      <c r="B923" s="41"/>
      <c r="C923" s="67"/>
      <c r="D923" s="67"/>
      <c r="E923" s="67"/>
      <c r="F923" s="67"/>
      <c r="G923" s="67"/>
      <c r="H923" s="67"/>
      <c r="I923" s="67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</row>
    <row r="924" spans="1:29" ht="15.75" customHeight="1" x14ac:dyDescent="0.5">
      <c r="A924" s="41"/>
      <c r="B924" s="41"/>
      <c r="C924" s="67"/>
      <c r="D924" s="67"/>
      <c r="E924" s="67"/>
      <c r="F924" s="67"/>
      <c r="G924" s="67"/>
      <c r="H924" s="67"/>
      <c r="I924" s="67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</row>
    <row r="925" spans="1:29" ht="15.75" customHeight="1" x14ac:dyDescent="0.5">
      <c r="A925" s="41"/>
      <c r="B925" s="41"/>
      <c r="C925" s="67"/>
      <c r="D925" s="67"/>
      <c r="E925" s="67"/>
      <c r="F925" s="67"/>
      <c r="G925" s="67"/>
      <c r="H925" s="67"/>
      <c r="I925" s="67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</row>
    <row r="926" spans="1:29" ht="15.75" customHeight="1" x14ac:dyDescent="0.5">
      <c r="A926" s="41"/>
      <c r="B926" s="41"/>
      <c r="C926" s="67"/>
      <c r="D926" s="67"/>
      <c r="E926" s="67"/>
      <c r="F926" s="67"/>
      <c r="G926" s="67"/>
      <c r="H926" s="67"/>
      <c r="I926" s="67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</row>
    <row r="927" spans="1:29" ht="15.75" customHeight="1" x14ac:dyDescent="0.5">
      <c r="A927" s="41"/>
      <c r="B927" s="41"/>
      <c r="C927" s="67"/>
      <c r="D927" s="67"/>
      <c r="E927" s="67"/>
      <c r="F927" s="67"/>
      <c r="G927" s="67"/>
      <c r="H927" s="67"/>
      <c r="I927" s="67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</row>
    <row r="928" spans="1:29" ht="15.75" customHeight="1" x14ac:dyDescent="0.5">
      <c r="A928" s="41"/>
      <c r="B928" s="41"/>
      <c r="C928" s="67"/>
      <c r="D928" s="67"/>
      <c r="E928" s="67"/>
      <c r="F928" s="67"/>
      <c r="G928" s="67"/>
      <c r="H928" s="67"/>
      <c r="I928" s="67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</row>
    <row r="929" spans="1:29" ht="15.75" customHeight="1" x14ac:dyDescent="0.5">
      <c r="A929" s="41"/>
      <c r="B929" s="41"/>
      <c r="C929" s="67"/>
      <c r="D929" s="67"/>
      <c r="E929" s="67"/>
      <c r="F929" s="67"/>
      <c r="G929" s="67"/>
      <c r="H929" s="67"/>
      <c r="I929" s="67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</row>
    <row r="930" spans="1:29" ht="15.75" customHeight="1" x14ac:dyDescent="0.5">
      <c r="A930" s="41"/>
      <c r="B930" s="41"/>
      <c r="C930" s="67"/>
      <c r="D930" s="67"/>
      <c r="E930" s="67"/>
      <c r="F930" s="67"/>
      <c r="G930" s="67"/>
      <c r="H930" s="67"/>
      <c r="I930" s="67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</row>
    <row r="931" spans="1:29" ht="15.75" customHeight="1" x14ac:dyDescent="0.5">
      <c r="A931" s="41"/>
      <c r="B931" s="41"/>
      <c r="C931" s="67"/>
      <c r="D931" s="67"/>
      <c r="E931" s="67"/>
      <c r="F931" s="67"/>
      <c r="G931" s="67"/>
      <c r="H931" s="67"/>
      <c r="I931" s="67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</row>
    <row r="932" spans="1:29" ht="15.75" customHeight="1" x14ac:dyDescent="0.5">
      <c r="A932" s="41"/>
      <c r="B932" s="41"/>
      <c r="C932" s="67"/>
      <c r="D932" s="67"/>
      <c r="E932" s="67"/>
      <c r="F932" s="67"/>
      <c r="G932" s="67"/>
      <c r="H932" s="67"/>
      <c r="I932" s="67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</row>
    <row r="933" spans="1:29" ht="15.75" customHeight="1" x14ac:dyDescent="0.5">
      <c r="A933" s="41"/>
      <c r="B933" s="41"/>
      <c r="C933" s="67"/>
      <c r="D933" s="67"/>
      <c r="E933" s="67"/>
      <c r="F933" s="67"/>
      <c r="G933" s="67"/>
      <c r="H933" s="67"/>
      <c r="I933" s="67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</row>
    <row r="934" spans="1:29" ht="15.75" customHeight="1" x14ac:dyDescent="0.5">
      <c r="A934" s="41"/>
      <c r="B934" s="41"/>
      <c r="C934" s="67"/>
      <c r="D934" s="67"/>
      <c r="E934" s="67"/>
      <c r="F934" s="67"/>
      <c r="G934" s="67"/>
      <c r="H934" s="67"/>
      <c r="I934" s="67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</row>
    <row r="935" spans="1:29" ht="15.75" customHeight="1" x14ac:dyDescent="0.5">
      <c r="A935" s="41"/>
      <c r="B935" s="41"/>
      <c r="C935" s="67"/>
      <c r="D935" s="67"/>
      <c r="E935" s="67"/>
      <c r="F935" s="67"/>
      <c r="G935" s="67"/>
      <c r="H935" s="67"/>
      <c r="I935" s="67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</row>
    <row r="936" spans="1:29" ht="15.75" customHeight="1" x14ac:dyDescent="0.5">
      <c r="A936" s="41"/>
      <c r="B936" s="41"/>
      <c r="C936" s="67"/>
      <c r="D936" s="67"/>
      <c r="E936" s="67"/>
      <c r="F936" s="67"/>
      <c r="G936" s="67"/>
      <c r="H936" s="67"/>
      <c r="I936" s="67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</row>
    <row r="937" spans="1:29" ht="15.75" customHeight="1" x14ac:dyDescent="0.5">
      <c r="A937" s="41"/>
      <c r="B937" s="41"/>
      <c r="C937" s="67"/>
      <c r="D937" s="67"/>
      <c r="E937" s="67"/>
      <c r="F937" s="67"/>
      <c r="G937" s="67"/>
      <c r="H937" s="67"/>
      <c r="I937" s="67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</row>
    <row r="938" spans="1:29" ht="15.75" customHeight="1" x14ac:dyDescent="0.5">
      <c r="A938" s="41"/>
      <c r="B938" s="41"/>
      <c r="C938" s="67"/>
      <c r="D938" s="67"/>
      <c r="E938" s="67"/>
      <c r="F938" s="67"/>
      <c r="G938" s="67"/>
      <c r="H938" s="67"/>
      <c r="I938" s="67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</row>
    <row r="939" spans="1:29" ht="15.75" customHeight="1" x14ac:dyDescent="0.5">
      <c r="A939" s="41"/>
      <c r="B939" s="41"/>
      <c r="C939" s="67"/>
      <c r="D939" s="67"/>
      <c r="E939" s="67"/>
      <c r="F939" s="67"/>
      <c r="G939" s="67"/>
      <c r="H939" s="67"/>
      <c r="I939" s="67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</row>
    <row r="940" spans="1:29" ht="15.75" customHeight="1" x14ac:dyDescent="0.5">
      <c r="A940" s="41"/>
      <c r="B940" s="41"/>
      <c r="C940" s="67"/>
      <c r="D940" s="67"/>
      <c r="E940" s="67"/>
      <c r="F940" s="67"/>
      <c r="G940" s="67"/>
      <c r="H940" s="67"/>
      <c r="I940" s="67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</row>
    <row r="941" spans="1:29" ht="15.75" customHeight="1" x14ac:dyDescent="0.5">
      <c r="A941" s="41"/>
      <c r="B941" s="41"/>
      <c r="C941" s="67"/>
      <c r="D941" s="67"/>
      <c r="E941" s="67"/>
      <c r="F941" s="67"/>
      <c r="G941" s="67"/>
      <c r="H941" s="67"/>
      <c r="I941" s="67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</row>
    <row r="942" spans="1:29" ht="15.75" customHeight="1" x14ac:dyDescent="0.5">
      <c r="A942" s="41"/>
      <c r="B942" s="41"/>
      <c r="C942" s="67"/>
      <c r="D942" s="67"/>
      <c r="E942" s="67"/>
      <c r="F942" s="67"/>
      <c r="G942" s="67"/>
      <c r="H942" s="67"/>
      <c r="I942" s="67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</row>
    <row r="943" spans="1:29" ht="15.75" customHeight="1" x14ac:dyDescent="0.5">
      <c r="A943" s="41"/>
      <c r="B943" s="41"/>
      <c r="C943" s="67"/>
      <c r="D943" s="67"/>
      <c r="E943" s="67"/>
      <c r="F943" s="67"/>
      <c r="G943" s="67"/>
      <c r="H943" s="67"/>
      <c r="I943" s="67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</row>
    <row r="944" spans="1:29" ht="15.75" customHeight="1" x14ac:dyDescent="0.5">
      <c r="A944" s="41"/>
      <c r="B944" s="41"/>
      <c r="C944" s="67"/>
      <c r="D944" s="67"/>
      <c r="E944" s="67"/>
      <c r="F944" s="67"/>
      <c r="G944" s="67"/>
      <c r="H944" s="67"/>
      <c r="I944" s="67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</row>
    <row r="945" spans="1:29" ht="15.75" customHeight="1" x14ac:dyDescent="0.5">
      <c r="A945" s="41"/>
      <c r="B945" s="41"/>
      <c r="C945" s="67"/>
      <c r="D945" s="67"/>
      <c r="E945" s="67"/>
      <c r="F945" s="67"/>
      <c r="G945" s="67"/>
      <c r="H945" s="67"/>
      <c r="I945" s="67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</row>
    <row r="946" spans="1:29" ht="15.75" customHeight="1" x14ac:dyDescent="0.5">
      <c r="A946" s="41"/>
      <c r="B946" s="41"/>
      <c r="C946" s="67"/>
      <c r="D946" s="67"/>
      <c r="E946" s="67"/>
      <c r="F946" s="67"/>
      <c r="G946" s="67"/>
      <c r="H946" s="67"/>
      <c r="I946" s="67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</row>
    <row r="947" spans="1:29" ht="15.75" customHeight="1" x14ac:dyDescent="0.5">
      <c r="A947" s="41"/>
      <c r="B947" s="41"/>
      <c r="C947" s="67"/>
      <c r="D947" s="67"/>
      <c r="E947" s="67"/>
      <c r="F947" s="67"/>
      <c r="G947" s="67"/>
      <c r="H947" s="67"/>
      <c r="I947" s="67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</row>
    <row r="948" spans="1:29" ht="15.75" customHeight="1" x14ac:dyDescent="0.5">
      <c r="A948" s="41"/>
      <c r="B948" s="41"/>
      <c r="C948" s="67"/>
      <c r="D948" s="67"/>
      <c r="E948" s="67"/>
      <c r="F948" s="67"/>
      <c r="G948" s="67"/>
      <c r="H948" s="67"/>
      <c r="I948" s="67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</row>
    <row r="949" spans="1:29" ht="15.75" customHeight="1" x14ac:dyDescent="0.5">
      <c r="A949" s="41"/>
      <c r="B949" s="41"/>
      <c r="C949" s="67"/>
      <c r="D949" s="67"/>
      <c r="E949" s="67"/>
      <c r="F949" s="67"/>
      <c r="G949" s="67"/>
      <c r="H949" s="67"/>
      <c r="I949" s="67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</row>
    <row r="950" spans="1:29" ht="15.75" customHeight="1" x14ac:dyDescent="0.5">
      <c r="A950" s="41"/>
      <c r="B950" s="41"/>
      <c r="C950" s="67"/>
      <c r="D950" s="67"/>
      <c r="E950" s="67"/>
      <c r="F950" s="67"/>
      <c r="G950" s="67"/>
      <c r="H950" s="67"/>
      <c r="I950" s="67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</row>
    <row r="951" spans="1:29" ht="15.75" customHeight="1" x14ac:dyDescent="0.5">
      <c r="A951" s="41"/>
      <c r="B951" s="41"/>
      <c r="C951" s="67"/>
      <c r="D951" s="67"/>
      <c r="E951" s="67"/>
      <c r="F951" s="67"/>
      <c r="G951" s="67"/>
      <c r="H951" s="67"/>
      <c r="I951" s="67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</row>
    <row r="952" spans="1:29" ht="15.75" customHeight="1" x14ac:dyDescent="0.5">
      <c r="A952" s="41"/>
      <c r="B952" s="41"/>
      <c r="C952" s="67"/>
      <c r="D952" s="67"/>
      <c r="E952" s="67"/>
      <c r="F952" s="67"/>
      <c r="G952" s="67"/>
      <c r="H952" s="67"/>
      <c r="I952" s="67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</row>
    <row r="953" spans="1:29" ht="15.75" customHeight="1" x14ac:dyDescent="0.5">
      <c r="A953" s="41"/>
      <c r="B953" s="41"/>
      <c r="C953" s="67"/>
      <c r="D953" s="67"/>
      <c r="E953" s="67"/>
      <c r="F953" s="67"/>
      <c r="G953" s="67"/>
      <c r="H953" s="67"/>
      <c r="I953" s="67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</row>
    <row r="954" spans="1:29" ht="15.75" customHeight="1" x14ac:dyDescent="0.5">
      <c r="A954" s="41"/>
      <c r="B954" s="41"/>
      <c r="C954" s="67"/>
      <c r="D954" s="67"/>
      <c r="E954" s="67"/>
      <c r="F954" s="67"/>
      <c r="G954" s="67"/>
      <c r="H954" s="67"/>
      <c r="I954" s="67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</row>
    <row r="955" spans="1:29" ht="15.75" customHeight="1" x14ac:dyDescent="0.5">
      <c r="A955" s="41"/>
      <c r="B955" s="41"/>
      <c r="C955" s="67"/>
      <c r="D955" s="67"/>
      <c r="E955" s="67"/>
      <c r="F955" s="67"/>
      <c r="G955" s="67"/>
      <c r="H955" s="67"/>
      <c r="I955" s="67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</row>
    <row r="956" spans="1:29" ht="15.75" customHeight="1" x14ac:dyDescent="0.5">
      <c r="A956" s="41"/>
      <c r="B956" s="41"/>
      <c r="C956" s="67"/>
      <c r="D956" s="67"/>
      <c r="E956" s="67"/>
      <c r="F956" s="67"/>
      <c r="G956" s="67"/>
      <c r="H956" s="67"/>
      <c r="I956" s="67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</row>
    <row r="957" spans="1:29" ht="15.75" customHeight="1" x14ac:dyDescent="0.5">
      <c r="A957" s="41"/>
      <c r="B957" s="41"/>
      <c r="C957" s="67"/>
      <c r="D957" s="67"/>
      <c r="E957" s="67"/>
      <c r="F957" s="67"/>
      <c r="G957" s="67"/>
      <c r="H957" s="67"/>
      <c r="I957" s="67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</row>
    <row r="958" spans="1:29" ht="15.75" customHeight="1" x14ac:dyDescent="0.5">
      <c r="A958" s="41"/>
      <c r="B958" s="41"/>
      <c r="C958" s="67"/>
      <c r="D958" s="67"/>
      <c r="E958" s="67"/>
      <c r="F958" s="67"/>
      <c r="G958" s="67"/>
      <c r="H958" s="67"/>
      <c r="I958" s="67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</row>
    <row r="959" spans="1:29" ht="15.75" customHeight="1" x14ac:dyDescent="0.5">
      <c r="A959" s="41"/>
      <c r="B959" s="41"/>
      <c r="C959" s="67"/>
      <c r="D959" s="67"/>
      <c r="E959" s="67"/>
      <c r="F959" s="67"/>
      <c r="G959" s="67"/>
      <c r="H959" s="67"/>
      <c r="I959" s="67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</row>
    <row r="960" spans="1:29" ht="15.75" customHeight="1" x14ac:dyDescent="0.5">
      <c r="A960" s="41"/>
      <c r="B960" s="41"/>
      <c r="C960" s="67"/>
      <c r="D960" s="67"/>
      <c r="E960" s="67"/>
      <c r="F960" s="67"/>
      <c r="G960" s="67"/>
      <c r="H960" s="67"/>
      <c r="I960" s="67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</row>
    <row r="961" spans="1:29" ht="15.75" customHeight="1" x14ac:dyDescent="0.5">
      <c r="A961" s="41"/>
      <c r="B961" s="41"/>
      <c r="C961" s="67"/>
      <c r="D961" s="67"/>
      <c r="E961" s="67"/>
      <c r="F961" s="67"/>
      <c r="G961" s="67"/>
      <c r="H961" s="67"/>
      <c r="I961" s="67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</row>
    <row r="962" spans="1:29" ht="15.75" customHeight="1" x14ac:dyDescent="0.5">
      <c r="A962" s="41"/>
      <c r="B962" s="41"/>
      <c r="C962" s="67"/>
      <c r="D962" s="67"/>
      <c r="E962" s="67"/>
      <c r="F962" s="67"/>
      <c r="G962" s="67"/>
      <c r="H962" s="67"/>
      <c r="I962" s="67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</row>
    <row r="963" spans="1:29" ht="15.75" customHeight="1" x14ac:dyDescent="0.5">
      <c r="A963" s="41"/>
      <c r="B963" s="41"/>
      <c r="C963" s="67"/>
      <c r="D963" s="67"/>
      <c r="E963" s="67"/>
      <c r="F963" s="67"/>
      <c r="G963" s="67"/>
      <c r="H963" s="67"/>
      <c r="I963" s="67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</row>
    <row r="964" spans="1:29" ht="15.75" customHeight="1" x14ac:dyDescent="0.5">
      <c r="A964" s="41"/>
      <c r="B964" s="41"/>
      <c r="C964" s="67"/>
      <c r="D964" s="67"/>
      <c r="E964" s="67"/>
      <c r="F964" s="67"/>
      <c r="G964" s="67"/>
      <c r="H964" s="67"/>
      <c r="I964" s="67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</row>
    <row r="965" spans="1:29" ht="15.75" customHeight="1" x14ac:dyDescent="0.5">
      <c r="A965" s="41"/>
      <c r="B965" s="41"/>
      <c r="C965" s="67"/>
      <c r="D965" s="67"/>
      <c r="E965" s="67"/>
      <c r="F965" s="67"/>
      <c r="G965" s="67"/>
      <c r="H965" s="67"/>
      <c r="I965" s="67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</row>
    <row r="966" spans="1:29" ht="15.75" customHeight="1" x14ac:dyDescent="0.5">
      <c r="A966" s="41"/>
      <c r="B966" s="41"/>
      <c r="C966" s="67"/>
      <c r="D966" s="67"/>
      <c r="E966" s="67"/>
      <c r="F966" s="67"/>
      <c r="G966" s="67"/>
      <c r="H966" s="67"/>
      <c r="I966" s="67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</row>
    <row r="967" spans="1:29" ht="15.75" customHeight="1" x14ac:dyDescent="0.5">
      <c r="A967" s="41"/>
      <c r="B967" s="41"/>
      <c r="C967" s="67"/>
      <c r="D967" s="67"/>
      <c r="E967" s="67"/>
      <c r="F967" s="67"/>
      <c r="G967" s="67"/>
      <c r="H967" s="67"/>
      <c r="I967" s="67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</row>
    <row r="968" spans="1:29" ht="15.75" customHeight="1" x14ac:dyDescent="0.5">
      <c r="A968" s="41"/>
      <c r="B968" s="41"/>
      <c r="C968" s="67"/>
      <c r="D968" s="67"/>
      <c r="E968" s="67"/>
      <c r="F968" s="67"/>
      <c r="G968" s="67"/>
      <c r="H968" s="67"/>
      <c r="I968" s="67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</row>
    <row r="969" spans="1:29" ht="15.75" customHeight="1" x14ac:dyDescent="0.5">
      <c r="A969" s="41"/>
      <c r="B969" s="41"/>
      <c r="C969" s="67"/>
      <c r="D969" s="67"/>
      <c r="E969" s="67"/>
      <c r="F969" s="67"/>
      <c r="G969" s="67"/>
      <c r="H969" s="67"/>
      <c r="I969" s="67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</row>
    <row r="970" spans="1:29" ht="15.75" customHeight="1" x14ac:dyDescent="0.5">
      <c r="A970" s="41"/>
      <c r="B970" s="41"/>
      <c r="C970" s="67"/>
      <c r="D970" s="67"/>
      <c r="E970" s="67"/>
      <c r="F970" s="67"/>
      <c r="G970" s="67"/>
      <c r="H970" s="67"/>
      <c r="I970" s="67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</row>
    <row r="971" spans="1:29" ht="15.75" customHeight="1" x14ac:dyDescent="0.5">
      <c r="A971" s="41"/>
      <c r="B971" s="41"/>
      <c r="C971" s="67"/>
      <c r="D971" s="67"/>
      <c r="E971" s="67"/>
      <c r="F971" s="67"/>
      <c r="G971" s="67"/>
      <c r="H971" s="67"/>
      <c r="I971" s="67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</row>
    <row r="972" spans="1:29" ht="15.75" customHeight="1" x14ac:dyDescent="0.5">
      <c r="A972" s="41"/>
      <c r="B972" s="41"/>
      <c r="C972" s="67"/>
      <c r="D972" s="67"/>
      <c r="E972" s="67"/>
      <c r="F972" s="67"/>
      <c r="G972" s="67"/>
      <c r="H972" s="67"/>
      <c r="I972" s="67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</row>
    <row r="973" spans="1:29" ht="15.75" customHeight="1" x14ac:dyDescent="0.5">
      <c r="A973" s="41"/>
      <c r="B973" s="41"/>
      <c r="C973" s="67"/>
      <c r="D973" s="67"/>
      <c r="E973" s="67"/>
      <c r="F973" s="67"/>
      <c r="G973" s="67"/>
      <c r="H973" s="67"/>
      <c r="I973" s="67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</row>
    <row r="974" spans="1:29" ht="15.75" customHeight="1" x14ac:dyDescent="0.5">
      <c r="A974" s="41"/>
      <c r="B974" s="41"/>
      <c r="C974" s="67"/>
      <c r="D974" s="67"/>
      <c r="E974" s="67"/>
      <c r="F974" s="67"/>
      <c r="G974" s="67"/>
      <c r="H974" s="67"/>
      <c r="I974" s="67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</row>
    <row r="975" spans="1:29" ht="15.75" customHeight="1" x14ac:dyDescent="0.5">
      <c r="A975" s="41"/>
      <c r="B975" s="41"/>
      <c r="C975" s="67"/>
      <c r="D975" s="67"/>
      <c r="E975" s="67"/>
      <c r="F975" s="67"/>
      <c r="G975" s="67"/>
      <c r="H975" s="67"/>
      <c r="I975" s="67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</row>
    <row r="976" spans="1:29" ht="15.75" customHeight="1" x14ac:dyDescent="0.5">
      <c r="A976" s="41"/>
      <c r="B976" s="41"/>
      <c r="C976" s="67"/>
      <c r="D976" s="67"/>
      <c r="E976" s="67"/>
      <c r="F976" s="67"/>
      <c r="G976" s="67"/>
      <c r="H976" s="67"/>
      <c r="I976" s="67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</row>
    <row r="977" spans="1:29" ht="15.75" customHeight="1" x14ac:dyDescent="0.5">
      <c r="A977" s="41"/>
      <c r="B977" s="41"/>
      <c r="C977" s="67"/>
      <c r="D977" s="67"/>
      <c r="E977" s="67"/>
      <c r="F977" s="67"/>
      <c r="G977" s="67"/>
      <c r="H977" s="67"/>
      <c r="I977" s="67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</row>
    <row r="978" spans="1:29" ht="15.75" customHeight="1" x14ac:dyDescent="0.5">
      <c r="A978" s="41"/>
      <c r="B978" s="41"/>
      <c r="C978" s="67"/>
      <c r="D978" s="67"/>
      <c r="E978" s="67"/>
      <c r="F978" s="67"/>
      <c r="G978" s="67"/>
      <c r="H978" s="67"/>
      <c r="I978" s="67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</row>
    <row r="979" spans="1:29" ht="15.75" customHeight="1" x14ac:dyDescent="0.5">
      <c r="A979" s="41"/>
      <c r="B979" s="41"/>
      <c r="C979" s="67"/>
      <c r="D979" s="67"/>
      <c r="E979" s="67"/>
      <c r="F979" s="67"/>
      <c r="G979" s="67"/>
      <c r="H979" s="67"/>
      <c r="I979" s="67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</row>
    <row r="980" spans="1:29" ht="15.75" customHeight="1" x14ac:dyDescent="0.5">
      <c r="A980" s="41"/>
      <c r="B980" s="41"/>
      <c r="C980" s="67"/>
      <c r="D980" s="67"/>
      <c r="E980" s="67"/>
      <c r="F980" s="67"/>
      <c r="G980" s="67"/>
      <c r="H980" s="67"/>
      <c r="I980" s="67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</row>
    <row r="981" spans="1:29" ht="15.75" customHeight="1" x14ac:dyDescent="0.5">
      <c r="A981" s="41"/>
      <c r="B981" s="41"/>
      <c r="C981" s="67"/>
      <c r="D981" s="67"/>
      <c r="E981" s="67"/>
      <c r="F981" s="67"/>
      <c r="G981" s="67"/>
      <c r="H981" s="67"/>
      <c r="I981" s="67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</row>
    <row r="982" spans="1:29" ht="15.75" customHeight="1" x14ac:dyDescent="0.5">
      <c r="A982" s="41"/>
      <c r="B982" s="41"/>
      <c r="C982" s="67"/>
      <c r="D982" s="67"/>
      <c r="E982" s="67"/>
      <c r="F982" s="67"/>
      <c r="G982" s="67"/>
      <c r="H982" s="67"/>
      <c r="I982" s="67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</row>
    <row r="983" spans="1:29" ht="15.75" customHeight="1" x14ac:dyDescent="0.5">
      <c r="A983" s="41"/>
      <c r="B983" s="41"/>
      <c r="C983" s="67"/>
      <c r="D983" s="67"/>
      <c r="E983" s="67"/>
      <c r="F983" s="67"/>
      <c r="G983" s="67"/>
      <c r="H983" s="67"/>
      <c r="I983" s="67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</row>
    <row r="984" spans="1:29" ht="15.75" customHeight="1" x14ac:dyDescent="0.5">
      <c r="A984" s="41"/>
      <c r="B984" s="41"/>
      <c r="C984" s="67"/>
      <c r="D984" s="67"/>
      <c r="E984" s="67"/>
      <c r="F984" s="67"/>
      <c r="G984" s="67"/>
      <c r="H984" s="67"/>
      <c r="I984" s="67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</row>
    <row r="985" spans="1:29" ht="15.75" customHeight="1" x14ac:dyDescent="0.5">
      <c r="A985" s="41"/>
      <c r="B985" s="41"/>
      <c r="C985" s="67"/>
      <c r="D985" s="67"/>
      <c r="E985" s="67"/>
      <c r="F985" s="67"/>
      <c r="G985" s="67"/>
      <c r="H985" s="67"/>
      <c r="I985" s="67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</row>
    <row r="986" spans="1:29" ht="15.75" customHeight="1" x14ac:dyDescent="0.5">
      <c r="A986" s="41"/>
      <c r="B986" s="41"/>
      <c r="C986" s="67"/>
      <c r="D986" s="67"/>
      <c r="E986" s="67"/>
      <c r="F986" s="67"/>
      <c r="G986" s="67"/>
      <c r="H986" s="67"/>
      <c r="I986" s="67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</row>
    <row r="987" spans="1:29" ht="15.75" customHeight="1" x14ac:dyDescent="0.5">
      <c r="A987" s="41"/>
      <c r="B987" s="41"/>
      <c r="C987" s="67"/>
      <c r="D987" s="67"/>
      <c r="E987" s="67"/>
      <c r="F987" s="67"/>
      <c r="G987" s="67"/>
      <c r="H987" s="67"/>
      <c r="I987" s="67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</row>
    <row r="988" spans="1:29" ht="15.75" customHeight="1" x14ac:dyDescent="0.5">
      <c r="A988" s="41"/>
      <c r="B988" s="41"/>
      <c r="C988" s="67"/>
      <c r="D988" s="67"/>
      <c r="E988" s="67"/>
      <c r="F988" s="67"/>
      <c r="G988" s="67"/>
      <c r="H988" s="67"/>
      <c r="I988" s="67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</row>
    <row r="989" spans="1:29" ht="15.75" customHeight="1" x14ac:dyDescent="0.5">
      <c r="A989" s="41"/>
      <c r="B989" s="41"/>
      <c r="C989" s="67"/>
      <c r="D989" s="67"/>
      <c r="E989" s="67"/>
      <c r="F989" s="67"/>
      <c r="G989" s="67"/>
      <c r="H989" s="67"/>
      <c r="I989" s="67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</row>
    <row r="990" spans="1:29" ht="15.75" customHeight="1" x14ac:dyDescent="0.5">
      <c r="A990" s="41"/>
      <c r="B990" s="41"/>
      <c r="C990" s="67"/>
      <c r="D990" s="67"/>
      <c r="E990" s="67"/>
      <c r="F990" s="67"/>
      <c r="G990" s="67"/>
      <c r="H990" s="67"/>
      <c r="I990" s="67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</row>
    <row r="991" spans="1:29" ht="15.75" customHeight="1" x14ac:dyDescent="0.5">
      <c r="A991" s="41"/>
      <c r="B991" s="41"/>
      <c r="C991" s="67"/>
      <c r="D991" s="67"/>
      <c r="E991" s="67"/>
      <c r="F991" s="67"/>
      <c r="G991" s="67"/>
      <c r="H991" s="67"/>
      <c r="I991" s="67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</row>
    <row r="992" spans="1:29" ht="15.75" customHeight="1" x14ac:dyDescent="0.5">
      <c r="A992" s="41"/>
      <c r="B992" s="41"/>
      <c r="C992" s="67"/>
      <c r="D992" s="67"/>
      <c r="E992" s="67"/>
      <c r="F992" s="67"/>
      <c r="G992" s="67"/>
      <c r="H992" s="67"/>
      <c r="I992" s="67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</row>
    <row r="993" spans="1:29" ht="15.75" customHeight="1" x14ac:dyDescent="0.5">
      <c r="A993" s="41"/>
      <c r="B993" s="41"/>
      <c r="C993" s="67"/>
      <c r="D993" s="67"/>
      <c r="E993" s="67"/>
      <c r="F993" s="67"/>
      <c r="G993" s="67"/>
      <c r="H993" s="67"/>
      <c r="I993" s="67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</row>
    <row r="994" spans="1:29" ht="15.75" customHeight="1" x14ac:dyDescent="0.5">
      <c r="A994" s="41"/>
      <c r="B994" s="41"/>
      <c r="C994" s="67"/>
      <c r="D994" s="67"/>
      <c r="E994" s="67"/>
      <c r="F994" s="67"/>
      <c r="G994" s="67"/>
      <c r="H994" s="67"/>
      <c r="I994" s="67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</row>
    <row r="995" spans="1:29" ht="15.75" customHeight="1" x14ac:dyDescent="0.5">
      <c r="A995" s="41"/>
      <c r="B995" s="41"/>
      <c r="C995" s="67"/>
      <c r="D995" s="67"/>
      <c r="E995" s="67"/>
      <c r="F995" s="67"/>
      <c r="G995" s="67"/>
      <c r="H995" s="67"/>
      <c r="I995" s="67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</row>
    <row r="996" spans="1:29" ht="15.75" customHeight="1" x14ac:dyDescent="0.5">
      <c r="A996" s="41"/>
      <c r="B996" s="41"/>
      <c r="C996" s="67"/>
      <c r="D996" s="67"/>
      <c r="E996" s="67"/>
      <c r="F996" s="67"/>
      <c r="G996" s="67"/>
      <c r="H996" s="67"/>
      <c r="I996" s="67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</row>
    <row r="997" spans="1:29" ht="15.75" customHeight="1" x14ac:dyDescent="0.5">
      <c r="A997" s="41"/>
      <c r="B997" s="41"/>
      <c r="C997" s="67"/>
      <c r="D997" s="67"/>
      <c r="E997" s="67"/>
      <c r="F997" s="67"/>
      <c r="G997" s="67"/>
      <c r="H997" s="67"/>
      <c r="I997" s="67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</row>
    <row r="998" spans="1:29" ht="15.75" customHeight="1" x14ac:dyDescent="0.5">
      <c r="A998" s="41"/>
      <c r="B998" s="41"/>
      <c r="C998" s="67"/>
      <c r="D998" s="67"/>
      <c r="E998" s="67"/>
      <c r="F998" s="67"/>
      <c r="G998" s="67"/>
      <c r="H998" s="67"/>
      <c r="I998" s="67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</row>
    <row r="999" spans="1:29" ht="15.75" customHeight="1" x14ac:dyDescent="0.5">
      <c r="A999" s="41"/>
      <c r="B999" s="41"/>
      <c r="C999" s="67"/>
      <c r="D999" s="67"/>
      <c r="E999" s="67"/>
      <c r="F999" s="67"/>
      <c r="G999" s="67"/>
      <c r="H999" s="67"/>
      <c r="I999" s="67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</row>
    <row r="1000" spans="1:29" ht="15.75" customHeight="1" x14ac:dyDescent="0.5">
      <c r="A1000" s="41"/>
      <c r="B1000" s="41"/>
      <c r="C1000" s="67"/>
      <c r="D1000" s="67"/>
      <c r="E1000" s="67"/>
      <c r="F1000" s="67"/>
      <c r="G1000" s="67"/>
      <c r="H1000" s="67"/>
      <c r="I1000" s="67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</row>
    <row r="1001" spans="1:29" ht="15.75" customHeight="1" x14ac:dyDescent="0.5">
      <c r="A1001" s="41"/>
      <c r="B1001" s="41"/>
      <c r="C1001" s="67"/>
      <c r="D1001" s="67"/>
      <c r="E1001" s="67"/>
      <c r="F1001" s="67"/>
      <c r="G1001" s="67"/>
      <c r="H1001" s="67"/>
      <c r="I1001" s="67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</row>
    <row r="1002" spans="1:29" ht="15.75" customHeight="1" x14ac:dyDescent="0.5">
      <c r="A1002" s="41"/>
      <c r="B1002" s="41"/>
      <c r="C1002" s="67"/>
      <c r="D1002" s="67"/>
      <c r="E1002" s="67"/>
      <c r="F1002" s="67"/>
      <c r="G1002" s="67"/>
      <c r="H1002" s="67"/>
      <c r="I1002" s="67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</row>
    <row r="1003" spans="1:29" ht="15.75" customHeight="1" x14ac:dyDescent="0.5">
      <c r="A1003" s="41"/>
      <c r="B1003" s="41"/>
      <c r="C1003" s="67"/>
      <c r="D1003" s="67"/>
      <c r="E1003" s="67"/>
      <c r="F1003" s="67"/>
      <c r="G1003" s="67"/>
      <c r="H1003" s="67"/>
      <c r="I1003" s="67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</row>
    <row r="1004" spans="1:29" ht="15.75" customHeight="1" x14ac:dyDescent="0.5">
      <c r="A1004" s="41"/>
      <c r="B1004" s="41"/>
      <c r="C1004" s="67"/>
      <c r="D1004" s="67"/>
      <c r="E1004" s="67"/>
      <c r="F1004" s="67"/>
      <c r="G1004" s="67"/>
      <c r="H1004" s="67"/>
      <c r="I1004" s="67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</row>
    <row r="1005" spans="1:29" ht="15.75" customHeight="1" x14ac:dyDescent="0.5">
      <c r="A1005" s="41"/>
      <c r="B1005" s="41"/>
      <c r="C1005" s="67"/>
      <c r="D1005" s="67"/>
      <c r="E1005" s="67"/>
      <c r="F1005" s="67"/>
      <c r="G1005" s="67"/>
      <c r="H1005" s="67"/>
      <c r="I1005" s="67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</row>
    <row r="1006" spans="1:29" ht="15.75" customHeight="1" x14ac:dyDescent="0.5">
      <c r="A1006" s="41"/>
      <c r="B1006" s="41"/>
      <c r="C1006" s="67"/>
      <c r="D1006" s="67"/>
      <c r="E1006" s="67"/>
      <c r="F1006" s="67"/>
      <c r="G1006" s="67"/>
      <c r="H1006" s="67"/>
      <c r="I1006" s="67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</row>
    <row r="1007" spans="1:29" ht="15.75" customHeight="1" x14ac:dyDescent="0.5">
      <c r="A1007" s="41"/>
      <c r="B1007" s="41"/>
      <c r="C1007" s="67"/>
      <c r="D1007" s="67"/>
      <c r="E1007" s="67"/>
      <c r="F1007" s="67"/>
      <c r="G1007" s="67"/>
      <c r="H1007" s="67"/>
      <c r="I1007" s="67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ZN250</vt:lpstr>
      <vt:lpstr>'ZN250'!XDO_?CLASS_3?12?</vt:lpstr>
      <vt:lpstr>'ZN250'!XDO_?FINAL_ISIN?53?</vt:lpstr>
      <vt:lpstr>'ZN250'!XDO_?FINAL_ISIN?54?</vt:lpstr>
      <vt:lpstr>'ZN250'!XDO_?FINAL_ISIN?55?</vt:lpstr>
      <vt:lpstr>'ZN250'!XDO_?FINAL_ISIN?56?</vt:lpstr>
      <vt:lpstr>'ZN250'!XDO_?FINAL_MV?53?</vt:lpstr>
      <vt:lpstr>'ZN250'!XDO_?FINAL_MV?54?</vt:lpstr>
      <vt:lpstr>'ZN250'!XDO_?FINAL_MV?55?</vt:lpstr>
      <vt:lpstr>'ZN250'!XDO_?FINAL_MV?56?</vt:lpstr>
      <vt:lpstr>'ZN250'!XDO_?FINAL_NAME?53?</vt:lpstr>
      <vt:lpstr>'ZN250'!XDO_?FINAL_NAME?54?</vt:lpstr>
      <vt:lpstr>'ZN250'!XDO_?FINAL_NAME?55?</vt:lpstr>
      <vt:lpstr>'ZN250'!XDO_?FINAL_NAME?56?</vt:lpstr>
      <vt:lpstr>'ZN250'!XDO_?FINAL_PER_NET?53?</vt:lpstr>
      <vt:lpstr>'ZN250'!XDO_?FINAL_PER_NET?54?</vt:lpstr>
      <vt:lpstr>'ZN250'!XDO_?FINAL_PER_NET?55?</vt:lpstr>
      <vt:lpstr>'ZN250'!XDO_?FINAL_PER_NET?56?</vt:lpstr>
      <vt:lpstr>'ZN250'!XDO_?FINAL_QUANTITE?53?</vt:lpstr>
      <vt:lpstr>'ZN250'!XDO_?FINAL_QUANTITE?54?</vt:lpstr>
      <vt:lpstr>'ZN250'!XDO_?FINAL_QUANTITE?55?</vt:lpstr>
      <vt:lpstr>'ZN250'!XDO_?FINAL_QUANTITE?56?</vt:lpstr>
      <vt:lpstr>'ZN250'!XDO_?IND_02?53?</vt:lpstr>
      <vt:lpstr>'ZN250'!XDO_?IND_02?54?</vt:lpstr>
      <vt:lpstr>'ZN250'!XDO_?IND_02?55?</vt:lpstr>
      <vt:lpstr>'ZN250'!XDO_?IND_02?56?</vt:lpstr>
      <vt:lpstr>'ZN250'!XDO_?NAMCNAME?12?</vt:lpstr>
      <vt:lpstr>'ZN250'!XDO_?NOVAL?53?</vt:lpstr>
      <vt:lpstr>'ZN250'!XDO_?NOVAL?54?</vt:lpstr>
      <vt:lpstr>'ZN250'!XDO_?NOVAL?55?</vt:lpstr>
      <vt:lpstr>'ZN250'!XDO_?NOVAL?56?</vt:lpstr>
      <vt:lpstr>'ZN250'!XDO_?NPTF?12?</vt:lpstr>
      <vt:lpstr>'ZN250'!XDO_?RATING?53?</vt:lpstr>
      <vt:lpstr>'ZN250'!XDO_?RATING?54?</vt:lpstr>
      <vt:lpstr>'ZN250'!XDO_?RATING?55?</vt:lpstr>
      <vt:lpstr>'ZN250'!XDO_?RATING?56?</vt:lpstr>
      <vt:lpstr>'ZN250'!XDO_?TITL?12?</vt:lpstr>
      <vt:lpstr>'ZN250'!XDO_?YTM?53?</vt:lpstr>
      <vt:lpstr>'ZN250'!XDO_?YTM?54?</vt:lpstr>
      <vt:lpstr>'ZN250'!XDO_?YTM?55?</vt:lpstr>
      <vt:lpstr>'ZN250'!XDO_?YTM?56?</vt:lpstr>
      <vt:lpstr>'ZN250'!XDO_GROUP_?G_2?12?</vt:lpstr>
      <vt:lpstr>'ZN250'!XDO_GROUP_?G_3?12?</vt:lpstr>
      <vt:lpstr>'ZN250'!XDO_GROUP_?G_4?53?</vt:lpstr>
      <vt:lpstr>'ZN250'!XDO_GROUP_?G_4?55?</vt:lpstr>
      <vt:lpstr>'ZN250'!XDO_GROUP_?G_4?56?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2026-06-10T10:31:05Z</dcterms:modified>
</cp:coreProperties>
</file>