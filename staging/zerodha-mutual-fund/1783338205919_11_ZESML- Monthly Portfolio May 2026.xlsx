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EA28662A-7F3C-40B7-9634-36493C023B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SML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ZESML!$C$6:$C$108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ZESML!$D$108</definedName>
    <definedName name="XDO_?FINAL_ISIN?53?">#REF!</definedName>
    <definedName name="XDO_?FINAL_ISIN?54?" localSheetId="0">ZESML!$D$108:$D$132</definedName>
    <definedName name="XDO_?FINAL_ISIN?54?">#REF!</definedName>
    <definedName name="XDO_?FINAL_ISIN?55?" localSheetId="0">ZESML!$D$108:$D$145</definedName>
    <definedName name="XDO_?FINAL_ISIN?55?">#REF!</definedName>
    <definedName name="XDO_?FINAL_ISIN?56?" localSheetId="0">ZESML!$D$108:$D$149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ZESML!$G$108</definedName>
    <definedName name="XDO_?FINAL_MV?53?">#REF!</definedName>
    <definedName name="XDO_?FINAL_MV?54?" localSheetId="0">ZESML!$G$108:$G$132</definedName>
    <definedName name="XDO_?FINAL_MV?54?">#REF!</definedName>
    <definedName name="XDO_?FINAL_MV?55?" localSheetId="0">ZESML!$G$108:$G$145</definedName>
    <definedName name="XDO_?FINAL_MV?55?">#REF!</definedName>
    <definedName name="XDO_?FINAL_MV?56?" localSheetId="0">ZESML!$G$108:$G$149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ZESML!$C$108</definedName>
    <definedName name="XDO_?FINAL_NAME?53?">#REF!</definedName>
    <definedName name="XDO_?FINAL_NAME?54?" localSheetId="0">ZESML!$C$108:$C$132</definedName>
    <definedName name="XDO_?FINAL_NAME?54?">#REF!</definedName>
    <definedName name="XDO_?FINAL_NAME?55?" localSheetId="0">ZESML!$C$108:$C$145</definedName>
    <definedName name="XDO_?FINAL_NAME?55?">#REF!</definedName>
    <definedName name="XDO_?FINAL_NAME?56?" localSheetId="0">ZESML!$C$108:$C$149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ZESML!$H$108</definedName>
    <definedName name="XDO_?FINAL_PER_NET?53?">#REF!</definedName>
    <definedName name="XDO_?FINAL_PER_NET?54?" localSheetId="0">ZESML!$H$108:$H$132</definedName>
    <definedName name="XDO_?FINAL_PER_NET?54?">#REF!</definedName>
    <definedName name="XDO_?FINAL_PER_NET?55?" localSheetId="0">ZESML!$H$108:$H$145</definedName>
    <definedName name="XDO_?FINAL_PER_NET?55?">#REF!</definedName>
    <definedName name="XDO_?FINAL_PER_NET?56?" localSheetId="0">ZESML!$H$108:$H$149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ZESML!$F$108</definedName>
    <definedName name="XDO_?FINAL_QUANTITE?53?">#REF!</definedName>
    <definedName name="XDO_?FINAL_QUANTITE?54?" localSheetId="0">ZESML!$F$108:$F$132</definedName>
    <definedName name="XDO_?FINAL_QUANTITE?54?">#REF!</definedName>
    <definedName name="XDO_?FINAL_QUANTITE?55?" localSheetId="0">ZESML!$F$108:$F$145</definedName>
    <definedName name="XDO_?FINAL_QUANTITE?55?">#REF!</definedName>
    <definedName name="XDO_?FINAL_QUANTITE?56?" localSheetId="0">ZESML!$F$108:$F$149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ZESML!$J$108</definedName>
    <definedName name="XDO_?IND_02?53?">#REF!</definedName>
    <definedName name="XDO_?IND_02?54?" localSheetId="0">ZESML!$J$108:$J$131</definedName>
    <definedName name="XDO_?IND_02?54?">#REF!</definedName>
    <definedName name="XDO_?IND_02?55?" localSheetId="0">ZESML!$J$108:$J$144</definedName>
    <definedName name="XDO_?IND_02?55?">#REF!</definedName>
    <definedName name="XDO_?IND_02?56?" localSheetId="0">ZESML!$J$108:$J$148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ZESML!$C$1:$C$108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ZESML!$B$108</definedName>
    <definedName name="XDO_?NOVAL?53?">#REF!</definedName>
    <definedName name="XDO_?NOVAL?54?" localSheetId="0">ZESML!$B$108:$B$131</definedName>
    <definedName name="XDO_?NOVAL?54?">#REF!</definedName>
    <definedName name="XDO_?NOVAL?55?" localSheetId="0">ZESML!$B$108:$B$144</definedName>
    <definedName name="XDO_?NOVAL?55?">#REF!</definedName>
    <definedName name="XDO_?NOVAL?56?" localSheetId="0">ZESML!$B$108:$B$148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ZESML!$D$1:$D$108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ZESML!$E$108</definedName>
    <definedName name="XDO_?RATING?53?">#REF!</definedName>
    <definedName name="XDO_?RATING?54?" localSheetId="0">ZESML!$E$108:$E$132</definedName>
    <definedName name="XDO_?RATING?54?">#REF!</definedName>
    <definedName name="XDO_?RATING?55?" localSheetId="0">ZESML!$E$108:$E$145</definedName>
    <definedName name="XDO_?RATING?55?">#REF!</definedName>
    <definedName name="XDO_?RATING?56?" localSheetId="0">ZESML!$E$108:$E$149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ZESML!$A$6:$A$108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ZESML!$I$108</definedName>
    <definedName name="XDO_?YTM?53?">#REF!</definedName>
    <definedName name="XDO_?YTM?54?" localSheetId="0">ZESML!$I$108:$I$132</definedName>
    <definedName name="XDO_?YTM?54?">#REF!</definedName>
    <definedName name="XDO_?YTM?55?" localSheetId="0">ZESML!$I$108:$I$145</definedName>
    <definedName name="XDO_?YTM?55?">#REF!</definedName>
    <definedName name="XDO_?YTM?56?" localSheetId="0">ZESML!$I$108:$I$149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ZESML!$1:$124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ZESML!$6:$123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ZESML!$B$108:$IV$108</definedName>
    <definedName name="XDO_GROUP_?G_4?53?">#REF!</definedName>
    <definedName name="XDO_GROUP_?G_4?54?" localSheetId="0">ZESML!$B$111:$IV$111</definedName>
    <definedName name="XDO_GROUP_?G_4?54?">#REF!</definedName>
    <definedName name="XDO_GROUP_?G_4?55?" localSheetId="0">ZESML!$B$116:$IV$116</definedName>
    <definedName name="XDO_GROUP_?G_4?55?">#REF!</definedName>
    <definedName name="XDO_GROUP_?G_4?56?" localSheetId="0">ZESML!$B$121:$IV$121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6BfAb80Js8/SZDuRhX8OsqalDH3ft9B3UWAMFJEKrg="/>
    </ext>
  </extLst>
</workbook>
</file>

<file path=xl/calcChain.xml><?xml version="1.0" encoding="utf-8"?>
<calcChain xmlns="http://schemas.openxmlformats.org/spreadsheetml/2006/main">
  <c r="G146" i="1" l="1"/>
  <c r="H145" i="1"/>
  <c r="H146" i="1" s="1"/>
  <c r="G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108" i="1" l="1"/>
  <c r="G149" i="1"/>
  <c r="G150" i="1" s="1"/>
  <c r="H149" i="1" l="1"/>
  <c r="H150" i="1" s="1"/>
</calcChain>
</file>

<file path=xl/sharedStrings.xml><?xml version="1.0" encoding="utf-8"?>
<sst xmlns="http://schemas.openxmlformats.org/spreadsheetml/2006/main" count="401" uniqueCount="303">
  <si>
    <t>PURSUANT TO REGULATION 59A OF SECURITIES &amp; EXCHANGE BOARD OF INDIA (MUTUAL FUNDS) REGULATIONS, 1996</t>
  </si>
  <si>
    <t>MONTHLY PORTFOLIO STATEMENT OF ZERODHA NIFTY SMALLCAP 100 ETF FOR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</si>
  <si>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</si>
  <si>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</si>
  <si>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</si>
  <si>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</si>
  <si>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</si>
  <si>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</si>
  <si>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</si>
  <si>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</si>
  <si>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</si>
  <si>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Karur Vysya Bank Ltd</t>
  </si>
  <si>
    <t>INE036D01028</t>
  </si>
  <si>
    <t>Banks</t>
  </si>
  <si>
    <t>Sona BLW Precision Forgings Limited</t>
  </si>
  <si>
    <t>INE073K01018</t>
  </si>
  <si>
    <t>Auto Components</t>
  </si>
  <si>
    <t>Navin Fluorine International Limited</t>
  </si>
  <si>
    <t>INE048G01026</t>
  </si>
  <si>
    <t>Chemicals &amp; Petrochemicals</t>
  </si>
  <si>
    <t>Delhivery Limited</t>
  </si>
  <si>
    <t>INE148O01028</t>
  </si>
  <si>
    <t>Transport Services</t>
  </si>
  <si>
    <t>Piramal Finance Ltd</t>
  </si>
  <si>
    <t>INE202B01038</t>
  </si>
  <si>
    <t>Finance</t>
  </si>
  <si>
    <t>Central Depository Services (India) Ltd</t>
  </si>
  <si>
    <t>INE736A01011</t>
  </si>
  <si>
    <t>Capital Markets</t>
  </si>
  <si>
    <t>Angel One Limited</t>
  </si>
  <si>
    <t>INE732I01021</t>
  </si>
  <si>
    <t>RBL Bank Limited</t>
  </si>
  <si>
    <t>INE976G01028</t>
  </si>
  <si>
    <t>PNB Housing Finance Limited</t>
  </si>
  <si>
    <t>INE572E01012</t>
  </si>
  <si>
    <t>Computer Age Management Services Ltd</t>
  </si>
  <si>
    <t>INE596I01020</t>
  </si>
  <si>
    <t>Bandhan Bank Ltd.</t>
  </si>
  <si>
    <t>INE545U01014</t>
  </si>
  <si>
    <t>Aster DM Healthcare Limited</t>
  </si>
  <si>
    <t>INE914M01019</t>
  </si>
  <si>
    <t>Healthcare Services</t>
  </si>
  <si>
    <t>City Union Bank Limited</t>
  </si>
  <si>
    <t>INE491A01021</t>
  </si>
  <si>
    <t>Ather Energy Limited</t>
  </si>
  <si>
    <t>INE0LEZ01016</t>
  </si>
  <si>
    <t>Automobiles</t>
  </si>
  <si>
    <t>Crompton Greaves Consumer Elec Ltd</t>
  </si>
  <si>
    <t>INE299U01018</t>
  </si>
  <si>
    <t>Consumer Durables</t>
  </si>
  <si>
    <t>Welspun Corp Limited</t>
  </si>
  <si>
    <t>INE191B01025</t>
  </si>
  <si>
    <t>Industrial Products</t>
  </si>
  <si>
    <t>Gland Pharma Limited</t>
  </si>
  <si>
    <t>INE068V01023</t>
  </si>
  <si>
    <t>Pharmaceuticals &amp; Biotechnology</t>
  </si>
  <si>
    <t>Manappuram Finance Ltd</t>
  </si>
  <si>
    <t>INE522D01027</t>
  </si>
  <si>
    <t>Hindustan Copper Limited</t>
  </si>
  <si>
    <t>INE531E01026</t>
  </si>
  <si>
    <t>Non - Ferrous Metals</t>
  </si>
  <si>
    <t>Wockhardt Limited</t>
  </si>
  <si>
    <t>INE049B01025</t>
  </si>
  <si>
    <t>Amber Enterprises India Ltd</t>
  </si>
  <si>
    <t>INE371P01015</t>
  </si>
  <si>
    <t>Sai Life Sciences Limited</t>
  </si>
  <si>
    <t>INE570L01029</t>
  </si>
  <si>
    <t>Cholamandalam Financial Holdings Ltd</t>
  </si>
  <si>
    <t>INE149A01033</t>
  </si>
  <si>
    <t>Anand Rathi Wealth Limited</t>
  </si>
  <si>
    <t>INE463V01026</t>
  </si>
  <si>
    <t>Neuland Laboratories Ltd</t>
  </si>
  <si>
    <t>INE794A01010</t>
  </si>
  <si>
    <t>Himadri Speciality Chemical Limited</t>
  </si>
  <si>
    <t>INE019C01026</t>
  </si>
  <si>
    <t>Great Eastern Shipping Co Ltd</t>
  </si>
  <si>
    <t>INE017A01032</t>
  </si>
  <si>
    <t>Poonawalla Fincorp Limited</t>
  </si>
  <si>
    <t>INE511C01022</t>
  </si>
  <si>
    <t>Redington Limited</t>
  </si>
  <si>
    <t>INE891D01026</t>
  </si>
  <si>
    <t>Commercial Services &amp; Supplies</t>
  </si>
  <si>
    <t>Narayana Hrudayalaya Ltd.</t>
  </si>
  <si>
    <t>INE410P01011</t>
  </si>
  <si>
    <t>Dr. Lal Path Labs Ltd</t>
  </si>
  <si>
    <t>INE600L01024</t>
  </si>
  <si>
    <t>Star Health and Allied Insurance Co Ltd</t>
  </si>
  <si>
    <t>INE575P01011</t>
  </si>
  <si>
    <t>Insurance</t>
  </si>
  <si>
    <t>Tata Technologies Limited</t>
  </si>
  <si>
    <t>INE142M01025</t>
  </si>
  <si>
    <t>IT - Services</t>
  </si>
  <si>
    <t>Nuvama Wealth Management Limited</t>
  </si>
  <si>
    <t>INE531F01023</t>
  </si>
  <si>
    <t>Data Patterns (India) Limited</t>
  </si>
  <si>
    <t>INE0IX101010</t>
  </si>
  <si>
    <t>Aerospace &amp; Defense</t>
  </si>
  <si>
    <t>Tata Chemicals Ltd</t>
  </si>
  <si>
    <t>INE092A01019</t>
  </si>
  <si>
    <t>CESC Ltd</t>
  </si>
  <si>
    <t>INE486A01021</t>
  </si>
  <si>
    <t>Power</t>
  </si>
  <si>
    <t>Kfin Technologies Limited</t>
  </si>
  <si>
    <t>INE138Y01010</t>
  </si>
  <si>
    <t>Indraprastha Gas Limited</t>
  </si>
  <si>
    <t>INE203G01027</t>
  </si>
  <si>
    <t>Gas</t>
  </si>
  <si>
    <t>The Ramco Cements Limited</t>
  </si>
  <si>
    <t>INE331A01037</t>
  </si>
  <si>
    <t>Cement &amp; Cement Products</t>
  </si>
  <si>
    <t>IIFL Finance Ltd</t>
  </si>
  <si>
    <t>INE530B01024</t>
  </si>
  <si>
    <t>Amara Raja Energy &amp; Mobility Limited</t>
  </si>
  <si>
    <t>INE885A01032</t>
  </si>
  <si>
    <t>Piramal Pharma Limited</t>
  </si>
  <si>
    <t>INE0DK501011</t>
  </si>
  <si>
    <t>National Building Construction Corp</t>
  </si>
  <si>
    <t>INE095N01031</t>
  </si>
  <si>
    <t>Construction</t>
  </si>
  <si>
    <t>Kaynes Technology India Limited</t>
  </si>
  <si>
    <t>INE918Z01012</t>
  </si>
  <si>
    <t>Industrial Manufacturing</t>
  </si>
  <si>
    <t>Aarti Industries Ltd</t>
  </si>
  <si>
    <t>INE769A01020</t>
  </si>
  <si>
    <t>FORCE MOTORS LTD</t>
  </si>
  <si>
    <t>INE451A01017</t>
  </si>
  <si>
    <t>Deepak Ferts &amp; Petrochemicals Corp Ltd</t>
  </si>
  <si>
    <t>INE501A01019</t>
  </si>
  <si>
    <t>SAGILITY LIMITED</t>
  </si>
  <si>
    <t>INE0W2G01015</t>
  </si>
  <si>
    <t>Aegis Logistics Limited</t>
  </si>
  <si>
    <t>INE208C01025</t>
  </si>
  <si>
    <t>Affle (India) Limited</t>
  </si>
  <si>
    <t>INE00WC01027</t>
  </si>
  <si>
    <t>HBL Engineering Limited</t>
  </si>
  <si>
    <t>INE292B01021</t>
  </si>
  <si>
    <t>Aptus Value Housing Finance India Ltd</t>
  </si>
  <si>
    <t>INE852O01025</t>
  </si>
  <si>
    <t>Natco Pharma Ltd</t>
  </si>
  <si>
    <t>INE987B01026</t>
  </si>
  <si>
    <t>Brigade Enterprises Limited</t>
  </si>
  <si>
    <t>INE791I01019</t>
  </si>
  <si>
    <t>Realty</t>
  </si>
  <si>
    <t>Inox Wind Limited</t>
  </si>
  <si>
    <t>INE066P01011</t>
  </si>
  <si>
    <t>Electrical Equipment</t>
  </si>
  <si>
    <t>Castrol India Limited</t>
  </si>
  <si>
    <t>INE172A01027</t>
  </si>
  <si>
    <t>Petroleum Products</t>
  </si>
  <si>
    <t>Five-Star Business Finance Limited</t>
  </si>
  <si>
    <t>INE128S01021</t>
  </si>
  <si>
    <t>Triveni Turbine Limited</t>
  </si>
  <si>
    <t>INE152M01016</t>
  </si>
  <si>
    <t>Syngene International Limited</t>
  </si>
  <si>
    <t>INE398R01022</t>
  </si>
  <si>
    <t>Firstsource Solutions Limited</t>
  </si>
  <si>
    <t>INE684F01012</t>
  </si>
  <si>
    <t>Ola Electric Mobility Limited</t>
  </si>
  <si>
    <t>INE0LXG01040</t>
  </si>
  <si>
    <t>Inventurus Knowledge Solutions Limited</t>
  </si>
  <si>
    <t>INE115Q01022</t>
  </si>
  <si>
    <t>Reliance Power Limited</t>
  </si>
  <si>
    <t>INE614G01033</t>
  </si>
  <si>
    <t>Anant Raj Limited</t>
  </si>
  <si>
    <t>INE242C01024</t>
  </si>
  <si>
    <t>Garden Reach Shipbuilders &amp; Engineer Ltd</t>
  </si>
  <si>
    <t>INE382Z01011</t>
  </si>
  <si>
    <t>PG Electroplast Limited</t>
  </si>
  <si>
    <t>INE457L01029</t>
  </si>
  <si>
    <t>Netweb Technologies India Limited</t>
  </si>
  <si>
    <t>INE0NT901020</t>
  </si>
  <si>
    <t>Capri Global Capital Limited</t>
  </si>
  <si>
    <t>INE180C01042</t>
  </si>
  <si>
    <t>Godawari Power And Ispat Limited</t>
  </si>
  <si>
    <t>INE177H01039</t>
  </si>
  <si>
    <t>Credit Access Grameen Ltd</t>
  </si>
  <si>
    <t>INE741K01010</t>
  </si>
  <si>
    <t>Cohance Lifesciences Limited</t>
  </si>
  <si>
    <t>INE03QK01018</t>
  </si>
  <si>
    <t>Chambal Fertilizers &amp; Chemicals Ltd</t>
  </si>
  <si>
    <t>INE085A01013</t>
  </si>
  <si>
    <t>Fertilizers &amp; Agrochemicals</t>
  </si>
  <si>
    <t>BEML Limited</t>
  </si>
  <si>
    <t>INE258A01024</t>
  </si>
  <si>
    <t>Agricultural, Commercial &amp; Construction Vehicles</t>
  </si>
  <si>
    <t>Aditya Birla Real Estate Limited</t>
  </si>
  <si>
    <t>INE055A01016</t>
  </si>
  <si>
    <t>KEC International Limited</t>
  </si>
  <si>
    <t>INE389H01022</t>
  </si>
  <si>
    <t>Whirlpool Of India Ltd.</t>
  </si>
  <si>
    <t>INE716A01013</t>
  </si>
  <si>
    <t>Zensar Technologies Limited</t>
  </si>
  <si>
    <t>INE520A01027</t>
  </si>
  <si>
    <t>IT - Software</t>
  </si>
  <si>
    <t>Gujarat Mineral Development Corp Ltd</t>
  </si>
  <si>
    <t>INE131A01031</t>
  </si>
  <si>
    <t>Minerals &amp; Mining</t>
  </si>
  <si>
    <t>Afcons Infrastructure Limited</t>
  </si>
  <si>
    <t>INE101I01011</t>
  </si>
  <si>
    <t>Meesho Limited</t>
  </si>
  <si>
    <t>INE0VDM01015</t>
  </si>
  <si>
    <t>Retailing</t>
  </si>
  <si>
    <t>JYOTI CNC AUTOMATION LTD</t>
  </si>
  <si>
    <t>INE980O01024</t>
  </si>
  <si>
    <t>JM FINANCIAL LIMITED</t>
  </si>
  <si>
    <t>INE780C01023</t>
  </si>
  <si>
    <t>Brainbees Solutions Limited</t>
  </si>
  <si>
    <t>INE02RE01045</t>
  </si>
  <si>
    <t>Physicswallah Limited</t>
  </si>
  <si>
    <t>INE0LP301011</t>
  </si>
  <si>
    <t>Other Consumer Services</t>
  </si>
  <si>
    <t>Sarda Energy &amp; Minerals Limited</t>
  </si>
  <si>
    <t>INE385C01021</t>
  </si>
  <si>
    <t>Ferrous Metals</t>
  </si>
  <si>
    <t>Devyani International Limited</t>
  </si>
  <si>
    <t>INE872J01023</t>
  </si>
  <si>
    <t>Leisure Services</t>
  </si>
  <si>
    <t>Swan Corp Limited</t>
  </si>
  <si>
    <t>INE665A01038</t>
  </si>
  <si>
    <t>Tenneco Clean Air India Ltd</t>
  </si>
  <si>
    <t>INE19RI01016</t>
  </si>
  <si>
    <t>IFCI Limited</t>
  </si>
  <si>
    <t>INE039A01010</t>
  </si>
  <si>
    <t>Ircon International Limited</t>
  </si>
  <si>
    <t>INE962Y01021</t>
  </si>
  <si>
    <t>IDBI Bank Limited</t>
  </si>
  <si>
    <t>INE008A01015</t>
  </si>
  <si>
    <t>Urban Company Limited</t>
  </si>
  <si>
    <t>INE0CAZ01013</t>
  </si>
  <si>
    <t>Signature Global (India) Ltd</t>
  </si>
  <si>
    <t>INE903U01023</t>
  </si>
  <si>
    <t>JSW Cement Limited</t>
  </si>
  <si>
    <t>INE718I01012</t>
  </si>
  <si>
    <t>BLS International Services Limited</t>
  </si>
  <si>
    <t>INE153T01027</t>
  </si>
  <si>
    <t>ITI Limited</t>
  </si>
  <si>
    <t>INE248A01017</t>
  </si>
  <si>
    <t>Telecom - Equipment &amp; Accessories</t>
  </si>
  <si>
    <t>Pine Labs Limited</t>
  </si>
  <si>
    <t>INE15B701018</t>
  </si>
  <si>
    <t>Financial Technology (Fintech)</t>
  </si>
  <si>
    <t>MANGALORE REFINERY &amp; PETROCHEMICALS LTD</t>
  </si>
  <si>
    <t>INE103A01014</t>
  </si>
  <si>
    <t>JBM Auto Limited</t>
  </si>
  <si>
    <t>INE927D01051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</si>
  <si>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</si>
  <si>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</si>
  <si>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</si>
  <si>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</si>
  <si>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</si>
  <si>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</si>
  <si>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</si>
  <si>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</si>
  <si>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</si>
  <si>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</si>
  <si>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</si>
  <si>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</si>
  <si>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</si>
  <si>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</si>
  <si>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</si>
  <si>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</si>
  <si>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</si>
  <si>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</si>
  <si>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</si>
  <si>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</si>
  <si>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</si>
  <si>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</si>
  <si>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</si>
  <si>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</si>
  <si>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</si>
  <si>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</si>
  <si>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</si>
  <si>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</si>
  <si>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</si>
  <si>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</si>
  <si>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</si>
  <si>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</si>
  <si>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</si>
  <si>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 xml:space="preserve">Direct Plan </t>
  </si>
  <si>
    <t>$ Since May 31, 2026 was a non-business day, the NAVs mentioned above is of previous business day.</t>
  </si>
  <si>
    <t>(3) Details of Schemes having exposure in Derivatives is as follows :</t>
  </si>
  <si>
    <t xml:space="preserve">    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</si>
  <si>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</si>
  <si>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</si>
  <si>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</si>
  <si>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</si>
  <si>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</si>
  <si>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</si>
  <si>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</si>
  <si>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</si>
  <si>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</si>
  <si>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0.85 times.</t>
  </si>
  <si>
    <t>(8) Investment in Repo in Corporate Debt Securities during the month ended May 31,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</si>
  <si>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</si>
  <si>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</si>
  <si>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</si>
  <si>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Smallcap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</si>
  <si>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</si>
  <si>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</si>
  <si>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</si>
  <si>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Smallcap 100 Index TRI*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</si>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</sst>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%"/>
    <numFmt numFmtId="167" formatCode="#,##0.00;&quot;(-&quot;#,##0.00\);0.00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0"/>
      <color theme="1"/>
      <name val="Tahoma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7" fillId="0" borderId="23" xfId="0" applyFont="1" applyBorder="1" applyAlignment="1">
      <alignment horizontal="left" vertical="top"/>
    </xf>
    <xf numFmtId="4" fontId="7" fillId="0" borderId="23" xfId="0" applyNumberFormat="1" applyFont="1" applyBorder="1" applyAlignment="1">
      <alignment horizontal="right" vertical="top"/>
    </xf>
    <xf numFmtId="166" fontId="7" fillId="0" borderId="23" xfId="0" applyNumberFormat="1" applyFont="1" applyBorder="1" applyAlignment="1">
      <alignment horizontal="right" vertical="top"/>
    </xf>
    <xf numFmtId="0" fontId="6" fillId="0" borderId="0" xfId="0" applyFont="1"/>
    <xf numFmtId="0" fontId="5" fillId="0" borderId="24" xfId="0" applyFont="1" applyBorder="1"/>
    <xf numFmtId="167" fontId="4" fillId="3" borderId="23" xfId="0" applyNumberFormat="1" applyFont="1" applyFill="1" applyBorder="1" applyAlignment="1">
      <alignment horizontal="right"/>
    </xf>
    <xf numFmtId="166" fontId="4" fillId="3" borderId="25" xfId="0" applyNumberFormat="1" applyFont="1" applyFill="1" applyBorder="1" applyAlignment="1">
      <alignment horizontal="right"/>
    </xf>
    <xf numFmtId="0" fontId="8" fillId="0" borderId="0" xfId="0" applyFont="1"/>
    <xf numFmtId="0" fontId="1" fillId="0" borderId="24" xfId="0" applyFont="1" applyBorder="1"/>
    <xf numFmtId="0" fontId="5" fillId="0" borderId="26" xfId="0" applyFont="1" applyBorder="1"/>
    <xf numFmtId="165" fontId="4" fillId="3" borderId="23" xfId="0" applyNumberFormat="1" applyFont="1" applyFill="1" applyBorder="1" applyAlignment="1">
      <alignment horizontal="right"/>
    </xf>
    <xf numFmtId="165" fontId="4" fillId="3" borderId="25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6" fontId="1" fillId="0" borderId="22" xfId="0" applyNumberFormat="1" applyFont="1" applyBorder="1"/>
    <xf numFmtId="168" fontId="4" fillId="3" borderId="23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3" xfId="0" applyNumberFormat="1" applyFont="1" applyFill="1" applyBorder="1" applyAlignment="1">
      <alignment horizontal="right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164" fontId="1" fillId="0" borderId="29" xfId="0" applyNumberFormat="1" applyFont="1" applyBorder="1"/>
    <xf numFmtId="165" fontId="1" fillId="0" borderId="29" xfId="0" applyNumberFormat="1" applyFont="1" applyBorder="1" applyAlignment="1">
      <alignment horizontal="right"/>
    </xf>
    <xf numFmtId="165" fontId="1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4" fillId="3" borderId="23" xfId="0" applyFont="1" applyFill="1" applyBorder="1"/>
    <xf numFmtId="164" fontId="4" fillId="3" borderId="23" xfId="0" applyNumberFormat="1" applyFont="1" applyFill="1" applyBorder="1"/>
    <xf numFmtId="164" fontId="1" fillId="0" borderId="23" xfId="0" applyNumberFormat="1" applyFont="1" applyBorder="1"/>
    <xf numFmtId="166" fontId="4" fillId="3" borderId="23" xfId="0" applyNumberFormat="1" applyFont="1" applyFill="1" applyBorder="1" applyAlignment="1">
      <alignment horizontal="right"/>
    </xf>
    <xf numFmtId="165" fontId="1" fillId="0" borderId="23" xfId="0" applyNumberFormat="1" applyFont="1" applyBorder="1"/>
    <xf numFmtId="0" fontId="9" fillId="0" borderId="0" xfId="0" applyFont="1"/>
    <xf numFmtId="0" fontId="9" fillId="0" borderId="32" xfId="0" applyFont="1" applyBorder="1"/>
    <xf numFmtId="164" fontId="1" fillId="0" borderId="0" xfId="0" applyNumberFormat="1" applyFont="1"/>
    <xf numFmtId="0" fontId="10" fillId="0" borderId="0" xfId="0" applyFont="1"/>
    <xf numFmtId="165" fontId="1" fillId="0" borderId="0" xfId="0" applyNumberFormat="1" applyFont="1"/>
    <xf numFmtId="0" fontId="4" fillId="0" borderId="0" xfId="0" applyFont="1"/>
    <xf numFmtId="49" fontId="9" fillId="3" borderId="17" xfId="0" applyNumberFormat="1" applyFont="1" applyFill="1" applyBorder="1" applyAlignment="1">
      <alignment horizontal="left"/>
    </xf>
    <xf numFmtId="0" fontId="9" fillId="3" borderId="17" xfId="0" applyFont="1" applyFill="1" applyBorder="1" applyAlignment="1">
      <alignment horizontal="left"/>
    </xf>
    <xf numFmtId="49" fontId="4" fillId="3" borderId="23" xfId="0" applyNumberFormat="1" applyFont="1" applyFill="1" applyBorder="1" applyAlignment="1">
      <alignment horizontal="left"/>
    </xf>
    <xf numFmtId="0" fontId="4" fillId="0" borderId="23" xfId="0" applyFont="1" applyBorder="1" applyAlignment="1">
      <alignment horizontal="center" vertical="center" wrapText="1"/>
    </xf>
    <xf numFmtId="49" fontId="9" fillId="3" borderId="33" xfId="0" applyNumberFormat="1" applyFont="1" applyFill="1" applyBorder="1" applyAlignment="1">
      <alignment horizontal="left"/>
    </xf>
    <xf numFmtId="0" fontId="9" fillId="0" borderId="34" xfId="0" applyFont="1" applyBorder="1" applyAlignment="1">
      <alignment horizontal="center"/>
    </xf>
    <xf numFmtId="49" fontId="11" fillId="3" borderId="17" xfId="0" applyNumberFormat="1" applyFont="1" applyFill="1" applyBorder="1" applyAlignment="1">
      <alignment horizontal="left"/>
    </xf>
    <xf numFmtId="0" fontId="9" fillId="3" borderId="17" xfId="0" applyFont="1" applyFill="1" applyBorder="1" applyAlignment="1">
      <alignment horizontal="center"/>
    </xf>
    <xf numFmtId="170" fontId="9" fillId="3" borderId="17" xfId="0" applyNumberFormat="1" applyFont="1" applyFill="1" applyBorder="1" applyAlignment="1">
      <alignment horizontal="center"/>
    </xf>
    <xf numFmtId="0" fontId="4" fillId="0" borderId="35" xfId="0" applyFont="1" applyBorder="1"/>
    <xf numFmtId="0" fontId="1" fillId="0" borderId="29" xfId="0" applyFont="1" applyBorder="1" applyAlignment="1">
      <alignment horizontal="left" vertical="top" wrapText="1"/>
    </xf>
    <xf numFmtId="0" fontId="9" fillId="0" borderId="29" xfId="0" applyFont="1" applyBorder="1" applyAlignment="1">
      <alignment horizontal="left" vertical="top" wrapText="1"/>
    </xf>
    <xf numFmtId="164" fontId="12" fillId="0" borderId="0" xfId="0" applyNumberFormat="1" applyFont="1"/>
    <xf numFmtId="0" fontId="1" fillId="0" borderId="34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3" xfId="0" applyFont="1" applyBorder="1"/>
    <xf numFmtId="0" fontId="13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188</xdr:row>
      <xdr:rowOff>200025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211</xdr:row>
      <xdr:rowOff>47625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62"/>
  <sheetViews>
    <sheetView showGridLines="0" tabSelected="1" topLeftCell="A216" workbookViewId="0">
      <selection activeCell="E204" sqref="E204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5" t="s">
        <v>0</v>
      </c>
      <c r="D1" s="86"/>
      <c r="E1" s="86"/>
      <c r="F1" s="86"/>
      <c r="G1" s="86"/>
      <c r="H1" s="86"/>
      <c r="I1" s="8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5" t="s">
        <v>1</v>
      </c>
      <c r="D2" s="86"/>
      <c r="E2" s="86"/>
      <c r="F2" s="86"/>
      <c r="G2" s="86"/>
      <c r="H2" s="86"/>
      <c r="I2" s="8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8"/>
      <c r="D3" s="89"/>
      <c r="E3" s="89"/>
      <c r="F3" s="89"/>
      <c r="G3" s="89"/>
      <c r="H3" s="89"/>
      <c r="I3" s="9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0" t="s">
        <v>12</v>
      </c>
      <c r="E8" s="30" t="s">
        <v>13</v>
      </c>
      <c r="F8" s="31">
        <v>70422</v>
      </c>
      <c r="G8" s="31">
        <v>203.343525</v>
      </c>
      <c r="H8" s="32">
        <f t="shared" ref="H8:H107" si="0">G8/$G$152</f>
        <v>2.5033697375412747E-2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0" t="s">
        <v>15</v>
      </c>
      <c r="E9" s="30" t="s">
        <v>16</v>
      </c>
      <c r="F9" s="31">
        <v>33418</v>
      </c>
      <c r="G9" s="31">
        <v>202.99764100000002</v>
      </c>
      <c r="H9" s="32">
        <f t="shared" si="0"/>
        <v>2.4991115466876459E-2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0" t="s">
        <v>18</v>
      </c>
      <c r="E10" s="30" t="s">
        <v>19</v>
      </c>
      <c r="F10" s="31">
        <v>2740</v>
      </c>
      <c r="G10" s="31">
        <v>195.33459999999999</v>
      </c>
      <c r="H10" s="32">
        <f t="shared" si="0"/>
        <v>2.4047715624814208E-2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0" t="s">
        <v>21</v>
      </c>
      <c r="E11" s="30" t="s">
        <v>22</v>
      </c>
      <c r="F11" s="31">
        <v>41630</v>
      </c>
      <c r="G11" s="31">
        <v>188.31330500000001</v>
      </c>
      <c r="H11" s="32">
        <f t="shared" si="0"/>
        <v>2.3183321372705627E-2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0" t="s">
        <v>24</v>
      </c>
      <c r="E12" s="30" t="s">
        <v>25</v>
      </c>
      <c r="F12" s="31">
        <v>8963</v>
      </c>
      <c r="G12" s="31">
        <v>172.699084</v>
      </c>
      <c r="H12" s="32">
        <f t="shared" si="0"/>
        <v>2.126104878858073E-2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26</v>
      </c>
      <c r="D13" s="30" t="s">
        <v>27</v>
      </c>
      <c r="E13" s="30" t="s">
        <v>28</v>
      </c>
      <c r="F13" s="31">
        <v>13278</v>
      </c>
      <c r="G13" s="31">
        <v>165.25798800000001</v>
      </c>
      <c r="H13" s="32">
        <f t="shared" si="0"/>
        <v>2.0344972678434641E-2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29</v>
      </c>
      <c r="D14" s="30" t="s">
        <v>30</v>
      </c>
      <c r="E14" s="30" t="s">
        <v>28</v>
      </c>
      <c r="F14" s="31">
        <v>48254</v>
      </c>
      <c r="G14" s="31">
        <v>162.76074199999999</v>
      </c>
      <c r="H14" s="32">
        <f t="shared" si="0"/>
        <v>2.0037535789869047E-2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0" t="s">
        <v>32</v>
      </c>
      <c r="E15" s="30" t="s">
        <v>13</v>
      </c>
      <c r="F15" s="31">
        <v>44997</v>
      </c>
      <c r="G15" s="31">
        <v>155.23965000000001</v>
      </c>
      <c r="H15" s="32">
        <f t="shared" si="0"/>
        <v>1.9111611342259333E-2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0" t="s">
        <v>34</v>
      </c>
      <c r="E16" s="30" t="s">
        <v>25</v>
      </c>
      <c r="F16" s="31">
        <v>14015</v>
      </c>
      <c r="G16" s="31">
        <v>144.424575</v>
      </c>
      <c r="H16" s="32">
        <f t="shared" si="0"/>
        <v>1.7780163416182548E-2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0" t="s">
        <v>36</v>
      </c>
      <c r="E17" s="30" t="s">
        <v>28</v>
      </c>
      <c r="F17" s="31">
        <v>17921</v>
      </c>
      <c r="G17" s="31">
        <v>141.84471500000001</v>
      </c>
      <c r="H17" s="32">
        <f t="shared" si="0"/>
        <v>1.7462555887194683E-2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0" t="s">
        <v>38</v>
      </c>
      <c r="E18" s="30" t="s">
        <v>13</v>
      </c>
      <c r="F18" s="31">
        <v>66404</v>
      </c>
      <c r="G18" s="31">
        <v>138.31953199999998</v>
      </c>
      <c r="H18" s="32">
        <f t="shared" si="0"/>
        <v>1.7028569290301814E-2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39</v>
      </c>
      <c r="D19" s="30" t="s">
        <v>40</v>
      </c>
      <c r="E19" s="30" t="s">
        <v>41</v>
      </c>
      <c r="F19" s="31">
        <v>18868</v>
      </c>
      <c r="G19" s="31">
        <v>137.42507800000001</v>
      </c>
      <c r="H19" s="32">
        <f t="shared" si="0"/>
        <v>1.6918452724002362E-2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0" t="s">
        <v>43</v>
      </c>
      <c r="E20" s="30" t="s">
        <v>13</v>
      </c>
      <c r="F20" s="31">
        <v>53794</v>
      </c>
      <c r="G20" s="31">
        <v>137.41677300000001</v>
      </c>
      <c r="H20" s="32">
        <f t="shared" si="0"/>
        <v>1.6917430292347838E-2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44</v>
      </c>
      <c r="D21" s="30" t="s">
        <v>45</v>
      </c>
      <c r="E21" s="30" t="s">
        <v>46</v>
      </c>
      <c r="F21" s="31">
        <v>14247</v>
      </c>
      <c r="G21" s="31">
        <v>137.35532699999999</v>
      </c>
      <c r="H21" s="32">
        <f t="shared" si="0"/>
        <v>1.6909865652318456E-2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0" t="s">
        <v>48</v>
      </c>
      <c r="E22" s="30" t="s">
        <v>49</v>
      </c>
      <c r="F22" s="31">
        <v>47903</v>
      </c>
      <c r="G22" s="31">
        <v>134.67928449999999</v>
      </c>
      <c r="H22" s="32">
        <f t="shared" si="0"/>
        <v>1.6580417059801223E-2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0" t="s">
        <v>51</v>
      </c>
      <c r="E23" s="30" t="s">
        <v>52</v>
      </c>
      <c r="F23" s="31">
        <v>9779</v>
      </c>
      <c r="G23" s="31">
        <v>134.647051</v>
      </c>
      <c r="H23" s="32">
        <f t="shared" si="0"/>
        <v>1.6576448781566892E-2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0" t="s">
        <v>54</v>
      </c>
      <c r="E24" s="30" t="s">
        <v>55</v>
      </c>
      <c r="F24" s="31">
        <v>5930</v>
      </c>
      <c r="G24" s="31">
        <v>133.42500000000001</v>
      </c>
      <c r="H24" s="32">
        <f t="shared" si="0"/>
        <v>1.6426001626137082E-2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0" t="s">
        <v>57</v>
      </c>
      <c r="E25" s="30" t="s">
        <v>25</v>
      </c>
      <c r="F25" s="31">
        <v>40901</v>
      </c>
      <c r="G25" s="31">
        <v>133.09185400000001</v>
      </c>
      <c r="H25" s="32">
        <f t="shared" si="0"/>
        <v>1.6384987897542433E-2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0" t="s">
        <v>59</v>
      </c>
      <c r="E26" s="30" t="s">
        <v>60</v>
      </c>
      <c r="F26" s="31">
        <v>24469</v>
      </c>
      <c r="G26" s="31">
        <v>131.814503</v>
      </c>
      <c r="H26" s="32">
        <f t="shared" si="0"/>
        <v>1.6227732738440703E-2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0" t="s">
        <v>62</v>
      </c>
      <c r="E27" s="30" t="s">
        <v>55</v>
      </c>
      <c r="F27" s="31">
        <v>6165</v>
      </c>
      <c r="G27" s="31">
        <v>125.23581</v>
      </c>
      <c r="H27" s="32">
        <f t="shared" si="0"/>
        <v>1.5417827384002955E-2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0" t="s">
        <v>64</v>
      </c>
      <c r="E28" s="30" t="s">
        <v>49</v>
      </c>
      <c r="F28" s="31">
        <v>1623</v>
      </c>
      <c r="G28" s="31">
        <v>123.59144999999999</v>
      </c>
      <c r="H28" s="32">
        <f t="shared" si="0"/>
        <v>1.5215389609718116E-2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65</v>
      </c>
      <c r="D29" s="30" t="s">
        <v>66</v>
      </c>
      <c r="E29" s="30" t="s">
        <v>55</v>
      </c>
      <c r="F29" s="31">
        <v>10256</v>
      </c>
      <c r="G29" s="31">
        <v>118.9696</v>
      </c>
      <c r="H29" s="32">
        <f t="shared" si="0"/>
        <v>1.4646391928505736E-2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67</v>
      </c>
      <c r="D30" s="30" t="s">
        <v>68</v>
      </c>
      <c r="E30" s="30" t="s">
        <v>25</v>
      </c>
      <c r="F30" s="31">
        <v>7392</v>
      </c>
      <c r="G30" s="31">
        <v>116.94144</v>
      </c>
      <c r="H30" s="32">
        <f t="shared" si="0"/>
        <v>1.4396704392751071E-2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69</v>
      </c>
      <c r="D31" s="30" t="s">
        <v>70</v>
      </c>
      <c r="E31" s="30" t="s">
        <v>28</v>
      </c>
      <c r="F31" s="31">
        <v>3179</v>
      </c>
      <c r="G31" s="31">
        <v>109.69775300000001</v>
      </c>
      <c r="H31" s="32">
        <f t="shared" si="0"/>
        <v>1.3504931378389236E-2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71</v>
      </c>
      <c r="D32" s="30" t="s">
        <v>72</v>
      </c>
      <c r="E32" s="30" t="s">
        <v>55</v>
      </c>
      <c r="F32" s="31">
        <v>641</v>
      </c>
      <c r="G32" s="31">
        <v>109.53408</v>
      </c>
      <c r="H32" s="32">
        <f t="shared" si="0"/>
        <v>1.3484781534175972E-2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73</v>
      </c>
      <c r="D33" s="30" t="s">
        <v>74</v>
      </c>
      <c r="E33" s="30" t="s">
        <v>19</v>
      </c>
      <c r="F33" s="31">
        <v>17505</v>
      </c>
      <c r="G33" s="31">
        <v>106.15907249999999</v>
      </c>
      <c r="H33" s="32">
        <f t="shared" si="0"/>
        <v>1.3069283099225813E-2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75</v>
      </c>
      <c r="D34" s="30" t="s">
        <v>76</v>
      </c>
      <c r="E34" s="30" t="s">
        <v>22</v>
      </c>
      <c r="F34" s="31">
        <v>7382</v>
      </c>
      <c r="G34" s="31">
        <v>104.74319800000001</v>
      </c>
      <c r="H34" s="32">
        <f t="shared" si="0"/>
        <v>1.2894974260257059E-2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77</v>
      </c>
      <c r="D35" s="30" t="s">
        <v>78</v>
      </c>
      <c r="E35" s="30" t="s">
        <v>25</v>
      </c>
      <c r="F35" s="31">
        <v>26505</v>
      </c>
      <c r="G35" s="31">
        <v>101.47439249999999</v>
      </c>
      <c r="H35" s="32">
        <f t="shared" si="0"/>
        <v>1.2492550393226698E-2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79</v>
      </c>
      <c r="D36" s="30" t="s">
        <v>80</v>
      </c>
      <c r="E36" s="30" t="s">
        <v>81</v>
      </c>
      <c r="F36" s="31">
        <v>44262</v>
      </c>
      <c r="G36" s="31">
        <v>99.292944600000013</v>
      </c>
      <c r="H36" s="32">
        <f t="shared" si="0"/>
        <v>1.2223991526801868E-2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82</v>
      </c>
      <c r="D37" s="30" t="s">
        <v>83</v>
      </c>
      <c r="E37" s="30" t="s">
        <v>41</v>
      </c>
      <c r="F37" s="31">
        <v>5155</v>
      </c>
      <c r="G37" s="31">
        <v>97.6357</v>
      </c>
      <c r="H37" s="32">
        <f t="shared" si="0"/>
        <v>1.2019967524594581E-2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84</v>
      </c>
      <c r="D38" s="30" t="s">
        <v>85</v>
      </c>
      <c r="E38" s="30" t="s">
        <v>41</v>
      </c>
      <c r="F38" s="31">
        <v>5802</v>
      </c>
      <c r="G38" s="31">
        <v>93.261348000000012</v>
      </c>
      <c r="H38" s="32">
        <f t="shared" si="0"/>
        <v>1.1481439414680428E-2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86</v>
      </c>
      <c r="D39" s="30" t="s">
        <v>87</v>
      </c>
      <c r="E39" s="30" t="s">
        <v>88</v>
      </c>
      <c r="F39" s="31">
        <v>17482</v>
      </c>
      <c r="G39" s="31">
        <v>92.296219000000008</v>
      </c>
      <c r="H39" s="32">
        <f t="shared" si="0"/>
        <v>1.1362622022711667E-2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89</v>
      </c>
      <c r="D40" s="30" t="s">
        <v>90</v>
      </c>
      <c r="E40" s="30" t="s">
        <v>91</v>
      </c>
      <c r="F40" s="31">
        <v>12800</v>
      </c>
      <c r="G40" s="31">
        <v>90.278400000000005</v>
      </c>
      <c r="H40" s="32">
        <f t="shared" si="0"/>
        <v>1.1114207571332612E-2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92</v>
      </c>
      <c r="D41" s="30" t="s">
        <v>93</v>
      </c>
      <c r="E41" s="30" t="s">
        <v>28</v>
      </c>
      <c r="F41" s="31">
        <v>5737</v>
      </c>
      <c r="G41" s="31">
        <v>89.187401999999992</v>
      </c>
      <c r="H41" s="32">
        <f t="shared" si="0"/>
        <v>1.0979894399722251E-2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94</v>
      </c>
      <c r="D42" s="30" t="s">
        <v>95</v>
      </c>
      <c r="E42" s="30" t="s">
        <v>96</v>
      </c>
      <c r="F42" s="31">
        <v>2205</v>
      </c>
      <c r="G42" s="31">
        <v>89.150355000000005</v>
      </c>
      <c r="H42" s="32">
        <f t="shared" si="0"/>
        <v>1.0975333529703564E-2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97</v>
      </c>
      <c r="D43" s="30" t="s">
        <v>98</v>
      </c>
      <c r="E43" s="30" t="s">
        <v>19</v>
      </c>
      <c r="F43" s="31">
        <v>11652</v>
      </c>
      <c r="G43" s="31">
        <v>88.322159999999997</v>
      </c>
      <c r="H43" s="32">
        <f t="shared" si="0"/>
        <v>1.0873374133662652E-2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99</v>
      </c>
      <c r="D44" s="30" t="s">
        <v>100</v>
      </c>
      <c r="E44" s="30" t="s">
        <v>101</v>
      </c>
      <c r="F44" s="31">
        <v>46978</v>
      </c>
      <c r="G44" s="31">
        <v>85.542240199999995</v>
      </c>
      <c r="H44" s="32">
        <f t="shared" si="0"/>
        <v>1.0531137167911625E-2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102</v>
      </c>
      <c r="D45" s="30" t="s">
        <v>103</v>
      </c>
      <c r="E45" s="30" t="s">
        <v>28</v>
      </c>
      <c r="F45" s="31">
        <v>9946</v>
      </c>
      <c r="G45" s="31">
        <v>85.311814999999996</v>
      </c>
      <c r="H45" s="32">
        <f t="shared" si="0"/>
        <v>1.0502769435403451E-2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104</v>
      </c>
      <c r="D46" s="30" t="s">
        <v>105</v>
      </c>
      <c r="E46" s="30" t="s">
        <v>106</v>
      </c>
      <c r="F46" s="31">
        <v>52262</v>
      </c>
      <c r="G46" s="31">
        <v>83.8648314</v>
      </c>
      <c r="H46" s="32">
        <f t="shared" si="0"/>
        <v>1.0324630743504681E-2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107</v>
      </c>
      <c r="D47" s="30" t="s">
        <v>108</v>
      </c>
      <c r="E47" s="30" t="s">
        <v>109</v>
      </c>
      <c r="F47" s="31">
        <v>9416</v>
      </c>
      <c r="G47" s="31">
        <v>82.032191999999995</v>
      </c>
      <c r="H47" s="32">
        <f t="shared" si="0"/>
        <v>1.0099013821904359E-2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0" t="s">
        <v>111</v>
      </c>
      <c r="E48" s="30" t="s">
        <v>25</v>
      </c>
      <c r="F48" s="31">
        <v>17326</v>
      </c>
      <c r="G48" s="31">
        <v>80.895094</v>
      </c>
      <c r="H48" s="32">
        <f t="shared" si="0"/>
        <v>9.9590252620611729E-3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0" t="s">
        <v>113</v>
      </c>
      <c r="E49" s="30" t="s">
        <v>16</v>
      </c>
      <c r="F49" s="31">
        <v>9127</v>
      </c>
      <c r="G49" s="31">
        <v>80.874347</v>
      </c>
      <c r="H49" s="32">
        <f t="shared" si="0"/>
        <v>9.9564710911356526E-3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114</v>
      </c>
      <c r="D50" s="30" t="s">
        <v>115</v>
      </c>
      <c r="E50" s="30" t="s">
        <v>55</v>
      </c>
      <c r="F50" s="31">
        <v>46175</v>
      </c>
      <c r="G50" s="31">
        <v>79.785782499999996</v>
      </c>
      <c r="H50" s="32">
        <f t="shared" si="0"/>
        <v>9.8224575086199688E-3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116</v>
      </c>
      <c r="D51" s="30" t="s">
        <v>117</v>
      </c>
      <c r="E51" s="30" t="s">
        <v>118</v>
      </c>
      <c r="F51" s="31">
        <v>77145</v>
      </c>
      <c r="G51" s="31">
        <v>77.345577000000006</v>
      </c>
      <c r="H51" s="32">
        <f t="shared" si="0"/>
        <v>9.522042897331915E-3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119</v>
      </c>
      <c r="D52" s="30" t="s">
        <v>120</v>
      </c>
      <c r="E52" s="30" t="s">
        <v>121</v>
      </c>
      <c r="F52" s="31">
        <v>2338</v>
      </c>
      <c r="G52" s="31">
        <v>73.263567999999992</v>
      </c>
      <c r="H52" s="32">
        <f t="shared" si="0"/>
        <v>9.0195052434296746E-3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122</v>
      </c>
      <c r="D53" s="30" t="s">
        <v>123</v>
      </c>
      <c r="E53" s="30" t="s">
        <v>19</v>
      </c>
      <c r="F53" s="31">
        <v>15309</v>
      </c>
      <c r="G53" s="31">
        <v>72.717749999999995</v>
      </c>
      <c r="H53" s="32">
        <f t="shared" si="0"/>
        <v>8.9523093854152486E-3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124</v>
      </c>
      <c r="D54" s="30" t="s">
        <v>125</v>
      </c>
      <c r="E54" s="30" t="s">
        <v>46</v>
      </c>
      <c r="F54" s="31">
        <v>363</v>
      </c>
      <c r="G54" s="31">
        <v>70.686989999999994</v>
      </c>
      <c r="H54" s="32">
        <f t="shared" si="0"/>
        <v>8.7023017626886665E-3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126</v>
      </c>
      <c r="D55" s="30" t="s">
        <v>127</v>
      </c>
      <c r="E55" s="30" t="s">
        <v>19</v>
      </c>
      <c r="F55" s="31">
        <v>5000</v>
      </c>
      <c r="G55" s="31">
        <v>70.504999999999995</v>
      </c>
      <c r="H55" s="32">
        <f t="shared" si="0"/>
        <v>8.6798969057582508E-3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128</v>
      </c>
      <c r="D56" s="30" t="s">
        <v>129</v>
      </c>
      <c r="E56" s="30" t="s">
        <v>91</v>
      </c>
      <c r="F56" s="31">
        <v>171584</v>
      </c>
      <c r="G56" s="31">
        <v>70.4180736</v>
      </c>
      <c r="H56" s="32">
        <f t="shared" si="0"/>
        <v>8.6691953641599446E-3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130</v>
      </c>
      <c r="D57" s="30" t="s">
        <v>131</v>
      </c>
      <c r="E57" s="30" t="s">
        <v>106</v>
      </c>
      <c r="F57" s="31">
        <v>9356</v>
      </c>
      <c r="G57" s="31">
        <v>70.024982000000008</v>
      </c>
      <c r="H57" s="32">
        <f t="shared" si="0"/>
        <v>8.6208017103407905E-3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132</v>
      </c>
      <c r="D58" s="30" t="s">
        <v>133</v>
      </c>
      <c r="E58" s="30" t="s">
        <v>91</v>
      </c>
      <c r="F58" s="31">
        <v>4724</v>
      </c>
      <c r="G58" s="31">
        <v>69.112120000000004</v>
      </c>
      <c r="H58" s="32">
        <f t="shared" si="0"/>
        <v>8.5084189282801648E-3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134</v>
      </c>
      <c r="D59" s="30" t="s">
        <v>135</v>
      </c>
      <c r="E59" s="30" t="s">
        <v>52</v>
      </c>
      <c r="F59" s="31">
        <v>8397</v>
      </c>
      <c r="G59" s="31">
        <v>69.073722000000004</v>
      </c>
      <c r="H59" s="32">
        <f t="shared" si="0"/>
        <v>8.5036917361464535E-3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136</v>
      </c>
      <c r="D60" s="30" t="s">
        <v>137</v>
      </c>
      <c r="E60" s="30" t="s">
        <v>25</v>
      </c>
      <c r="F60" s="31">
        <v>26384</v>
      </c>
      <c r="G60" s="31">
        <v>68.677552000000006</v>
      </c>
      <c r="H60" s="32">
        <f t="shared" si="0"/>
        <v>8.4549190993525487E-3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138</v>
      </c>
      <c r="D61" s="30" t="s">
        <v>139</v>
      </c>
      <c r="E61" s="30" t="s">
        <v>55</v>
      </c>
      <c r="F61" s="31">
        <v>6694</v>
      </c>
      <c r="G61" s="31">
        <v>68.004345999999998</v>
      </c>
      <c r="H61" s="32">
        <f t="shared" si="0"/>
        <v>8.3720404570386993E-3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140</v>
      </c>
      <c r="D62" s="30" t="s">
        <v>141</v>
      </c>
      <c r="E62" s="30" t="s">
        <v>142</v>
      </c>
      <c r="F62" s="31">
        <v>10365</v>
      </c>
      <c r="G62" s="31">
        <v>67.616077500000003</v>
      </c>
      <c r="H62" s="32">
        <f t="shared" si="0"/>
        <v>8.3242405768634876E-3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143</v>
      </c>
      <c r="D63" s="30" t="s">
        <v>144</v>
      </c>
      <c r="E63" s="30" t="s">
        <v>145</v>
      </c>
      <c r="F63" s="31">
        <v>71833</v>
      </c>
      <c r="G63" s="31">
        <v>66.819056599999996</v>
      </c>
      <c r="H63" s="32">
        <f t="shared" si="0"/>
        <v>8.2261190359268922E-3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146</v>
      </c>
      <c r="D64" s="30" t="s">
        <v>147</v>
      </c>
      <c r="E64" s="30" t="s">
        <v>148</v>
      </c>
      <c r="F64" s="31">
        <v>35980</v>
      </c>
      <c r="G64" s="31">
        <v>65.922556</v>
      </c>
      <c r="H64" s="32">
        <f t="shared" si="0"/>
        <v>8.1157505119363888E-3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149</v>
      </c>
      <c r="D65" s="30" t="s">
        <v>150</v>
      </c>
      <c r="E65" s="30" t="s">
        <v>25</v>
      </c>
      <c r="F65" s="31">
        <v>14430</v>
      </c>
      <c r="G65" s="31">
        <v>64.235145000000003</v>
      </c>
      <c r="H65" s="32">
        <f t="shared" si="0"/>
        <v>7.9080127129484822E-3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151</v>
      </c>
      <c r="D66" s="30" t="s">
        <v>152</v>
      </c>
      <c r="E66" s="30" t="s">
        <v>145</v>
      </c>
      <c r="F66" s="31">
        <v>8597</v>
      </c>
      <c r="G66" s="31">
        <v>63.746755</v>
      </c>
      <c r="H66" s="32">
        <f t="shared" si="0"/>
        <v>7.8478868374814471E-3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153</v>
      </c>
      <c r="D67" s="30" t="s">
        <v>154</v>
      </c>
      <c r="E67" s="30" t="s">
        <v>41</v>
      </c>
      <c r="F67" s="31">
        <v>14142</v>
      </c>
      <c r="G67" s="31">
        <v>62.507640000000002</v>
      </c>
      <c r="H67" s="32">
        <f t="shared" si="0"/>
        <v>7.6953389266328741E-3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155</v>
      </c>
      <c r="D68" s="30" t="s">
        <v>156</v>
      </c>
      <c r="E68" s="30" t="s">
        <v>81</v>
      </c>
      <c r="F68" s="31">
        <v>23669</v>
      </c>
      <c r="G68" s="31">
        <v>62.185563700000003</v>
      </c>
      <c r="H68" s="32">
        <f t="shared" si="0"/>
        <v>7.6556879929432341E-3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157</v>
      </c>
      <c r="D69" s="30" t="s">
        <v>158</v>
      </c>
      <c r="E69" s="30" t="s">
        <v>46</v>
      </c>
      <c r="F69" s="31">
        <v>149687</v>
      </c>
      <c r="G69" s="31">
        <v>62.105136299999998</v>
      </c>
      <c r="H69" s="32">
        <f t="shared" si="0"/>
        <v>7.6457865456643426E-3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159</v>
      </c>
      <c r="D70" s="30" t="s">
        <v>160</v>
      </c>
      <c r="E70" s="30" t="s">
        <v>91</v>
      </c>
      <c r="F70" s="31">
        <v>3687</v>
      </c>
      <c r="G70" s="31">
        <v>61.779372000000002</v>
      </c>
      <c r="H70" s="32">
        <f t="shared" si="0"/>
        <v>7.6056815809160769E-3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161</v>
      </c>
      <c r="D71" s="30" t="s">
        <v>162</v>
      </c>
      <c r="E71" s="30" t="s">
        <v>101</v>
      </c>
      <c r="F71" s="31">
        <v>215005</v>
      </c>
      <c r="G71" s="31">
        <v>59.427382000000001</v>
      </c>
      <c r="H71" s="32">
        <f t="shared" si="0"/>
        <v>7.3161272128092142E-3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163</v>
      </c>
      <c r="D72" s="30" t="s">
        <v>164</v>
      </c>
      <c r="E72" s="30" t="s">
        <v>142</v>
      </c>
      <c r="F72" s="31">
        <v>11382</v>
      </c>
      <c r="G72" s="31">
        <v>58.520553</v>
      </c>
      <c r="H72" s="32">
        <f t="shared" si="0"/>
        <v>7.2044871556338104E-3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165</v>
      </c>
      <c r="D73" s="30" t="s">
        <v>166</v>
      </c>
      <c r="E73" s="30" t="s">
        <v>96</v>
      </c>
      <c r="F73" s="31">
        <v>2182</v>
      </c>
      <c r="G73" s="31">
        <v>57.927735999999996</v>
      </c>
      <c r="H73" s="32">
        <f t="shared" si="0"/>
        <v>7.1315052331604976E-3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167</v>
      </c>
      <c r="D74" s="30" t="s">
        <v>168</v>
      </c>
      <c r="E74" s="30" t="s">
        <v>49</v>
      </c>
      <c r="F74" s="31">
        <v>11984</v>
      </c>
      <c r="G74" s="31">
        <v>57.828792</v>
      </c>
      <c r="H74" s="32">
        <f t="shared" si="0"/>
        <v>7.1193242003338422E-3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169</v>
      </c>
      <c r="D75" s="30" t="s">
        <v>170</v>
      </c>
      <c r="E75" s="30" t="s">
        <v>91</v>
      </c>
      <c r="F75" s="31">
        <v>1230</v>
      </c>
      <c r="G75" s="31">
        <v>57.44961</v>
      </c>
      <c r="H75" s="32">
        <f t="shared" si="0"/>
        <v>7.0726429625702905E-3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171</v>
      </c>
      <c r="D76" s="30" t="s">
        <v>172</v>
      </c>
      <c r="E76" s="30" t="s">
        <v>25</v>
      </c>
      <c r="F76" s="31">
        <v>28805</v>
      </c>
      <c r="G76" s="31">
        <v>57.137597999999997</v>
      </c>
      <c r="H76" s="32">
        <f t="shared" si="0"/>
        <v>7.0342310486158268E-3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173</v>
      </c>
      <c r="D77" s="30" t="s">
        <v>174</v>
      </c>
      <c r="E77" s="30" t="s">
        <v>52</v>
      </c>
      <c r="F77" s="31">
        <v>18279</v>
      </c>
      <c r="G77" s="31">
        <v>52.652659499999999</v>
      </c>
      <c r="H77" s="32">
        <f t="shared" si="0"/>
        <v>6.4820885933478877E-3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175</v>
      </c>
      <c r="D78" s="30" t="s">
        <v>176</v>
      </c>
      <c r="E78" s="30" t="s">
        <v>25</v>
      </c>
      <c r="F78" s="31">
        <v>4043</v>
      </c>
      <c r="G78" s="31">
        <v>52.377065000000002</v>
      </c>
      <c r="H78" s="32">
        <f t="shared" si="0"/>
        <v>6.4481600514317968E-3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177</v>
      </c>
      <c r="D79" s="30" t="s">
        <v>178</v>
      </c>
      <c r="E79" s="30" t="s">
        <v>55</v>
      </c>
      <c r="F79" s="31">
        <v>12120</v>
      </c>
      <c r="G79" s="31">
        <v>52.297800000000002</v>
      </c>
      <c r="H79" s="32">
        <f t="shared" si="0"/>
        <v>6.4384017076514278E-3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179</v>
      </c>
      <c r="D80" s="30" t="s">
        <v>180</v>
      </c>
      <c r="E80" s="30" t="s">
        <v>181</v>
      </c>
      <c r="F80" s="31">
        <v>11186</v>
      </c>
      <c r="G80" s="31">
        <v>52.171504000000006</v>
      </c>
      <c r="H80" s="32">
        <f t="shared" si="0"/>
        <v>6.4228533598802116E-3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182</v>
      </c>
      <c r="D81" s="30" t="s">
        <v>183</v>
      </c>
      <c r="E81" s="30" t="s">
        <v>184</v>
      </c>
      <c r="F81" s="31">
        <v>2859</v>
      </c>
      <c r="G81" s="31">
        <v>49.243415999999996</v>
      </c>
      <c r="H81" s="32">
        <f t="shared" si="0"/>
        <v>6.0623753516398319E-3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185</v>
      </c>
      <c r="D82" s="30" t="s">
        <v>186</v>
      </c>
      <c r="E82" s="30" t="s">
        <v>142</v>
      </c>
      <c r="F82" s="31">
        <v>3900</v>
      </c>
      <c r="G82" s="31">
        <v>48.508200000000002</v>
      </c>
      <c r="H82" s="32">
        <f t="shared" si="0"/>
        <v>5.971862635045776E-3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187</v>
      </c>
      <c r="D83" s="30" t="s">
        <v>188</v>
      </c>
      <c r="E83" s="30" t="s">
        <v>118</v>
      </c>
      <c r="F83" s="31">
        <v>9648</v>
      </c>
      <c r="G83" s="31">
        <v>48.206232</v>
      </c>
      <c r="H83" s="32">
        <f t="shared" si="0"/>
        <v>5.9346872416859006E-3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189</v>
      </c>
      <c r="D84" s="30" t="s">
        <v>190</v>
      </c>
      <c r="E84" s="30" t="s">
        <v>49</v>
      </c>
      <c r="F84" s="31">
        <v>5686</v>
      </c>
      <c r="G84" s="31">
        <v>46.76735</v>
      </c>
      <c r="H84" s="32">
        <f t="shared" si="0"/>
        <v>5.7575459407916202E-3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191</v>
      </c>
      <c r="D85" s="30" t="s">
        <v>192</v>
      </c>
      <c r="E85" s="30" t="s">
        <v>193</v>
      </c>
      <c r="F85" s="31">
        <v>8481</v>
      </c>
      <c r="G85" s="31">
        <v>41.9088615</v>
      </c>
      <c r="H85" s="32">
        <f t="shared" si="0"/>
        <v>5.1594156053854498E-3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194</v>
      </c>
      <c r="D86" s="30" t="s">
        <v>195</v>
      </c>
      <c r="E86" s="30" t="s">
        <v>196</v>
      </c>
      <c r="F86" s="31">
        <v>6175</v>
      </c>
      <c r="G86" s="31">
        <v>41.372500000000002</v>
      </c>
      <c r="H86" s="32">
        <f t="shared" si="0"/>
        <v>5.093383940620996E-3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197</v>
      </c>
      <c r="D87" s="30" t="s">
        <v>198</v>
      </c>
      <c r="E87" s="30" t="s">
        <v>118</v>
      </c>
      <c r="F87" s="31">
        <v>11504</v>
      </c>
      <c r="G87" s="31">
        <v>39.004311999999999</v>
      </c>
      <c r="H87" s="32">
        <f t="shared" si="0"/>
        <v>4.801835430679093E-3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199</v>
      </c>
      <c r="D88" s="30" t="s">
        <v>200</v>
      </c>
      <c r="E88" s="30" t="s">
        <v>201</v>
      </c>
      <c r="F88" s="31">
        <v>20967</v>
      </c>
      <c r="G88" s="31">
        <v>38.432510999999998</v>
      </c>
      <c r="H88" s="32">
        <f t="shared" si="0"/>
        <v>4.7314407958218563E-3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202</v>
      </c>
      <c r="D89" s="30" t="s">
        <v>203</v>
      </c>
      <c r="E89" s="30" t="s">
        <v>121</v>
      </c>
      <c r="F89" s="31">
        <v>6347</v>
      </c>
      <c r="G89" s="31">
        <v>37.828119999999998</v>
      </c>
      <c r="H89" s="32">
        <f t="shared" si="0"/>
        <v>4.6570339938820206E-3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204</v>
      </c>
      <c r="D90" s="30" t="s">
        <v>205</v>
      </c>
      <c r="E90" s="30" t="s">
        <v>25</v>
      </c>
      <c r="F90" s="31">
        <v>28806</v>
      </c>
      <c r="G90" s="31">
        <v>37.551501600000002</v>
      </c>
      <c r="H90" s="32">
        <f t="shared" si="0"/>
        <v>4.6229793992541819E-3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206</v>
      </c>
      <c r="D91" s="30" t="s">
        <v>207</v>
      </c>
      <c r="E91" s="30" t="s">
        <v>201</v>
      </c>
      <c r="F91" s="31">
        <v>16481</v>
      </c>
      <c r="G91" s="31">
        <v>37.163006899999999</v>
      </c>
      <c r="H91" s="32">
        <f t="shared" si="0"/>
        <v>4.5751516715124112E-3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208</v>
      </c>
      <c r="D92" s="30" t="s">
        <v>209</v>
      </c>
      <c r="E92" s="30" t="s">
        <v>210</v>
      </c>
      <c r="F92" s="31">
        <v>34443</v>
      </c>
      <c r="G92" s="31">
        <v>36.757569599999997</v>
      </c>
      <c r="H92" s="32">
        <f t="shared" si="0"/>
        <v>4.5252381339512598E-3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211</v>
      </c>
      <c r="D93" s="30" t="s">
        <v>212</v>
      </c>
      <c r="E93" s="30" t="s">
        <v>213</v>
      </c>
      <c r="F93" s="31">
        <v>6848</v>
      </c>
      <c r="G93" s="31">
        <v>35.058336000000004</v>
      </c>
      <c r="H93" s="32">
        <f t="shared" si="0"/>
        <v>4.3160448502578995E-3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0" t="s">
        <v>215</v>
      </c>
      <c r="E94" s="30" t="s">
        <v>216</v>
      </c>
      <c r="F94" s="31">
        <v>29951</v>
      </c>
      <c r="G94" s="31">
        <v>34.551473600000001</v>
      </c>
      <c r="H94" s="32">
        <f t="shared" si="0"/>
        <v>4.2536448307216217E-3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0" t="s">
        <v>218</v>
      </c>
      <c r="E95" s="30" t="s">
        <v>19</v>
      </c>
      <c r="F95" s="31">
        <v>10403</v>
      </c>
      <c r="G95" s="31">
        <v>34.257078999999997</v>
      </c>
      <c r="H95" s="32">
        <f t="shared" si="0"/>
        <v>4.2174018014667896E-3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0" t="s">
        <v>220</v>
      </c>
      <c r="E96" s="30" t="s">
        <v>16</v>
      </c>
      <c r="F96" s="31">
        <v>5760</v>
      </c>
      <c r="G96" s="31">
        <v>33.88608</v>
      </c>
      <c r="H96" s="32">
        <f t="shared" si="0"/>
        <v>4.171727975892158E-3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0" t="s">
        <v>222</v>
      </c>
      <c r="E97" s="30" t="s">
        <v>25</v>
      </c>
      <c r="F97" s="31">
        <v>49390</v>
      </c>
      <c r="G97" s="31">
        <v>33.846966999999999</v>
      </c>
      <c r="H97" s="32">
        <f t="shared" si="0"/>
        <v>4.1669127598411692E-3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0" t="s">
        <v>224</v>
      </c>
      <c r="E98" s="30" t="s">
        <v>118</v>
      </c>
      <c r="F98" s="31">
        <v>24274</v>
      </c>
      <c r="G98" s="31">
        <v>33.231106000000004</v>
      </c>
      <c r="H98" s="32">
        <f t="shared" si="0"/>
        <v>4.0910938819136876E-3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0" t="s">
        <v>226</v>
      </c>
      <c r="E99" s="30" t="s">
        <v>13</v>
      </c>
      <c r="F99" s="31">
        <v>41770</v>
      </c>
      <c r="G99" s="31">
        <v>30.838791000000001</v>
      </c>
      <c r="H99" s="32">
        <f t="shared" si="0"/>
        <v>3.7965750879827734E-3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0" t="s">
        <v>228</v>
      </c>
      <c r="E100" s="30" t="s">
        <v>201</v>
      </c>
      <c r="F100" s="31">
        <v>25140</v>
      </c>
      <c r="G100" s="31">
        <v>30.175542</v>
      </c>
      <c r="H100" s="32">
        <f t="shared" si="0"/>
        <v>3.7149222556609909E-3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0" t="s">
        <v>230</v>
      </c>
      <c r="E101" s="30" t="s">
        <v>142</v>
      </c>
      <c r="F101" s="31">
        <v>2935</v>
      </c>
      <c r="G101" s="31">
        <v>25.026744999999998</v>
      </c>
      <c r="H101" s="32">
        <f t="shared" si="0"/>
        <v>3.0810519322984299E-3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231</v>
      </c>
      <c r="D102" s="30" t="s">
        <v>232</v>
      </c>
      <c r="E102" s="30" t="s">
        <v>109</v>
      </c>
      <c r="F102" s="31">
        <v>18871</v>
      </c>
      <c r="G102" s="31">
        <v>24.4624773</v>
      </c>
      <c r="H102" s="32">
        <f t="shared" si="0"/>
        <v>3.0115847248202467E-3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233</v>
      </c>
      <c r="D103" s="30" t="s">
        <v>234</v>
      </c>
      <c r="E103" s="30" t="s">
        <v>216</v>
      </c>
      <c r="F103" s="31">
        <v>9029</v>
      </c>
      <c r="G103" s="31">
        <v>23.556661000000002</v>
      </c>
      <c r="H103" s="32">
        <f t="shared" si="0"/>
        <v>2.9000693415204043E-3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235</v>
      </c>
      <c r="D104" s="30" t="s">
        <v>236</v>
      </c>
      <c r="E104" s="30" t="s">
        <v>237</v>
      </c>
      <c r="F104" s="31">
        <v>7176</v>
      </c>
      <c r="G104" s="31">
        <v>21.556704</v>
      </c>
      <c r="H104" s="32">
        <f t="shared" si="0"/>
        <v>2.6538538876384162E-3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238</v>
      </c>
      <c r="D105" s="30" t="s">
        <v>239</v>
      </c>
      <c r="E105" s="30" t="s">
        <v>240</v>
      </c>
      <c r="F105" s="31">
        <v>13184</v>
      </c>
      <c r="G105" s="31">
        <v>19.052198400000002</v>
      </c>
      <c r="H105" s="32">
        <f t="shared" si="0"/>
        <v>2.3455232670030824E-3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0" t="s">
        <v>242</v>
      </c>
      <c r="E106" s="30" t="s">
        <v>148</v>
      </c>
      <c r="F106" s="31">
        <v>13129</v>
      </c>
      <c r="G106" s="31">
        <v>19.0317984</v>
      </c>
      <c r="H106" s="32">
        <f t="shared" si="0"/>
        <v>2.343011815377276E-3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0" t="s">
        <v>244</v>
      </c>
      <c r="E107" s="30" t="s">
        <v>16</v>
      </c>
      <c r="F107" s="31">
        <v>3012</v>
      </c>
      <c r="G107" s="31">
        <v>18.718073999999998</v>
      </c>
      <c r="H107" s="32">
        <f t="shared" si="0"/>
        <v>2.3043890872186932E-3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33"/>
      <c r="C108" s="34" t="s">
        <v>245</v>
      </c>
      <c r="D108" s="23"/>
      <c r="E108" s="24"/>
      <c r="F108" s="25"/>
      <c r="G108" s="35">
        <f t="shared" ref="G108:H108" si="1">SUM(G8:G107)</f>
        <v>8118.999149700001</v>
      </c>
      <c r="H108" s="36">
        <f t="shared" si="1"/>
        <v>0.99953302031536639</v>
      </c>
      <c r="I108" s="28"/>
      <c r="J108" s="2"/>
      <c r="K108" s="37"/>
      <c r="L108" s="3"/>
      <c r="M108" s="1"/>
      <c r="N108" s="37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8"/>
      <c r="D109" s="23"/>
      <c r="E109" s="24"/>
      <c r="F109" s="25"/>
      <c r="G109" s="26"/>
      <c r="H109" s="27"/>
      <c r="I109" s="28"/>
      <c r="J109" s="2"/>
      <c r="K109" s="37"/>
      <c r="L109" s="3"/>
      <c r="M109" s="1"/>
      <c r="N109" s="37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22" t="s">
        <v>246</v>
      </c>
      <c r="D110" s="23"/>
      <c r="E110" s="24"/>
      <c r="F110" s="25"/>
      <c r="G110" s="26" t="s">
        <v>247</v>
      </c>
      <c r="H110" s="27" t="s">
        <v>247</v>
      </c>
      <c r="I110" s="28"/>
      <c r="J110" s="2"/>
      <c r="K110" s="37"/>
      <c r="L110" s="3"/>
      <c r="M110" s="1"/>
      <c r="N110" s="37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8"/>
      <c r="D111" s="23"/>
      <c r="E111" s="24"/>
      <c r="F111" s="25"/>
      <c r="G111" s="26"/>
      <c r="H111" s="27"/>
      <c r="I111" s="28"/>
      <c r="J111" s="2"/>
      <c r="K111" s="37"/>
      <c r="L111" s="3"/>
      <c r="M111" s="1"/>
      <c r="N111" s="37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22" t="s">
        <v>248</v>
      </c>
      <c r="D112" s="23"/>
      <c r="E112" s="24"/>
      <c r="F112" s="25"/>
      <c r="G112" s="26" t="s">
        <v>247</v>
      </c>
      <c r="H112" s="27" t="s">
        <v>247</v>
      </c>
      <c r="I112" s="28"/>
      <c r="J112" s="2"/>
      <c r="K112" s="37"/>
      <c r="L112" s="3"/>
      <c r="M112" s="1"/>
      <c r="N112" s="37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8"/>
      <c r="D113" s="23"/>
      <c r="E113" s="24"/>
      <c r="F113" s="25"/>
      <c r="G113" s="26"/>
      <c r="H113" s="27"/>
      <c r="I113" s="28"/>
      <c r="J113" s="2"/>
      <c r="K113" s="37"/>
      <c r="L113" s="3"/>
      <c r="M113" s="1"/>
      <c r="N113" s="37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22" t="s">
        <v>249</v>
      </c>
      <c r="D114" s="23"/>
      <c r="E114" s="24"/>
      <c r="F114" s="25"/>
      <c r="G114" s="26"/>
      <c r="H114" s="27"/>
      <c r="I114" s="28"/>
      <c r="J114" s="2"/>
      <c r="K114" s="37"/>
      <c r="L114" s="3"/>
      <c r="M114" s="1"/>
      <c r="N114" s="37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8"/>
      <c r="D115" s="23"/>
      <c r="E115" s="24"/>
      <c r="F115" s="25"/>
      <c r="G115" s="26"/>
      <c r="H115" s="27"/>
      <c r="I115" s="28"/>
      <c r="J115" s="2"/>
      <c r="K115" s="37"/>
      <c r="L115" s="3"/>
      <c r="M115" s="1"/>
      <c r="N115" s="37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22" t="s">
        <v>250</v>
      </c>
      <c r="D116" s="23"/>
      <c r="E116" s="24"/>
      <c r="F116" s="25"/>
      <c r="G116" s="26" t="s">
        <v>247</v>
      </c>
      <c r="H116" s="27" t="s">
        <v>247</v>
      </c>
      <c r="I116" s="28"/>
      <c r="J116" s="2"/>
      <c r="K116" s="37"/>
      <c r="L116" s="3"/>
      <c r="M116" s="1"/>
      <c r="N116" s="37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9"/>
      <c r="D117" s="23"/>
      <c r="E117" s="24"/>
      <c r="F117" s="25"/>
      <c r="G117" s="26"/>
      <c r="H117" s="27"/>
      <c r="I117" s="28"/>
      <c r="J117" s="2"/>
      <c r="K117" s="37"/>
      <c r="L117" s="3"/>
      <c r="M117" s="1"/>
      <c r="N117" s="37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22" t="s">
        <v>251</v>
      </c>
      <c r="D118" s="23"/>
      <c r="E118" s="24"/>
      <c r="F118" s="25"/>
      <c r="G118" s="26" t="s">
        <v>247</v>
      </c>
      <c r="H118" s="27" t="s">
        <v>247</v>
      </c>
      <c r="I118" s="28"/>
      <c r="J118" s="2"/>
      <c r="K118" s="37"/>
      <c r="L118" s="3"/>
      <c r="M118" s="1"/>
      <c r="N118" s="37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8"/>
      <c r="D119" s="23"/>
      <c r="E119" s="24"/>
      <c r="F119" s="25"/>
      <c r="G119" s="26"/>
      <c r="H119" s="27"/>
      <c r="I119" s="28"/>
      <c r="J119" s="2"/>
      <c r="K119" s="37"/>
      <c r="L119" s="3"/>
      <c r="M119" s="1"/>
      <c r="N119" s="37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22" t="s">
        <v>252</v>
      </c>
      <c r="D120" s="23"/>
      <c r="E120" s="24"/>
      <c r="F120" s="25"/>
      <c r="G120" s="26" t="s">
        <v>247</v>
      </c>
      <c r="H120" s="27" t="s">
        <v>247</v>
      </c>
      <c r="I120" s="28"/>
      <c r="J120" s="2"/>
      <c r="K120" s="37"/>
      <c r="L120" s="3"/>
      <c r="M120" s="1"/>
      <c r="N120" s="37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8"/>
      <c r="D121" s="23"/>
      <c r="E121" s="24"/>
      <c r="F121" s="25"/>
      <c r="G121" s="26"/>
      <c r="H121" s="27"/>
      <c r="I121" s="28"/>
      <c r="J121" s="2"/>
      <c r="K121" s="37"/>
      <c r="L121" s="3"/>
      <c r="M121" s="1"/>
      <c r="N121" s="37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22" t="s">
        <v>253</v>
      </c>
      <c r="D122" s="23"/>
      <c r="E122" s="24"/>
      <c r="F122" s="25"/>
      <c r="G122" s="26" t="s">
        <v>247</v>
      </c>
      <c r="H122" s="27" t="s">
        <v>247</v>
      </c>
      <c r="I122" s="28"/>
      <c r="J122" s="2"/>
      <c r="K122" s="37"/>
      <c r="L122" s="3"/>
      <c r="M122" s="1"/>
      <c r="N122" s="37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8"/>
      <c r="D123" s="23"/>
      <c r="E123" s="24"/>
      <c r="F123" s="25"/>
      <c r="G123" s="26"/>
      <c r="H123" s="27"/>
      <c r="I123" s="28"/>
      <c r="J123" s="2"/>
      <c r="K123" s="1"/>
      <c r="L123" s="3"/>
      <c r="M123" s="1"/>
      <c r="N123" s="37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22" t="s">
        <v>254</v>
      </c>
      <c r="D124" s="23"/>
      <c r="E124" s="24"/>
      <c r="F124" s="25"/>
      <c r="G124" s="26" t="s">
        <v>247</v>
      </c>
      <c r="H124" s="27" t="s">
        <v>247</v>
      </c>
      <c r="I124" s="28"/>
      <c r="J124" s="2"/>
      <c r="K124" s="1"/>
      <c r="L124" s="3"/>
      <c r="M124" s="1"/>
      <c r="N124" s="37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20"/>
      <c r="B125" s="21"/>
      <c r="C125" s="38"/>
      <c r="D125" s="23"/>
      <c r="E125" s="24"/>
      <c r="F125" s="25"/>
      <c r="G125" s="26"/>
      <c r="H125" s="27"/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21"/>
      <c r="B126" s="21"/>
      <c r="C126" s="22" t="s">
        <v>255</v>
      </c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1"/>
      <c r="B127" s="21"/>
      <c r="C127" s="22" t="s">
        <v>256</v>
      </c>
      <c r="D127" s="23"/>
      <c r="E127" s="24"/>
      <c r="F127" s="25"/>
      <c r="G127" s="26" t="s">
        <v>247</v>
      </c>
      <c r="H127" s="27" t="s">
        <v>247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/>
      <c r="D128" s="23"/>
      <c r="E128" s="24"/>
      <c r="F128" s="25"/>
      <c r="G128" s="26"/>
      <c r="H128" s="27"/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 t="s">
        <v>257</v>
      </c>
      <c r="D129" s="23"/>
      <c r="E129" s="24"/>
      <c r="F129" s="25"/>
      <c r="G129" s="26" t="s">
        <v>247</v>
      </c>
      <c r="H129" s="27" t="s">
        <v>247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22"/>
      <c r="D130" s="23"/>
      <c r="E130" s="24"/>
      <c r="F130" s="25"/>
      <c r="G130" s="26"/>
      <c r="H130" s="27"/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33" t="s">
        <v>258</v>
      </c>
      <c r="C131" s="29" t="s">
        <v>259</v>
      </c>
      <c r="D131" s="23"/>
      <c r="E131" s="24"/>
      <c r="F131" s="25"/>
      <c r="G131" s="26" t="s">
        <v>247</v>
      </c>
      <c r="H131" s="27" t="s">
        <v>247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8"/>
      <c r="D132" s="23"/>
      <c r="E132" s="24"/>
      <c r="F132" s="25"/>
      <c r="G132" s="26"/>
      <c r="H132" s="27"/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4" t="s">
        <v>245</v>
      </c>
      <c r="D133" s="23"/>
      <c r="E133" s="24"/>
      <c r="F133" s="25"/>
      <c r="G133" s="40" t="s">
        <v>247</v>
      </c>
      <c r="H133" s="41" t="s">
        <v>247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8"/>
      <c r="D134" s="23"/>
      <c r="E134" s="24"/>
      <c r="F134" s="25"/>
      <c r="G134" s="26"/>
      <c r="H134" s="27"/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22" t="s">
        <v>260</v>
      </c>
      <c r="D135" s="23"/>
      <c r="E135" s="24"/>
      <c r="F135" s="25"/>
      <c r="G135" s="26" t="s">
        <v>247</v>
      </c>
      <c r="H135" s="27" t="s">
        <v>247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20"/>
      <c r="B136" s="21"/>
      <c r="C136" s="38"/>
      <c r="D136" s="23"/>
      <c r="E136" s="24"/>
      <c r="F136" s="25"/>
      <c r="G136" s="26"/>
      <c r="H136" s="27"/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21"/>
      <c r="B137" s="21"/>
      <c r="C137" s="22" t="s">
        <v>261</v>
      </c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1"/>
      <c r="B138" s="21"/>
      <c r="C138" s="22" t="s">
        <v>262</v>
      </c>
      <c r="D138" s="23"/>
      <c r="E138" s="24"/>
      <c r="F138" s="25"/>
      <c r="G138" s="26" t="s">
        <v>247</v>
      </c>
      <c r="H138" s="27" t="s">
        <v>247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/>
      <c r="D139" s="23"/>
      <c r="E139" s="24"/>
      <c r="F139" s="25"/>
      <c r="G139" s="26"/>
      <c r="H139" s="27"/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 t="s">
        <v>263</v>
      </c>
      <c r="D140" s="23"/>
      <c r="E140" s="24"/>
      <c r="F140" s="25"/>
      <c r="G140" s="26" t="s">
        <v>247</v>
      </c>
      <c r="H140" s="27" t="s">
        <v>247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/>
      <c r="D141" s="23"/>
      <c r="E141" s="24"/>
      <c r="F141" s="25"/>
      <c r="G141" s="26"/>
      <c r="H141" s="27"/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 t="s">
        <v>264</v>
      </c>
      <c r="D142" s="23"/>
      <c r="E142" s="24"/>
      <c r="F142" s="25"/>
      <c r="G142" s="26" t="s">
        <v>247</v>
      </c>
      <c r="H142" s="27" t="s">
        <v>247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22"/>
      <c r="D143" s="23"/>
      <c r="E143" s="24"/>
      <c r="F143" s="25"/>
      <c r="G143" s="26"/>
      <c r="H143" s="27"/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33" t="s">
        <v>265</v>
      </c>
      <c r="C144" s="29" t="s">
        <v>266</v>
      </c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8" t="s">
        <v>267</v>
      </c>
      <c r="D145" s="23"/>
      <c r="E145" s="24"/>
      <c r="F145" s="25"/>
      <c r="G145" s="42">
        <v>3</v>
      </c>
      <c r="H145" s="32">
        <f>G145/$G$152</f>
        <v>3.6933112144209285E-4</v>
      </c>
      <c r="I145" s="43">
        <v>5.4600000000000003E-2</v>
      </c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4" t="s">
        <v>245</v>
      </c>
      <c r="D146" s="23"/>
      <c r="E146" s="24"/>
      <c r="F146" s="25"/>
      <c r="G146" s="44">
        <f t="shared" ref="G146:H146" si="2">SUM(G145)</f>
        <v>3</v>
      </c>
      <c r="H146" s="36">
        <f t="shared" si="2"/>
        <v>3.6933112144209285E-4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20"/>
      <c r="B147" s="21"/>
      <c r="C147" s="38"/>
      <c r="D147" s="23"/>
      <c r="E147" s="24"/>
      <c r="F147" s="25"/>
      <c r="G147" s="26"/>
      <c r="H147" s="27"/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33"/>
      <c r="C148" s="22" t="s">
        <v>268</v>
      </c>
      <c r="D148" s="23"/>
      <c r="E148" s="24"/>
      <c r="F148" s="25"/>
      <c r="G148" s="26"/>
      <c r="H148" s="27"/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8" t="s">
        <v>269</v>
      </c>
      <c r="D149" s="23"/>
      <c r="E149" s="24"/>
      <c r="F149" s="25"/>
      <c r="G149" s="45">
        <f>G152-ZESML!XDO_?FINAL_MV?53?-G146</f>
        <v>0.79317899999932706</v>
      </c>
      <c r="H149" s="32">
        <f>G149/$G$152</f>
        <v>9.7648563191356409E-5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4" t="s">
        <v>245</v>
      </c>
      <c r="D150" s="23"/>
      <c r="E150" s="24"/>
      <c r="F150" s="25"/>
      <c r="G150" s="46">
        <f t="shared" ref="G150:H150" si="3">SUM(G149)</f>
        <v>0.79317899999932706</v>
      </c>
      <c r="H150" s="36">
        <f t="shared" si="3"/>
        <v>9.7648563191356409E-5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47"/>
      <c r="D151" s="48"/>
      <c r="E151" s="49"/>
      <c r="F151" s="50"/>
      <c r="G151" s="51"/>
      <c r="H151" s="52"/>
      <c r="I151" s="53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54" t="s">
        <v>270</v>
      </c>
      <c r="D152" s="54"/>
      <c r="E152" s="55"/>
      <c r="F152" s="56"/>
      <c r="G152" s="44">
        <v>8122.7923287000003</v>
      </c>
      <c r="H152" s="57">
        <v>1</v>
      </c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59"/>
      <c r="D153" s="60"/>
      <c r="E153" s="60"/>
      <c r="F153" s="60"/>
      <c r="G153" s="60"/>
      <c r="H153" s="60"/>
      <c r="I153" s="61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62" t="s">
        <v>271</v>
      </c>
      <c r="D154" s="1"/>
      <c r="E154" s="1"/>
      <c r="F154" s="61"/>
      <c r="G154" s="63"/>
      <c r="H154" s="63"/>
      <c r="I154" s="61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4"/>
      <c r="D155" s="59"/>
      <c r="E155" s="59"/>
      <c r="F155" s="59"/>
      <c r="G155" s="63"/>
      <c r="H155" s="63"/>
      <c r="I155" s="61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4" t="s">
        <v>272</v>
      </c>
      <c r="D156" s="59"/>
      <c r="E156" s="59"/>
      <c r="F156" s="59"/>
      <c r="G156" s="63"/>
      <c r="H156" s="63"/>
      <c r="I156" s="61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65" t="s">
        <v>273</v>
      </c>
      <c r="D157" s="59"/>
      <c r="E157" s="59"/>
      <c r="F157" s="59"/>
      <c r="G157" s="63"/>
      <c r="H157" s="63"/>
      <c r="I157" s="61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65" t="s">
        <v>274</v>
      </c>
      <c r="D158" s="66"/>
      <c r="E158" s="66"/>
      <c r="F158" s="59"/>
      <c r="G158" s="63"/>
      <c r="H158" s="63"/>
      <c r="I158" s="61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65"/>
      <c r="D159" s="66"/>
      <c r="E159" s="66"/>
      <c r="F159" s="59"/>
      <c r="G159" s="63"/>
      <c r="H159" s="63"/>
      <c r="I159" s="61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67" t="s">
        <v>275</v>
      </c>
      <c r="D160" s="68" t="s">
        <v>276</v>
      </c>
      <c r="E160" s="68" t="s">
        <v>277</v>
      </c>
      <c r="F160" s="59"/>
      <c r="G160" s="63"/>
      <c r="H160" s="63"/>
      <c r="I160" s="61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69" t="s">
        <v>278</v>
      </c>
      <c r="D161" s="70">
        <v>10.277900000000001</v>
      </c>
      <c r="E161" s="70">
        <v>10.1951</v>
      </c>
      <c r="F161" s="59"/>
      <c r="G161" s="63"/>
      <c r="H161" s="63"/>
      <c r="I161" s="61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1" t="s">
        <v>279</v>
      </c>
      <c r="D162" s="72"/>
      <c r="E162" s="73"/>
      <c r="F162" s="59"/>
      <c r="G162" s="63"/>
      <c r="H162" s="63"/>
      <c r="I162" s="61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1"/>
      <c r="D163" s="72"/>
      <c r="E163" s="73"/>
      <c r="F163" s="59"/>
      <c r="G163" s="63"/>
      <c r="H163" s="63"/>
      <c r="I163" s="61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59" t="s">
        <v>280</v>
      </c>
      <c r="D164" s="59"/>
      <c r="E164" s="59"/>
      <c r="F164" s="59"/>
      <c r="G164" s="63"/>
      <c r="H164" s="63"/>
      <c r="I164" s="61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59" t="s">
        <v>281</v>
      </c>
      <c r="D165" s="59"/>
      <c r="E165" s="59"/>
      <c r="F165" s="59"/>
      <c r="G165" s="63"/>
      <c r="H165" s="63"/>
      <c r="I165" s="61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" customHeight="1" x14ac:dyDescent="0.5">
      <c r="A166" s="1"/>
      <c r="B166" s="1"/>
      <c r="C166" s="59" t="s">
        <v>282</v>
      </c>
      <c r="D166" s="59"/>
      <c r="E166" s="59"/>
      <c r="F166" s="59"/>
      <c r="G166" s="63"/>
      <c r="H166" s="63"/>
      <c r="I166" s="61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59" t="s">
        <v>283</v>
      </c>
      <c r="D167" s="59"/>
      <c r="E167" s="59"/>
      <c r="F167" s="59"/>
      <c r="G167" s="63"/>
      <c r="H167" s="63"/>
      <c r="I167" s="61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59" t="s">
        <v>284</v>
      </c>
      <c r="D168" s="59"/>
      <c r="E168" s="59"/>
      <c r="F168" s="59"/>
      <c r="G168" s="63"/>
      <c r="H168" s="63"/>
      <c r="I168" s="61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59" t="s">
        <v>285</v>
      </c>
      <c r="D169" s="59"/>
      <c r="E169" s="59"/>
      <c r="F169" s="59"/>
      <c r="G169" s="63"/>
      <c r="H169" s="63"/>
      <c r="I169" s="61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59" t="s">
        <v>286</v>
      </c>
      <c r="D170" s="59"/>
      <c r="E170" s="59"/>
      <c r="F170" s="59"/>
      <c r="G170" s="63"/>
      <c r="H170" s="63"/>
      <c r="I170" s="61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59" t="s">
        <v>287</v>
      </c>
      <c r="D171" s="59"/>
      <c r="E171" s="59"/>
      <c r="F171" s="59"/>
      <c r="G171" s="63"/>
      <c r="H171" s="63"/>
      <c r="I171" s="61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59" t="s">
        <v>288</v>
      </c>
      <c r="D172" s="59"/>
      <c r="E172" s="59"/>
      <c r="F172" s="59"/>
      <c r="G172" s="63"/>
      <c r="H172" s="63"/>
      <c r="I172" s="61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59" t="s">
        <v>289</v>
      </c>
      <c r="D173" s="59"/>
      <c r="E173" s="59"/>
      <c r="F173" s="59"/>
      <c r="G173" s="63"/>
      <c r="H173" s="63"/>
      <c r="I173" s="61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59" t="s">
        <v>290</v>
      </c>
      <c r="D174" s="59"/>
      <c r="E174" s="59"/>
      <c r="F174" s="59"/>
      <c r="G174" s="63"/>
      <c r="H174" s="63"/>
      <c r="I174" s="61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59" t="s">
        <v>291</v>
      </c>
      <c r="D175" s="59"/>
      <c r="E175" s="59"/>
      <c r="F175" s="59"/>
      <c r="G175" s="63"/>
      <c r="H175" s="63"/>
      <c r="I175" s="61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59" t="s">
        <v>292</v>
      </c>
      <c r="D176" s="59"/>
      <c r="E176" s="59"/>
      <c r="F176" s="59"/>
      <c r="G176" s="63"/>
      <c r="H176" s="63"/>
      <c r="I176" s="61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59" t="s">
        <v>293</v>
      </c>
      <c r="D177" s="59"/>
      <c r="E177" s="59"/>
      <c r="F177" s="59"/>
      <c r="G177" s="63"/>
      <c r="H177" s="63"/>
      <c r="I177" s="61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1"/>
      <c r="G178" s="63"/>
      <c r="H178" s="63"/>
      <c r="I178" s="61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74" t="s">
        <v>294</v>
      </c>
      <c r="D179" s="1"/>
      <c r="E179" s="1"/>
      <c r="F179" s="61"/>
      <c r="G179" s="63"/>
      <c r="H179" s="63"/>
      <c r="I179" s="61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75" t="s">
        <v>295</v>
      </c>
      <c r="D180" s="1"/>
      <c r="E180" s="1"/>
      <c r="F180" s="61"/>
      <c r="G180" s="63"/>
      <c r="H180" s="63"/>
      <c r="I180" s="61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5000000000000004">
      <c r="A181" s="1"/>
      <c r="B181" s="1"/>
      <c r="C181" s="76"/>
      <c r="D181" s="1"/>
      <c r="E181" s="1"/>
      <c r="F181" s="59"/>
      <c r="G181" s="59"/>
      <c r="H181" s="59"/>
      <c r="I181" s="77"/>
      <c r="J181" s="37"/>
      <c r="K181" s="37"/>
      <c r="L181" s="37"/>
      <c r="M181" s="37"/>
      <c r="N181" s="37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39.75" customHeight="1" x14ac:dyDescent="0.5">
      <c r="A182" s="1"/>
      <c r="B182" s="1"/>
      <c r="C182" s="75" t="s">
        <v>296</v>
      </c>
      <c r="D182" s="1"/>
      <c r="E182" s="1"/>
      <c r="F182" s="61"/>
      <c r="G182" s="63"/>
      <c r="H182" s="63"/>
      <c r="I182" s="61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76"/>
      <c r="D183" s="1"/>
      <c r="E183" s="1"/>
      <c r="F183" s="61"/>
      <c r="G183" s="63"/>
      <c r="H183" s="63"/>
      <c r="I183" s="61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78" t="s">
        <v>297</v>
      </c>
      <c r="D184" s="1"/>
      <c r="E184" s="1"/>
      <c r="F184" s="61"/>
      <c r="G184" s="63"/>
      <c r="H184" s="63"/>
      <c r="I184" s="61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79" t="s">
        <v>298</v>
      </c>
      <c r="D185" s="1"/>
      <c r="E185" s="1"/>
      <c r="F185" s="61"/>
      <c r="G185" s="63"/>
      <c r="H185" s="63"/>
      <c r="I185" s="61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79"/>
      <c r="D186" s="1"/>
      <c r="E186" s="1"/>
      <c r="F186" s="61"/>
      <c r="G186" s="63"/>
      <c r="H186" s="63"/>
      <c r="I186" s="61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1"/>
      <c r="G187" s="63"/>
      <c r="H187" s="63"/>
      <c r="I187" s="61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80" t="s">
        <v>299</v>
      </c>
      <c r="D188" s="81"/>
      <c r="G188" s="63"/>
      <c r="H188" s="63"/>
      <c r="I188" s="61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1"/>
      <c r="G189" s="63"/>
      <c r="H189" s="63"/>
      <c r="I189" s="61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1"/>
      <c r="G190" s="63"/>
      <c r="H190" s="63"/>
      <c r="I190" s="61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0"/>
      <c r="D191" s="10"/>
      <c r="E191" s="10"/>
      <c r="F191" s="61"/>
      <c r="G191" s="63"/>
      <c r="H191" s="63"/>
      <c r="I191" s="61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82"/>
      <c r="E192" s="82"/>
      <c r="F192" s="61"/>
      <c r="G192" s="63"/>
      <c r="H192" s="63"/>
      <c r="I192" s="61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1"/>
      <c r="G193" s="63"/>
      <c r="H193" s="63"/>
      <c r="I193" s="61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1"/>
      <c r="G194" s="63"/>
      <c r="H194" s="63"/>
      <c r="I194" s="61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1"/>
      <c r="G195" s="63"/>
      <c r="H195" s="63"/>
      <c r="I195" s="61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1"/>
      <c r="G196" s="63"/>
      <c r="H196" s="63"/>
      <c r="I196" s="61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1"/>
      <c r="G197" s="63"/>
      <c r="H197" s="63"/>
      <c r="I197" s="61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1"/>
      <c r="G198" s="63"/>
      <c r="H198" s="63"/>
      <c r="I198" s="61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1"/>
      <c r="G199" s="63"/>
      <c r="H199" s="59"/>
      <c r="I199" s="61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1"/>
      <c r="G200" s="63"/>
      <c r="H200" s="63"/>
      <c r="I200" s="61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1"/>
      <c r="G201" s="63"/>
      <c r="H201" s="63"/>
      <c r="I201" s="61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1"/>
      <c r="G202" s="63"/>
      <c r="H202" s="63"/>
      <c r="I202" s="61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2" customHeight="1" x14ac:dyDescent="0.5">
      <c r="A203" s="1"/>
      <c r="B203" s="1"/>
      <c r="C203" s="1"/>
      <c r="D203" s="1"/>
      <c r="E203" s="1"/>
      <c r="F203" s="61"/>
      <c r="G203" s="63"/>
      <c r="H203" s="63"/>
      <c r="I203" s="61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1"/>
      <c r="G204" s="63"/>
      <c r="H204" s="63"/>
      <c r="I204" s="6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1"/>
      <c r="G205" s="63"/>
      <c r="H205" s="63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1"/>
      <c r="G206" s="63"/>
      <c r="H206" s="63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83" t="s">
        <v>300</v>
      </c>
      <c r="D207" s="1"/>
      <c r="E207" s="1"/>
      <c r="F207" s="61"/>
      <c r="G207" s="63"/>
      <c r="H207" s="63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1"/>
      <c r="G208" s="63"/>
      <c r="H208" s="63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1"/>
      <c r="G209" s="63"/>
      <c r="H209" s="63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80" t="s">
        <v>301</v>
      </c>
      <c r="D210" s="80"/>
      <c r="E210" s="1"/>
      <c r="F210" s="61"/>
      <c r="G210" s="63"/>
      <c r="H210" s="63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1"/>
      <c r="G211" s="63"/>
      <c r="H211" s="63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1"/>
      <c r="G212" s="63"/>
      <c r="H212" s="63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1"/>
      <c r="G213" s="63"/>
      <c r="H213" s="63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D214" s="1"/>
      <c r="E214" s="1"/>
      <c r="F214" s="61"/>
      <c r="G214" s="63"/>
      <c r="H214" s="63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1"/>
      <c r="G215" s="63"/>
      <c r="H215" s="63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2"/>
      <c r="D216" s="81"/>
      <c r="E216" s="81"/>
      <c r="F216" s="81"/>
      <c r="G216" s="81"/>
      <c r="H216" s="63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1"/>
      <c r="G217" s="63"/>
      <c r="H217" s="63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1"/>
      <c r="G218" s="63"/>
      <c r="H218" s="63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1"/>
      <c r="G219" s="63"/>
      <c r="H219" s="63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1"/>
      <c r="G220" s="63"/>
      <c r="H220" s="63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1"/>
      <c r="G221" s="63"/>
      <c r="H221" s="63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1"/>
      <c r="G222" s="63"/>
      <c r="H222" s="63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1"/>
      <c r="G223" s="63"/>
      <c r="H223" s="63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1"/>
      <c r="G224" s="63"/>
      <c r="H224" s="63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1"/>
      <c r="G225" s="63"/>
      <c r="H225" s="63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1"/>
      <c r="G226" s="63"/>
      <c r="H226" s="63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1"/>
      <c r="G227" s="63"/>
      <c r="H227" s="63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84" t="s">
        <v>302</v>
      </c>
      <c r="D228" s="1"/>
      <c r="E228" s="1"/>
      <c r="F228" s="61"/>
      <c r="G228" s="63"/>
      <c r="H228" s="63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1"/>
      <c r="G229" s="63"/>
      <c r="H229" s="63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1"/>
      <c r="G230" s="63"/>
      <c r="H230" s="63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1"/>
      <c r="G231" s="63"/>
      <c r="H231" s="63"/>
      <c r="I231" s="6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1"/>
      <c r="G232" s="63"/>
      <c r="H232" s="63"/>
      <c r="I232" s="61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1"/>
      <c r="G233" s="63"/>
      <c r="H233" s="63"/>
      <c r="I233" s="6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1"/>
      <c r="G234" s="63"/>
      <c r="H234" s="63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1"/>
      <c r="G235" s="63"/>
      <c r="H235" s="63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1"/>
      <c r="G236" s="63"/>
      <c r="H236" s="63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1"/>
      <c r="G237" s="63"/>
      <c r="H237" s="63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1"/>
      <c r="G238" s="63"/>
      <c r="H238" s="63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1"/>
      <c r="G239" s="63"/>
      <c r="H239" s="63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1"/>
      <c r="G240" s="63"/>
      <c r="H240" s="63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1"/>
      <c r="G241" s="63"/>
      <c r="H241" s="63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1"/>
      <c r="G242" s="63"/>
      <c r="H242" s="63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1"/>
      <c r="G243" s="63"/>
      <c r="H243" s="63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1"/>
      <c r="G244" s="63"/>
      <c r="H244" s="63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1"/>
      <c r="G245" s="63"/>
      <c r="H245" s="63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1"/>
      <c r="G246" s="63"/>
      <c r="H246" s="63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3"/>
      <c r="H247" s="63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3"/>
      <c r="H248" s="63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3"/>
      <c r="H249" s="63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3"/>
      <c r="H250" s="63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3"/>
      <c r="H251" s="63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3"/>
      <c r="H252" s="63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3"/>
      <c r="H253" s="63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3"/>
      <c r="H254" s="63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1"/>
      <c r="G255" s="63"/>
      <c r="H255" s="63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1"/>
      <c r="G256" s="63"/>
      <c r="H256" s="63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1"/>
      <c r="G257" s="63"/>
      <c r="H257" s="63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1"/>
      <c r="G258" s="63"/>
      <c r="H258" s="63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1"/>
      <c r="G259" s="63"/>
      <c r="H259" s="63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1"/>
      <c r="G260" s="63"/>
      <c r="H260" s="63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1"/>
      <c r="G261" s="63"/>
      <c r="H261" s="63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1"/>
      <c r="G262" s="63"/>
      <c r="H262" s="63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1"/>
      <c r="G263" s="63"/>
      <c r="H263" s="63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1"/>
      <c r="G264" s="63"/>
      <c r="H264" s="63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1"/>
      <c r="G265" s="63"/>
      <c r="H265" s="63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1"/>
      <c r="G266" s="63"/>
      <c r="H266" s="63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1"/>
      <c r="G267" s="63"/>
      <c r="H267" s="63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1"/>
      <c r="G268" s="63"/>
      <c r="H268" s="63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1"/>
      <c r="G269" s="63"/>
      <c r="H269" s="63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3"/>
      <c r="H270" s="63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3"/>
      <c r="H271" s="63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3"/>
      <c r="H272" s="63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3"/>
      <c r="H273" s="63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3"/>
      <c r="H274" s="63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3"/>
      <c r="H275" s="63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3"/>
      <c r="H276" s="63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3"/>
      <c r="H277" s="63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3"/>
      <c r="H278" s="63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1"/>
      <c r="G279" s="63"/>
      <c r="H279" s="63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3"/>
      <c r="H280" s="63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3"/>
      <c r="H281" s="63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3"/>
      <c r="H282" s="63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1"/>
      <c r="G283" s="63"/>
      <c r="H283" s="63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3"/>
      <c r="H284" s="63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1"/>
      <c r="G285" s="63"/>
      <c r="H285" s="63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1"/>
      <c r="G286" s="63"/>
      <c r="H286" s="63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1"/>
      <c r="G287" s="63"/>
      <c r="H287" s="63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1"/>
      <c r="G288" s="63"/>
      <c r="H288" s="63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1"/>
      <c r="G289" s="63"/>
      <c r="H289" s="63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3"/>
      <c r="H290" s="63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3"/>
      <c r="H291" s="63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3"/>
      <c r="H292" s="63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3"/>
      <c r="H293" s="63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3"/>
      <c r="H294" s="63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3"/>
      <c r="H295" s="63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3"/>
      <c r="H296" s="63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3"/>
      <c r="H297" s="63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3"/>
      <c r="H298" s="63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3"/>
      <c r="H299" s="63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3"/>
      <c r="H300" s="63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3"/>
      <c r="H301" s="63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3"/>
      <c r="H302" s="63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3"/>
      <c r="H303" s="63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3"/>
      <c r="H304" s="63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3"/>
      <c r="H305" s="63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3"/>
      <c r="H306" s="63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3"/>
      <c r="H307" s="63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3"/>
      <c r="H308" s="63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3"/>
      <c r="H309" s="63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3"/>
      <c r="H310" s="63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3"/>
      <c r="H311" s="63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3"/>
      <c r="H312" s="63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3"/>
      <c r="H313" s="63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3"/>
      <c r="H314" s="63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3"/>
      <c r="H315" s="63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3"/>
      <c r="H316" s="63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3"/>
      <c r="H317" s="63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3"/>
      <c r="H318" s="63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3"/>
      <c r="H319" s="63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3"/>
      <c r="H320" s="63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3"/>
      <c r="H321" s="63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3"/>
      <c r="H322" s="63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3"/>
      <c r="H323" s="63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3"/>
      <c r="H324" s="63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3"/>
      <c r="H325" s="63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3"/>
      <c r="H326" s="63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3"/>
      <c r="H327" s="63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3"/>
      <c r="H328" s="63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3"/>
      <c r="H329" s="63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3"/>
      <c r="H330" s="63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3"/>
      <c r="H331" s="63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3"/>
      <c r="H332" s="63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3"/>
      <c r="H333" s="63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3"/>
      <c r="H334" s="63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3"/>
      <c r="H335" s="63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3"/>
      <c r="H336" s="63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3"/>
      <c r="H337" s="63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3"/>
      <c r="H338" s="63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3"/>
      <c r="H339" s="63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3"/>
      <c r="H340" s="63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3"/>
      <c r="H341" s="63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3"/>
      <c r="H342" s="63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3"/>
      <c r="H343" s="63"/>
      <c r="I343" s="6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1"/>
      <c r="G344" s="63"/>
      <c r="H344" s="63"/>
      <c r="I344" s="6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3"/>
      <c r="H345" s="63"/>
      <c r="I345" s="6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3"/>
      <c r="H346" s="63"/>
      <c r="I346" s="6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3"/>
      <c r="H347" s="63"/>
      <c r="I347" s="6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3"/>
      <c r="H348" s="63"/>
      <c r="I348" s="6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3"/>
      <c r="H349" s="63"/>
      <c r="I349" s="6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3"/>
      <c r="H350" s="63"/>
      <c r="I350" s="6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3"/>
      <c r="H351" s="63"/>
      <c r="I351" s="6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3"/>
      <c r="H352" s="63"/>
      <c r="I352" s="6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3"/>
      <c r="H353" s="63"/>
      <c r="I353" s="6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3"/>
      <c r="H354" s="63"/>
      <c r="I354" s="6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3"/>
      <c r="H355" s="63"/>
      <c r="I355" s="6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3"/>
      <c r="H356" s="63"/>
      <c r="I356" s="6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3"/>
      <c r="H357" s="63"/>
      <c r="I357" s="6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3"/>
      <c r="H358" s="63"/>
      <c r="I358" s="6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3"/>
      <c r="H359" s="63"/>
      <c r="I359" s="6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3"/>
      <c r="H360" s="63"/>
      <c r="I360" s="6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3"/>
      <c r="H361" s="63"/>
      <c r="I361" s="6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3"/>
      <c r="H362" s="63"/>
      <c r="I362" s="6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1"/>
      <c r="G363" s="63"/>
      <c r="H363" s="63"/>
      <c r="I363" s="6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3"/>
      <c r="H364" s="63"/>
      <c r="I364" s="6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3"/>
      <c r="H365" s="63"/>
      <c r="I365" s="6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3"/>
      <c r="H366" s="63"/>
      <c r="I366" s="6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3"/>
      <c r="H367" s="63"/>
      <c r="I367" s="6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3"/>
      <c r="H368" s="63"/>
      <c r="I368" s="6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3"/>
      <c r="H369" s="63"/>
      <c r="I369" s="6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3"/>
      <c r="H370" s="63"/>
      <c r="I370" s="6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3"/>
      <c r="H371" s="63"/>
      <c r="I371" s="6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3"/>
      <c r="H372" s="63"/>
      <c r="I372" s="6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3"/>
      <c r="H373" s="63"/>
      <c r="I373" s="6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3"/>
      <c r="H374" s="63"/>
      <c r="I374" s="6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3"/>
      <c r="H375" s="63"/>
      <c r="I375" s="6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3"/>
      <c r="H376" s="63"/>
      <c r="I376" s="6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3"/>
      <c r="H377" s="63"/>
      <c r="I377" s="6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3"/>
      <c r="H378" s="63"/>
      <c r="I378" s="6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3"/>
      <c r="H379" s="63"/>
      <c r="I379" s="6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3"/>
      <c r="H380" s="63"/>
      <c r="I380" s="6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3"/>
      <c r="H381" s="63"/>
      <c r="I381" s="6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3"/>
      <c r="H382" s="63"/>
      <c r="I382" s="6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3"/>
      <c r="H383" s="63"/>
      <c r="I383" s="6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3"/>
      <c r="H384" s="63"/>
      <c r="I384" s="6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3"/>
      <c r="H385" s="63"/>
      <c r="I385" s="6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3"/>
      <c r="H386" s="63"/>
      <c r="I386" s="6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3"/>
      <c r="H387" s="63"/>
      <c r="I387" s="6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3"/>
      <c r="H388" s="63"/>
      <c r="I388" s="6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3"/>
      <c r="H389" s="63"/>
      <c r="I389" s="6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3"/>
      <c r="H390" s="63"/>
      <c r="I390" s="6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3"/>
      <c r="H391" s="63"/>
      <c r="I391" s="6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3"/>
      <c r="H392" s="63"/>
      <c r="I392" s="6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3"/>
      <c r="H393" s="63"/>
      <c r="I393" s="6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3"/>
      <c r="H394" s="63"/>
      <c r="I394" s="6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3"/>
      <c r="H395" s="63"/>
      <c r="I395" s="6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3"/>
      <c r="H396" s="63"/>
      <c r="I396" s="6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3"/>
      <c r="H397" s="63"/>
      <c r="I397" s="6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3"/>
      <c r="H398" s="63"/>
      <c r="I398" s="6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3"/>
      <c r="H399" s="63"/>
      <c r="I399" s="6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3"/>
      <c r="H400" s="63"/>
      <c r="I400" s="6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3"/>
      <c r="H401" s="63"/>
      <c r="I401" s="6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3"/>
      <c r="H402" s="63"/>
      <c r="I402" s="6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3"/>
      <c r="H403" s="63"/>
      <c r="I403" s="6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3"/>
      <c r="H404" s="63"/>
      <c r="I404" s="6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3"/>
      <c r="H405" s="63"/>
      <c r="I405" s="6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3"/>
      <c r="H406" s="63"/>
      <c r="I406" s="6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3"/>
      <c r="H407" s="63"/>
      <c r="I407" s="6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3"/>
      <c r="H408" s="63"/>
      <c r="I408" s="6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3"/>
      <c r="H409" s="63"/>
      <c r="I409" s="6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3"/>
      <c r="H410" s="63"/>
      <c r="I410" s="6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3"/>
      <c r="H411" s="63"/>
      <c r="I411" s="6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3"/>
      <c r="H412" s="63"/>
      <c r="I412" s="6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3"/>
      <c r="H413" s="63"/>
      <c r="I413" s="6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3"/>
      <c r="H414" s="63"/>
      <c r="I414" s="6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3"/>
      <c r="H415" s="63"/>
      <c r="I415" s="6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3"/>
      <c r="H416" s="63"/>
      <c r="I416" s="6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37"/>
      <c r="B417" s="37"/>
      <c r="C417" s="59"/>
      <c r="D417" s="59"/>
      <c r="E417" s="59"/>
      <c r="F417" s="59"/>
      <c r="G417" s="59"/>
      <c r="H417" s="59"/>
      <c r="I417" s="59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 ht="15.75" customHeight="1" x14ac:dyDescent="0.5">
      <c r="A418" s="37"/>
      <c r="B418" s="37"/>
      <c r="C418" s="59"/>
      <c r="D418" s="59"/>
      <c r="E418" s="59"/>
      <c r="F418" s="59"/>
      <c r="G418" s="59"/>
      <c r="H418" s="59"/>
      <c r="I418" s="59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 ht="15.75" customHeight="1" x14ac:dyDescent="0.5">
      <c r="A419" s="37"/>
      <c r="B419" s="37"/>
      <c r="C419" s="59"/>
      <c r="D419" s="59"/>
      <c r="E419" s="59"/>
      <c r="F419" s="59"/>
      <c r="G419" s="59"/>
      <c r="H419" s="59"/>
      <c r="I419" s="59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 ht="15.75" customHeight="1" x14ac:dyDescent="0.5">
      <c r="A420" s="37"/>
      <c r="B420" s="37"/>
      <c r="C420" s="59"/>
      <c r="D420" s="59"/>
      <c r="E420" s="59"/>
      <c r="F420" s="59"/>
      <c r="G420" s="59"/>
      <c r="H420" s="59"/>
      <c r="I420" s="59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 ht="15.75" customHeight="1" x14ac:dyDescent="0.5">
      <c r="A421" s="37"/>
      <c r="B421" s="37"/>
      <c r="C421" s="59"/>
      <c r="D421" s="59"/>
      <c r="E421" s="59"/>
      <c r="F421" s="59"/>
      <c r="G421" s="59"/>
      <c r="H421" s="59"/>
      <c r="I421" s="59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 ht="15.75" customHeight="1" x14ac:dyDescent="0.5">
      <c r="A422" s="37"/>
      <c r="B422" s="37"/>
      <c r="C422" s="59"/>
      <c r="D422" s="59"/>
      <c r="E422" s="59"/>
      <c r="F422" s="59"/>
      <c r="G422" s="59"/>
      <c r="H422" s="59"/>
      <c r="I422" s="59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 ht="15.75" customHeight="1" x14ac:dyDescent="0.5">
      <c r="A423" s="37"/>
      <c r="B423" s="37"/>
      <c r="C423" s="59"/>
      <c r="D423" s="59"/>
      <c r="E423" s="59"/>
      <c r="F423" s="59"/>
      <c r="G423" s="59"/>
      <c r="H423" s="59"/>
      <c r="I423" s="59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 ht="15.75" customHeight="1" x14ac:dyDescent="0.5">
      <c r="A424" s="37"/>
      <c r="B424" s="37"/>
      <c r="C424" s="59"/>
      <c r="D424" s="59"/>
      <c r="E424" s="59"/>
      <c r="F424" s="59"/>
      <c r="G424" s="59"/>
      <c r="H424" s="59"/>
      <c r="I424" s="59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 ht="15.75" customHeight="1" x14ac:dyDescent="0.5">
      <c r="A425" s="37"/>
      <c r="B425" s="37"/>
      <c r="C425" s="59"/>
      <c r="D425" s="59"/>
      <c r="E425" s="59"/>
      <c r="F425" s="59"/>
      <c r="G425" s="59"/>
      <c r="H425" s="59"/>
      <c r="I425" s="59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 ht="15.75" customHeight="1" x14ac:dyDescent="0.5">
      <c r="A426" s="37"/>
      <c r="B426" s="37"/>
      <c r="C426" s="59"/>
      <c r="D426" s="59"/>
      <c r="E426" s="59"/>
      <c r="F426" s="59"/>
      <c r="G426" s="59"/>
      <c r="H426" s="59"/>
      <c r="I426" s="59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 ht="15.75" customHeight="1" x14ac:dyDescent="0.5">
      <c r="A427" s="37"/>
      <c r="B427" s="37"/>
      <c r="C427" s="59"/>
      <c r="D427" s="59"/>
      <c r="E427" s="59"/>
      <c r="F427" s="59"/>
      <c r="G427" s="59"/>
      <c r="H427" s="59"/>
      <c r="I427" s="59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 ht="15.75" customHeight="1" x14ac:dyDescent="0.5">
      <c r="A428" s="37"/>
      <c r="B428" s="37"/>
      <c r="C428" s="59"/>
      <c r="D428" s="59"/>
      <c r="E428" s="59"/>
      <c r="F428" s="59"/>
      <c r="G428" s="59"/>
      <c r="H428" s="59"/>
      <c r="I428" s="59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 ht="15.75" customHeight="1" x14ac:dyDescent="0.5">
      <c r="A429" s="37"/>
      <c r="B429" s="37"/>
      <c r="C429" s="59"/>
      <c r="D429" s="59"/>
      <c r="E429" s="59"/>
      <c r="F429" s="59"/>
      <c r="G429" s="59"/>
      <c r="H429" s="59"/>
      <c r="I429" s="59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 ht="15.75" customHeight="1" x14ac:dyDescent="0.5">
      <c r="A430" s="37"/>
      <c r="B430" s="37"/>
      <c r="C430" s="59"/>
      <c r="D430" s="59"/>
      <c r="E430" s="59"/>
      <c r="F430" s="59"/>
      <c r="G430" s="59"/>
      <c r="H430" s="59"/>
      <c r="I430" s="59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 ht="15.75" customHeight="1" x14ac:dyDescent="0.5">
      <c r="A431" s="37"/>
      <c r="B431" s="37"/>
      <c r="C431" s="59"/>
      <c r="D431" s="59"/>
      <c r="E431" s="59"/>
      <c r="F431" s="59"/>
      <c r="G431" s="59"/>
      <c r="H431" s="59"/>
      <c r="I431" s="59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 ht="15.75" customHeight="1" x14ac:dyDescent="0.5">
      <c r="A432" s="37"/>
      <c r="B432" s="37"/>
      <c r="C432" s="59"/>
      <c r="D432" s="59"/>
      <c r="E432" s="59"/>
      <c r="F432" s="59"/>
      <c r="G432" s="59"/>
      <c r="H432" s="59"/>
      <c r="I432" s="59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 ht="15.75" customHeight="1" x14ac:dyDescent="0.5">
      <c r="A433" s="37"/>
      <c r="B433" s="37"/>
      <c r="C433" s="59"/>
      <c r="D433" s="59"/>
      <c r="E433" s="59"/>
      <c r="F433" s="59"/>
      <c r="G433" s="59"/>
      <c r="H433" s="59"/>
      <c r="I433" s="59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 ht="15.75" customHeight="1" x14ac:dyDescent="0.5">
      <c r="A434" s="37"/>
      <c r="B434" s="37"/>
      <c r="C434" s="59"/>
      <c r="D434" s="59"/>
      <c r="E434" s="59"/>
      <c r="F434" s="59"/>
      <c r="G434" s="59"/>
      <c r="H434" s="59"/>
      <c r="I434" s="59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 ht="15.75" customHeight="1" x14ac:dyDescent="0.5">
      <c r="A435" s="37"/>
      <c r="B435" s="37"/>
      <c r="C435" s="59"/>
      <c r="D435" s="59"/>
      <c r="E435" s="59"/>
      <c r="F435" s="59"/>
      <c r="G435" s="59"/>
      <c r="H435" s="59"/>
      <c r="I435" s="59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 ht="15.75" customHeight="1" x14ac:dyDescent="0.5">
      <c r="A436" s="37"/>
      <c r="B436" s="37"/>
      <c r="C436" s="59"/>
      <c r="D436" s="59"/>
      <c r="E436" s="59"/>
      <c r="F436" s="59"/>
      <c r="G436" s="59"/>
      <c r="H436" s="59"/>
      <c r="I436" s="59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 ht="15.75" customHeight="1" x14ac:dyDescent="0.5">
      <c r="A437" s="37"/>
      <c r="B437" s="37"/>
      <c r="C437" s="59"/>
      <c r="D437" s="59"/>
      <c r="E437" s="59"/>
      <c r="F437" s="59"/>
      <c r="G437" s="59"/>
      <c r="H437" s="59"/>
      <c r="I437" s="59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 ht="15.75" customHeight="1" x14ac:dyDescent="0.5">
      <c r="A438" s="37"/>
      <c r="B438" s="37"/>
      <c r="C438" s="59"/>
      <c r="D438" s="59"/>
      <c r="E438" s="59"/>
      <c r="F438" s="59"/>
      <c r="G438" s="59"/>
      <c r="H438" s="59"/>
      <c r="I438" s="59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 ht="15.75" customHeight="1" x14ac:dyDescent="0.5">
      <c r="A439" s="37"/>
      <c r="B439" s="37"/>
      <c r="C439" s="59"/>
      <c r="D439" s="59"/>
      <c r="E439" s="59"/>
      <c r="F439" s="59"/>
      <c r="G439" s="59"/>
      <c r="H439" s="59"/>
      <c r="I439" s="59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 ht="15.75" customHeight="1" x14ac:dyDescent="0.5">
      <c r="A440" s="37"/>
      <c r="B440" s="37"/>
      <c r="C440" s="59"/>
      <c r="D440" s="59"/>
      <c r="E440" s="59"/>
      <c r="F440" s="59"/>
      <c r="G440" s="59"/>
      <c r="H440" s="59"/>
      <c r="I440" s="59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 ht="15.75" customHeight="1" x14ac:dyDescent="0.5">
      <c r="A441" s="37"/>
      <c r="B441" s="37"/>
      <c r="C441" s="59"/>
      <c r="D441" s="59"/>
      <c r="E441" s="59"/>
      <c r="F441" s="59"/>
      <c r="G441" s="59"/>
      <c r="H441" s="59"/>
      <c r="I441" s="59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 ht="15.75" customHeight="1" x14ac:dyDescent="0.5">
      <c r="A442" s="37"/>
      <c r="B442" s="37"/>
      <c r="C442" s="59"/>
      <c r="D442" s="59"/>
      <c r="E442" s="59"/>
      <c r="F442" s="59"/>
      <c r="G442" s="59"/>
      <c r="H442" s="59"/>
      <c r="I442" s="59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 ht="15.75" customHeight="1" x14ac:dyDescent="0.5">
      <c r="A443" s="37"/>
      <c r="B443" s="37"/>
      <c r="C443" s="59"/>
      <c r="D443" s="59"/>
      <c r="E443" s="59"/>
      <c r="F443" s="59"/>
      <c r="G443" s="59"/>
      <c r="H443" s="59"/>
      <c r="I443" s="59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 ht="15.75" customHeight="1" x14ac:dyDescent="0.5">
      <c r="A444" s="37"/>
      <c r="B444" s="37"/>
      <c r="C444" s="59"/>
      <c r="D444" s="59"/>
      <c r="E444" s="59"/>
      <c r="F444" s="59"/>
      <c r="G444" s="59"/>
      <c r="H444" s="59"/>
      <c r="I444" s="59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 ht="15.75" customHeight="1" x14ac:dyDescent="0.5">
      <c r="A445" s="37"/>
      <c r="B445" s="37"/>
      <c r="C445" s="59"/>
      <c r="D445" s="59"/>
      <c r="E445" s="59"/>
      <c r="F445" s="59"/>
      <c r="G445" s="59"/>
      <c r="H445" s="59"/>
      <c r="I445" s="59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 ht="15.75" customHeight="1" x14ac:dyDescent="0.5">
      <c r="A446" s="37"/>
      <c r="B446" s="37"/>
      <c r="C446" s="59"/>
      <c r="D446" s="59"/>
      <c r="E446" s="59"/>
      <c r="F446" s="59"/>
      <c r="G446" s="59"/>
      <c r="H446" s="59"/>
      <c r="I446" s="59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 ht="15.75" customHeight="1" x14ac:dyDescent="0.5">
      <c r="A447" s="37"/>
      <c r="B447" s="37"/>
      <c r="C447" s="59"/>
      <c r="D447" s="59"/>
      <c r="E447" s="59"/>
      <c r="F447" s="59"/>
      <c r="G447" s="59"/>
      <c r="H447" s="59"/>
      <c r="I447" s="59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 ht="15.75" customHeight="1" x14ac:dyDescent="0.5">
      <c r="A448" s="37"/>
      <c r="B448" s="37"/>
      <c r="C448" s="59"/>
      <c r="D448" s="59"/>
      <c r="E448" s="59"/>
      <c r="F448" s="59"/>
      <c r="G448" s="59"/>
      <c r="H448" s="59"/>
      <c r="I448" s="59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 ht="15.75" customHeight="1" x14ac:dyDescent="0.5">
      <c r="A449" s="37"/>
      <c r="B449" s="37"/>
      <c r="C449" s="59"/>
      <c r="D449" s="59"/>
      <c r="E449" s="59"/>
      <c r="F449" s="59"/>
      <c r="G449" s="59"/>
      <c r="H449" s="59"/>
      <c r="I449" s="59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 ht="15.75" customHeight="1" x14ac:dyDescent="0.5">
      <c r="A450" s="37"/>
      <c r="B450" s="37"/>
      <c r="C450" s="59"/>
      <c r="D450" s="59"/>
      <c r="E450" s="59"/>
      <c r="F450" s="59"/>
      <c r="G450" s="59"/>
      <c r="H450" s="59"/>
      <c r="I450" s="59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 ht="15.75" customHeight="1" x14ac:dyDescent="0.5">
      <c r="A451" s="37"/>
      <c r="B451" s="37"/>
      <c r="C451" s="59"/>
      <c r="D451" s="59"/>
      <c r="E451" s="59"/>
      <c r="F451" s="59"/>
      <c r="G451" s="59"/>
      <c r="H451" s="59"/>
      <c r="I451" s="59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 ht="15.75" customHeight="1" x14ac:dyDescent="0.5">
      <c r="A452" s="37"/>
      <c r="B452" s="37"/>
      <c r="C452" s="59"/>
      <c r="D452" s="59"/>
      <c r="E452" s="59"/>
      <c r="F452" s="59"/>
      <c r="G452" s="59"/>
      <c r="H452" s="59"/>
      <c r="I452" s="59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 ht="15.75" customHeight="1" x14ac:dyDescent="0.5">
      <c r="A453" s="37"/>
      <c r="B453" s="37"/>
      <c r="C453" s="59"/>
      <c r="D453" s="59"/>
      <c r="E453" s="59"/>
      <c r="F453" s="59"/>
      <c r="G453" s="59"/>
      <c r="H453" s="59"/>
      <c r="I453" s="59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 ht="15.75" customHeight="1" x14ac:dyDescent="0.5">
      <c r="A454" s="37"/>
      <c r="B454" s="37"/>
      <c r="C454" s="59"/>
      <c r="D454" s="59"/>
      <c r="E454" s="59"/>
      <c r="F454" s="59"/>
      <c r="G454" s="59"/>
      <c r="H454" s="59"/>
      <c r="I454" s="59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 ht="15.75" customHeight="1" x14ac:dyDescent="0.5">
      <c r="A455" s="37"/>
      <c r="B455" s="37"/>
      <c r="C455" s="59"/>
      <c r="D455" s="59"/>
      <c r="E455" s="59"/>
      <c r="F455" s="59"/>
      <c r="G455" s="59"/>
      <c r="H455" s="59"/>
      <c r="I455" s="59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 ht="15.75" customHeight="1" x14ac:dyDescent="0.5">
      <c r="A456" s="37"/>
      <c r="B456" s="37"/>
      <c r="C456" s="59"/>
      <c r="D456" s="59"/>
      <c r="E456" s="59"/>
      <c r="F456" s="59"/>
      <c r="G456" s="59"/>
      <c r="H456" s="59"/>
      <c r="I456" s="59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 ht="15.75" customHeight="1" x14ac:dyDescent="0.5">
      <c r="A457" s="37"/>
      <c r="B457" s="37"/>
      <c r="C457" s="59"/>
      <c r="D457" s="59"/>
      <c r="E457" s="59"/>
      <c r="F457" s="59"/>
      <c r="G457" s="59"/>
      <c r="H457" s="59"/>
      <c r="I457" s="59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 ht="15.75" customHeight="1" x14ac:dyDescent="0.5">
      <c r="A458" s="37"/>
      <c r="B458" s="37"/>
      <c r="C458" s="59"/>
      <c r="D458" s="59"/>
      <c r="E458" s="59"/>
      <c r="F458" s="59"/>
      <c r="G458" s="59"/>
      <c r="H458" s="59"/>
      <c r="I458" s="59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 ht="15.75" customHeight="1" x14ac:dyDescent="0.5">
      <c r="A459" s="37"/>
      <c r="B459" s="37"/>
      <c r="C459" s="59"/>
      <c r="D459" s="59"/>
      <c r="E459" s="59"/>
      <c r="F459" s="59"/>
      <c r="G459" s="59"/>
      <c r="H459" s="59"/>
      <c r="I459" s="59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 ht="15.75" customHeight="1" x14ac:dyDescent="0.5">
      <c r="A460" s="37"/>
      <c r="B460" s="37"/>
      <c r="C460" s="59"/>
      <c r="D460" s="59"/>
      <c r="E460" s="59"/>
      <c r="F460" s="59"/>
      <c r="G460" s="59"/>
      <c r="H460" s="59"/>
      <c r="I460" s="59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 ht="15.75" customHeight="1" x14ac:dyDescent="0.5">
      <c r="A461" s="37"/>
      <c r="B461" s="37"/>
      <c r="C461" s="59"/>
      <c r="D461" s="59"/>
      <c r="E461" s="59"/>
      <c r="F461" s="59"/>
      <c r="G461" s="59"/>
      <c r="H461" s="59"/>
      <c r="I461" s="59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 ht="15.75" customHeight="1" x14ac:dyDescent="0.5">
      <c r="A462" s="37"/>
      <c r="B462" s="37"/>
      <c r="C462" s="59"/>
      <c r="D462" s="59"/>
      <c r="E462" s="59"/>
      <c r="F462" s="59"/>
      <c r="G462" s="59"/>
      <c r="H462" s="59"/>
      <c r="I462" s="59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5.75" customHeight="1" x14ac:dyDescent="0.5">
      <c r="A463" s="37"/>
      <c r="B463" s="37"/>
      <c r="C463" s="59"/>
      <c r="D463" s="59"/>
      <c r="E463" s="59"/>
      <c r="F463" s="59"/>
      <c r="G463" s="59"/>
      <c r="H463" s="59"/>
      <c r="I463" s="59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5.75" customHeight="1" x14ac:dyDescent="0.5">
      <c r="A464" s="37"/>
      <c r="B464" s="37"/>
      <c r="C464" s="59"/>
      <c r="D464" s="59"/>
      <c r="E464" s="59"/>
      <c r="F464" s="59"/>
      <c r="G464" s="59"/>
      <c r="H464" s="59"/>
      <c r="I464" s="59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5.75" customHeight="1" x14ac:dyDescent="0.5">
      <c r="A465" s="37"/>
      <c r="B465" s="37"/>
      <c r="C465" s="59"/>
      <c r="D465" s="59"/>
      <c r="E465" s="59"/>
      <c r="F465" s="59"/>
      <c r="G465" s="59"/>
      <c r="H465" s="59"/>
      <c r="I465" s="59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5.75" customHeight="1" x14ac:dyDescent="0.5">
      <c r="A466" s="37"/>
      <c r="B466" s="37"/>
      <c r="C466" s="59"/>
      <c r="D466" s="59"/>
      <c r="E466" s="59"/>
      <c r="F466" s="59"/>
      <c r="G466" s="59"/>
      <c r="H466" s="59"/>
      <c r="I466" s="59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5.75" customHeight="1" x14ac:dyDescent="0.5">
      <c r="A467" s="37"/>
      <c r="B467" s="37"/>
      <c r="C467" s="59"/>
      <c r="D467" s="59"/>
      <c r="E467" s="59"/>
      <c r="F467" s="59"/>
      <c r="G467" s="59"/>
      <c r="H467" s="59"/>
      <c r="I467" s="59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5.75" customHeight="1" x14ac:dyDescent="0.5">
      <c r="A468" s="37"/>
      <c r="B468" s="37"/>
      <c r="C468" s="59"/>
      <c r="D468" s="59"/>
      <c r="E468" s="59"/>
      <c r="F468" s="59"/>
      <c r="G468" s="59"/>
      <c r="H468" s="59"/>
      <c r="I468" s="59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5.75" customHeight="1" x14ac:dyDescent="0.5">
      <c r="A469" s="37"/>
      <c r="B469" s="37"/>
      <c r="C469" s="59"/>
      <c r="D469" s="59"/>
      <c r="E469" s="59"/>
      <c r="F469" s="59"/>
      <c r="G469" s="59"/>
      <c r="H469" s="59"/>
      <c r="I469" s="59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5.75" customHeight="1" x14ac:dyDescent="0.5">
      <c r="A470" s="37"/>
      <c r="B470" s="37"/>
      <c r="C470" s="59"/>
      <c r="D470" s="59"/>
      <c r="E470" s="59"/>
      <c r="F470" s="59"/>
      <c r="G470" s="59"/>
      <c r="H470" s="59"/>
      <c r="I470" s="59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5.75" customHeight="1" x14ac:dyDescent="0.5">
      <c r="A471" s="37"/>
      <c r="B471" s="37"/>
      <c r="C471" s="59"/>
      <c r="D471" s="59"/>
      <c r="E471" s="59"/>
      <c r="F471" s="59"/>
      <c r="G471" s="59"/>
      <c r="H471" s="59"/>
      <c r="I471" s="59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5.75" customHeight="1" x14ac:dyDescent="0.5">
      <c r="A472" s="37"/>
      <c r="B472" s="37"/>
      <c r="C472" s="59"/>
      <c r="D472" s="59"/>
      <c r="E472" s="59"/>
      <c r="F472" s="59"/>
      <c r="G472" s="59"/>
      <c r="H472" s="59"/>
      <c r="I472" s="59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5.75" customHeight="1" x14ac:dyDescent="0.5">
      <c r="A473" s="37"/>
      <c r="B473" s="37"/>
      <c r="C473" s="59"/>
      <c r="D473" s="59"/>
      <c r="E473" s="59"/>
      <c r="F473" s="59"/>
      <c r="G473" s="59"/>
      <c r="H473" s="59"/>
      <c r="I473" s="59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5.75" customHeight="1" x14ac:dyDescent="0.5">
      <c r="A474" s="37"/>
      <c r="B474" s="37"/>
      <c r="C474" s="59"/>
      <c r="D474" s="59"/>
      <c r="E474" s="59"/>
      <c r="F474" s="59"/>
      <c r="G474" s="59"/>
      <c r="H474" s="59"/>
      <c r="I474" s="59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5.75" customHeight="1" x14ac:dyDescent="0.5">
      <c r="A475" s="37"/>
      <c r="B475" s="37"/>
      <c r="C475" s="59"/>
      <c r="D475" s="59"/>
      <c r="E475" s="59"/>
      <c r="F475" s="59"/>
      <c r="G475" s="59"/>
      <c r="H475" s="59"/>
      <c r="I475" s="59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5.75" customHeight="1" x14ac:dyDescent="0.5">
      <c r="A476" s="37"/>
      <c r="B476" s="37"/>
      <c r="C476" s="59"/>
      <c r="D476" s="59"/>
      <c r="E476" s="59"/>
      <c r="F476" s="59"/>
      <c r="G476" s="59"/>
      <c r="H476" s="59"/>
      <c r="I476" s="59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5.75" customHeight="1" x14ac:dyDescent="0.5">
      <c r="A477" s="37"/>
      <c r="B477" s="37"/>
      <c r="C477" s="59"/>
      <c r="D477" s="59"/>
      <c r="E477" s="59"/>
      <c r="F477" s="59"/>
      <c r="G477" s="59"/>
      <c r="H477" s="59"/>
      <c r="I477" s="59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5.75" customHeight="1" x14ac:dyDescent="0.5">
      <c r="A478" s="37"/>
      <c r="B478" s="37"/>
      <c r="C478" s="59"/>
      <c r="D478" s="59"/>
      <c r="E478" s="59"/>
      <c r="F478" s="59"/>
      <c r="G478" s="59"/>
      <c r="H478" s="59"/>
      <c r="I478" s="59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5.75" customHeight="1" x14ac:dyDescent="0.5">
      <c r="A479" s="37"/>
      <c r="B479" s="37"/>
      <c r="C479" s="59"/>
      <c r="D479" s="59"/>
      <c r="E479" s="59"/>
      <c r="F479" s="59"/>
      <c r="G479" s="59"/>
      <c r="H479" s="59"/>
      <c r="I479" s="59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5.75" customHeight="1" x14ac:dyDescent="0.5">
      <c r="A480" s="37"/>
      <c r="B480" s="37"/>
      <c r="C480" s="59"/>
      <c r="D480" s="59"/>
      <c r="E480" s="59"/>
      <c r="F480" s="59"/>
      <c r="G480" s="59"/>
      <c r="H480" s="59"/>
      <c r="I480" s="59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5.75" customHeight="1" x14ac:dyDescent="0.5">
      <c r="A481" s="37"/>
      <c r="B481" s="37"/>
      <c r="C481" s="59"/>
      <c r="D481" s="59"/>
      <c r="E481" s="59"/>
      <c r="F481" s="59"/>
      <c r="G481" s="59"/>
      <c r="H481" s="59"/>
      <c r="I481" s="59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5.75" customHeight="1" x14ac:dyDescent="0.5">
      <c r="A482" s="37"/>
      <c r="B482" s="37"/>
      <c r="C482" s="59"/>
      <c r="D482" s="59"/>
      <c r="E482" s="59"/>
      <c r="F482" s="59"/>
      <c r="G482" s="59"/>
      <c r="H482" s="59"/>
      <c r="I482" s="59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5.75" customHeight="1" x14ac:dyDescent="0.5">
      <c r="A483" s="37"/>
      <c r="B483" s="37"/>
      <c r="C483" s="59"/>
      <c r="D483" s="59"/>
      <c r="E483" s="59"/>
      <c r="F483" s="59"/>
      <c r="G483" s="59"/>
      <c r="H483" s="59"/>
      <c r="I483" s="59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5.75" customHeight="1" x14ac:dyDescent="0.5">
      <c r="A484" s="37"/>
      <c r="B484" s="37"/>
      <c r="C484" s="59"/>
      <c r="D484" s="59"/>
      <c r="E484" s="59"/>
      <c r="F484" s="59"/>
      <c r="G484" s="59"/>
      <c r="H484" s="59"/>
      <c r="I484" s="59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5.75" customHeight="1" x14ac:dyDescent="0.5">
      <c r="A485" s="37"/>
      <c r="B485" s="37"/>
      <c r="C485" s="59"/>
      <c r="D485" s="59"/>
      <c r="E485" s="59"/>
      <c r="F485" s="59"/>
      <c r="G485" s="59"/>
      <c r="H485" s="59"/>
      <c r="I485" s="59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5.75" customHeight="1" x14ac:dyDescent="0.5">
      <c r="A486" s="37"/>
      <c r="B486" s="37"/>
      <c r="C486" s="59"/>
      <c r="D486" s="59"/>
      <c r="E486" s="59"/>
      <c r="F486" s="59"/>
      <c r="G486" s="59"/>
      <c r="H486" s="59"/>
      <c r="I486" s="59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5.75" customHeight="1" x14ac:dyDescent="0.5">
      <c r="A487" s="37"/>
      <c r="B487" s="37"/>
      <c r="C487" s="59"/>
      <c r="D487" s="59"/>
      <c r="E487" s="59"/>
      <c r="F487" s="59"/>
      <c r="G487" s="59"/>
      <c r="H487" s="59"/>
      <c r="I487" s="59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5.75" customHeight="1" x14ac:dyDescent="0.5">
      <c r="A488" s="37"/>
      <c r="B488" s="37"/>
      <c r="C488" s="59"/>
      <c r="D488" s="59"/>
      <c r="E488" s="59"/>
      <c r="F488" s="59"/>
      <c r="G488" s="59"/>
      <c r="H488" s="59"/>
      <c r="I488" s="59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5.75" customHeight="1" x14ac:dyDescent="0.5">
      <c r="A489" s="37"/>
      <c r="B489" s="37"/>
      <c r="C489" s="59"/>
      <c r="D489" s="59"/>
      <c r="E489" s="59"/>
      <c r="F489" s="59"/>
      <c r="G489" s="59"/>
      <c r="H489" s="59"/>
      <c r="I489" s="59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5.75" customHeight="1" x14ac:dyDescent="0.5">
      <c r="A490" s="37"/>
      <c r="B490" s="37"/>
      <c r="C490" s="59"/>
      <c r="D490" s="59"/>
      <c r="E490" s="59"/>
      <c r="F490" s="59"/>
      <c r="G490" s="59"/>
      <c r="H490" s="59"/>
      <c r="I490" s="59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5.75" customHeight="1" x14ac:dyDescent="0.5">
      <c r="A491" s="37"/>
      <c r="B491" s="37"/>
      <c r="C491" s="59"/>
      <c r="D491" s="59"/>
      <c r="E491" s="59"/>
      <c r="F491" s="59"/>
      <c r="G491" s="59"/>
      <c r="H491" s="59"/>
      <c r="I491" s="59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5.75" customHeight="1" x14ac:dyDescent="0.5">
      <c r="A492" s="37"/>
      <c r="B492" s="37"/>
      <c r="C492" s="59"/>
      <c r="D492" s="59"/>
      <c r="E492" s="59"/>
      <c r="F492" s="59"/>
      <c r="G492" s="59"/>
      <c r="H492" s="59"/>
      <c r="I492" s="59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5.75" customHeight="1" x14ac:dyDescent="0.5">
      <c r="A493" s="37"/>
      <c r="B493" s="37"/>
      <c r="C493" s="59"/>
      <c r="D493" s="59"/>
      <c r="E493" s="59"/>
      <c r="F493" s="59"/>
      <c r="G493" s="59"/>
      <c r="H493" s="59"/>
      <c r="I493" s="59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5.75" customHeight="1" x14ac:dyDescent="0.5">
      <c r="A494" s="37"/>
      <c r="B494" s="37"/>
      <c r="C494" s="59"/>
      <c r="D494" s="59"/>
      <c r="E494" s="59"/>
      <c r="F494" s="59"/>
      <c r="G494" s="59"/>
      <c r="H494" s="59"/>
      <c r="I494" s="59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5.75" customHeight="1" x14ac:dyDescent="0.5">
      <c r="A495" s="37"/>
      <c r="B495" s="37"/>
      <c r="C495" s="59"/>
      <c r="D495" s="59"/>
      <c r="E495" s="59"/>
      <c r="F495" s="59"/>
      <c r="G495" s="59"/>
      <c r="H495" s="59"/>
      <c r="I495" s="59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5.75" customHeight="1" x14ac:dyDescent="0.5">
      <c r="A496" s="37"/>
      <c r="B496" s="37"/>
      <c r="C496" s="59"/>
      <c r="D496" s="59"/>
      <c r="E496" s="59"/>
      <c r="F496" s="59"/>
      <c r="G496" s="59"/>
      <c r="H496" s="59"/>
      <c r="I496" s="59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5.75" customHeight="1" x14ac:dyDescent="0.5">
      <c r="A497" s="37"/>
      <c r="B497" s="37"/>
      <c r="C497" s="59"/>
      <c r="D497" s="59"/>
      <c r="E497" s="59"/>
      <c r="F497" s="59"/>
      <c r="G497" s="59"/>
      <c r="H497" s="59"/>
      <c r="I497" s="59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5.75" customHeight="1" x14ac:dyDescent="0.5">
      <c r="A498" s="37"/>
      <c r="B498" s="37"/>
      <c r="C498" s="59"/>
      <c r="D498" s="59"/>
      <c r="E498" s="59"/>
      <c r="F498" s="59"/>
      <c r="G498" s="59"/>
      <c r="H498" s="59"/>
      <c r="I498" s="59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5.75" customHeight="1" x14ac:dyDescent="0.5">
      <c r="A499" s="37"/>
      <c r="B499" s="37"/>
      <c r="C499" s="59"/>
      <c r="D499" s="59"/>
      <c r="E499" s="59"/>
      <c r="F499" s="59"/>
      <c r="G499" s="59"/>
      <c r="H499" s="59"/>
      <c r="I499" s="59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5.75" customHeight="1" x14ac:dyDescent="0.5">
      <c r="A500" s="37"/>
      <c r="B500" s="37"/>
      <c r="C500" s="59"/>
      <c r="D500" s="59"/>
      <c r="E500" s="59"/>
      <c r="F500" s="59"/>
      <c r="G500" s="59"/>
      <c r="H500" s="59"/>
      <c r="I500" s="59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5.75" customHeight="1" x14ac:dyDescent="0.5">
      <c r="A501" s="37"/>
      <c r="B501" s="37"/>
      <c r="C501" s="59"/>
      <c r="D501" s="59"/>
      <c r="E501" s="59"/>
      <c r="F501" s="59"/>
      <c r="G501" s="59"/>
      <c r="H501" s="59"/>
      <c r="I501" s="59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5.75" customHeight="1" x14ac:dyDescent="0.5">
      <c r="A502" s="37"/>
      <c r="B502" s="37"/>
      <c r="C502" s="59"/>
      <c r="D502" s="59"/>
      <c r="E502" s="59"/>
      <c r="F502" s="59"/>
      <c r="G502" s="59"/>
      <c r="H502" s="59"/>
      <c r="I502" s="59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5.75" customHeight="1" x14ac:dyDescent="0.5">
      <c r="A503" s="37"/>
      <c r="B503" s="37"/>
      <c r="C503" s="59"/>
      <c r="D503" s="59"/>
      <c r="E503" s="59"/>
      <c r="F503" s="59"/>
      <c r="G503" s="59"/>
      <c r="H503" s="59"/>
      <c r="I503" s="59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5.75" customHeight="1" x14ac:dyDescent="0.5">
      <c r="A504" s="37"/>
      <c r="B504" s="37"/>
      <c r="C504" s="59"/>
      <c r="D504" s="59"/>
      <c r="E504" s="59"/>
      <c r="F504" s="59"/>
      <c r="G504" s="59"/>
      <c r="H504" s="59"/>
      <c r="I504" s="59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5.75" customHeight="1" x14ac:dyDescent="0.5">
      <c r="A505" s="37"/>
      <c r="B505" s="37"/>
      <c r="C505" s="59"/>
      <c r="D505" s="59"/>
      <c r="E505" s="59"/>
      <c r="F505" s="59"/>
      <c r="G505" s="59"/>
      <c r="H505" s="59"/>
      <c r="I505" s="59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5.75" customHeight="1" x14ac:dyDescent="0.5">
      <c r="A506" s="37"/>
      <c r="B506" s="37"/>
      <c r="C506" s="59"/>
      <c r="D506" s="59"/>
      <c r="E506" s="59"/>
      <c r="F506" s="59"/>
      <c r="G506" s="59"/>
      <c r="H506" s="59"/>
      <c r="I506" s="59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5.75" customHeight="1" x14ac:dyDescent="0.5">
      <c r="A507" s="37"/>
      <c r="B507" s="37"/>
      <c r="C507" s="59"/>
      <c r="D507" s="59"/>
      <c r="E507" s="59"/>
      <c r="F507" s="59"/>
      <c r="G507" s="59"/>
      <c r="H507" s="59"/>
      <c r="I507" s="59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5.75" customHeight="1" x14ac:dyDescent="0.5">
      <c r="A508" s="37"/>
      <c r="B508" s="37"/>
      <c r="C508" s="59"/>
      <c r="D508" s="59"/>
      <c r="E508" s="59"/>
      <c r="F508" s="59"/>
      <c r="G508" s="59"/>
      <c r="H508" s="59"/>
      <c r="I508" s="59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5.75" customHeight="1" x14ac:dyDescent="0.5">
      <c r="A509" s="37"/>
      <c r="B509" s="37"/>
      <c r="C509" s="59"/>
      <c r="D509" s="59"/>
      <c r="E509" s="59"/>
      <c r="F509" s="59"/>
      <c r="G509" s="59"/>
      <c r="H509" s="59"/>
      <c r="I509" s="59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5.75" customHeight="1" x14ac:dyDescent="0.5">
      <c r="A510" s="37"/>
      <c r="B510" s="37"/>
      <c r="C510" s="59"/>
      <c r="D510" s="59"/>
      <c r="E510" s="59"/>
      <c r="F510" s="59"/>
      <c r="G510" s="59"/>
      <c r="H510" s="59"/>
      <c r="I510" s="59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5.75" customHeight="1" x14ac:dyDescent="0.5">
      <c r="A511" s="37"/>
      <c r="B511" s="37"/>
      <c r="C511" s="59"/>
      <c r="D511" s="59"/>
      <c r="E511" s="59"/>
      <c r="F511" s="59"/>
      <c r="G511" s="59"/>
      <c r="H511" s="59"/>
      <c r="I511" s="59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5.75" customHeight="1" x14ac:dyDescent="0.5">
      <c r="A512" s="37"/>
      <c r="B512" s="37"/>
      <c r="C512" s="59"/>
      <c r="D512" s="59"/>
      <c r="E512" s="59"/>
      <c r="F512" s="59"/>
      <c r="G512" s="59"/>
      <c r="H512" s="59"/>
      <c r="I512" s="59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5.75" customHeight="1" x14ac:dyDescent="0.5">
      <c r="A513" s="37"/>
      <c r="B513" s="37"/>
      <c r="C513" s="59"/>
      <c r="D513" s="59"/>
      <c r="E513" s="59"/>
      <c r="F513" s="59"/>
      <c r="G513" s="59"/>
      <c r="H513" s="59"/>
      <c r="I513" s="59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5.75" customHeight="1" x14ac:dyDescent="0.5">
      <c r="A514" s="37"/>
      <c r="B514" s="37"/>
      <c r="C514" s="59"/>
      <c r="D514" s="59"/>
      <c r="E514" s="59"/>
      <c r="F514" s="59"/>
      <c r="G514" s="59"/>
      <c r="H514" s="59"/>
      <c r="I514" s="59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5.75" customHeight="1" x14ac:dyDescent="0.5">
      <c r="A515" s="37"/>
      <c r="B515" s="37"/>
      <c r="C515" s="59"/>
      <c r="D515" s="59"/>
      <c r="E515" s="59"/>
      <c r="F515" s="59"/>
      <c r="G515" s="59"/>
      <c r="H515" s="59"/>
      <c r="I515" s="59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5.75" customHeight="1" x14ac:dyDescent="0.5">
      <c r="A516" s="37"/>
      <c r="B516" s="37"/>
      <c r="C516" s="59"/>
      <c r="D516" s="59"/>
      <c r="E516" s="59"/>
      <c r="F516" s="59"/>
      <c r="G516" s="59"/>
      <c r="H516" s="59"/>
      <c r="I516" s="59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5.75" customHeight="1" x14ac:dyDescent="0.5">
      <c r="A517" s="37"/>
      <c r="B517" s="37"/>
      <c r="C517" s="59"/>
      <c r="D517" s="59"/>
      <c r="E517" s="59"/>
      <c r="F517" s="59"/>
      <c r="G517" s="59"/>
      <c r="H517" s="59"/>
      <c r="I517" s="59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5.75" customHeight="1" x14ac:dyDescent="0.5">
      <c r="A518" s="37"/>
      <c r="B518" s="37"/>
      <c r="C518" s="59"/>
      <c r="D518" s="59"/>
      <c r="E518" s="59"/>
      <c r="F518" s="59"/>
      <c r="G518" s="59"/>
      <c r="H518" s="59"/>
      <c r="I518" s="59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5.75" customHeight="1" x14ac:dyDescent="0.5">
      <c r="A519" s="37"/>
      <c r="B519" s="37"/>
      <c r="C519" s="59"/>
      <c r="D519" s="59"/>
      <c r="E519" s="59"/>
      <c r="F519" s="59"/>
      <c r="G519" s="59"/>
      <c r="H519" s="59"/>
      <c r="I519" s="59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5.75" customHeight="1" x14ac:dyDescent="0.5">
      <c r="A520" s="37"/>
      <c r="B520" s="37"/>
      <c r="C520" s="59"/>
      <c r="D520" s="59"/>
      <c r="E520" s="59"/>
      <c r="F520" s="59"/>
      <c r="G520" s="59"/>
      <c r="H520" s="59"/>
      <c r="I520" s="59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5.75" customHeight="1" x14ac:dyDescent="0.5">
      <c r="A521" s="37"/>
      <c r="B521" s="37"/>
      <c r="C521" s="59"/>
      <c r="D521" s="59"/>
      <c r="E521" s="59"/>
      <c r="F521" s="59"/>
      <c r="G521" s="59"/>
      <c r="H521" s="59"/>
      <c r="I521" s="59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5.75" customHeight="1" x14ac:dyDescent="0.5">
      <c r="A522" s="37"/>
      <c r="B522" s="37"/>
      <c r="C522" s="59"/>
      <c r="D522" s="59"/>
      <c r="E522" s="59"/>
      <c r="F522" s="59"/>
      <c r="G522" s="59"/>
      <c r="H522" s="59"/>
      <c r="I522" s="59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5.75" customHeight="1" x14ac:dyDescent="0.5">
      <c r="A523" s="37"/>
      <c r="B523" s="37"/>
      <c r="C523" s="59"/>
      <c r="D523" s="59"/>
      <c r="E523" s="59"/>
      <c r="F523" s="59"/>
      <c r="G523" s="59"/>
      <c r="H523" s="59"/>
      <c r="I523" s="59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5.75" customHeight="1" x14ac:dyDescent="0.5">
      <c r="A524" s="37"/>
      <c r="B524" s="37"/>
      <c r="C524" s="59"/>
      <c r="D524" s="59"/>
      <c r="E524" s="59"/>
      <c r="F524" s="59"/>
      <c r="G524" s="59"/>
      <c r="H524" s="59"/>
      <c r="I524" s="59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5.75" customHeight="1" x14ac:dyDescent="0.5">
      <c r="A525" s="37"/>
      <c r="B525" s="37"/>
      <c r="C525" s="59"/>
      <c r="D525" s="59"/>
      <c r="E525" s="59"/>
      <c r="F525" s="59"/>
      <c r="G525" s="59"/>
      <c r="H525" s="59"/>
      <c r="I525" s="59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5.75" customHeight="1" x14ac:dyDescent="0.5">
      <c r="A526" s="37"/>
      <c r="B526" s="37"/>
      <c r="C526" s="59"/>
      <c r="D526" s="59"/>
      <c r="E526" s="59"/>
      <c r="F526" s="59"/>
      <c r="G526" s="59"/>
      <c r="H526" s="59"/>
      <c r="I526" s="59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5.75" customHeight="1" x14ac:dyDescent="0.5">
      <c r="A527" s="37"/>
      <c r="B527" s="37"/>
      <c r="C527" s="59"/>
      <c r="D527" s="59"/>
      <c r="E527" s="59"/>
      <c r="F527" s="59"/>
      <c r="G527" s="59"/>
      <c r="H527" s="59"/>
      <c r="I527" s="59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5.75" customHeight="1" x14ac:dyDescent="0.5">
      <c r="A528" s="37"/>
      <c r="B528" s="37"/>
      <c r="C528" s="59"/>
      <c r="D528" s="59"/>
      <c r="E528" s="59"/>
      <c r="F528" s="59"/>
      <c r="G528" s="59"/>
      <c r="H528" s="59"/>
      <c r="I528" s="59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5.75" customHeight="1" x14ac:dyDescent="0.5">
      <c r="A529" s="37"/>
      <c r="B529" s="37"/>
      <c r="C529" s="59"/>
      <c r="D529" s="59"/>
      <c r="E529" s="59"/>
      <c r="F529" s="59"/>
      <c r="G529" s="59"/>
      <c r="H529" s="59"/>
      <c r="I529" s="59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5.75" customHeight="1" x14ac:dyDescent="0.5">
      <c r="A530" s="37"/>
      <c r="B530" s="37"/>
      <c r="C530" s="59"/>
      <c r="D530" s="59"/>
      <c r="E530" s="59"/>
      <c r="F530" s="59"/>
      <c r="G530" s="59"/>
      <c r="H530" s="59"/>
      <c r="I530" s="59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5.75" customHeight="1" x14ac:dyDescent="0.5">
      <c r="A531" s="37"/>
      <c r="B531" s="37"/>
      <c r="C531" s="59"/>
      <c r="D531" s="59"/>
      <c r="E531" s="59"/>
      <c r="F531" s="59"/>
      <c r="G531" s="59"/>
      <c r="H531" s="59"/>
      <c r="I531" s="59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5.75" customHeight="1" x14ac:dyDescent="0.5">
      <c r="A532" s="37"/>
      <c r="B532" s="37"/>
      <c r="C532" s="59"/>
      <c r="D532" s="59"/>
      <c r="E532" s="59"/>
      <c r="F532" s="59"/>
      <c r="G532" s="59"/>
      <c r="H532" s="59"/>
      <c r="I532" s="59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5.75" customHeight="1" x14ac:dyDescent="0.5">
      <c r="A533" s="37"/>
      <c r="B533" s="37"/>
      <c r="C533" s="59"/>
      <c r="D533" s="59"/>
      <c r="E533" s="59"/>
      <c r="F533" s="59"/>
      <c r="G533" s="59"/>
      <c r="H533" s="59"/>
      <c r="I533" s="59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5.75" customHeight="1" x14ac:dyDescent="0.5">
      <c r="A534" s="37"/>
      <c r="B534" s="37"/>
      <c r="C534" s="59"/>
      <c r="D534" s="59"/>
      <c r="E534" s="59"/>
      <c r="F534" s="59"/>
      <c r="G534" s="59"/>
      <c r="H534" s="59"/>
      <c r="I534" s="59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5.75" customHeight="1" x14ac:dyDescent="0.5">
      <c r="A535" s="37"/>
      <c r="B535" s="37"/>
      <c r="C535" s="59"/>
      <c r="D535" s="59"/>
      <c r="E535" s="59"/>
      <c r="F535" s="59"/>
      <c r="G535" s="59"/>
      <c r="H535" s="59"/>
      <c r="I535" s="59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5.75" customHeight="1" x14ac:dyDescent="0.5">
      <c r="A536" s="37"/>
      <c r="B536" s="37"/>
      <c r="C536" s="59"/>
      <c r="D536" s="59"/>
      <c r="E536" s="59"/>
      <c r="F536" s="59"/>
      <c r="G536" s="59"/>
      <c r="H536" s="59"/>
      <c r="I536" s="59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5.75" customHeight="1" x14ac:dyDescent="0.5">
      <c r="A537" s="37"/>
      <c r="B537" s="37"/>
      <c r="C537" s="59"/>
      <c r="D537" s="59"/>
      <c r="E537" s="59"/>
      <c r="F537" s="59"/>
      <c r="G537" s="59"/>
      <c r="H537" s="59"/>
      <c r="I537" s="59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5.75" customHeight="1" x14ac:dyDescent="0.5">
      <c r="A538" s="37"/>
      <c r="B538" s="37"/>
      <c r="C538" s="59"/>
      <c r="D538" s="59"/>
      <c r="E538" s="59"/>
      <c r="F538" s="59"/>
      <c r="G538" s="59"/>
      <c r="H538" s="59"/>
      <c r="I538" s="59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5.75" customHeight="1" x14ac:dyDescent="0.5">
      <c r="A539" s="37"/>
      <c r="B539" s="37"/>
      <c r="C539" s="59"/>
      <c r="D539" s="59"/>
      <c r="E539" s="59"/>
      <c r="F539" s="59"/>
      <c r="G539" s="59"/>
      <c r="H539" s="59"/>
      <c r="I539" s="59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5.75" customHeight="1" x14ac:dyDescent="0.5">
      <c r="A540" s="37"/>
      <c r="B540" s="37"/>
      <c r="C540" s="59"/>
      <c r="D540" s="59"/>
      <c r="E540" s="59"/>
      <c r="F540" s="59"/>
      <c r="G540" s="59"/>
      <c r="H540" s="59"/>
      <c r="I540" s="59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5.75" customHeight="1" x14ac:dyDescent="0.5">
      <c r="A541" s="37"/>
      <c r="B541" s="37"/>
      <c r="C541" s="59"/>
      <c r="D541" s="59"/>
      <c r="E541" s="59"/>
      <c r="F541" s="59"/>
      <c r="G541" s="59"/>
      <c r="H541" s="59"/>
      <c r="I541" s="59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5.75" customHeight="1" x14ac:dyDescent="0.5">
      <c r="A542" s="37"/>
      <c r="B542" s="37"/>
      <c r="C542" s="59"/>
      <c r="D542" s="59"/>
      <c r="E542" s="59"/>
      <c r="F542" s="59"/>
      <c r="G542" s="59"/>
      <c r="H542" s="59"/>
      <c r="I542" s="59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5.75" customHeight="1" x14ac:dyDescent="0.5">
      <c r="A543" s="37"/>
      <c r="B543" s="37"/>
      <c r="C543" s="59"/>
      <c r="D543" s="59"/>
      <c r="E543" s="59"/>
      <c r="F543" s="59"/>
      <c r="G543" s="59"/>
      <c r="H543" s="59"/>
      <c r="I543" s="59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5.75" customHeight="1" x14ac:dyDescent="0.5">
      <c r="A544" s="37"/>
      <c r="B544" s="37"/>
      <c r="C544" s="59"/>
      <c r="D544" s="59"/>
      <c r="E544" s="59"/>
      <c r="F544" s="59"/>
      <c r="G544" s="59"/>
      <c r="H544" s="59"/>
      <c r="I544" s="59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5.75" customHeight="1" x14ac:dyDescent="0.5">
      <c r="A545" s="37"/>
      <c r="B545" s="37"/>
      <c r="C545" s="59"/>
      <c r="D545" s="59"/>
      <c r="E545" s="59"/>
      <c r="F545" s="59"/>
      <c r="G545" s="59"/>
      <c r="H545" s="59"/>
      <c r="I545" s="59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5.75" customHeight="1" x14ac:dyDescent="0.5">
      <c r="A546" s="37"/>
      <c r="B546" s="37"/>
      <c r="C546" s="59"/>
      <c r="D546" s="59"/>
      <c r="E546" s="59"/>
      <c r="F546" s="59"/>
      <c r="G546" s="59"/>
      <c r="H546" s="59"/>
      <c r="I546" s="59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5.75" customHeight="1" x14ac:dyDescent="0.5">
      <c r="A547" s="37"/>
      <c r="B547" s="37"/>
      <c r="C547" s="59"/>
      <c r="D547" s="59"/>
      <c r="E547" s="59"/>
      <c r="F547" s="59"/>
      <c r="G547" s="59"/>
      <c r="H547" s="59"/>
      <c r="I547" s="59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5.75" customHeight="1" x14ac:dyDescent="0.5">
      <c r="A548" s="37"/>
      <c r="B548" s="37"/>
      <c r="C548" s="59"/>
      <c r="D548" s="59"/>
      <c r="E548" s="59"/>
      <c r="F548" s="59"/>
      <c r="G548" s="59"/>
      <c r="H548" s="59"/>
      <c r="I548" s="59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5.75" customHeight="1" x14ac:dyDescent="0.5">
      <c r="A549" s="37"/>
      <c r="B549" s="37"/>
      <c r="C549" s="59"/>
      <c r="D549" s="59"/>
      <c r="E549" s="59"/>
      <c r="F549" s="59"/>
      <c r="G549" s="59"/>
      <c r="H549" s="59"/>
      <c r="I549" s="59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5.75" customHeight="1" x14ac:dyDescent="0.5">
      <c r="A550" s="37"/>
      <c r="B550" s="37"/>
      <c r="C550" s="59"/>
      <c r="D550" s="59"/>
      <c r="E550" s="59"/>
      <c r="F550" s="59"/>
      <c r="G550" s="59"/>
      <c r="H550" s="59"/>
      <c r="I550" s="59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5.75" customHeight="1" x14ac:dyDescent="0.5">
      <c r="A551" s="37"/>
      <c r="B551" s="37"/>
      <c r="C551" s="59"/>
      <c r="D551" s="59"/>
      <c r="E551" s="59"/>
      <c r="F551" s="59"/>
      <c r="G551" s="59"/>
      <c r="H551" s="59"/>
      <c r="I551" s="59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5.75" customHeight="1" x14ac:dyDescent="0.5">
      <c r="A552" s="37"/>
      <c r="B552" s="37"/>
      <c r="C552" s="59"/>
      <c r="D552" s="59"/>
      <c r="E552" s="59"/>
      <c r="F552" s="59"/>
      <c r="G552" s="59"/>
      <c r="H552" s="59"/>
      <c r="I552" s="59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5.75" customHeight="1" x14ac:dyDescent="0.5">
      <c r="A553" s="37"/>
      <c r="B553" s="37"/>
      <c r="C553" s="59"/>
      <c r="D553" s="59"/>
      <c r="E553" s="59"/>
      <c r="F553" s="59"/>
      <c r="G553" s="59"/>
      <c r="H553" s="59"/>
      <c r="I553" s="59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5.75" customHeight="1" x14ac:dyDescent="0.5">
      <c r="A554" s="37"/>
      <c r="B554" s="37"/>
      <c r="C554" s="59"/>
      <c r="D554" s="59"/>
      <c r="E554" s="59"/>
      <c r="F554" s="59"/>
      <c r="G554" s="59"/>
      <c r="H554" s="59"/>
      <c r="I554" s="59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5.75" customHeight="1" x14ac:dyDescent="0.5">
      <c r="A555" s="37"/>
      <c r="B555" s="37"/>
      <c r="C555" s="59"/>
      <c r="D555" s="59"/>
      <c r="E555" s="59"/>
      <c r="F555" s="59"/>
      <c r="G555" s="59"/>
      <c r="H555" s="59"/>
      <c r="I555" s="59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5.75" customHeight="1" x14ac:dyDescent="0.5">
      <c r="A556" s="37"/>
      <c r="B556" s="37"/>
      <c r="C556" s="59"/>
      <c r="D556" s="59"/>
      <c r="E556" s="59"/>
      <c r="F556" s="59"/>
      <c r="G556" s="59"/>
      <c r="H556" s="59"/>
      <c r="I556" s="59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5.75" customHeight="1" x14ac:dyDescent="0.5">
      <c r="A557" s="37"/>
      <c r="B557" s="37"/>
      <c r="C557" s="59"/>
      <c r="D557" s="59"/>
      <c r="E557" s="59"/>
      <c r="F557" s="59"/>
      <c r="G557" s="59"/>
      <c r="H557" s="59"/>
      <c r="I557" s="59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5.75" customHeight="1" x14ac:dyDescent="0.5">
      <c r="A558" s="37"/>
      <c r="B558" s="37"/>
      <c r="C558" s="59"/>
      <c r="D558" s="59"/>
      <c r="E558" s="59"/>
      <c r="F558" s="59"/>
      <c r="G558" s="59"/>
      <c r="H558" s="59"/>
      <c r="I558" s="59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5.75" customHeight="1" x14ac:dyDescent="0.5">
      <c r="A559" s="37"/>
      <c r="B559" s="37"/>
      <c r="C559" s="59"/>
      <c r="D559" s="59"/>
      <c r="E559" s="59"/>
      <c r="F559" s="59"/>
      <c r="G559" s="59"/>
      <c r="H559" s="59"/>
      <c r="I559" s="59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5.75" customHeight="1" x14ac:dyDescent="0.5">
      <c r="A560" s="37"/>
      <c r="B560" s="37"/>
      <c r="C560" s="59"/>
      <c r="D560" s="59"/>
      <c r="E560" s="59"/>
      <c r="F560" s="59"/>
      <c r="G560" s="59"/>
      <c r="H560" s="59"/>
      <c r="I560" s="59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5.75" customHeight="1" x14ac:dyDescent="0.5">
      <c r="A561" s="37"/>
      <c r="B561" s="37"/>
      <c r="C561" s="59"/>
      <c r="D561" s="59"/>
      <c r="E561" s="59"/>
      <c r="F561" s="59"/>
      <c r="G561" s="59"/>
      <c r="H561" s="59"/>
      <c r="I561" s="59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5.75" customHeight="1" x14ac:dyDescent="0.5">
      <c r="A562" s="37"/>
      <c r="B562" s="37"/>
      <c r="C562" s="59"/>
      <c r="D562" s="59"/>
      <c r="E562" s="59"/>
      <c r="F562" s="59"/>
      <c r="G562" s="59"/>
      <c r="H562" s="59"/>
      <c r="I562" s="59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5.75" customHeight="1" x14ac:dyDescent="0.5">
      <c r="A563" s="37"/>
      <c r="B563" s="37"/>
      <c r="C563" s="59"/>
      <c r="D563" s="59"/>
      <c r="E563" s="59"/>
      <c r="F563" s="59"/>
      <c r="G563" s="59"/>
      <c r="H563" s="59"/>
      <c r="I563" s="59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5.75" customHeight="1" x14ac:dyDescent="0.5">
      <c r="A564" s="37"/>
      <c r="B564" s="37"/>
      <c r="C564" s="59"/>
      <c r="D564" s="59"/>
      <c r="E564" s="59"/>
      <c r="F564" s="59"/>
      <c r="G564" s="59"/>
      <c r="H564" s="59"/>
      <c r="I564" s="59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5.75" customHeight="1" x14ac:dyDescent="0.5">
      <c r="A565" s="37"/>
      <c r="B565" s="37"/>
      <c r="C565" s="59"/>
      <c r="D565" s="59"/>
      <c r="E565" s="59"/>
      <c r="F565" s="59"/>
      <c r="G565" s="59"/>
      <c r="H565" s="59"/>
      <c r="I565" s="59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5.75" customHeight="1" x14ac:dyDescent="0.5">
      <c r="A566" s="37"/>
      <c r="B566" s="37"/>
      <c r="C566" s="59"/>
      <c r="D566" s="59"/>
      <c r="E566" s="59"/>
      <c r="F566" s="59"/>
      <c r="G566" s="59"/>
      <c r="H566" s="59"/>
      <c r="I566" s="59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5.75" customHeight="1" x14ac:dyDescent="0.5">
      <c r="A567" s="37"/>
      <c r="B567" s="37"/>
      <c r="C567" s="59"/>
      <c r="D567" s="59"/>
      <c r="E567" s="59"/>
      <c r="F567" s="59"/>
      <c r="G567" s="59"/>
      <c r="H567" s="59"/>
      <c r="I567" s="59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5.75" customHeight="1" x14ac:dyDescent="0.5">
      <c r="A568" s="37"/>
      <c r="B568" s="37"/>
      <c r="C568" s="59"/>
      <c r="D568" s="59"/>
      <c r="E568" s="59"/>
      <c r="F568" s="59"/>
      <c r="G568" s="59"/>
      <c r="H568" s="59"/>
      <c r="I568" s="59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5.75" customHeight="1" x14ac:dyDescent="0.5">
      <c r="A569" s="37"/>
      <c r="B569" s="37"/>
      <c r="C569" s="59"/>
      <c r="D569" s="59"/>
      <c r="E569" s="59"/>
      <c r="F569" s="59"/>
      <c r="G569" s="59"/>
      <c r="H569" s="59"/>
      <c r="I569" s="59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5.75" customHeight="1" x14ac:dyDescent="0.5">
      <c r="A570" s="37"/>
      <c r="B570" s="37"/>
      <c r="C570" s="59"/>
      <c r="D570" s="59"/>
      <c r="E570" s="59"/>
      <c r="F570" s="59"/>
      <c r="G570" s="59"/>
      <c r="H570" s="59"/>
      <c r="I570" s="59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5.75" customHeight="1" x14ac:dyDescent="0.5">
      <c r="A571" s="37"/>
      <c r="B571" s="37"/>
      <c r="C571" s="59"/>
      <c r="D571" s="59"/>
      <c r="E571" s="59"/>
      <c r="F571" s="59"/>
      <c r="G571" s="59"/>
      <c r="H571" s="59"/>
      <c r="I571" s="59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5.75" customHeight="1" x14ac:dyDescent="0.5">
      <c r="A572" s="37"/>
      <c r="B572" s="37"/>
      <c r="C572" s="59"/>
      <c r="D572" s="59"/>
      <c r="E572" s="59"/>
      <c r="F572" s="59"/>
      <c r="G572" s="59"/>
      <c r="H572" s="59"/>
      <c r="I572" s="59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5.75" customHeight="1" x14ac:dyDescent="0.5">
      <c r="A573" s="37"/>
      <c r="B573" s="37"/>
      <c r="C573" s="59"/>
      <c r="D573" s="59"/>
      <c r="E573" s="59"/>
      <c r="F573" s="59"/>
      <c r="G573" s="59"/>
      <c r="H573" s="59"/>
      <c r="I573" s="59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5.75" customHeight="1" x14ac:dyDescent="0.5">
      <c r="A574" s="37"/>
      <c r="B574" s="37"/>
      <c r="C574" s="59"/>
      <c r="D574" s="59"/>
      <c r="E574" s="59"/>
      <c r="F574" s="59"/>
      <c r="G574" s="59"/>
      <c r="H574" s="59"/>
      <c r="I574" s="59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5.75" customHeight="1" x14ac:dyDescent="0.5">
      <c r="A575" s="37"/>
      <c r="B575" s="37"/>
      <c r="C575" s="59"/>
      <c r="D575" s="59"/>
      <c r="E575" s="59"/>
      <c r="F575" s="59"/>
      <c r="G575" s="59"/>
      <c r="H575" s="59"/>
      <c r="I575" s="59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5.75" customHeight="1" x14ac:dyDescent="0.5">
      <c r="A576" s="37"/>
      <c r="B576" s="37"/>
      <c r="C576" s="59"/>
      <c r="D576" s="59"/>
      <c r="E576" s="59"/>
      <c r="F576" s="59"/>
      <c r="G576" s="59"/>
      <c r="H576" s="59"/>
      <c r="I576" s="59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5.75" customHeight="1" x14ac:dyDescent="0.5">
      <c r="A577" s="37"/>
      <c r="B577" s="37"/>
      <c r="C577" s="59"/>
      <c r="D577" s="59"/>
      <c r="E577" s="59"/>
      <c r="F577" s="59"/>
      <c r="G577" s="59"/>
      <c r="H577" s="59"/>
      <c r="I577" s="59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5.75" customHeight="1" x14ac:dyDescent="0.5">
      <c r="A578" s="37"/>
      <c r="B578" s="37"/>
      <c r="C578" s="59"/>
      <c r="D578" s="59"/>
      <c r="E578" s="59"/>
      <c r="F578" s="59"/>
      <c r="G578" s="59"/>
      <c r="H578" s="59"/>
      <c r="I578" s="59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5.75" customHeight="1" x14ac:dyDescent="0.5">
      <c r="A579" s="37"/>
      <c r="B579" s="37"/>
      <c r="C579" s="59"/>
      <c r="D579" s="59"/>
      <c r="E579" s="59"/>
      <c r="F579" s="59"/>
      <c r="G579" s="59"/>
      <c r="H579" s="59"/>
      <c r="I579" s="59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5.75" customHeight="1" x14ac:dyDescent="0.5">
      <c r="A580" s="37"/>
      <c r="B580" s="37"/>
      <c r="C580" s="59"/>
      <c r="D580" s="59"/>
      <c r="E580" s="59"/>
      <c r="F580" s="59"/>
      <c r="G580" s="59"/>
      <c r="H580" s="59"/>
      <c r="I580" s="59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5.75" customHeight="1" x14ac:dyDescent="0.5">
      <c r="A581" s="37"/>
      <c r="B581" s="37"/>
      <c r="C581" s="59"/>
      <c r="D581" s="59"/>
      <c r="E581" s="59"/>
      <c r="F581" s="59"/>
      <c r="G581" s="59"/>
      <c r="H581" s="59"/>
      <c r="I581" s="59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5.75" customHeight="1" x14ac:dyDescent="0.5">
      <c r="A582" s="37"/>
      <c r="B582" s="37"/>
      <c r="C582" s="59"/>
      <c r="D582" s="59"/>
      <c r="E582" s="59"/>
      <c r="F582" s="59"/>
      <c r="G582" s="59"/>
      <c r="H582" s="59"/>
      <c r="I582" s="59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5.75" customHeight="1" x14ac:dyDescent="0.5">
      <c r="A583" s="37"/>
      <c r="B583" s="37"/>
      <c r="C583" s="59"/>
      <c r="D583" s="59"/>
      <c r="E583" s="59"/>
      <c r="F583" s="59"/>
      <c r="G583" s="59"/>
      <c r="H583" s="59"/>
      <c r="I583" s="59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5.75" customHeight="1" x14ac:dyDescent="0.5">
      <c r="A584" s="37"/>
      <c r="B584" s="37"/>
      <c r="C584" s="59"/>
      <c r="D584" s="59"/>
      <c r="E584" s="59"/>
      <c r="F584" s="59"/>
      <c r="G584" s="59"/>
      <c r="H584" s="59"/>
      <c r="I584" s="59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5.75" customHeight="1" x14ac:dyDescent="0.5">
      <c r="A585" s="37"/>
      <c r="B585" s="37"/>
      <c r="C585" s="59"/>
      <c r="D585" s="59"/>
      <c r="E585" s="59"/>
      <c r="F585" s="59"/>
      <c r="G585" s="59"/>
      <c r="H585" s="59"/>
      <c r="I585" s="59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5.75" customHeight="1" x14ac:dyDescent="0.5">
      <c r="A586" s="37"/>
      <c r="B586" s="37"/>
      <c r="C586" s="59"/>
      <c r="D586" s="59"/>
      <c r="E586" s="59"/>
      <c r="F586" s="59"/>
      <c r="G586" s="59"/>
      <c r="H586" s="59"/>
      <c r="I586" s="59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5.75" customHeight="1" x14ac:dyDescent="0.5">
      <c r="A587" s="37"/>
      <c r="B587" s="37"/>
      <c r="C587" s="59"/>
      <c r="D587" s="59"/>
      <c r="E587" s="59"/>
      <c r="F587" s="59"/>
      <c r="G587" s="59"/>
      <c r="H587" s="59"/>
      <c r="I587" s="59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5.75" customHeight="1" x14ac:dyDescent="0.5">
      <c r="A588" s="37"/>
      <c r="B588" s="37"/>
      <c r="C588" s="59"/>
      <c r="D588" s="59"/>
      <c r="E588" s="59"/>
      <c r="F588" s="59"/>
      <c r="G588" s="59"/>
      <c r="H588" s="59"/>
      <c r="I588" s="59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5.75" customHeight="1" x14ac:dyDescent="0.5">
      <c r="A589" s="37"/>
      <c r="B589" s="37"/>
      <c r="C589" s="59"/>
      <c r="D589" s="59"/>
      <c r="E589" s="59"/>
      <c r="F589" s="59"/>
      <c r="G589" s="59"/>
      <c r="H589" s="59"/>
      <c r="I589" s="59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5.75" customHeight="1" x14ac:dyDescent="0.5">
      <c r="A590" s="37"/>
      <c r="B590" s="37"/>
      <c r="C590" s="59"/>
      <c r="D590" s="59"/>
      <c r="E590" s="59"/>
      <c r="F590" s="59"/>
      <c r="G590" s="59"/>
      <c r="H590" s="59"/>
      <c r="I590" s="59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5.75" customHeight="1" x14ac:dyDescent="0.5">
      <c r="A591" s="37"/>
      <c r="B591" s="37"/>
      <c r="C591" s="59"/>
      <c r="D591" s="59"/>
      <c r="E591" s="59"/>
      <c r="F591" s="59"/>
      <c r="G591" s="59"/>
      <c r="H591" s="59"/>
      <c r="I591" s="59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5.75" customHeight="1" x14ac:dyDescent="0.5">
      <c r="A592" s="37"/>
      <c r="B592" s="37"/>
      <c r="C592" s="59"/>
      <c r="D592" s="59"/>
      <c r="E592" s="59"/>
      <c r="F592" s="59"/>
      <c r="G592" s="59"/>
      <c r="H592" s="59"/>
      <c r="I592" s="59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5.75" customHeight="1" x14ac:dyDescent="0.5">
      <c r="A593" s="37"/>
      <c r="B593" s="37"/>
      <c r="C593" s="59"/>
      <c r="D593" s="59"/>
      <c r="E593" s="59"/>
      <c r="F593" s="59"/>
      <c r="G593" s="59"/>
      <c r="H593" s="59"/>
      <c r="I593" s="59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5.75" customHeight="1" x14ac:dyDescent="0.5">
      <c r="A594" s="37"/>
      <c r="B594" s="37"/>
      <c r="C594" s="59"/>
      <c r="D594" s="59"/>
      <c r="E594" s="59"/>
      <c r="F594" s="59"/>
      <c r="G594" s="59"/>
      <c r="H594" s="59"/>
      <c r="I594" s="59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5.75" customHeight="1" x14ac:dyDescent="0.5">
      <c r="A595" s="37"/>
      <c r="B595" s="37"/>
      <c r="C595" s="59"/>
      <c r="D595" s="59"/>
      <c r="E595" s="59"/>
      <c r="F595" s="59"/>
      <c r="G595" s="59"/>
      <c r="H595" s="59"/>
      <c r="I595" s="59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5.75" customHeight="1" x14ac:dyDescent="0.5">
      <c r="A596" s="37"/>
      <c r="B596" s="37"/>
      <c r="C596" s="59"/>
      <c r="D596" s="59"/>
      <c r="E596" s="59"/>
      <c r="F596" s="59"/>
      <c r="G596" s="59"/>
      <c r="H596" s="59"/>
      <c r="I596" s="59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5.75" customHeight="1" x14ac:dyDescent="0.5">
      <c r="A597" s="37"/>
      <c r="B597" s="37"/>
      <c r="C597" s="59"/>
      <c r="D597" s="59"/>
      <c r="E597" s="59"/>
      <c r="F597" s="59"/>
      <c r="G597" s="59"/>
      <c r="H597" s="59"/>
      <c r="I597" s="59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5.75" customHeight="1" x14ac:dyDescent="0.5">
      <c r="A598" s="37"/>
      <c r="B598" s="37"/>
      <c r="C598" s="59"/>
      <c r="D598" s="59"/>
      <c r="E598" s="59"/>
      <c r="F598" s="59"/>
      <c r="G598" s="59"/>
      <c r="H598" s="59"/>
      <c r="I598" s="59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5.75" customHeight="1" x14ac:dyDescent="0.5">
      <c r="A599" s="37"/>
      <c r="B599" s="37"/>
      <c r="C599" s="59"/>
      <c r="D599" s="59"/>
      <c r="E599" s="59"/>
      <c r="F599" s="59"/>
      <c r="G599" s="59"/>
      <c r="H599" s="59"/>
      <c r="I599" s="59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5.75" customHeight="1" x14ac:dyDescent="0.5">
      <c r="A600" s="37"/>
      <c r="B600" s="37"/>
      <c r="C600" s="59"/>
      <c r="D600" s="59"/>
      <c r="E600" s="59"/>
      <c r="F600" s="59"/>
      <c r="G600" s="59"/>
      <c r="H600" s="59"/>
      <c r="I600" s="59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5.75" customHeight="1" x14ac:dyDescent="0.5">
      <c r="A601" s="37"/>
      <c r="B601" s="37"/>
      <c r="C601" s="59"/>
      <c r="D601" s="59"/>
      <c r="E601" s="59"/>
      <c r="F601" s="59"/>
      <c r="G601" s="59"/>
      <c r="H601" s="59"/>
      <c r="I601" s="59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5.75" customHeight="1" x14ac:dyDescent="0.5">
      <c r="A602" s="37"/>
      <c r="B602" s="37"/>
      <c r="C602" s="59"/>
      <c r="D602" s="59"/>
      <c r="E602" s="59"/>
      <c r="F602" s="59"/>
      <c r="G602" s="59"/>
      <c r="H602" s="59"/>
      <c r="I602" s="59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5.75" customHeight="1" x14ac:dyDescent="0.5">
      <c r="A603" s="37"/>
      <c r="B603" s="37"/>
      <c r="C603" s="59"/>
      <c r="D603" s="59"/>
      <c r="E603" s="59"/>
      <c r="F603" s="59"/>
      <c r="G603" s="59"/>
      <c r="H603" s="59"/>
      <c r="I603" s="59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5.75" customHeight="1" x14ac:dyDescent="0.5">
      <c r="A604" s="37"/>
      <c r="B604" s="37"/>
      <c r="C604" s="59"/>
      <c r="D604" s="59"/>
      <c r="E604" s="59"/>
      <c r="F604" s="59"/>
      <c r="G604" s="59"/>
      <c r="H604" s="59"/>
      <c r="I604" s="59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5.75" customHeight="1" x14ac:dyDescent="0.5">
      <c r="A605" s="37"/>
      <c r="B605" s="37"/>
      <c r="C605" s="59"/>
      <c r="D605" s="59"/>
      <c r="E605" s="59"/>
      <c r="F605" s="59"/>
      <c r="G605" s="59"/>
      <c r="H605" s="59"/>
      <c r="I605" s="59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5.75" customHeight="1" x14ac:dyDescent="0.5">
      <c r="A606" s="37"/>
      <c r="B606" s="37"/>
      <c r="C606" s="59"/>
      <c r="D606" s="59"/>
      <c r="E606" s="59"/>
      <c r="F606" s="59"/>
      <c r="G606" s="59"/>
      <c r="H606" s="59"/>
      <c r="I606" s="59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5.75" customHeight="1" x14ac:dyDescent="0.5">
      <c r="A607" s="37"/>
      <c r="B607" s="37"/>
      <c r="C607" s="59"/>
      <c r="D607" s="59"/>
      <c r="E607" s="59"/>
      <c r="F607" s="59"/>
      <c r="G607" s="59"/>
      <c r="H607" s="59"/>
      <c r="I607" s="59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5.75" customHeight="1" x14ac:dyDescent="0.5">
      <c r="A608" s="37"/>
      <c r="B608" s="37"/>
      <c r="C608" s="59"/>
      <c r="D608" s="59"/>
      <c r="E608" s="59"/>
      <c r="F608" s="59"/>
      <c r="G608" s="59"/>
      <c r="H608" s="59"/>
      <c r="I608" s="59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5.75" customHeight="1" x14ac:dyDescent="0.5">
      <c r="A609" s="37"/>
      <c r="B609" s="37"/>
      <c r="C609" s="59"/>
      <c r="D609" s="59"/>
      <c r="E609" s="59"/>
      <c r="F609" s="59"/>
      <c r="G609" s="59"/>
      <c r="H609" s="59"/>
      <c r="I609" s="59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5.75" customHeight="1" x14ac:dyDescent="0.5">
      <c r="A610" s="37"/>
      <c r="B610" s="37"/>
      <c r="C610" s="59"/>
      <c r="D610" s="59"/>
      <c r="E610" s="59"/>
      <c r="F610" s="59"/>
      <c r="G610" s="59"/>
      <c r="H610" s="59"/>
      <c r="I610" s="59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5.75" customHeight="1" x14ac:dyDescent="0.5">
      <c r="A611" s="37"/>
      <c r="B611" s="37"/>
      <c r="C611" s="59"/>
      <c r="D611" s="59"/>
      <c r="E611" s="59"/>
      <c r="F611" s="59"/>
      <c r="G611" s="59"/>
      <c r="H611" s="59"/>
      <c r="I611" s="59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5.75" customHeight="1" x14ac:dyDescent="0.5">
      <c r="A612" s="37"/>
      <c r="B612" s="37"/>
      <c r="C612" s="59"/>
      <c r="D612" s="59"/>
      <c r="E612" s="59"/>
      <c r="F612" s="59"/>
      <c r="G612" s="59"/>
      <c r="H612" s="59"/>
      <c r="I612" s="59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5.75" customHeight="1" x14ac:dyDescent="0.5">
      <c r="A613" s="37"/>
      <c r="B613" s="37"/>
      <c r="C613" s="59"/>
      <c r="D613" s="59"/>
      <c r="E613" s="59"/>
      <c r="F613" s="59"/>
      <c r="G613" s="59"/>
      <c r="H613" s="59"/>
      <c r="I613" s="59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5.75" customHeight="1" x14ac:dyDescent="0.5">
      <c r="A614" s="37"/>
      <c r="B614" s="37"/>
      <c r="C614" s="59"/>
      <c r="D614" s="59"/>
      <c r="E614" s="59"/>
      <c r="F614" s="59"/>
      <c r="G614" s="59"/>
      <c r="H614" s="59"/>
      <c r="I614" s="59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5.75" customHeight="1" x14ac:dyDescent="0.5">
      <c r="A615" s="37"/>
      <c r="B615" s="37"/>
      <c r="C615" s="59"/>
      <c r="D615" s="59"/>
      <c r="E615" s="59"/>
      <c r="F615" s="59"/>
      <c r="G615" s="59"/>
      <c r="H615" s="59"/>
      <c r="I615" s="59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5.75" customHeight="1" x14ac:dyDescent="0.5">
      <c r="A616" s="37"/>
      <c r="B616" s="37"/>
      <c r="C616" s="59"/>
      <c r="D616" s="59"/>
      <c r="E616" s="59"/>
      <c r="F616" s="59"/>
      <c r="G616" s="59"/>
      <c r="H616" s="59"/>
      <c r="I616" s="59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5.75" customHeight="1" x14ac:dyDescent="0.5">
      <c r="A617" s="37"/>
      <c r="B617" s="37"/>
      <c r="C617" s="59"/>
      <c r="D617" s="59"/>
      <c r="E617" s="59"/>
      <c r="F617" s="59"/>
      <c r="G617" s="59"/>
      <c r="H617" s="59"/>
      <c r="I617" s="59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5.75" customHeight="1" x14ac:dyDescent="0.5">
      <c r="A618" s="37"/>
      <c r="B618" s="37"/>
      <c r="C618" s="59"/>
      <c r="D618" s="59"/>
      <c r="E618" s="59"/>
      <c r="F618" s="59"/>
      <c r="G618" s="59"/>
      <c r="H618" s="59"/>
      <c r="I618" s="59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5.75" customHeight="1" x14ac:dyDescent="0.5">
      <c r="A619" s="37"/>
      <c r="B619" s="37"/>
      <c r="C619" s="59"/>
      <c r="D619" s="59"/>
      <c r="E619" s="59"/>
      <c r="F619" s="59"/>
      <c r="G619" s="59"/>
      <c r="H619" s="59"/>
      <c r="I619" s="59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5.75" customHeight="1" x14ac:dyDescent="0.5">
      <c r="A620" s="37"/>
      <c r="B620" s="37"/>
      <c r="C620" s="59"/>
      <c r="D620" s="59"/>
      <c r="E620" s="59"/>
      <c r="F620" s="59"/>
      <c r="G620" s="59"/>
      <c r="H620" s="59"/>
      <c r="I620" s="59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5.75" customHeight="1" x14ac:dyDescent="0.5">
      <c r="A621" s="37"/>
      <c r="B621" s="37"/>
      <c r="C621" s="59"/>
      <c r="D621" s="59"/>
      <c r="E621" s="59"/>
      <c r="F621" s="59"/>
      <c r="G621" s="59"/>
      <c r="H621" s="59"/>
      <c r="I621" s="59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5.75" customHeight="1" x14ac:dyDescent="0.5">
      <c r="A622" s="37"/>
      <c r="B622" s="37"/>
      <c r="C622" s="59"/>
      <c r="D622" s="59"/>
      <c r="E622" s="59"/>
      <c r="F622" s="59"/>
      <c r="G622" s="59"/>
      <c r="H622" s="59"/>
      <c r="I622" s="59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5.75" customHeight="1" x14ac:dyDescent="0.5">
      <c r="A623" s="37"/>
      <c r="B623" s="37"/>
      <c r="C623" s="59"/>
      <c r="D623" s="59"/>
      <c r="E623" s="59"/>
      <c r="F623" s="59"/>
      <c r="G623" s="59"/>
      <c r="H623" s="59"/>
      <c r="I623" s="59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5.75" customHeight="1" x14ac:dyDescent="0.5">
      <c r="A624" s="37"/>
      <c r="B624" s="37"/>
      <c r="C624" s="59"/>
      <c r="D624" s="59"/>
      <c r="E624" s="59"/>
      <c r="F624" s="59"/>
      <c r="G624" s="59"/>
      <c r="H624" s="59"/>
      <c r="I624" s="59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5.75" customHeight="1" x14ac:dyDescent="0.5">
      <c r="A625" s="37"/>
      <c r="B625" s="37"/>
      <c r="C625" s="59"/>
      <c r="D625" s="59"/>
      <c r="E625" s="59"/>
      <c r="F625" s="59"/>
      <c r="G625" s="59"/>
      <c r="H625" s="59"/>
      <c r="I625" s="59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5.75" customHeight="1" x14ac:dyDescent="0.5">
      <c r="A626" s="37"/>
      <c r="B626" s="37"/>
      <c r="C626" s="59"/>
      <c r="D626" s="59"/>
      <c r="E626" s="59"/>
      <c r="F626" s="59"/>
      <c r="G626" s="59"/>
      <c r="H626" s="59"/>
      <c r="I626" s="59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5.75" customHeight="1" x14ac:dyDescent="0.5">
      <c r="A627" s="37"/>
      <c r="B627" s="37"/>
      <c r="C627" s="59"/>
      <c r="D627" s="59"/>
      <c r="E627" s="59"/>
      <c r="F627" s="59"/>
      <c r="G627" s="59"/>
      <c r="H627" s="59"/>
      <c r="I627" s="59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5.75" customHeight="1" x14ac:dyDescent="0.5">
      <c r="A628" s="37"/>
      <c r="B628" s="37"/>
      <c r="C628" s="59"/>
      <c r="D628" s="59"/>
      <c r="E628" s="59"/>
      <c r="F628" s="59"/>
      <c r="G628" s="59"/>
      <c r="H628" s="59"/>
      <c r="I628" s="59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5.75" customHeight="1" x14ac:dyDescent="0.5">
      <c r="A629" s="37"/>
      <c r="B629" s="37"/>
      <c r="C629" s="59"/>
      <c r="D629" s="59"/>
      <c r="E629" s="59"/>
      <c r="F629" s="59"/>
      <c r="G629" s="59"/>
      <c r="H629" s="59"/>
      <c r="I629" s="59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5.75" customHeight="1" x14ac:dyDescent="0.5">
      <c r="A630" s="37"/>
      <c r="B630" s="37"/>
      <c r="C630" s="59"/>
      <c r="D630" s="59"/>
      <c r="E630" s="59"/>
      <c r="F630" s="59"/>
      <c r="G630" s="59"/>
      <c r="H630" s="59"/>
      <c r="I630" s="59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5.75" customHeight="1" x14ac:dyDescent="0.5">
      <c r="A631" s="37"/>
      <c r="B631" s="37"/>
      <c r="C631" s="59"/>
      <c r="D631" s="59"/>
      <c r="E631" s="59"/>
      <c r="F631" s="59"/>
      <c r="G631" s="59"/>
      <c r="H631" s="59"/>
      <c r="I631" s="59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5.75" customHeight="1" x14ac:dyDescent="0.5">
      <c r="A632" s="37"/>
      <c r="B632" s="37"/>
      <c r="C632" s="59"/>
      <c r="D632" s="59"/>
      <c r="E632" s="59"/>
      <c r="F632" s="59"/>
      <c r="G632" s="59"/>
      <c r="H632" s="59"/>
      <c r="I632" s="59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5.75" customHeight="1" x14ac:dyDescent="0.5">
      <c r="A633" s="37"/>
      <c r="B633" s="37"/>
      <c r="C633" s="59"/>
      <c r="D633" s="59"/>
      <c r="E633" s="59"/>
      <c r="F633" s="59"/>
      <c r="G633" s="59"/>
      <c r="H633" s="59"/>
      <c r="I633" s="59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5.75" customHeight="1" x14ac:dyDescent="0.5">
      <c r="A634" s="37"/>
      <c r="B634" s="37"/>
      <c r="C634" s="59"/>
      <c r="D634" s="59"/>
      <c r="E634" s="59"/>
      <c r="F634" s="59"/>
      <c r="G634" s="59"/>
      <c r="H634" s="59"/>
      <c r="I634" s="59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5.75" customHeight="1" x14ac:dyDescent="0.5">
      <c r="A635" s="37"/>
      <c r="B635" s="37"/>
      <c r="C635" s="59"/>
      <c r="D635" s="59"/>
      <c r="E635" s="59"/>
      <c r="F635" s="59"/>
      <c r="G635" s="59"/>
      <c r="H635" s="59"/>
      <c r="I635" s="59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5.75" customHeight="1" x14ac:dyDescent="0.5">
      <c r="A636" s="37"/>
      <c r="B636" s="37"/>
      <c r="C636" s="59"/>
      <c r="D636" s="59"/>
      <c r="E636" s="59"/>
      <c r="F636" s="59"/>
      <c r="G636" s="59"/>
      <c r="H636" s="59"/>
      <c r="I636" s="59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5.75" customHeight="1" x14ac:dyDescent="0.5">
      <c r="A637" s="37"/>
      <c r="B637" s="37"/>
      <c r="C637" s="59"/>
      <c r="D637" s="59"/>
      <c r="E637" s="59"/>
      <c r="F637" s="59"/>
      <c r="G637" s="59"/>
      <c r="H637" s="59"/>
      <c r="I637" s="59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5.75" customHeight="1" x14ac:dyDescent="0.5">
      <c r="A638" s="37"/>
      <c r="B638" s="37"/>
      <c r="C638" s="59"/>
      <c r="D638" s="59"/>
      <c r="E638" s="59"/>
      <c r="F638" s="59"/>
      <c r="G638" s="59"/>
      <c r="H638" s="59"/>
      <c r="I638" s="59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5.75" customHeight="1" x14ac:dyDescent="0.5">
      <c r="A639" s="37"/>
      <c r="B639" s="37"/>
      <c r="C639" s="59"/>
      <c r="D639" s="59"/>
      <c r="E639" s="59"/>
      <c r="F639" s="59"/>
      <c r="G639" s="59"/>
      <c r="H639" s="59"/>
      <c r="I639" s="59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5.75" customHeight="1" x14ac:dyDescent="0.5">
      <c r="A640" s="37"/>
      <c r="B640" s="37"/>
      <c r="C640" s="59"/>
      <c r="D640" s="59"/>
      <c r="E640" s="59"/>
      <c r="F640" s="59"/>
      <c r="G640" s="59"/>
      <c r="H640" s="59"/>
      <c r="I640" s="59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5.75" customHeight="1" x14ac:dyDescent="0.5">
      <c r="A641" s="37"/>
      <c r="B641" s="37"/>
      <c r="C641" s="59"/>
      <c r="D641" s="59"/>
      <c r="E641" s="59"/>
      <c r="F641" s="59"/>
      <c r="G641" s="59"/>
      <c r="H641" s="59"/>
      <c r="I641" s="59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5.75" customHeight="1" x14ac:dyDescent="0.5">
      <c r="A642" s="37"/>
      <c r="B642" s="37"/>
      <c r="C642" s="59"/>
      <c r="D642" s="59"/>
      <c r="E642" s="59"/>
      <c r="F642" s="59"/>
      <c r="G642" s="59"/>
      <c r="H642" s="59"/>
      <c r="I642" s="59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5.75" customHeight="1" x14ac:dyDescent="0.5">
      <c r="A643" s="37"/>
      <c r="B643" s="37"/>
      <c r="C643" s="59"/>
      <c r="D643" s="59"/>
      <c r="E643" s="59"/>
      <c r="F643" s="59"/>
      <c r="G643" s="59"/>
      <c r="H643" s="59"/>
      <c r="I643" s="59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5.75" customHeight="1" x14ac:dyDescent="0.5">
      <c r="A644" s="37"/>
      <c r="B644" s="37"/>
      <c r="C644" s="59"/>
      <c r="D644" s="59"/>
      <c r="E644" s="59"/>
      <c r="F644" s="59"/>
      <c r="G644" s="59"/>
      <c r="H644" s="59"/>
      <c r="I644" s="59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5.75" customHeight="1" x14ac:dyDescent="0.5">
      <c r="A645" s="37"/>
      <c r="B645" s="37"/>
      <c r="C645" s="59"/>
      <c r="D645" s="59"/>
      <c r="E645" s="59"/>
      <c r="F645" s="59"/>
      <c r="G645" s="59"/>
      <c r="H645" s="59"/>
      <c r="I645" s="59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5.75" customHeight="1" x14ac:dyDescent="0.5">
      <c r="A646" s="37"/>
      <c r="B646" s="37"/>
      <c r="C646" s="59"/>
      <c r="D646" s="59"/>
      <c r="E646" s="59"/>
      <c r="F646" s="59"/>
      <c r="G646" s="59"/>
      <c r="H646" s="59"/>
      <c r="I646" s="59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5.75" customHeight="1" x14ac:dyDescent="0.5">
      <c r="A647" s="37"/>
      <c r="B647" s="37"/>
      <c r="C647" s="59"/>
      <c r="D647" s="59"/>
      <c r="E647" s="59"/>
      <c r="F647" s="59"/>
      <c r="G647" s="59"/>
      <c r="H647" s="59"/>
      <c r="I647" s="59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5.75" customHeight="1" x14ac:dyDescent="0.5">
      <c r="A648" s="37"/>
      <c r="B648" s="37"/>
      <c r="C648" s="59"/>
      <c r="D648" s="59"/>
      <c r="E648" s="59"/>
      <c r="F648" s="59"/>
      <c r="G648" s="59"/>
      <c r="H648" s="59"/>
      <c r="I648" s="59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5.75" customHeight="1" x14ac:dyDescent="0.5">
      <c r="A649" s="37"/>
      <c r="B649" s="37"/>
      <c r="C649" s="59"/>
      <c r="D649" s="59"/>
      <c r="E649" s="59"/>
      <c r="F649" s="59"/>
      <c r="G649" s="59"/>
      <c r="H649" s="59"/>
      <c r="I649" s="59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5.75" customHeight="1" x14ac:dyDescent="0.5">
      <c r="A650" s="37"/>
      <c r="B650" s="37"/>
      <c r="C650" s="59"/>
      <c r="D650" s="59"/>
      <c r="E650" s="59"/>
      <c r="F650" s="59"/>
      <c r="G650" s="59"/>
      <c r="H650" s="59"/>
      <c r="I650" s="59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5.75" customHeight="1" x14ac:dyDescent="0.5">
      <c r="A651" s="37"/>
      <c r="B651" s="37"/>
      <c r="C651" s="59"/>
      <c r="D651" s="59"/>
      <c r="E651" s="59"/>
      <c r="F651" s="59"/>
      <c r="G651" s="59"/>
      <c r="H651" s="59"/>
      <c r="I651" s="59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5.75" customHeight="1" x14ac:dyDescent="0.5">
      <c r="A652" s="37"/>
      <c r="B652" s="37"/>
      <c r="C652" s="59"/>
      <c r="D652" s="59"/>
      <c r="E652" s="59"/>
      <c r="F652" s="59"/>
      <c r="G652" s="59"/>
      <c r="H652" s="59"/>
      <c r="I652" s="59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5.75" customHeight="1" x14ac:dyDescent="0.5">
      <c r="A653" s="37"/>
      <c r="B653" s="37"/>
      <c r="C653" s="59"/>
      <c r="D653" s="59"/>
      <c r="E653" s="59"/>
      <c r="F653" s="59"/>
      <c r="G653" s="59"/>
      <c r="H653" s="59"/>
      <c r="I653" s="59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5.75" customHeight="1" x14ac:dyDescent="0.5">
      <c r="A654" s="37"/>
      <c r="B654" s="37"/>
      <c r="C654" s="59"/>
      <c r="D654" s="59"/>
      <c r="E654" s="59"/>
      <c r="F654" s="59"/>
      <c r="G654" s="59"/>
      <c r="H654" s="59"/>
      <c r="I654" s="59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5.75" customHeight="1" x14ac:dyDescent="0.5">
      <c r="A655" s="37"/>
      <c r="B655" s="37"/>
      <c r="C655" s="59"/>
      <c r="D655" s="59"/>
      <c r="E655" s="59"/>
      <c r="F655" s="59"/>
      <c r="G655" s="59"/>
      <c r="H655" s="59"/>
      <c r="I655" s="59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5.75" customHeight="1" x14ac:dyDescent="0.5">
      <c r="A656" s="37"/>
      <c r="B656" s="37"/>
      <c r="C656" s="59"/>
      <c r="D656" s="59"/>
      <c r="E656" s="59"/>
      <c r="F656" s="59"/>
      <c r="G656" s="59"/>
      <c r="H656" s="59"/>
      <c r="I656" s="59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5.75" customHeight="1" x14ac:dyDescent="0.5">
      <c r="A657" s="37"/>
      <c r="B657" s="37"/>
      <c r="C657" s="59"/>
      <c r="D657" s="59"/>
      <c r="E657" s="59"/>
      <c r="F657" s="59"/>
      <c r="G657" s="59"/>
      <c r="H657" s="59"/>
      <c r="I657" s="59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5.75" customHeight="1" x14ac:dyDescent="0.5">
      <c r="A658" s="37"/>
      <c r="B658" s="37"/>
      <c r="C658" s="59"/>
      <c r="D658" s="59"/>
      <c r="E658" s="59"/>
      <c r="F658" s="59"/>
      <c r="G658" s="59"/>
      <c r="H658" s="59"/>
      <c r="I658" s="59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5.75" customHeight="1" x14ac:dyDescent="0.5">
      <c r="A659" s="37"/>
      <c r="B659" s="37"/>
      <c r="C659" s="59"/>
      <c r="D659" s="59"/>
      <c r="E659" s="59"/>
      <c r="F659" s="59"/>
      <c r="G659" s="59"/>
      <c r="H659" s="59"/>
      <c r="I659" s="59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5.75" customHeight="1" x14ac:dyDescent="0.5">
      <c r="A660" s="37"/>
      <c r="B660" s="37"/>
      <c r="C660" s="59"/>
      <c r="D660" s="59"/>
      <c r="E660" s="59"/>
      <c r="F660" s="59"/>
      <c r="G660" s="59"/>
      <c r="H660" s="59"/>
      <c r="I660" s="59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5.75" customHeight="1" x14ac:dyDescent="0.5">
      <c r="A661" s="37"/>
      <c r="B661" s="37"/>
      <c r="C661" s="59"/>
      <c r="D661" s="59"/>
      <c r="E661" s="59"/>
      <c r="F661" s="59"/>
      <c r="G661" s="59"/>
      <c r="H661" s="59"/>
      <c r="I661" s="59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5.75" customHeight="1" x14ac:dyDescent="0.5">
      <c r="A662" s="37"/>
      <c r="B662" s="37"/>
      <c r="C662" s="59"/>
      <c r="D662" s="59"/>
      <c r="E662" s="59"/>
      <c r="F662" s="59"/>
      <c r="G662" s="59"/>
      <c r="H662" s="59"/>
      <c r="I662" s="59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5.75" customHeight="1" x14ac:dyDescent="0.5">
      <c r="A663" s="37"/>
      <c r="B663" s="37"/>
      <c r="C663" s="59"/>
      <c r="D663" s="59"/>
      <c r="E663" s="59"/>
      <c r="F663" s="59"/>
      <c r="G663" s="59"/>
      <c r="H663" s="59"/>
      <c r="I663" s="59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5.75" customHeight="1" x14ac:dyDescent="0.5">
      <c r="A664" s="37"/>
      <c r="B664" s="37"/>
      <c r="C664" s="59"/>
      <c r="D664" s="59"/>
      <c r="E664" s="59"/>
      <c r="F664" s="59"/>
      <c r="G664" s="59"/>
      <c r="H664" s="59"/>
      <c r="I664" s="59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5.75" customHeight="1" x14ac:dyDescent="0.5">
      <c r="A665" s="37"/>
      <c r="B665" s="37"/>
      <c r="C665" s="59"/>
      <c r="D665" s="59"/>
      <c r="E665" s="59"/>
      <c r="F665" s="59"/>
      <c r="G665" s="59"/>
      <c r="H665" s="59"/>
      <c r="I665" s="59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5.75" customHeight="1" x14ac:dyDescent="0.5">
      <c r="A666" s="37"/>
      <c r="B666" s="37"/>
      <c r="C666" s="59"/>
      <c r="D666" s="59"/>
      <c r="E666" s="59"/>
      <c r="F666" s="59"/>
      <c r="G666" s="59"/>
      <c r="H666" s="59"/>
      <c r="I666" s="59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5.75" customHeight="1" x14ac:dyDescent="0.5">
      <c r="A667" s="37"/>
      <c r="B667" s="37"/>
      <c r="C667" s="59"/>
      <c r="D667" s="59"/>
      <c r="E667" s="59"/>
      <c r="F667" s="59"/>
      <c r="G667" s="59"/>
      <c r="H667" s="59"/>
      <c r="I667" s="59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5.75" customHeight="1" x14ac:dyDescent="0.5">
      <c r="A668" s="37"/>
      <c r="B668" s="37"/>
      <c r="C668" s="59"/>
      <c r="D668" s="59"/>
      <c r="E668" s="59"/>
      <c r="F668" s="59"/>
      <c r="G668" s="59"/>
      <c r="H668" s="59"/>
      <c r="I668" s="59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5.75" customHeight="1" x14ac:dyDescent="0.5">
      <c r="A669" s="37"/>
      <c r="B669" s="37"/>
      <c r="C669" s="59"/>
      <c r="D669" s="59"/>
      <c r="E669" s="59"/>
      <c r="F669" s="59"/>
      <c r="G669" s="59"/>
      <c r="H669" s="59"/>
      <c r="I669" s="59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5.75" customHeight="1" x14ac:dyDescent="0.5">
      <c r="A670" s="37"/>
      <c r="B670" s="37"/>
      <c r="C670" s="59"/>
      <c r="D670" s="59"/>
      <c r="E670" s="59"/>
      <c r="F670" s="59"/>
      <c r="G670" s="59"/>
      <c r="H670" s="59"/>
      <c r="I670" s="59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5.75" customHeight="1" x14ac:dyDescent="0.5">
      <c r="A671" s="37"/>
      <c r="B671" s="37"/>
      <c r="C671" s="59"/>
      <c r="D671" s="59"/>
      <c r="E671" s="59"/>
      <c r="F671" s="59"/>
      <c r="G671" s="59"/>
      <c r="H671" s="59"/>
      <c r="I671" s="59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5.75" customHeight="1" x14ac:dyDescent="0.5">
      <c r="A672" s="37"/>
      <c r="B672" s="37"/>
      <c r="C672" s="59"/>
      <c r="D672" s="59"/>
      <c r="E672" s="59"/>
      <c r="F672" s="59"/>
      <c r="G672" s="59"/>
      <c r="H672" s="59"/>
      <c r="I672" s="59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5.75" customHeight="1" x14ac:dyDescent="0.5">
      <c r="A673" s="37"/>
      <c r="B673" s="37"/>
      <c r="C673" s="59"/>
      <c r="D673" s="59"/>
      <c r="E673" s="59"/>
      <c r="F673" s="59"/>
      <c r="G673" s="59"/>
      <c r="H673" s="59"/>
      <c r="I673" s="59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5.75" customHeight="1" x14ac:dyDescent="0.5">
      <c r="A674" s="37"/>
      <c r="B674" s="37"/>
      <c r="C674" s="59"/>
      <c r="D674" s="59"/>
      <c r="E674" s="59"/>
      <c r="F674" s="59"/>
      <c r="G674" s="59"/>
      <c r="H674" s="59"/>
      <c r="I674" s="59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5.75" customHeight="1" x14ac:dyDescent="0.5">
      <c r="A675" s="37"/>
      <c r="B675" s="37"/>
      <c r="C675" s="59"/>
      <c r="D675" s="59"/>
      <c r="E675" s="59"/>
      <c r="F675" s="59"/>
      <c r="G675" s="59"/>
      <c r="H675" s="59"/>
      <c r="I675" s="59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5.75" customHeight="1" x14ac:dyDescent="0.5">
      <c r="A676" s="37"/>
      <c r="B676" s="37"/>
      <c r="C676" s="59"/>
      <c r="D676" s="59"/>
      <c r="E676" s="59"/>
      <c r="F676" s="59"/>
      <c r="G676" s="59"/>
      <c r="H676" s="59"/>
      <c r="I676" s="59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5.75" customHeight="1" x14ac:dyDescent="0.5">
      <c r="A677" s="37"/>
      <c r="B677" s="37"/>
      <c r="C677" s="59"/>
      <c r="D677" s="59"/>
      <c r="E677" s="59"/>
      <c r="F677" s="59"/>
      <c r="G677" s="59"/>
      <c r="H677" s="59"/>
      <c r="I677" s="59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5.75" customHeight="1" x14ac:dyDescent="0.5">
      <c r="A678" s="37"/>
      <c r="B678" s="37"/>
      <c r="C678" s="59"/>
      <c r="D678" s="59"/>
      <c r="E678" s="59"/>
      <c r="F678" s="59"/>
      <c r="G678" s="59"/>
      <c r="H678" s="59"/>
      <c r="I678" s="59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5.75" customHeight="1" x14ac:dyDescent="0.5">
      <c r="A679" s="37"/>
      <c r="B679" s="37"/>
      <c r="C679" s="59"/>
      <c r="D679" s="59"/>
      <c r="E679" s="59"/>
      <c r="F679" s="59"/>
      <c r="G679" s="59"/>
      <c r="H679" s="59"/>
      <c r="I679" s="59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5.75" customHeight="1" x14ac:dyDescent="0.5">
      <c r="A680" s="37"/>
      <c r="B680" s="37"/>
      <c r="C680" s="59"/>
      <c r="D680" s="59"/>
      <c r="E680" s="59"/>
      <c r="F680" s="59"/>
      <c r="G680" s="59"/>
      <c r="H680" s="59"/>
      <c r="I680" s="59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5.75" customHeight="1" x14ac:dyDescent="0.5">
      <c r="A681" s="37"/>
      <c r="B681" s="37"/>
      <c r="C681" s="59"/>
      <c r="D681" s="59"/>
      <c r="E681" s="59"/>
      <c r="F681" s="59"/>
      <c r="G681" s="59"/>
      <c r="H681" s="59"/>
      <c r="I681" s="59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5.75" customHeight="1" x14ac:dyDescent="0.5">
      <c r="A682" s="37"/>
      <c r="B682" s="37"/>
      <c r="C682" s="59"/>
      <c r="D682" s="59"/>
      <c r="E682" s="59"/>
      <c r="F682" s="59"/>
      <c r="G682" s="59"/>
      <c r="H682" s="59"/>
      <c r="I682" s="59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5.75" customHeight="1" x14ac:dyDescent="0.5">
      <c r="A683" s="37"/>
      <c r="B683" s="37"/>
      <c r="C683" s="59"/>
      <c r="D683" s="59"/>
      <c r="E683" s="59"/>
      <c r="F683" s="59"/>
      <c r="G683" s="59"/>
      <c r="H683" s="59"/>
      <c r="I683" s="59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5.75" customHeight="1" x14ac:dyDescent="0.5">
      <c r="A684" s="37"/>
      <c r="B684" s="37"/>
      <c r="C684" s="59"/>
      <c r="D684" s="59"/>
      <c r="E684" s="59"/>
      <c r="F684" s="59"/>
      <c r="G684" s="59"/>
      <c r="H684" s="59"/>
      <c r="I684" s="59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5.75" customHeight="1" x14ac:dyDescent="0.5">
      <c r="A685" s="37"/>
      <c r="B685" s="37"/>
      <c r="C685" s="59"/>
      <c r="D685" s="59"/>
      <c r="E685" s="59"/>
      <c r="F685" s="59"/>
      <c r="G685" s="59"/>
      <c r="H685" s="59"/>
      <c r="I685" s="59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5.75" customHeight="1" x14ac:dyDescent="0.5">
      <c r="A686" s="37"/>
      <c r="B686" s="37"/>
      <c r="C686" s="59"/>
      <c r="D686" s="59"/>
      <c r="E686" s="59"/>
      <c r="F686" s="59"/>
      <c r="G686" s="59"/>
      <c r="H686" s="59"/>
      <c r="I686" s="59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5.75" customHeight="1" x14ac:dyDescent="0.5">
      <c r="A687" s="37"/>
      <c r="B687" s="37"/>
      <c r="C687" s="59"/>
      <c r="D687" s="59"/>
      <c r="E687" s="59"/>
      <c r="F687" s="59"/>
      <c r="G687" s="59"/>
      <c r="H687" s="59"/>
      <c r="I687" s="59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5.75" customHeight="1" x14ac:dyDescent="0.5">
      <c r="A688" s="37"/>
      <c r="B688" s="37"/>
      <c r="C688" s="59"/>
      <c r="D688" s="59"/>
      <c r="E688" s="59"/>
      <c r="F688" s="59"/>
      <c r="G688" s="59"/>
      <c r="H688" s="59"/>
      <c r="I688" s="59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5.75" customHeight="1" x14ac:dyDescent="0.5">
      <c r="A689" s="37"/>
      <c r="B689" s="37"/>
      <c r="C689" s="59"/>
      <c r="D689" s="59"/>
      <c r="E689" s="59"/>
      <c r="F689" s="59"/>
      <c r="G689" s="59"/>
      <c r="H689" s="59"/>
      <c r="I689" s="59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5.75" customHeight="1" x14ac:dyDescent="0.5">
      <c r="A690" s="37"/>
      <c r="B690" s="37"/>
      <c r="C690" s="59"/>
      <c r="D690" s="59"/>
      <c r="E690" s="59"/>
      <c r="F690" s="59"/>
      <c r="G690" s="59"/>
      <c r="H690" s="59"/>
      <c r="I690" s="59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5.75" customHeight="1" x14ac:dyDescent="0.5">
      <c r="A691" s="37"/>
      <c r="B691" s="37"/>
      <c r="C691" s="59"/>
      <c r="D691" s="59"/>
      <c r="E691" s="59"/>
      <c r="F691" s="59"/>
      <c r="G691" s="59"/>
      <c r="H691" s="59"/>
      <c r="I691" s="59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5.75" customHeight="1" x14ac:dyDescent="0.5">
      <c r="A692" s="37"/>
      <c r="B692" s="37"/>
      <c r="C692" s="59"/>
      <c r="D692" s="59"/>
      <c r="E692" s="59"/>
      <c r="F692" s="59"/>
      <c r="G692" s="59"/>
      <c r="H692" s="59"/>
      <c r="I692" s="59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5.75" customHeight="1" x14ac:dyDescent="0.5">
      <c r="A693" s="37"/>
      <c r="B693" s="37"/>
      <c r="C693" s="59"/>
      <c r="D693" s="59"/>
      <c r="E693" s="59"/>
      <c r="F693" s="59"/>
      <c r="G693" s="59"/>
      <c r="H693" s="59"/>
      <c r="I693" s="59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5.75" customHeight="1" x14ac:dyDescent="0.5">
      <c r="A694" s="37"/>
      <c r="B694" s="37"/>
      <c r="C694" s="59"/>
      <c r="D694" s="59"/>
      <c r="E694" s="59"/>
      <c r="F694" s="59"/>
      <c r="G694" s="59"/>
      <c r="H694" s="59"/>
      <c r="I694" s="59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5.75" customHeight="1" x14ac:dyDescent="0.5">
      <c r="A695" s="37"/>
      <c r="B695" s="37"/>
      <c r="C695" s="59"/>
      <c r="D695" s="59"/>
      <c r="E695" s="59"/>
      <c r="F695" s="59"/>
      <c r="G695" s="59"/>
      <c r="H695" s="59"/>
      <c r="I695" s="59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5.75" customHeight="1" x14ac:dyDescent="0.5">
      <c r="A696" s="37"/>
      <c r="B696" s="37"/>
      <c r="C696" s="59"/>
      <c r="D696" s="59"/>
      <c r="E696" s="59"/>
      <c r="F696" s="59"/>
      <c r="G696" s="59"/>
      <c r="H696" s="59"/>
      <c r="I696" s="59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5.75" customHeight="1" x14ac:dyDescent="0.5">
      <c r="A697" s="37"/>
      <c r="B697" s="37"/>
      <c r="C697" s="59"/>
      <c r="D697" s="59"/>
      <c r="E697" s="59"/>
      <c r="F697" s="59"/>
      <c r="G697" s="59"/>
      <c r="H697" s="59"/>
      <c r="I697" s="59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5.75" customHeight="1" x14ac:dyDescent="0.5">
      <c r="A698" s="37"/>
      <c r="B698" s="37"/>
      <c r="C698" s="59"/>
      <c r="D698" s="59"/>
      <c r="E698" s="59"/>
      <c r="F698" s="59"/>
      <c r="G698" s="59"/>
      <c r="H698" s="59"/>
      <c r="I698" s="59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5.75" customHeight="1" x14ac:dyDescent="0.5">
      <c r="A699" s="37"/>
      <c r="B699" s="37"/>
      <c r="C699" s="59"/>
      <c r="D699" s="59"/>
      <c r="E699" s="59"/>
      <c r="F699" s="59"/>
      <c r="G699" s="59"/>
      <c r="H699" s="59"/>
      <c r="I699" s="59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5.75" customHeight="1" x14ac:dyDescent="0.5">
      <c r="A700" s="37"/>
      <c r="B700" s="37"/>
      <c r="C700" s="59"/>
      <c r="D700" s="59"/>
      <c r="E700" s="59"/>
      <c r="F700" s="59"/>
      <c r="G700" s="59"/>
      <c r="H700" s="59"/>
      <c r="I700" s="59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5.75" customHeight="1" x14ac:dyDescent="0.5">
      <c r="A701" s="37"/>
      <c r="B701" s="37"/>
      <c r="C701" s="59"/>
      <c r="D701" s="59"/>
      <c r="E701" s="59"/>
      <c r="F701" s="59"/>
      <c r="G701" s="59"/>
      <c r="H701" s="59"/>
      <c r="I701" s="59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5.75" customHeight="1" x14ac:dyDescent="0.5">
      <c r="A702" s="37"/>
      <c r="B702" s="37"/>
      <c r="C702" s="59"/>
      <c r="D702" s="59"/>
      <c r="E702" s="59"/>
      <c r="F702" s="59"/>
      <c r="G702" s="59"/>
      <c r="H702" s="59"/>
      <c r="I702" s="59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5.75" customHeight="1" x14ac:dyDescent="0.5">
      <c r="A703" s="37"/>
      <c r="B703" s="37"/>
      <c r="C703" s="59"/>
      <c r="D703" s="59"/>
      <c r="E703" s="59"/>
      <c r="F703" s="59"/>
      <c r="G703" s="59"/>
      <c r="H703" s="59"/>
      <c r="I703" s="59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5.75" customHeight="1" x14ac:dyDescent="0.5">
      <c r="A704" s="37"/>
      <c r="B704" s="37"/>
      <c r="C704" s="59"/>
      <c r="D704" s="59"/>
      <c r="E704" s="59"/>
      <c r="F704" s="59"/>
      <c r="G704" s="59"/>
      <c r="H704" s="59"/>
      <c r="I704" s="59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5.75" customHeight="1" x14ac:dyDescent="0.5">
      <c r="A705" s="37"/>
      <c r="B705" s="37"/>
      <c r="C705" s="59"/>
      <c r="D705" s="59"/>
      <c r="E705" s="59"/>
      <c r="F705" s="59"/>
      <c r="G705" s="59"/>
      <c r="H705" s="59"/>
      <c r="I705" s="59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5.75" customHeight="1" x14ac:dyDescent="0.5">
      <c r="A706" s="37"/>
      <c r="B706" s="37"/>
      <c r="C706" s="59"/>
      <c r="D706" s="59"/>
      <c r="E706" s="59"/>
      <c r="F706" s="59"/>
      <c r="G706" s="59"/>
      <c r="H706" s="59"/>
      <c r="I706" s="59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5.75" customHeight="1" x14ac:dyDescent="0.5">
      <c r="A707" s="37"/>
      <c r="B707" s="37"/>
      <c r="C707" s="59"/>
      <c r="D707" s="59"/>
      <c r="E707" s="59"/>
      <c r="F707" s="59"/>
      <c r="G707" s="59"/>
      <c r="H707" s="59"/>
      <c r="I707" s="59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5.75" customHeight="1" x14ac:dyDescent="0.5">
      <c r="A708" s="37"/>
      <c r="B708" s="37"/>
      <c r="C708" s="59"/>
      <c r="D708" s="59"/>
      <c r="E708" s="59"/>
      <c r="F708" s="59"/>
      <c r="G708" s="59"/>
      <c r="H708" s="59"/>
      <c r="I708" s="59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5.75" customHeight="1" x14ac:dyDescent="0.5">
      <c r="A709" s="37"/>
      <c r="B709" s="37"/>
      <c r="C709" s="59"/>
      <c r="D709" s="59"/>
      <c r="E709" s="59"/>
      <c r="F709" s="59"/>
      <c r="G709" s="59"/>
      <c r="H709" s="59"/>
      <c r="I709" s="59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5.75" customHeight="1" x14ac:dyDescent="0.5">
      <c r="A710" s="37"/>
      <c r="B710" s="37"/>
      <c r="C710" s="59"/>
      <c r="D710" s="59"/>
      <c r="E710" s="59"/>
      <c r="F710" s="59"/>
      <c r="G710" s="59"/>
      <c r="H710" s="59"/>
      <c r="I710" s="59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5.75" customHeight="1" x14ac:dyDescent="0.5">
      <c r="A711" s="37"/>
      <c r="B711" s="37"/>
      <c r="C711" s="59"/>
      <c r="D711" s="59"/>
      <c r="E711" s="59"/>
      <c r="F711" s="59"/>
      <c r="G711" s="59"/>
      <c r="H711" s="59"/>
      <c r="I711" s="59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5.75" customHeight="1" x14ac:dyDescent="0.5">
      <c r="A712" s="37"/>
      <c r="B712" s="37"/>
      <c r="C712" s="59"/>
      <c r="D712" s="59"/>
      <c r="E712" s="59"/>
      <c r="F712" s="59"/>
      <c r="G712" s="59"/>
      <c r="H712" s="59"/>
      <c r="I712" s="59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5.75" customHeight="1" x14ac:dyDescent="0.5">
      <c r="A713" s="37"/>
      <c r="B713" s="37"/>
      <c r="C713" s="59"/>
      <c r="D713" s="59"/>
      <c r="E713" s="59"/>
      <c r="F713" s="59"/>
      <c r="G713" s="59"/>
      <c r="H713" s="59"/>
      <c r="I713" s="59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5.75" customHeight="1" x14ac:dyDescent="0.5">
      <c r="A714" s="37"/>
      <c r="B714" s="37"/>
      <c r="C714" s="59"/>
      <c r="D714" s="59"/>
      <c r="E714" s="59"/>
      <c r="F714" s="59"/>
      <c r="G714" s="59"/>
      <c r="H714" s="59"/>
      <c r="I714" s="59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5.75" customHeight="1" x14ac:dyDescent="0.5">
      <c r="A715" s="37"/>
      <c r="B715" s="37"/>
      <c r="C715" s="59"/>
      <c r="D715" s="59"/>
      <c r="E715" s="59"/>
      <c r="F715" s="59"/>
      <c r="G715" s="59"/>
      <c r="H715" s="59"/>
      <c r="I715" s="59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5.75" customHeight="1" x14ac:dyDescent="0.5">
      <c r="A716" s="37"/>
      <c r="B716" s="37"/>
      <c r="C716" s="59"/>
      <c r="D716" s="59"/>
      <c r="E716" s="59"/>
      <c r="F716" s="59"/>
      <c r="G716" s="59"/>
      <c r="H716" s="59"/>
      <c r="I716" s="59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5.75" customHeight="1" x14ac:dyDescent="0.5">
      <c r="A717" s="37"/>
      <c r="B717" s="37"/>
      <c r="C717" s="59"/>
      <c r="D717" s="59"/>
      <c r="E717" s="59"/>
      <c r="F717" s="59"/>
      <c r="G717" s="59"/>
      <c r="H717" s="59"/>
      <c r="I717" s="59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5.75" customHeight="1" x14ac:dyDescent="0.5">
      <c r="A718" s="37"/>
      <c r="B718" s="37"/>
      <c r="C718" s="59"/>
      <c r="D718" s="59"/>
      <c r="E718" s="59"/>
      <c r="F718" s="59"/>
      <c r="G718" s="59"/>
      <c r="H718" s="59"/>
      <c r="I718" s="59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5.75" customHeight="1" x14ac:dyDescent="0.5">
      <c r="A719" s="37"/>
      <c r="B719" s="37"/>
      <c r="C719" s="59"/>
      <c r="D719" s="59"/>
      <c r="E719" s="59"/>
      <c r="F719" s="59"/>
      <c r="G719" s="59"/>
      <c r="H719" s="59"/>
      <c r="I719" s="59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5.75" customHeight="1" x14ac:dyDescent="0.5">
      <c r="A720" s="37"/>
      <c r="B720" s="37"/>
      <c r="C720" s="59"/>
      <c r="D720" s="59"/>
      <c r="E720" s="59"/>
      <c r="F720" s="59"/>
      <c r="G720" s="59"/>
      <c r="H720" s="59"/>
      <c r="I720" s="59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5.75" customHeight="1" x14ac:dyDescent="0.5">
      <c r="A721" s="37"/>
      <c r="B721" s="37"/>
      <c r="C721" s="59"/>
      <c r="D721" s="59"/>
      <c r="E721" s="59"/>
      <c r="F721" s="59"/>
      <c r="G721" s="59"/>
      <c r="H721" s="59"/>
      <c r="I721" s="59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5.75" customHeight="1" x14ac:dyDescent="0.5">
      <c r="A722" s="37"/>
      <c r="B722" s="37"/>
      <c r="C722" s="59"/>
      <c r="D722" s="59"/>
      <c r="E722" s="59"/>
      <c r="F722" s="59"/>
      <c r="G722" s="59"/>
      <c r="H722" s="59"/>
      <c r="I722" s="59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5.75" customHeight="1" x14ac:dyDescent="0.5">
      <c r="A723" s="37"/>
      <c r="B723" s="37"/>
      <c r="C723" s="59"/>
      <c r="D723" s="59"/>
      <c r="E723" s="59"/>
      <c r="F723" s="59"/>
      <c r="G723" s="59"/>
      <c r="H723" s="59"/>
      <c r="I723" s="59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5.75" customHeight="1" x14ac:dyDescent="0.5">
      <c r="A724" s="37"/>
      <c r="B724" s="37"/>
      <c r="C724" s="59"/>
      <c r="D724" s="59"/>
      <c r="E724" s="59"/>
      <c r="F724" s="59"/>
      <c r="G724" s="59"/>
      <c r="H724" s="59"/>
      <c r="I724" s="59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5.75" customHeight="1" x14ac:dyDescent="0.5">
      <c r="A725" s="37"/>
      <c r="B725" s="37"/>
      <c r="C725" s="59"/>
      <c r="D725" s="59"/>
      <c r="E725" s="59"/>
      <c r="F725" s="59"/>
      <c r="G725" s="59"/>
      <c r="H725" s="59"/>
      <c r="I725" s="59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5.75" customHeight="1" x14ac:dyDescent="0.5">
      <c r="A726" s="37"/>
      <c r="B726" s="37"/>
      <c r="C726" s="59"/>
      <c r="D726" s="59"/>
      <c r="E726" s="59"/>
      <c r="F726" s="59"/>
      <c r="G726" s="59"/>
      <c r="H726" s="59"/>
      <c r="I726" s="59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5.75" customHeight="1" x14ac:dyDescent="0.5">
      <c r="A727" s="37"/>
      <c r="B727" s="37"/>
      <c r="C727" s="59"/>
      <c r="D727" s="59"/>
      <c r="E727" s="59"/>
      <c r="F727" s="59"/>
      <c r="G727" s="59"/>
      <c r="H727" s="59"/>
      <c r="I727" s="59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5.75" customHeight="1" x14ac:dyDescent="0.5">
      <c r="A728" s="37"/>
      <c r="B728" s="37"/>
      <c r="C728" s="59"/>
      <c r="D728" s="59"/>
      <c r="E728" s="59"/>
      <c r="F728" s="59"/>
      <c r="G728" s="59"/>
      <c r="H728" s="59"/>
      <c r="I728" s="59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5.75" customHeight="1" x14ac:dyDescent="0.5">
      <c r="A729" s="37"/>
      <c r="B729" s="37"/>
      <c r="C729" s="59"/>
      <c r="D729" s="59"/>
      <c r="E729" s="59"/>
      <c r="F729" s="59"/>
      <c r="G729" s="59"/>
      <c r="H729" s="59"/>
      <c r="I729" s="59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5.75" customHeight="1" x14ac:dyDescent="0.5">
      <c r="A730" s="37"/>
      <c r="B730" s="37"/>
      <c r="C730" s="59"/>
      <c r="D730" s="59"/>
      <c r="E730" s="59"/>
      <c r="F730" s="59"/>
      <c r="G730" s="59"/>
      <c r="H730" s="59"/>
      <c r="I730" s="59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5.75" customHeight="1" x14ac:dyDescent="0.5">
      <c r="A731" s="37"/>
      <c r="B731" s="37"/>
      <c r="C731" s="59"/>
      <c r="D731" s="59"/>
      <c r="E731" s="59"/>
      <c r="F731" s="59"/>
      <c r="G731" s="59"/>
      <c r="H731" s="59"/>
      <c r="I731" s="59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5.75" customHeight="1" x14ac:dyDescent="0.5">
      <c r="A732" s="37"/>
      <c r="B732" s="37"/>
      <c r="C732" s="59"/>
      <c r="D732" s="59"/>
      <c r="E732" s="59"/>
      <c r="F732" s="59"/>
      <c r="G732" s="59"/>
      <c r="H732" s="59"/>
      <c r="I732" s="59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5.75" customHeight="1" x14ac:dyDescent="0.5">
      <c r="A733" s="37"/>
      <c r="B733" s="37"/>
      <c r="C733" s="59"/>
      <c r="D733" s="59"/>
      <c r="E733" s="59"/>
      <c r="F733" s="59"/>
      <c r="G733" s="59"/>
      <c r="H733" s="59"/>
      <c r="I733" s="59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5.75" customHeight="1" x14ac:dyDescent="0.5">
      <c r="A734" s="37"/>
      <c r="B734" s="37"/>
      <c r="C734" s="59"/>
      <c r="D734" s="59"/>
      <c r="E734" s="59"/>
      <c r="F734" s="59"/>
      <c r="G734" s="59"/>
      <c r="H734" s="59"/>
      <c r="I734" s="59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5.75" customHeight="1" x14ac:dyDescent="0.5">
      <c r="A735" s="37"/>
      <c r="B735" s="37"/>
      <c r="C735" s="59"/>
      <c r="D735" s="59"/>
      <c r="E735" s="59"/>
      <c r="F735" s="59"/>
      <c r="G735" s="59"/>
      <c r="H735" s="59"/>
      <c r="I735" s="59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5.75" customHeight="1" x14ac:dyDescent="0.5">
      <c r="A736" s="37"/>
      <c r="B736" s="37"/>
      <c r="C736" s="59"/>
      <c r="D736" s="59"/>
      <c r="E736" s="59"/>
      <c r="F736" s="59"/>
      <c r="G736" s="59"/>
      <c r="H736" s="59"/>
      <c r="I736" s="59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5.75" customHeight="1" x14ac:dyDescent="0.5">
      <c r="A737" s="37"/>
      <c r="B737" s="37"/>
      <c r="C737" s="59"/>
      <c r="D737" s="59"/>
      <c r="E737" s="59"/>
      <c r="F737" s="59"/>
      <c r="G737" s="59"/>
      <c r="H737" s="59"/>
      <c r="I737" s="59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5.75" customHeight="1" x14ac:dyDescent="0.5">
      <c r="A738" s="37"/>
      <c r="B738" s="37"/>
      <c r="C738" s="59"/>
      <c r="D738" s="59"/>
      <c r="E738" s="59"/>
      <c r="F738" s="59"/>
      <c r="G738" s="59"/>
      <c r="H738" s="59"/>
      <c r="I738" s="59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5.75" customHeight="1" x14ac:dyDescent="0.5">
      <c r="A739" s="37"/>
      <c r="B739" s="37"/>
      <c r="C739" s="59"/>
      <c r="D739" s="59"/>
      <c r="E739" s="59"/>
      <c r="F739" s="59"/>
      <c r="G739" s="59"/>
      <c r="H739" s="59"/>
      <c r="I739" s="59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5.75" customHeight="1" x14ac:dyDescent="0.5">
      <c r="A740" s="37"/>
      <c r="B740" s="37"/>
      <c r="C740" s="59"/>
      <c r="D740" s="59"/>
      <c r="E740" s="59"/>
      <c r="F740" s="59"/>
      <c r="G740" s="59"/>
      <c r="H740" s="59"/>
      <c r="I740" s="59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5.75" customHeight="1" x14ac:dyDescent="0.5">
      <c r="A741" s="37"/>
      <c r="B741" s="37"/>
      <c r="C741" s="59"/>
      <c r="D741" s="59"/>
      <c r="E741" s="59"/>
      <c r="F741" s="59"/>
      <c r="G741" s="59"/>
      <c r="H741" s="59"/>
      <c r="I741" s="59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5.75" customHeight="1" x14ac:dyDescent="0.5">
      <c r="A742" s="37"/>
      <c r="B742" s="37"/>
      <c r="C742" s="59"/>
      <c r="D742" s="59"/>
      <c r="E742" s="59"/>
      <c r="F742" s="59"/>
      <c r="G742" s="59"/>
      <c r="H742" s="59"/>
      <c r="I742" s="59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5.75" customHeight="1" x14ac:dyDescent="0.5">
      <c r="A743" s="37"/>
      <c r="B743" s="37"/>
      <c r="C743" s="59"/>
      <c r="D743" s="59"/>
      <c r="E743" s="59"/>
      <c r="F743" s="59"/>
      <c r="G743" s="59"/>
      <c r="H743" s="59"/>
      <c r="I743" s="59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5.75" customHeight="1" x14ac:dyDescent="0.5">
      <c r="A744" s="37"/>
      <c r="B744" s="37"/>
      <c r="C744" s="59"/>
      <c r="D744" s="59"/>
      <c r="E744" s="59"/>
      <c r="F744" s="59"/>
      <c r="G744" s="59"/>
      <c r="H744" s="59"/>
      <c r="I744" s="59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5.75" customHeight="1" x14ac:dyDescent="0.5">
      <c r="A745" s="37"/>
      <c r="B745" s="37"/>
      <c r="C745" s="59"/>
      <c r="D745" s="59"/>
      <c r="E745" s="59"/>
      <c r="F745" s="59"/>
      <c r="G745" s="59"/>
      <c r="H745" s="59"/>
      <c r="I745" s="59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5.75" customHeight="1" x14ac:dyDescent="0.5">
      <c r="A746" s="37"/>
      <c r="B746" s="37"/>
      <c r="C746" s="59"/>
      <c r="D746" s="59"/>
      <c r="E746" s="59"/>
      <c r="F746" s="59"/>
      <c r="G746" s="59"/>
      <c r="H746" s="59"/>
      <c r="I746" s="59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5.75" customHeight="1" x14ac:dyDescent="0.5">
      <c r="A747" s="37"/>
      <c r="B747" s="37"/>
      <c r="C747" s="59"/>
      <c r="D747" s="59"/>
      <c r="E747" s="59"/>
      <c r="F747" s="59"/>
      <c r="G747" s="59"/>
      <c r="H747" s="59"/>
      <c r="I747" s="59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5.75" customHeight="1" x14ac:dyDescent="0.5">
      <c r="A748" s="37"/>
      <c r="B748" s="37"/>
      <c r="C748" s="59"/>
      <c r="D748" s="59"/>
      <c r="E748" s="59"/>
      <c r="F748" s="59"/>
      <c r="G748" s="59"/>
      <c r="H748" s="59"/>
      <c r="I748" s="59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5.75" customHeight="1" x14ac:dyDescent="0.5">
      <c r="A749" s="37"/>
      <c r="B749" s="37"/>
      <c r="C749" s="59"/>
      <c r="D749" s="59"/>
      <c r="E749" s="59"/>
      <c r="F749" s="59"/>
      <c r="G749" s="59"/>
      <c r="H749" s="59"/>
      <c r="I749" s="59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5.75" customHeight="1" x14ac:dyDescent="0.5">
      <c r="A750" s="37"/>
      <c r="B750" s="37"/>
      <c r="C750" s="59"/>
      <c r="D750" s="59"/>
      <c r="E750" s="59"/>
      <c r="F750" s="59"/>
      <c r="G750" s="59"/>
      <c r="H750" s="59"/>
      <c r="I750" s="59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5.75" customHeight="1" x14ac:dyDescent="0.5">
      <c r="A751" s="37"/>
      <c r="B751" s="37"/>
      <c r="C751" s="59"/>
      <c r="D751" s="59"/>
      <c r="E751" s="59"/>
      <c r="F751" s="59"/>
      <c r="G751" s="59"/>
      <c r="H751" s="59"/>
      <c r="I751" s="59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5.75" customHeight="1" x14ac:dyDescent="0.5">
      <c r="A752" s="37"/>
      <c r="B752" s="37"/>
      <c r="C752" s="59"/>
      <c r="D752" s="59"/>
      <c r="E752" s="59"/>
      <c r="F752" s="59"/>
      <c r="G752" s="59"/>
      <c r="H752" s="59"/>
      <c r="I752" s="59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5.75" customHeight="1" x14ac:dyDescent="0.5">
      <c r="A753" s="37"/>
      <c r="B753" s="37"/>
      <c r="C753" s="59"/>
      <c r="D753" s="59"/>
      <c r="E753" s="59"/>
      <c r="F753" s="59"/>
      <c r="G753" s="59"/>
      <c r="H753" s="59"/>
      <c r="I753" s="59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5.75" customHeight="1" x14ac:dyDescent="0.5">
      <c r="A754" s="37"/>
      <c r="B754" s="37"/>
      <c r="C754" s="59"/>
      <c r="D754" s="59"/>
      <c r="E754" s="59"/>
      <c r="F754" s="59"/>
      <c r="G754" s="59"/>
      <c r="H754" s="59"/>
      <c r="I754" s="59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5.75" customHeight="1" x14ac:dyDescent="0.5">
      <c r="A755" s="37"/>
      <c r="B755" s="37"/>
      <c r="C755" s="59"/>
      <c r="D755" s="59"/>
      <c r="E755" s="59"/>
      <c r="F755" s="59"/>
      <c r="G755" s="59"/>
      <c r="H755" s="59"/>
      <c r="I755" s="59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5.75" customHeight="1" x14ac:dyDescent="0.5">
      <c r="A756" s="37"/>
      <c r="B756" s="37"/>
      <c r="C756" s="59"/>
      <c r="D756" s="59"/>
      <c r="E756" s="59"/>
      <c r="F756" s="59"/>
      <c r="G756" s="59"/>
      <c r="H756" s="59"/>
      <c r="I756" s="59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5.75" customHeight="1" x14ac:dyDescent="0.5">
      <c r="A757" s="37"/>
      <c r="B757" s="37"/>
      <c r="C757" s="59"/>
      <c r="D757" s="59"/>
      <c r="E757" s="59"/>
      <c r="F757" s="59"/>
      <c r="G757" s="59"/>
      <c r="H757" s="59"/>
      <c r="I757" s="59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5.75" customHeight="1" x14ac:dyDescent="0.5">
      <c r="A758" s="37"/>
      <c r="B758" s="37"/>
      <c r="C758" s="59"/>
      <c r="D758" s="59"/>
      <c r="E758" s="59"/>
      <c r="F758" s="59"/>
      <c r="G758" s="59"/>
      <c r="H758" s="59"/>
      <c r="I758" s="59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5.75" customHeight="1" x14ac:dyDescent="0.5">
      <c r="A759" s="37"/>
      <c r="B759" s="37"/>
      <c r="C759" s="59"/>
      <c r="D759" s="59"/>
      <c r="E759" s="59"/>
      <c r="F759" s="59"/>
      <c r="G759" s="59"/>
      <c r="H759" s="59"/>
      <c r="I759" s="59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5.75" customHeight="1" x14ac:dyDescent="0.5">
      <c r="A760" s="37"/>
      <c r="B760" s="37"/>
      <c r="C760" s="59"/>
      <c r="D760" s="59"/>
      <c r="E760" s="59"/>
      <c r="F760" s="59"/>
      <c r="G760" s="59"/>
      <c r="H760" s="59"/>
      <c r="I760" s="59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5.75" customHeight="1" x14ac:dyDescent="0.5">
      <c r="A761" s="37"/>
      <c r="B761" s="37"/>
      <c r="C761" s="59"/>
      <c r="D761" s="59"/>
      <c r="E761" s="59"/>
      <c r="F761" s="59"/>
      <c r="G761" s="59"/>
      <c r="H761" s="59"/>
      <c r="I761" s="59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5.75" customHeight="1" x14ac:dyDescent="0.5">
      <c r="A762" s="37"/>
      <c r="B762" s="37"/>
      <c r="C762" s="59"/>
      <c r="D762" s="59"/>
      <c r="E762" s="59"/>
      <c r="F762" s="59"/>
      <c r="G762" s="59"/>
      <c r="H762" s="59"/>
      <c r="I762" s="59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5.75" customHeight="1" x14ac:dyDescent="0.5">
      <c r="A763" s="37"/>
      <c r="B763" s="37"/>
      <c r="C763" s="59"/>
      <c r="D763" s="59"/>
      <c r="E763" s="59"/>
      <c r="F763" s="59"/>
      <c r="G763" s="59"/>
      <c r="H763" s="59"/>
      <c r="I763" s="59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5.75" customHeight="1" x14ac:dyDescent="0.5">
      <c r="A764" s="37"/>
      <c r="B764" s="37"/>
      <c r="C764" s="59"/>
      <c r="D764" s="59"/>
      <c r="E764" s="59"/>
      <c r="F764" s="59"/>
      <c r="G764" s="59"/>
      <c r="H764" s="59"/>
      <c r="I764" s="59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5.75" customHeight="1" x14ac:dyDescent="0.5">
      <c r="A765" s="37"/>
      <c r="B765" s="37"/>
      <c r="C765" s="59"/>
      <c r="D765" s="59"/>
      <c r="E765" s="59"/>
      <c r="F765" s="59"/>
      <c r="G765" s="59"/>
      <c r="H765" s="59"/>
      <c r="I765" s="59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5.75" customHeight="1" x14ac:dyDescent="0.5">
      <c r="A766" s="37"/>
      <c r="B766" s="37"/>
      <c r="C766" s="59"/>
      <c r="D766" s="59"/>
      <c r="E766" s="59"/>
      <c r="F766" s="59"/>
      <c r="G766" s="59"/>
      <c r="H766" s="59"/>
      <c r="I766" s="59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5.75" customHeight="1" x14ac:dyDescent="0.5">
      <c r="A767" s="37"/>
      <c r="B767" s="37"/>
      <c r="C767" s="59"/>
      <c r="D767" s="59"/>
      <c r="E767" s="59"/>
      <c r="F767" s="59"/>
      <c r="G767" s="59"/>
      <c r="H767" s="59"/>
      <c r="I767" s="59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5.75" customHeight="1" x14ac:dyDescent="0.5">
      <c r="A768" s="37"/>
      <c r="B768" s="37"/>
      <c r="C768" s="59"/>
      <c r="D768" s="59"/>
      <c r="E768" s="59"/>
      <c r="F768" s="59"/>
      <c r="G768" s="59"/>
      <c r="H768" s="59"/>
      <c r="I768" s="59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5.75" customHeight="1" x14ac:dyDescent="0.5">
      <c r="A769" s="37"/>
      <c r="B769" s="37"/>
      <c r="C769" s="59"/>
      <c r="D769" s="59"/>
      <c r="E769" s="59"/>
      <c r="F769" s="59"/>
      <c r="G769" s="59"/>
      <c r="H769" s="59"/>
      <c r="I769" s="59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5.75" customHeight="1" x14ac:dyDescent="0.5">
      <c r="A770" s="37"/>
      <c r="B770" s="37"/>
      <c r="C770" s="59"/>
      <c r="D770" s="59"/>
      <c r="E770" s="59"/>
      <c r="F770" s="59"/>
      <c r="G770" s="59"/>
      <c r="H770" s="59"/>
      <c r="I770" s="59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5.75" customHeight="1" x14ac:dyDescent="0.5">
      <c r="A771" s="37"/>
      <c r="B771" s="37"/>
      <c r="C771" s="59"/>
      <c r="D771" s="59"/>
      <c r="E771" s="59"/>
      <c r="F771" s="59"/>
      <c r="G771" s="59"/>
      <c r="H771" s="59"/>
      <c r="I771" s="59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5.75" customHeight="1" x14ac:dyDescent="0.5">
      <c r="A772" s="37"/>
      <c r="B772" s="37"/>
      <c r="C772" s="59"/>
      <c r="D772" s="59"/>
      <c r="E772" s="59"/>
      <c r="F772" s="59"/>
      <c r="G772" s="59"/>
      <c r="H772" s="59"/>
      <c r="I772" s="59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5.75" customHeight="1" x14ac:dyDescent="0.5">
      <c r="A773" s="37"/>
      <c r="B773" s="37"/>
      <c r="C773" s="59"/>
      <c r="D773" s="59"/>
      <c r="E773" s="59"/>
      <c r="F773" s="59"/>
      <c r="G773" s="59"/>
      <c r="H773" s="59"/>
      <c r="I773" s="59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5.75" customHeight="1" x14ac:dyDescent="0.5">
      <c r="A774" s="37"/>
      <c r="B774" s="37"/>
      <c r="C774" s="59"/>
      <c r="D774" s="59"/>
      <c r="E774" s="59"/>
      <c r="F774" s="59"/>
      <c r="G774" s="59"/>
      <c r="H774" s="59"/>
      <c r="I774" s="59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5.75" customHeight="1" x14ac:dyDescent="0.5">
      <c r="A775" s="37"/>
      <c r="B775" s="37"/>
      <c r="C775" s="59"/>
      <c r="D775" s="59"/>
      <c r="E775" s="59"/>
      <c r="F775" s="59"/>
      <c r="G775" s="59"/>
      <c r="H775" s="59"/>
      <c r="I775" s="59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5.75" customHeight="1" x14ac:dyDescent="0.5">
      <c r="A776" s="37"/>
      <c r="B776" s="37"/>
      <c r="C776" s="59"/>
      <c r="D776" s="59"/>
      <c r="E776" s="59"/>
      <c r="F776" s="59"/>
      <c r="G776" s="59"/>
      <c r="H776" s="59"/>
      <c r="I776" s="59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5.75" customHeight="1" x14ac:dyDescent="0.5">
      <c r="A777" s="37"/>
      <c r="B777" s="37"/>
      <c r="C777" s="59"/>
      <c r="D777" s="59"/>
      <c r="E777" s="59"/>
      <c r="F777" s="59"/>
      <c r="G777" s="59"/>
      <c r="H777" s="59"/>
      <c r="I777" s="59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5.75" customHeight="1" x14ac:dyDescent="0.5">
      <c r="A778" s="37"/>
      <c r="B778" s="37"/>
      <c r="C778" s="59"/>
      <c r="D778" s="59"/>
      <c r="E778" s="59"/>
      <c r="F778" s="59"/>
      <c r="G778" s="59"/>
      <c r="H778" s="59"/>
      <c r="I778" s="59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5.75" customHeight="1" x14ac:dyDescent="0.5">
      <c r="A779" s="37"/>
      <c r="B779" s="37"/>
      <c r="C779" s="59"/>
      <c r="D779" s="59"/>
      <c r="E779" s="59"/>
      <c r="F779" s="59"/>
      <c r="G779" s="59"/>
      <c r="H779" s="59"/>
      <c r="I779" s="59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5.75" customHeight="1" x14ac:dyDescent="0.5">
      <c r="A780" s="37"/>
      <c r="B780" s="37"/>
      <c r="C780" s="59"/>
      <c r="D780" s="59"/>
      <c r="E780" s="59"/>
      <c r="F780" s="59"/>
      <c r="G780" s="59"/>
      <c r="H780" s="59"/>
      <c r="I780" s="59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5.75" customHeight="1" x14ac:dyDescent="0.5">
      <c r="A781" s="37"/>
      <c r="B781" s="37"/>
      <c r="C781" s="59"/>
      <c r="D781" s="59"/>
      <c r="E781" s="59"/>
      <c r="F781" s="59"/>
      <c r="G781" s="59"/>
      <c r="H781" s="59"/>
      <c r="I781" s="59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5.75" customHeight="1" x14ac:dyDescent="0.5">
      <c r="A782" s="37"/>
      <c r="B782" s="37"/>
      <c r="C782" s="59"/>
      <c r="D782" s="59"/>
      <c r="E782" s="59"/>
      <c r="F782" s="59"/>
      <c r="G782" s="59"/>
      <c r="H782" s="59"/>
      <c r="I782" s="59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5.75" customHeight="1" x14ac:dyDescent="0.5">
      <c r="A783" s="37"/>
      <c r="B783" s="37"/>
      <c r="C783" s="59"/>
      <c r="D783" s="59"/>
      <c r="E783" s="59"/>
      <c r="F783" s="59"/>
      <c r="G783" s="59"/>
      <c r="H783" s="59"/>
      <c r="I783" s="59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5.75" customHeight="1" x14ac:dyDescent="0.5">
      <c r="A784" s="37"/>
      <c r="B784" s="37"/>
      <c r="C784" s="59"/>
      <c r="D784" s="59"/>
      <c r="E784" s="59"/>
      <c r="F784" s="59"/>
      <c r="G784" s="59"/>
      <c r="H784" s="59"/>
      <c r="I784" s="59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5.75" customHeight="1" x14ac:dyDescent="0.5">
      <c r="A785" s="37"/>
      <c r="B785" s="37"/>
      <c r="C785" s="59"/>
      <c r="D785" s="59"/>
      <c r="E785" s="59"/>
      <c r="F785" s="59"/>
      <c r="G785" s="59"/>
      <c r="H785" s="59"/>
      <c r="I785" s="59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5.75" customHeight="1" x14ac:dyDescent="0.5">
      <c r="A786" s="37"/>
      <c r="B786" s="37"/>
      <c r="C786" s="59"/>
      <c r="D786" s="59"/>
      <c r="E786" s="59"/>
      <c r="F786" s="59"/>
      <c r="G786" s="59"/>
      <c r="H786" s="59"/>
      <c r="I786" s="59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5.75" customHeight="1" x14ac:dyDescent="0.5">
      <c r="A787" s="37"/>
      <c r="B787" s="37"/>
      <c r="C787" s="59"/>
      <c r="D787" s="59"/>
      <c r="E787" s="59"/>
      <c r="F787" s="59"/>
      <c r="G787" s="59"/>
      <c r="H787" s="59"/>
      <c r="I787" s="59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5.75" customHeight="1" x14ac:dyDescent="0.5">
      <c r="A788" s="37"/>
      <c r="B788" s="37"/>
      <c r="C788" s="59"/>
      <c r="D788" s="59"/>
      <c r="E788" s="59"/>
      <c r="F788" s="59"/>
      <c r="G788" s="59"/>
      <c r="H788" s="59"/>
      <c r="I788" s="59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5.75" customHeight="1" x14ac:dyDescent="0.5">
      <c r="A789" s="37"/>
      <c r="B789" s="37"/>
      <c r="C789" s="59"/>
      <c r="D789" s="59"/>
      <c r="E789" s="59"/>
      <c r="F789" s="59"/>
      <c r="G789" s="59"/>
      <c r="H789" s="59"/>
      <c r="I789" s="59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5.75" customHeight="1" x14ac:dyDescent="0.5">
      <c r="A790" s="37"/>
      <c r="B790" s="37"/>
      <c r="C790" s="59"/>
      <c r="D790" s="59"/>
      <c r="E790" s="59"/>
      <c r="F790" s="59"/>
      <c r="G790" s="59"/>
      <c r="H790" s="59"/>
      <c r="I790" s="59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5.75" customHeight="1" x14ac:dyDescent="0.5">
      <c r="A791" s="37"/>
      <c r="B791" s="37"/>
      <c r="C791" s="59"/>
      <c r="D791" s="59"/>
      <c r="E791" s="59"/>
      <c r="F791" s="59"/>
      <c r="G791" s="59"/>
      <c r="H791" s="59"/>
      <c r="I791" s="59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5.75" customHeight="1" x14ac:dyDescent="0.5">
      <c r="A792" s="37"/>
      <c r="B792" s="37"/>
      <c r="C792" s="59"/>
      <c r="D792" s="59"/>
      <c r="E792" s="59"/>
      <c r="F792" s="59"/>
      <c r="G792" s="59"/>
      <c r="H792" s="59"/>
      <c r="I792" s="59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5.75" customHeight="1" x14ac:dyDescent="0.5">
      <c r="A793" s="37"/>
      <c r="B793" s="37"/>
      <c r="C793" s="59"/>
      <c r="D793" s="59"/>
      <c r="E793" s="59"/>
      <c r="F793" s="59"/>
      <c r="G793" s="59"/>
      <c r="H793" s="59"/>
      <c r="I793" s="59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5.75" customHeight="1" x14ac:dyDescent="0.5">
      <c r="A794" s="37"/>
      <c r="B794" s="37"/>
      <c r="C794" s="59"/>
      <c r="D794" s="59"/>
      <c r="E794" s="59"/>
      <c r="F794" s="59"/>
      <c r="G794" s="59"/>
      <c r="H794" s="59"/>
      <c r="I794" s="59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5.75" customHeight="1" x14ac:dyDescent="0.5">
      <c r="A795" s="37"/>
      <c r="B795" s="37"/>
      <c r="C795" s="59"/>
      <c r="D795" s="59"/>
      <c r="E795" s="59"/>
      <c r="F795" s="59"/>
      <c r="G795" s="59"/>
      <c r="H795" s="59"/>
      <c r="I795" s="59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5.75" customHeight="1" x14ac:dyDescent="0.5">
      <c r="A796" s="37"/>
      <c r="B796" s="37"/>
      <c r="C796" s="59"/>
      <c r="D796" s="59"/>
      <c r="E796" s="59"/>
      <c r="F796" s="59"/>
      <c r="G796" s="59"/>
      <c r="H796" s="59"/>
      <c r="I796" s="59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5.75" customHeight="1" x14ac:dyDescent="0.5">
      <c r="A797" s="37"/>
      <c r="B797" s="37"/>
      <c r="C797" s="59"/>
      <c r="D797" s="59"/>
      <c r="E797" s="59"/>
      <c r="F797" s="59"/>
      <c r="G797" s="59"/>
      <c r="H797" s="59"/>
      <c r="I797" s="59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5.75" customHeight="1" x14ac:dyDescent="0.5">
      <c r="A798" s="37"/>
      <c r="B798" s="37"/>
      <c r="C798" s="59"/>
      <c r="D798" s="59"/>
      <c r="E798" s="59"/>
      <c r="F798" s="59"/>
      <c r="G798" s="59"/>
      <c r="H798" s="59"/>
      <c r="I798" s="59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5.75" customHeight="1" x14ac:dyDescent="0.5">
      <c r="A799" s="37"/>
      <c r="B799" s="37"/>
      <c r="C799" s="59"/>
      <c r="D799" s="59"/>
      <c r="E799" s="59"/>
      <c r="F799" s="59"/>
      <c r="G799" s="59"/>
      <c r="H799" s="59"/>
      <c r="I799" s="59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5.75" customHeight="1" x14ac:dyDescent="0.5">
      <c r="A800" s="37"/>
      <c r="B800" s="37"/>
      <c r="C800" s="59"/>
      <c r="D800" s="59"/>
      <c r="E800" s="59"/>
      <c r="F800" s="59"/>
      <c r="G800" s="59"/>
      <c r="H800" s="59"/>
      <c r="I800" s="59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5.75" customHeight="1" x14ac:dyDescent="0.5">
      <c r="A801" s="37"/>
      <c r="B801" s="37"/>
      <c r="C801" s="59"/>
      <c r="D801" s="59"/>
      <c r="E801" s="59"/>
      <c r="F801" s="59"/>
      <c r="G801" s="59"/>
      <c r="H801" s="59"/>
      <c r="I801" s="59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5.75" customHeight="1" x14ac:dyDescent="0.5">
      <c r="A802" s="37"/>
      <c r="B802" s="37"/>
      <c r="C802" s="59"/>
      <c r="D802" s="59"/>
      <c r="E802" s="59"/>
      <c r="F802" s="59"/>
      <c r="G802" s="59"/>
      <c r="H802" s="59"/>
      <c r="I802" s="59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5.75" customHeight="1" x14ac:dyDescent="0.5">
      <c r="A803" s="37"/>
      <c r="B803" s="37"/>
      <c r="C803" s="59"/>
      <c r="D803" s="59"/>
      <c r="E803" s="59"/>
      <c r="F803" s="59"/>
      <c r="G803" s="59"/>
      <c r="H803" s="59"/>
      <c r="I803" s="59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5.75" customHeight="1" x14ac:dyDescent="0.5">
      <c r="A804" s="37"/>
      <c r="B804" s="37"/>
      <c r="C804" s="59"/>
      <c r="D804" s="59"/>
      <c r="E804" s="59"/>
      <c r="F804" s="59"/>
      <c r="G804" s="59"/>
      <c r="H804" s="59"/>
      <c r="I804" s="59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5.75" customHeight="1" x14ac:dyDescent="0.5">
      <c r="A805" s="37"/>
      <c r="B805" s="37"/>
      <c r="C805" s="59"/>
      <c r="D805" s="59"/>
      <c r="E805" s="59"/>
      <c r="F805" s="59"/>
      <c r="G805" s="59"/>
      <c r="H805" s="59"/>
      <c r="I805" s="59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5.75" customHeight="1" x14ac:dyDescent="0.5">
      <c r="A806" s="37"/>
      <c r="B806" s="37"/>
      <c r="C806" s="59"/>
      <c r="D806" s="59"/>
      <c r="E806" s="59"/>
      <c r="F806" s="59"/>
      <c r="G806" s="59"/>
      <c r="H806" s="59"/>
      <c r="I806" s="59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5.75" customHeight="1" x14ac:dyDescent="0.5">
      <c r="A807" s="37"/>
      <c r="B807" s="37"/>
      <c r="C807" s="59"/>
      <c r="D807" s="59"/>
      <c r="E807" s="59"/>
      <c r="F807" s="59"/>
      <c r="G807" s="59"/>
      <c r="H807" s="59"/>
      <c r="I807" s="59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5.75" customHeight="1" x14ac:dyDescent="0.5">
      <c r="A808" s="37"/>
      <c r="B808" s="37"/>
      <c r="C808" s="59"/>
      <c r="D808" s="59"/>
      <c r="E808" s="59"/>
      <c r="F808" s="59"/>
      <c r="G808" s="59"/>
      <c r="H808" s="59"/>
      <c r="I808" s="59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5.75" customHeight="1" x14ac:dyDescent="0.5">
      <c r="A809" s="37"/>
      <c r="B809" s="37"/>
      <c r="C809" s="59"/>
      <c r="D809" s="59"/>
      <c r="E809" s="59"/>
      <c r="F809" s="59"/>
      <c r="G809" s="59"/>
      <c r="H809" s="59"/>
      <c r="I809" s="59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5.75" customHeight="1" x14ac:dyDescent="0.5">
      <c r="A810" s="37"/>
      <c r="B810" s="37"/>
      <c r="C810" s="59"/>
      <c r="D810" s="59"/>
      <c r="E810" s="59"/>
      <c r="F810" s="59"/>
      <c r="G810" s="59"/>
      <c r="H810" s="59"/>
      <c r="I810" s="59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5.75" customHeight="1" x14ac:dyDescent="0.5">
      <c r="A811" s="37"/>
      <c r="B811" s="37"/>
      <c r="C811" s="59"/>
      <c r="D811" s="59"/>
      <c r="E811" s="59"/>
      <c r="F811" s="59"/>
      <c r="G811" s="59"/>
      <c r="H811" s="59"/>
      <c r="I811" s="59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5.75" customHeight="1" x14ac:dyDescent="0.5">
      <c r="A812" s="37"/>
      <c r="B812" s="37"/>
      <c r="C812" s="59"/>
      <c r="D812" s="59"/>
      <c r="E812" s="59"/>
      <c r="F812" s="59"/>
      <c r="G812" s="59"/>
      <c r="H812" s="59"/>
      <c r="I812" s="59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5.75" customHeight="1" x14ac:dyDescent="0.5">
      <c r="A813" s="37"/>
      <c r="B813" s="37"/>
      <c r="C813" s="59"/>
      <c r="D813" s="59"/>
      <c r="E813" s="59"/>
      <c r="F813" s="59"/>
      <c r="G813" s="59"/>
      <c r="H813" s="59"/>
      <c r="I813" s="59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5.75" customHeight="1" x14ac:dyDescent="0.5">
      <c r="A814" s="37"/>
      <c r="B814" s="37"/>
      <c r="C814" s="59"/>
      <c r="D814" s="59"/>
      <c r="E814" s="59"/>
      <c r="F814" s="59"/>
      <c r="G814" s="59"/>
      <c r="H814" s="59"/>
      <c r="I814" s="59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5.75" customHeight="1" x14ac:dyDescent="0.5">
      <c r="A815" s="37"/>
      <c r="B815" s="37"/>
      <c r="C815" s="59"/>
      <c r="D815" s="59"/>
      <c r="E815" s="59"/>
      <c r="F815" s="59"/>
      <c r="G815" s="59"/>
      <c r="H815" s="59"/>
      <c r="I815" s="59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5.75" customHeight="1" x14ac:dyDescent="0.5">
      <c r="A816" s="37"/>
      <c r="B816" s="37"/>
      <c r="C816" s="59"/>
      <c r="D816" s="59"/>
      <c r="E816" s="59"/>
      <c r="F816" s="59"/>
      <c r="G816" s="59"/>
      <c r="H816" s="59"/>
      <c r="I816" s="59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5.75" customHeight="1" x14ac:dyDescent="0.5">
      <c r="A817" s="37"/>
      <c r="B817" s="37"/>
      <c r="C817" s="59"/>
      <c r="D817" s="59"/>
      <c r="E817" s="59"/>
      <c r="F817" s="59"/>
      <c r="G817" s="59"/>
      <c r="H817" s="59"/>
      <c r="I817" s="59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5.75" customHeight="1" x14ac:dyDescent="0.5">
      <c r="A818" s="37"/>
      <c r="B818" s="37"/>
      <c r="C818" s="59"/>
      <c r="D818" s="59"/>
      <c r="E818" s="59"/>
      <c r="F818" s="59"/>
      <c r="G818" s="59"/>
      <c r="H818" s="59"/>
      <c r="I818" s="59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5.75" customHeight="1" x14ac:dyDescent="0.5">
      <c r="A819" s="37"/>
      <c r="B819" s="37"/>
      <c r="C819" s="59"/>
      <c r="D819" s="59"/>
      <c r="E819" s="59"/>
      <c r="F819" s="59"/>
      <c r="G819" s="59"/>
      <c r="H819" s="59"/>
      <c r="I819" s="59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5.75" customHeight="1" x14ac:dyDescent="0.5">
      <c r="A820" s="37"/>
      <c r="B820" s="37"/>
      <c r="C820" s="59"/>
      <c r="D820" s="59"/>
      <c r="E820" s="59"/>
      <c r="F820" s="59"/>
      <c r="G820" s="59"/>
      <c r="H820" s="59"/>
      <c r="I820" s="59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5.75" customHeight="1" x14ac:dyDescent="0.5">
      <c r="A821" s="37"/>
      <c r="B821" s="37"/>
      <c r="C821" s="59"/>
      <c r="D821" s="59"/>
      <c r="E821" s="59"/>
      <c r="F821" s="59"/>
      <c r="G821" s="59"/>
      <c r="H821" s="59"/>
      <c r="I821" s="59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5.75" customHeight="1" x14ac:dyDescent="0.5">
      <c r="A822" s="37"/>
      <c r="B822" s="37"/>
      <c r="C822" s="59"/>
      <c r="D822" s="59"/>
      <c r="E822" s="59"/>
      <c r="F822" s="59"/>
      <c r="G822" s="59"/>
      <c r="H822" s="59"/>
      <c r="I822" s="59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5.75" customHeight="1" x14ac:dyDescent="0.5">
      <c r="A823" s="37"/>
      <c r="B823" s="37"/>
      <c r="C823" s="59"/>
      <c r="D823" s="59"/>
      <c r="E823" s="59"/>
      <c r="F823" s="59"/>
      <c r="G823" s="59"/>
      <c r="H823" s="59"/>
      <c r="I823" s="59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5.75" customHeight="1" x14ac:dyDescent="0.5">
      <c r="A824" s="37"/>
      <c r="B824" s="37"/>
      <c r="C824" s="59"/>
      <c r="D824" s="59"/>
      <c r="E824" s="59"/>
      <c r="F824" s="59"/>
      <c r="G824" s="59"/>
      <c r="H824" s="59"/>
      <c r="I824" s="59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5.75" customHeight="1" x14ac:dyDescent="0.5">
      <c r="A825" s="37"/>
      <c r="B825" s="37"/>
      <c r="C825" s="59"/>
      <c r="D825" s="59"/>
      <c r="E825" s="59"/>
      <c r="F825" s="59"/>
      <c r="G825" s="59"/>
      <c r="H825" s="59"/>
      <c r="I825" s="59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5.75" customHeight="1" x14ac:dyDescent="0.5">
      <c r="A826" s="37"/>
      <c r="B826" s="37"/>
      <c r="C826" s="59"/>
      <c r="D826" s="59"/>
      <c r="E826" s="59"/>
      <c r="F826" s="59"/>
      <c r="G826" s="59"/>
      <c r="H826" s="59"/>
      <c r="I826" s="59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5.75" customHeight="1" x14ac:dyDescent="0.5">
      <c r="A827" s="37"/>
      <c r="B827" s="37"/>
      <c r="C827" s="59"/>
      <c r="D827" s="59"/>
      <c r="E827" s="59"/>
      <c r="F827" s="59"/>
      <c r="G827" s="59"/>
      <c r="H827" s="59"/>
      <c r="I827" s="59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5.75" customHeight="1" x14ac:dyDescent="0.5">
      <c r="A828" s="37"/>
      <c r="B828" s="37"/>
      <c r="C828" s="59"/>
      <c r="D828" s="59"/>
      <c r="E828" s="59"/>
      <c r="F828" s="59"/>
      <c r="G828" s="59"/>
      <c r="H828" s="59"/>
      <c r="I828" s="59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5.75" customHeight="1" x14ac:dyDescent="0.5">
      <c r="A829" s="37"/>
      <c r="B829" s="37"/>
      <c r="C829" s="59"/>
      <c r="D829" s="59"/>
      <c r="E829" s="59"/>
      <c r="F829" s="59"/>
      <c r="G829" s="59"/>
      <c r="H829" s="59"/>
      <c r="I829" s="59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5.75" customHeight="1" x14ac:dyDescent="0.5">
      <c r="A830" s="37"/>
      <c r="B830" s="37"/>
      <c r="C830" s="59"/>
      <c r="D830" s="59"/>
      <c r="E830" s="59"/>
      <c r="F830" s="59"/>
      <c r="G830" s="59"/>
      <c r="H830" s="59"/>
      <c r="I830" s="59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5.75" customHeight="1" x14ac:dyDescent="0.5">
      <c r="A831" s="37"/>
      <c r="B831" s="37"/>
      <c r="C831" s="59"/>
      <c r="D831" s="59"/>
      <c r="E831" s="59"/>
      <c r="F831" s="59"/>
      <c r="G831" s="59"/>
      <c r="H831" s="59"/>
      <c r="I831" s="59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5.75" customHeight="1" x14ac:dyDescent="0.5">
      <c r="A832" s="37"/>
      <c r="B832" s="37"/>
      <c r="C832" s="59"/>
      <c r="D832" s="59"/>
      <c r="E832" s="59"/>
      <c r="F832" s="59"/>
      <c r="G832" s="59"/>
      <c r="H832" s="59"/>
      <c r="I832" s="59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5.75" customHeight="1" x14ac:dyDescent="0.5">
      <c r="A833" s="37"/>
      <c r="B833" s="37"/>
      <c r="C833" s="59"/>
      <c r="D833" s="59"/>
      <c r="E833" s="59"/>
      <c r="F833" s="59"/>
      <c r="G833" s="59"/>
      <c r="H833" s="59"/>
      <c r="I833" s="59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5.75" customHeight="1" x14ac:dyDescent="0.5">
      <c r="A834" s="37"/>
      <c r="B834" s="37"/>
      <c r="C834" s="59"/>
      <c r="D834" s="59"/>
      <c r="E834" s="59"/>
      <c r="F834" s="59"/>
      <c r="G834" s="59"/>
      <c r="H834" s="59"/>
      <c r="I834" s="59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5.75" customHeight="1" x14ac:dyDescent="0.5">
      <c r="A835" s="37"/>
      <c r="B835" s="37"/>
      <c r="C835" s="59"/>
      <c r="D835" s="59"/>
      <c r="E835" s="59"/>
      <c r="F835" s="59"/>
      <c r="G835" s="59"/>
      <c r="H835" s="59"/>
      <c r="I835" s="59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5.75" customHeight="1" x14ac:dyDescent="0.5">
      <c r="A836" s="37"/>
      <c r="B836" s="37"/>
      <c r="C836" s="59"/>
      <c r="D836" s="59"/>
      <c r="E836" s="59"/>
      <c r="F836" s="59"/>
      <c r="G836" s="59"/>
      <c r="H836" s="59"/>
      <c r="I836" s="59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5.75" customHeight="1" x14ac:dyDescent="0.5">
      <c r="A837" s="37"/>
      <c r="B837" s="37"/>
      <c r="C837" s="59"/>
      <c r="D837" s="59"/>
      <c r="E837" s="59"/>
      <c r="F837" s="59"/>
      <c r="G837" s="59"/>
      <c r="H837" s="59"/>
      <c r="I837" s="59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5.75" customHeight="1" x14ac:dyDescent="0.5">
      <c r="A838" s="37"/>
      <c r="B838" s="37"/>
      <c r="C838" s="59"/>
      <c r="D838" s="59"/>
      <c r="E838" s="59"/>
      <c r="F838" s="59"/>
      <c r="G838" s="59"/>
      <c r="H838" s="59"/>
      <c r="I838" s="59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5.75" customHeight="1" x14ac:dyDescent="0.5">
      <c r="A839" s="37"/>
      <c r="B839" s="37"/>
      <c r="C839" s="59"/>
      <c r="D839" s="59"/>
      <c r="E839" s="59"/>
      <c r="F839" s="59"/>
      <c r="G839" s="59"/>
      <c r="H839" s="59"/>
      <c r="I839" s="59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5.75" customHeight="1" x14ac:dyDescent="0.5">
      <c r="A840" s="37"/>
      <c r="B840" s="37"/>
      <c r="C840" s="59"/>
      <c r="D840" s="59"/>
      <c r="E840" s="59"/>
      <c r="F840" s="59"/>
      <c r="G840" s="59"/>
      <c r="H840" s="59"/>
      <c r="I840" s="59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5.75" customHeight="1" x14ac:dyDescent="0.5">
      <c r="A841" s="37"/>
      <c r="B841" s="37"/>
      <c r="C841" s="59"/>
      <c r="D841" s="59"/>
      <c r="E841" s="59"/>
      <c r="F841" s="59"/>
      <c r="G841" s="59"/>
      <c r="H841" s="59"/>
      <c r="I841" s="59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5.75" customHeight="1" x14ac:dyDescent="0.5">
      <c r="A842" s="37"/>
      <c r="B842" s="37"/>
      <c r="C842" s="59"/>
      <c r="D842" s="59"/>
      <c r="E842" s="59"/>
      <c r="F842" s="59"/>
      <c r="G842" s="59"/>
      <c r="H842" s="59"/>
      <c r="I842" s="59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5.75" customHeight="1" x14ac:dyDescent="0.5">
      <c r="A843" s="37"/>
      <c r="B843" s="37"/>
      <c r="C843" s="59"/>
      <c r="D843" s="59"/>
      <c r="E843" s="59"/>
      <c r="F843" s="59"/>
      <c r="G843" s="59"/>
      <c r="H843" s="59"/>
      <c r="I843" s="59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5.75" customHeight="1" x14ac:dyDescent="0.5">
      <c r="A844" s="37"/>
      <c r="B844" s="37"/>
      <c r="C844" s="59"/>
      <c r="D844" s="59"/>
      <c r="E844" s="59"/>
      <c r="F844" s="59"/>
      <c r="G844" s="59"/>
      <c r="H844" s="59"/>
      <c r="I844" s="59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5.75" customHeight="1" x14ac:dyDescent="0.5">
      <c r="A845" s="37"/>
      <c r="B845" s="37"/>
      <c r="C845" s="59"/>
      <c r="D845" s="59"/>
      <c r="E845" s="59"/>
      <c r="F845" s="59"/>
      <c r="G845" s="59"/>
      <c r="H845" s="59"/>
      <c r="I845" s="59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5.75" customHeight="1" x14ac:dyDescent="0.5">
      <c r="A846" s="37"/>
      <c r="B846" s="37"/>
      <c r="C846" s="59"/>
      <c r="D846" s="59"/>
      <c r="E846" s="59"/>
      <c r="F846" s="59"/>
      <c r="G846" s="59"/>
      <c r="H846" s="59"/>
      <c r="I846" s="59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5.75" customHeight="1" x14ac:dyDescent="0.5">
      <c r="A847" s="37"/>
      <c r="B847" s="37"/>
      <c r="C847" s="59"/>
      <c r="D847" s="59"/>
      <c r="E847" s="59"/>
      <c r="F847" s="59"/>
      <c r="G847" s="59"/>
      <c r="H847" s="59"/>
      <c r="I847" s="59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5.75" customHeight="1" x14ac:dyDescent="0.5">
      <c r="A848" s="37"/>
      <c r="B848" s="37"/>
      <c r="C848" s="59"/>
      <c r="D848" s="59"/>
      <c r="E848" s="59"/>
      <c r="F848" s="59"/>
      <c r="G848" s="59"/>
      <c r="H848" s="59"/>
      <c r="I848" s="59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5.75" customHeight="1" x14ac:dyDescent="0.5">
      <c r="A849" s="37"/>
      <c r="B849" s="37"/>
      <c r="C849" s="59"/>
      <c r="D849" s="59"/>
      <c r="E849" s="59"/>
      <c r="F849" s="59"/>
      <c r="G849" s="59"/>
      <c r="H849" s="59"/>
      <c r="I849" s="59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5.75" customHeight="1" x14ac:dyDescent="0.5">
      <c r="A850" s="37"/>
      <c r="B850" s="37"/>
      <c r="C850" s="59"/>
      <c r="D850" s="59"/>
      <c r="E850" s="59"/>
      <c r="F850" s="59"/>
      <c r="G850" s="59"/>
      <c r="H850" s="59"/>
      <c r="I850" s="59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5.75" customHeight="1" x14ac:dyDescent="0.5">
      <c r="A851" s="37"/>
      <c r="B851" s="37"/>
      <c r="C851" s="59"/>
      <c r="D851" s="59"/>
      <c r="E851" s="59"/>
      <c r="F851" s="59"/>
      <c r="G851" s="59"/>
      <c r="H851" s="59"/>
      <c r="I851" s="59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5.75" customHeight="1" x14ac:dyDescent="0.5">
      <c r="A852" s="37"/>
      <c r="B852" s="37"/>
      <c r="C852" s="59"/>
      <c r="D852" s="59"/>
      <c r="E852" s="59"/>
      <c r="F852" s="59"/>
      <c r="G852" s="59"/>
      <c r="H852" s="59"/>
      <c r="I852" s="59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5.75" customHeight="1" x14ac:dyDescent="0.5">
      <c r="A853" s="37"/>
      <c r="B853" s="37"/>
      <c r="C853" s="59"/>
      <c r="D853" s="59"/>
      <c r="E853" s="59"/>
      <c r="F853" s="59"/>
      <c r="G853" s="59"/>
      <c r="H853" s="59"/>
      <c r="I853" s="59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5.75" customHeight="1" x14ac:dyDescent="0.5">
      <c r="A854" s="37"/>
      <c r="B854" s="37"/>
      <c r="C854" s="59"/>
      <c r="D854" s="59"/>
      <c r="E854" s="59"/>
      <c r="F854" s="59"/>
      <c r="G854" s="59"/>
      <c r="H854" s="59"/>
      <c r="I854" s="59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5.75" customHeight="1" x14ac:dyDescent="0.5">
      <c r="A855" s="37"/>
      <c r="B855" s="37"/>
      <c r="C855" s="59"/>
      <c r="D855" s="59"/>
      <c r="E855" s="59"/>
      <c r="F855" s="59"/>
      <c r="G855" s="59"/>
      <c r="H855" s="59"/>
      <c r="I855" s="59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5.75" customHeight="1" x14ac:dyDescent="0.5">
      <c r="A856" s="37"/>
      <c r="B856" s="37"/>
      <c r="C856" s="59"/>
      <c r="D856" s="59"/>
      <c r="E856" s="59"/>
      <c r="F856" s="59"/>
      <c r="G856" s="59"/>
      <c r="H856" s="59"/>
      <c r="I856" s="59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5.75" customHeight="1" x14ac:dyDescent="0.5">
      <c r="A857" s="37"/>
      <c r="B857" s="37"/>
      <c r="C857" s="59"/>
      <c r="D857" s="59"/>
      <c r="E857" s="59"/>
      <c r="F857" s="59"/>
      <c r="G857" s="59"/>
      <c r="H857" s="59"/>
      <c r="I857" s="59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8" x14ac:dyDescent="0.5">
      <c r="C858" s="59"/>
      <c r="D858" s="59"/>
      <c r="E858" s="59"/>
      <c r="F858" s="59"/>
      <c r="G858" s="59"/>
      <c r="H858" s="59"/>
      <c r="I858" s="59"/>
    </row>
    <row r="859" spans="1:29" ht="18" x14ac:dyDescent="0.5">
      <c r="C859" s="59"/>
      <c r="D859" s="59"/>
      <c r="E859" s="59"/>
      <c r="F859" s="59"/>
      <c r="G859" s="59"/>
      <c r="H859" s="59"/>
      <c r="I859" s="59"/>
    </row>
    <row r="860" spans="1:29" ht="18" x14ac:dyDescent="0.5">
      <c r="C860" s="59"/>
      <c r="D860" s="59"/>
      <c r="E860" s="59"/>
      <c r="F860" s="59"/>
      <c r="G860" s="59"/>
      <c r="H860" s="59"/>
      <c r="I860" s="59"/>
    </row>
    <row r="861" spans="1:29" ht="18" x14ac:dyDescent="0.5">
      <c r="C861" s="59"/>
      <c r="D861" s="59"/>
      <c r="E861" s="59"/>
      <c r="F861" s="59"/>
      <c r="G861" s="59"/>
      <c r="H861" s="59"/>
      <c r="I861" s="59"/>
    </row>
    <row r="862" spans="1:29" ht="18" x14ac:dyDescent="0.5">
      <c r="C862" s="59"/>
      <c r="D862" s="59"/>
      <c r="E862" s="59"/>
      <c r="F862" s="59"/>
      <c r="G862" s="59"/>
      <c r="H862" s="59"/>
      <c r="I862" s="59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ZESML</vt:lpstr>
      <vt:lpstr>ZESML!XDO_?CLASS_3?12?</vt:lpstr>
      <vt:lpstr>ZESML!XDO_?FINAL_ISIN?53?</vt:lpstr>
      <vt:lpstr>ZESML!XDO_?FINAL_ISIN?54?</vt:lpstr>
      <vt:lpstr>ZESML!XDO_?FINAL_ISIN?55?</vt:lpstr>
      <vt:lpstr>ZESML!XDO_?FINAL_ISIN?56?</vt:lpstr>
      <vt:lpstr>ZESML!XDO_?FINAL_MV?53?</vt:lpstr>
      <vt:lpstr>ZESML!XDO_?FINAL_MV?54?</vt:lpstr>
      <vt:lpstr>ZESML!XDO_?FINAL_MV?55?</vt:lpstr>
      <vt:lpstr>ZESML!XDO_?FINAL_MV?56?</vt:lpstr>
      <vt:lpstr>ZESML!XDO_?FINAL_NAME?53?</vt:lpstr>
      <vt:lpstr>ZESML!XDO_?FINAL_NAME?54?</vt:lpstr>
      <vt:lpstr>ZESML!XDO_?FINAL_NAME?55?</vt:lpstr>
      <vt:lpstr>ZESML!XDO_?FINAL_NAME?56?</vt:lpstr>
      <vt:lpstr>ZESML!XDO_?FINAL_PER_NET?53?</vt:lpstr>
      <vt:lpstr>ZESML!XDO_?FINAL_PER_NET?54?</vt:lpstr>
      <vt:lpstr>ZESML!XDO_?FINAL_PER_NET?55?</vt:lpstr>
      <vt:lpstr>ZESML!XDO_?FINAL_PER_NET?56?</vt:lpstr>
      <vt:lpstr>ZESML!XDO_?FINAL_QUANTITE?53?</vt:lpstr>
      <vt:lpstr>ZESML!XDO_?FINAL_QUANTITE?54?</vt:lpstr>
      <vt:lpstr>ZESML!XDO_?FINAL_QUANTITE?55?</vt:lpstr>
      <vt:lpstr>ZESML!XDO_?FINAL_QUANTITE?56?</vt:lpstr>
      <vt:lpstr>ZESML!XDO_?IND_02?53?</vt:lpstr>
      <vt:lpstr>ZESML!XDO_?IND_02?54?</vt:lpstr>
      <vt:lpstr>ZESML!XDO_?IND_02?55?</vt:lpstr>
      <vt:lpstr>ZESML!XDO_?IND_02?56?</vt:lpstr>
      <vt:lpstr>ZESML!XDO_?NAMCNAME?12?</vt:lpstr>
      <vt:lpstr>ZESML!XDO_?NOVAL?53?</vt:lpstr>
      <vt:lpstr>ZESML!XDO_?NOVAL?54?</vt:lpstr>
      <vt:lpstr>ZESML!XDO_?NOVAL?55?</vt:lpstr>
      <vt:lpstr>ZESML!XDO_?NOVAL?56?</vt:lpstr>
      <vt:lpstr>ZESML!XDO_?NPTF?12?</vt:lpstr>
      <vt:lpstr>ZESML!XDO_?RATING?53?</vt:lpstr>
      <vt:lpstr>ZESML!XDO_?RATING?54?</vt:lpstr>
      <vt:lpstr>ZESML!XDO_?RATING?55?</vt:lpstr>
      <vt:lpstr>ZESML!XDO_?RATING?56?</vt:lpstr>
      <vt:lpstr>ZESML!XDO_?TITL?12?</vt:lpstr>
      <vt:lpstr>ZESML!XDO_?YTM?53?</vt:lpstr>
      <vt:lpstr>ZESML!XDO_?YTM?54?</vt:lpstr>
      <vt:lpstr>ZESML!XDO_?YTM?55?</vt:lpstr>
      <vt:lpstr>ZESML!XDO_?YTM?56?</vt:lpstr>
      <vt:lpstr>ZESML!XDO_GROUP_?G_2?12?</vt:lpstr>
      <vt:lpstr>ZESML!XDO_GROUP_?G_3?12?</vt:lpstr>
      <vt:lpstr>ZESML!XDO_GROUP_?G_4?53?</vt:lpstr>
      <vt:lpstr>ZESML!XDO_GROUP_?G_4?54?</vt:lpstr>
      <vt:lpstr>ZESML!XDO_GROUP_?G_4?55?</vt:lpstr>
      <vt:lpstr>ZESML!XDO_GROUP_?G_4?56?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2026-06-10T10:28:19Z</dcterms:modified>
</cp:coreProperties>
</file>