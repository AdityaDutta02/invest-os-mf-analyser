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pril 2023\"/>
    </mc:Choice>
  </mc:AlternateContent>
  <bookViews>
    <workbookView xWindow="0" yWindow="0" windowWidth="20490" windowHeight="7620"/>
  </bookViews>
  <sheets>
    <sheet name="L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7" i="1" l="1"/>
  <c r="G68" i="1" s="1"/>
  <c r="F67" i="1"/>
  <c r="F68" i="1" s="1"/>
  <c r="G64" i="1"/>
  <c r="F64" i="1"/>
  <c r="G60" i="1"/>
  <c r="F60" i="1"/>
  <c r="G50" i="1"/>
  <c r="F50" i="1"/>
  <c r="G27" i="1"/>
  <c r="G61" i="1" s="1"/>
  <c r="F27" i="1"/>
  <c r="F61" i="1" s="1"/>
  <c r="G14" i="1"/>
  <c r="G13" i="1"/>
  <c r="F13" i="1"/>
  <c r="F14" i="1" s="1"/>
  <c r="F69" i="1" l="1"/>
  <c r="G69" i="1"/>
</calcChain>
</file>

<file path=xl/sharedStrings.xml><?xml version="1.0" encoding="utf-8"?>
<sst xmlns="http://schemas.openxmlformats.org/spreadsheetml/2006/main" count="186" uniqueCount="139">
  <si>
    <t>CANARA ROBECO LIQUID FUND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</si>
  <si>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</si>
  <si>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</si>
  <si>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</si>
  <si>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</si>
  <si>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</si>
  <si>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</si>
  <si>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</si>
  <si>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</si>
  <si>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Apr'23</t>
  </si>
  <si>
    <t>Benchmark Risk-o-meter Level- Apr'23</t>
  </si>
  <si>
    <t>Scheme Risk-o-meter Level- Mar'23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</si>
  <si>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</si>
  <si>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</si>
  <si>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</si>
  <si>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</si>
  <si>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</si>
  <si>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</si>
  <si>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</si>
  <si>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</si>
  <si>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6.15% L&amp;T Finance Ltd (17/05/2023) **</t>
  </si>
  <si>
    <t>INE027E07BN5</t>
  </si>
  <si>
    <t>CRISIL AAA</t>
  </si>
  <si>
    <t>Relatively Low (Class I)</t>
  </si>
  <si>
    <t>A-I</t>
  </si>
  <si>
    <t>5.80% National Housing Bank (15/05/2023)</t>
  </si>
  <si>
    <t>INE557F08FJ5</t>
  </si>
  <si>
    <t>7.94% Export-Import Bank of India (22/05/2023) **</t>
  </si>
  <si>
    <t>INE514E08CO6</t>
  </si>
  <si>
    <t>Moderate 
(Class II)</t>
  </si>
  <si>
    <t>6.75% Power Finance Corporation Ltd (22/05/2023)</t>
  </si>
  <si>
    <t>INE134E08KS7</t>
  </si>
  <si>
    <t>6.72% Power Finance Corporation Ltd (09/06/2023) **</t>
  </si>
  <si>
    <t>INE134E08KW9</t>
  </si>
  <si>
    <t>Relatively High (Class III)</t>
  </si>
  <si>
    <t>6.65% Housing &amp; Urban Development Corporation Ltd (15/06/2023) **</t>
  </si>
  <si>
    <t>INE031A08772</t>
  </si>
  <si>
    <t>ICRA AAA</t>
  </si>
  <si>
    <t>Sub Total</t>
  </si>
  <si>
    <t>Benchmark: CRISIL Liquid Debt A-I Index</t>
  </si>
  <si>
    <t>Total</t>
  </si>
  <si>
    <t>Money Market Instruments</t>
  </si>
  <si>
    <t>Certificate of Deposit</t>
  </si>
  <si>
    <t>Small Industries Development Bank of India (30/05/2023) ** #</t>
  </si>
  <si>
    <t>INE556F16960</t>
  </si>
  <si>
    <t>CARE A1+</t>
  </si>
  <si>
    <t>Indian Bank (03/07/2023) ** #</t>
  </si>
  <si>
    <t>INE562A16LS8</t>
  </si>
  <si>
    <t>CRISIL A1+</t>
  </si>
  <si>
    <t>Axis Bank Ltd (31/05/2023) ** #</t>
  </si>
  <si>
    <t>INE238AD6314</t>
  </si>
  <si>
    <t>Indian Bank (07/06/2023) ** #</t>
  </si>
  <si>
    <t>INE562A16LO7</t>
  </si>
  <si>
    <t>HDFC Bank Ltd (15/05/2023) #</t>
  </si>
  <si>
    <t>INE040A16DF9</t>
  </si>
  <si>
    <t>Axis Bank Ltd (05/06/2023) ** #</t>
  </si>
  <si>
    <t>INE238AD6363</t>
  </si>
  <si>
    <t>Axis Bank Ltd (07/06/2023) ** #</t>
  </si>
  <si>
    <t>INE238AD6165</t>
  </si>
  <si>
    <t>Union Bank of India (12/06/2023) ** #</t>
  </si>
  <si>
    <t>INE692A16GE3</t>
  </si>
  <si>
    <t>ICRA A1+</t>
  </si>
  <si>
    <t>Axis Bank Ltd (14/06/2023) ** #</t>
  </si>
  <si>
    <t>INE238AD6330</t>
  </si>
  <si>
    <t>Export-Import Bank Of India (22/06/2023) ** #</t>
  </si>
  <si>
    <t>INE514E16CB6</t>
  </si>
  <si>
    <t>Commercial Paper</t>
  </si>
  <si>
    <t xml:space="preserve">National Bank For Agriculture &amp; Rural Development (15/05/2023) ** </t>
  </si>
  <si>
    <t>INE261F14JO4</t>
  </si>
  <si>
    <t xml:space="preserve">LIC Housing Finance Ltd (31/05/2023) ** </t>
  </si>
  <si>
    <t>INE115A14DZ2</t>
  </si>
  <si>
    <t xml:space="preserve">Reliance Jio Infocomm Ltd (12/05/2023) ** </t>
  </si>
  <si>
    <t>INE110L14RR7</t>
  </si>
  <si>
    <t xml:space="preserve">Kotak Securities Ltd (16/05/2023) ** </t>
  </si>
  <si>
    <t>INE028E14LI8</t>
  </si>
  <si>
    <t xml:space="preserve">Housing Development Finance Corporation Ltd (17/05/2023) ** </t>
  </si>
  <si>
    <t>INE001A14YV9</t>
  </si>
  <si>
    <t xml:space="preserve">Reliance Industries Ltd (12/06/2023) ** </t>
  </si>
  <si>
    <t>INE002A14JW6</t>
  </si>
  <si>
    <t xml:space="preserve">Housing Development Finance Corporation Ltd (15/06/2023) ** </t>
  </si>
  <si>
    <t>INE001A14ZC6</t>
  </si>
  <si>
    <t xml:space="preserve">ICICI Home Finance Co Ltd (27/06/2023) ** </t>
  </si>
  <si>
    <t>INE071G14EQ1</t>
  </si>
  <si>
    <t xml:space="preserve">Bajaj Finance Ltd (02/06/2023) ** </t>
  </si>
  <si>
    <t>INE296A14UL4</t>
  </si>
  <si>
    <t xml:space="preserve">Bajaj Finance Ltd (23/05/2023) ** </t>
  </si>
  <si>
    <t>INE296A14TX1</t>
  </si>
  <si>
    <t xml:space="preserve">Small Industries Development Bank Of India (26/05/2023) ** </t>
  </si>
  <si>
    <t>INE556F14IU6</t>
  </si>
  <si>
    <t xml:space="preserve">Reliance Retail Ventures Ltd (05/06/2023) ** </t>
  </si>
  <si>
    <t>INE929O14990</t>
  </si>
  <si>
    <t xml:space="preserve">HDFC Securities Ltd (30/06/2023) ** </t>
  </si>
  <si>
    <t>INE700G14ES1</t>
  </si>
  <si>
    <t xml:space="preserve">National Bank For Agriculture &amp; Rural Development (03/07/2023) ** </t>
  </si>
  <si>
    <t>INE261F14JV9</t>
  </si>
  <si>
    <t xml:space="preserve">ICICI Securities Ltd (26/07/2023) ** </t>
  </si>
  <si>
    <t>INE763G14PM8</t>
  </si>
  <si>
    <t xml:space="preserve">Berger Paints India Ltd (17/05/2023) ** </t>
  </si>
  <si>
    <t>INE463A14NI1</t>
  </si>
  <si>
    <t xml:space="preserve">Small Industries Development Bank Of India (17/05/2023) </t>
  </si>
  <si>
    <t>INE556F14IS0</t>
  </si>
  <si>
    <t xml:space="preserve">Small Industries Development Bank Of India (22/05/2023) ** </t>
  </si>
  <si>
    <t>INE556F14IT8</t>
  </si>
  <si>
    <t xml:space="preserve">LIC Housing Finance Ltd (20/06/2023) </t>
  </si>
  <si>
    <t>INE115A14DT5</t>
  </si>
  <si>
    <t xml:space="preserve">L&amp;T Finance Ltd (23/06/2023) ** </t>
  </si>
  <si>
    <t>INE027E14NB1</t>
  </si>
  <si>
    <t xml:space="preserve">Housing Development Finance Corporation Ltd (27/06/2023) </t>
  </si>
  <si>
    <t>INE001A14ZB8</t>
  </si>
  <si>
    <t>Treasury Bill</t>
  </si>
  <si>
    <t>364 DTB (01-JUN-2023)</t>
  </si>
  <si>
    <t>IN002022Z093</t>
  </si>
  <si>
    <t xml:space="preserve"> Sovereign</t>
  </si>
  <si>
    <t>91 DAYS TREASURY BILLS 11-MAY-23</t>
  </si>
  <si>
    <t>IN002022X452</t>
  </si>
  <si>
    <t>182 DTB (06-JUL-2023)</t>
  </si>
  <si>
    <t>IN002022Y419</t>
  </si>
  <si>
    <t>182 DTB (20-JUL-2023)</t>
  </si>
  <si>
    <t>IN002022Y435</t>
  </si>
  <si>
    <t>182 DTB (01-JUN-2023)</t>
  </si>
  <si>
    <t>IN002022Y369</t>
  </si>
  <si>
    <t>364 DAYS TREASURY BILLS 08-JUN-23</t>
  </si>
  <si>
    <t>IN002022Z101</t>
  </si>
  <si>
    <t>364 DTB (06-JUL-2023)</t>
  </si>
  <si>
    <t>IN002022Z143</t>
  </si>
  <si>
    <t>182 DTB (13-JUL-2023)</t>
  </si>
  <si>
    <t>IN002022Y427</t>
  </si>
  <si>
    <t>Government Bonds</t>
  </si>
  <si>
    <t>4.26% INDIA GOVERNMENT 17-MAY-23</t>
  </si>
  <si>
    <t>IN0020210046</t>
  </si>
  <si>
    <t>Sovereign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</si>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</sst>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9" fillId="4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43" fontId="3" fillId="3" borderId="0" xfId="1" applyFont="1" applyFill="1" applyAlignment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49" fontId="10" fillId="5" borderId="19" xfId="0" applyNumberFormat="1" applyFont="1" applyFill="1" applyBorder="1"/>
    <xf numFmtId="2" fontId="11" fillId="0" borderId="20" xfId="0" applyNumberFormat="1" applyFont="1" applyBorder="1"/>
    <xf numFmtId="49" fontId="12" fillId="0" borderId="0" xfId="0" applyNumberFormat="1" applyFont="1"/>
    <xf numFmtId="10" fontId="11" fillId="0" borderId="2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161925</xdr:colOff>
      <xdr:row>4</xdr:row>
      <xdr:rowOff>99868</xdr:rowOff>
    </xdr:from>
    <xdr:ext cx="1841240" cy="1376507"/>
    <xdr:pic>
      <xdr:nvPicPr>
        <xdr:cNvPr id="2" name="Picture 1">
          <a:extLst>
            <a:ext uri="{FF2B5EF4-FFF2-40B4-BE49-F238E27FC236}">
              <a16:creationId xmlns:a16="http://schemas.microsoft.com/office/drawing/2014/main" id="{EFE5D2FC-285B-44AD-889E-04B8101B1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7400" y="1109518"/>
          <a:ext cx="1841240" cy="1376507"/>
        </a:xfrm>
        <a:prstGeom prst="rect">
          <a:avLst/>
        </a:prstGeom>
      </xdr:spPr>
    </xdr:pic>
    <xdr:clientData/>
  </xdr:oneCellAnchor>
  <xdr:twoCellAnchor editAs="oneCell">
    <xdr:from>
      <xdr:col>10</xdr:col>
      <xdr:colOff>171449</xdr:colOff>
      <xdr:row>4</xdr:row>
      <xdr:rowOff>38100</xdr:rowOff>
    </xdr:from>
    <xdr:to>
      <xdr:col>10</xdr:col>
      <xdr:colOff>2133600</xdr:colOff>
      <xdr:row>10</xdr:row>
      <xdr:rowOff>57149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D3F620-5A54-42C6-A107-7AC98711B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87224" y="1047750"/>
          <a:ext cx="1962151" cy="1390649"/>
        </a:xfrm>
        <a:prstGeom prst="rect">
          <a:avLst/>
        </a:prstGeom>
      </xdr:spPr>
    </xdr:pic>
    <xdr:clientData/>
  </xdr:twoCellAnchor>
  <xdr:oneCellAnchor>
    <xdr:from>
      <xdr:col>11</xdr:col>
      <xdr:colOff>161925</xdr:colOff>
      <xdr:row>4</xdr:row>
      <xdr:rowOff>99868</xdr:rowOff>
    </xdr:from>
    <xdr:ext cx="1841240" cy="1376507"/>
    <xdr:pic>
      <xdr:nvPicPr>
        <xdr:cNvPr id="4" name="Picture 3">
          <a:extLst>
            <a:ext uri="{FF2B5EF4-FFF2-40B4-BE49-F238E27FC236}">
              <a16:creationId xmlns:a16="http://schemas.microsoft.com/office/drawing/2014/main" id="{A7066791-0646-49F0-B52D-D8A06CBC3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1109518"/>
          <a:ext cx="1841240" cy="13765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27"/>
  <sheetViews>
    <sheetView tabSelected="1" workbookViewId="0">
      <selection activeCell="A20" sqref="A20"/>
    </sheetView>
  </sheetViews>
  <sheetFormatPr defaultRowHeight="12"/>
  <cols>
    <col min="1" max="1" width="9.140625" style="3"/>
    <col min="2" max="2" width="57.28515625" style="3" bestFit="1" customWidth="1"/>
    <col min="3" max="3" width="13.85546875" style="3" bestFit="1" customWidth="1"/>
    <col min="4" max="4" width="14.140625" style="3" bestFit="1" customWidth="1"/>
    <col min="5" max="5" width="9.85546875" style="63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.140625" style="3"/>
    <col min="10" max="11" width="36" style="4" customWidth="1"/>
    <col min="12" max="12" width="36" style="3" customWidth="1"/>
    <col min="13" max="13" width="4.7109375" style="3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M4" s="4"/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M5" s="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M6" s="4"/>
      <c r="N6" s="31" t="s">
        <v>19</v>
      </c>
      <c r="O6" s="26"/>
      <c r="P6" s="26"/>
      <c r="Q6" s="26"/>
    </row>
    <row r="7" spans="2:17">
      <c r="B7" s="28" t="s">
        <v>20</v>
      </c>
      <c r="C7" s="28" t="s">
        <v>21</v>
      </c>
      <c r="D7" s="28" t="s">
        <v>22</v>
      </c>
      <c r="E7" s="32">
        <v>800</v>
      </c>
      <c r="F7" s="30">
        <v>7994.89</v>
      </c>
      <c r="G7" s="30">
        <v>2.48</v>
      </c>
      <c r="H7" s="30">
        <v>7.56</v>
      </c>
      <c r="J7" s="24"/>
      <c r="K7" s="24"/>
      <c r="L7" s="24"/>
      <c r="M7" s="4"/>
      <c r="N7" s="33" t="s">
        <v>23</v>
      </c>
      <c r="O7" s="34" t="s">
        <v>24</v>
      </c>
      <c r="P7" s="35"/>
      <c r="Q7" s="36"/>
    </row>
    <row r="8" spans="2:17">
      <c r="B8" s="28" t="s">
        <v>25</v>
      </c>
      <c r="C8" s="28" t="s">
        <v>26</v>
      </c>
      <c r="D8" s="28" t="s">
        <v>22</v>
      </c>
      <c r="E8" s="32">
        <v>600</v>
      </c>
      <c r="F8" s="30">
        <v>5995.62</v>
      </c>
      <c r="G8" s="30">
        <v>1.86</v>
      </c>
      <c r="H8" s="30">
        <v>7.3</v>
      </c>
      <c r="J8" s="24"/>
      <c r="K8" s="24"/>
      <c r="L8" s="24"/>
      <c r="M8" s="4"/>
      <c r="N8" s="33"/>
      <c r="O8" s="37"/>
      <c r="P8" s="38"/>
      <c r="Q8" s="39"/>
    </row>
    <row r="9" spans="2:17">
      <c r="B9" s="28" t="s">
        <v>27</v>
      </c>
      <c r="C9" s="28" t="s">
        <v>28</v>
      </c>
      <c r="D9" s="28" t="s">
        <v>22</v>
      </c>
      <c r="E9" s="32">
        <v>500</v>
      </c>
      <c r="F9" s="30">
        <v>5000.43</v>
      </c>
      <c r="G9" s="30">
        <v>1.55</v>
      </c>
      <c r="H9" s="30">
        <v>7.25</v>
      </c>
      <c r="J9" s="24"/>
      <c r="K9" s="24"/>
      <c r="L9" s="24"/>
      <c r="M9" s="4"/>
      <c r="N9" s="33" t="s">
        <v>29</v>
      </c>
      <c r="O9" s="36"/>
      <c r="P9" s="36"/>
      <c r="Q9" s="36"/>
    </row>
    <row r="10" spans="2:17">
      <c r="B10" s="28" t="s">
        <v>30</v>
      </c>
      <c r="C10" s="28" t="s">
        <v>31</v>
      </c>
      <c r="D10" s="28" t="s">
        <v>22</v>
      </c>
      <c r="E10" s="32">
        <v>500</v>
      </c>
      <c r="F10" s="30">
        <v>4997.1000000000004</v>
      </c>
      <c r="G10" s="30">
        <v>1.55</v>
      </c>
      <c r="H10" s="30">
        <v>7.3</v>
      </c>
      <c r="J10" s="24"/>
      <c r="K10" s="24"/>
      <c r="L10" s="24"/>
      <c r="M10" s="4"/>
      <c r="N10" s="33"/>
      <c r="O10" s="39"/>
      <c r="P10" s="39"/>
      <c r="Q10" s="39"/>
    </row>
    <row r="11" spans="2:17">
      <c r="B11" s="28" t="s">
        <v>32</v>
      </c>
      <c r="C11" s="28" t="s">
        <v>33</v>
      </c>
      <c r="D11" s="28" t="s">
        <v>22</v>
      </c>
      <c r="E11" s="32">
        <v>500</v>
      </c>
      <c r="F11" s="30">
        <v>4994.6499999999996</v>
      </c>
      <c r="G11" s="30">
        <v>1.55</v>
      </c>
      <c r="H11" s="30">
        <v>7.3</v>
      </c>
      <c r="J11" s="24"/>
      <c r="K11" s="24"/>
      <c r="L11" s="24"/>
      <c r="M11" s="4"/>
      <c r="N11" s="33" t="s">
        <v>34</v>
      </c>
      <c r="O11" s="36"/>
      <c r="P11" s="36"/>
      <c r="Q11" s="36"/>
    </row>
    <row r="12" spans="2:17">
      <c r="B12" s="28" t="s">
        <v>35</v>
      </c>
      <c r="C12" s="28" t="s">
        <v>36</v>
      </c>
      <c r="D12" s="28" t="s">
        <v>37</v>
      </c>
      <c r="E12" s="32">
        <v>250</v>
      </c>
      <c r="F12" s="30">
        <v>2497.41</v>
      </c>
      <c r="G12" s="30">
        <v>0.78</v>
      </c>
      <c r="H12" s="30">
        <v>7.09</v>
      </c>
      <c r="J12" s="24"/>
      <c r="K12" s="24"/>
      <c r="L12" s="24"/>
      <c r="M12" s="4"/>
      <c r="N12" s="33"/>
      <c r="O12" s="39"/>
      <c r="P12" s="39"/>
      <c r="Q12" s="39"/>
    </row>
    <row r="13" spans="2:17">
      <c r="B13" s="40" t="s">
        <v>38</v>
      </c>
      <c r="C13" s="40"/>
      <c r="D13" s="40"/>
      <c r="E13" s="41"/>
      <c r="F13" s="42">
        <f>SUM(F6:F12)</f>
        <v>31480.100000000002</v>
      </c>
      <c r="G13" s="42">
        <f>SUM(G6:G12)</f>
        <v>9.77</v>
      </c>
      <c r="H13" s="43"/>
      <c r="I13" s="44"/>
      <c r="J13" s="45"/>
      <c r="K13" s="45" t="s">
        <v>39</v>
      </c>
      <c r="L13" s="4"/>
      <c r="M13" s="4"/>
    </row>
    <row r="14" spans="2:17">
      <c r="B14" s="46" t="s">
        <v>40</v>
      </c>
      <c r="C14" s="46"/>
      <c r="D14" s="46"/>
      <c r="E14" s="47"/>
      <c r="F14" s="48">
        <f>F13</f>
        <v>31480.100000000002</v>
      </c>
      <c r="G14" s="48">
        <f>G13</f>
        <v>9.77</v>
      </c>
      <c r="H14" s="48"/>
      <c r="I14" s="44"/>
      <c r="L14" s="4"/>
      <c r="M14" s="4"/>
    </row>
    <row r="15" spans="2:17">
      <c r="B15" s="27" t="s">
        <v>41</v>
      </c>
      <c r="C15" s="28"/>
      <c r="D15" s="28"/>
      <c r="E15" s="29"/>
      <c r="F15" s="30"/>
      <c r="G15" s="30"/>
      <c r="H15" s="30"/>
      <c r="L15" s="4"/>
      <c r="M15" s="4"/>
    </row>
    <row r="16" spans="2:17">
      <c r="B16" s="27" t="s">
        <v>42</v>
      </c>
      <c r="C16" s="28"/>
      <c r="D16" s="28"/>
      <c r="E16" s="29"/>
      <c r="F16" s="30"/>
      <c r="G16" s="30"/>
      <c r="H16" s="30"/>
      <c r="L16" s="4"/>
      <c r="M16" s="4"/>
    </row>
    <row r="17" spans="2:13">
      <c r="B17" s="28" t="s">
        <v>43</v>
      </c>
      <c r="C17" s="28" t="s">
        <v>44</v>
      </c>
      <c r="D17" s="28" t="s">
        <v>45</v>
      </c>
      <c r="E17" s="32">
        <v>3000</v>
      </c>
      <c r="F17" s="30">
        <v>14916.45</v>
      </c>
      <c r="G17" s="30">
        <v>4.63</v>
      </c>
      <c r="H17" s="30">
        <v>7.05</v>
      </c>
      <c r="L17" s="4"/>
      <c r="M17" s="4"/>
    </row>
    <row r="18" spans="2:13">
      <c r="B18" s="28" t="s">
        <v>46</v>
      </c>
      <c r="C18" s="28" t="s">
        <v>47</v>
      </c>
      <c r="D18" s="28" t="s">
        <v>48</v>
      </c>
      <c r="E18" s="32">
        <v>2300</v>
      </c>
      <c r="F18" s="30">
        <v>11360.49</v>
      </c>
      <c r="G18" s="30">
        <v>3.53</v>
      </c>
      <c r="H18" s="30">
        <v>7.11</v>
      </c>
      <c r="L18" s="4"/>
      <c r="M18" s="4"/>
    </row>
    <row r="19" spans="2:13">
      <c r="B19" s="28" t="s">
        <v>49</v>
      </c>
      <c r="C19" s="28" t="s">
        <v>50</v>
      </c>
      <c r="D19" s="28" t="s">
        <v>48</v>
      </c>
      <c r="E19" s="32">
        <v>2000</v>
      </c>
      <c r="F19" s="30">
        <v>9942.27</v>
      </c>
      <c r="G19" s="30">
        <v>3.09</v>
      </c>
      <c r="H19" s="30">
        <v>7.07</v>
      </c>
      <c r="L19" s="4"/>
      <c r="M19" s="4"/>
    </row>
    <row r="20" spans="2:13">
      <c r="B20" s="28" t="s">
        <v>51</v>
      </c>
      <c r="C20" s="28" t="s">
        <v>52</v>
      </c>
      <c r="D20" s="28" t="s">
        <v>48</v>
      </c>
      <c r="E20" s="32">
        <v>2000</v>
      </c>
      <c r="F20" s="30">
        <v>9929.14</v>
      </c>
      <c r="G20" s="30">
        <v>3.08</v>
      </c>
      <c r="H20" s="30">
        <v>7.04</v>
      </c>
      <c r="L20" s="4"/>
      <c r="M20" s="4"/>
    </row>
    <row r="21" spans="2:13">
      <c r="B21" s="28" t="s">
        <v>53</v>
      </c>
      <c r="C21" s="28" t="s">
        <v>54</v>
      </c>
      <c r="D21" s="28" t="s">
        <v>45</v>
      </c>
      <c r="E21" s="32">
        <v>1000</v>
      </c>
      <c r="F21" s="30">
        <v>4986.33</v>
      </c>
      <c r="G21" s="30">
        <v>1.55</v>
      </c>
      <c r="H21" s="30">
        <v>7.15</v>
      </c>
      <c r="L21" s="4"/>
      <c r="M21" s="4"/>
    </row>
    <row r="22" spans="2:13">
      <c r="B22" s="28" t="s">
        <v>55</v>
      </c>
      <c r="C22" s="28" t="s">
        <v>56</v>
      </c>
      <c r="D22" s="28" t="s">
        <v>48</v>
      </c>
      <c r="E22" s="32">
        <v>1000</v>
      </c>
      <c r="F22" s="30">
        <v>4966.3599999999997</v>
      </c>
      <c r="G22" s="30">
        <v>1.54</v>
      </c>
      <c r="H22" s="30">
        <v>7.07</v>
      </c>
      <c r="L22" s="4"/>
      <c r="M22" s="4"/>
    </row>
    <row r="23" spans="2:13">
      <c r="B23" s="28" t="s">
        <v>57</v>
      </c>
      <c r="C23" s="28" t="s">
        <v>58</v>
      </c>
      <c r="D23" s="28" t="s">
        <v>48</v>
      </c>
      <c r="E23" s="32">
        <v>1000</v>
      </c>
      <c r="F23" s="30">
        <v>4964.45</v>
      </c>
      <c r="G23" s="30">
        <v>1.54</v>
      </c>
      <c r="H23" s="30">
        <v>7.07</v>
      </c>
      <c r="L23" s="4"/>
      <c r="M23" s="4"/>
    </row>
    <row r="24" spans="2:13">
      <c r="B24" s="28" t="s">
        <v>59</v>
      </c>
      <c r="C24" s="28" t="s">
        <v>60</v>
      </c>
      <c r="D24" s="28" t="s">
        <v>61</v>
      </c>
      <c r="E24" s="32">
        <v>1000</v>
      </c>
      <c r="F24" s="30">
        <v>4959.46</v>
      </c>
      <c r="G24" s="30">
        <v>1.54</v>
      </c>
      <c r="H24" s="30">
        <v>7.11</v>
      </c>
      <c r="L24" s="4"/>
      <c r="M24" s="4"/>
    </row>
    <row r="25" spans="2:13">
      <c r="B25" s="28" t="s">
        <v>62</v>
      </c>
      <c r="C25" s="28" t="s">
        <v>63</v>
      </c>
      <c r="D25" s="28" t="s">
        <v>48</v>
      </c>
      <c r="E25" s="32">
        <v>1000</v>
      </c>
      <c r="F25" s="30">
        <v>4957.78</v>
      </c>
      <c r="G25" s="30">
        <v>1.54</v>
      </c>
      <c r="H25" s="30">
        <v>7.07</v>
      </c>
      <c r="L25" s="4"/>
      <c r="M25" s="4"/>
    </row>
    <row r="26" spans="2:13">
      <c r="B26" s="28" t="s">
        <v>64</v>
      </c>
      <c r="C26" s="28" t="s">
        <v>65</v>
      </c>
      <c r="D26" s="28" t="s">
        <v>48</v>
      </c>
      <c r="E26" s="32">
        <v>500</v>
      </c>
      <c r="F26" s="30">
        <v>2475.14</v>
      </c>
      <c r="G26" s="30">
        <v>0.77</v>
      </c>
      <c r="H26" s="30">
        <v>7.05</v>
      </c>
      <c r="L26" s="4"/>
      <c r="M26" s="4"/>
    </row>
    <row r="27" spans="2:13">
      <c r="B27" s="27" t="s">
        <v>38</v>
      </c>
      <c r="C27" s="27"/>
      <c r="D27" s="27"/>
      <c r="E27" s="49"/>
      <c r="F27" s="50">
        <f>SUM(F16:F26)</f>
        <v>73457.87000000001</v>
      </c>
      <c r="G27" s="50">
        <f>SUM(G16:G26)</f>
        <v>22.81</v>
      </c>
      <c r="H27" s="51"/>
      <c r="I27" s="44"/>
      <c r="L27" s="4"/>
      <c r="M27" s="4"/>
    </row>
    <row r="28" spans="2:13">
      <c r="B28" s="27" t="s">
        <v>66</v>
      </c>
      <c r="C28" s="28"/>
      <c r="D28" s="28"/>
      <c r="E28" s="29"/>
      <c r="F28" s="30"/>
      <c r="G28" s="30"/>
      <c r="H28" s="30"/>
      <c r="L28" s="4"/>
      <c r="M28" s="4"/>
    </row>
    <row r="29" spans="2:13">
      <c r="B29" s="28" t="s">
        <v>67</v>
      </c>
      <c r="C29" s="28" t="s">
        <v>68</v>
      </c>
      <c r="D29" s="28" t="s">
        <v>61</v>
      </c>
      <c r="E29" s="32">
        <v>3000</v>
      </c>
      <c r="F29" s="30">
        <v>14958.87</v>
      </c>
      <c r="G29" s="30">
        <v>4.6399999999999997</v>
      </c>
      <c r="H29" s="30">
        <v>7.17</v>
      </c>
      <c r="L29" s="4"/>
      <c r="M29" s="4"/>
    </row>
    <row r="30" spans="2:13">
      <c r="B30" s="28" t="s">
        <v>69</v>
      </c>
      <c r="C30" s="28" t="s">
        <v>70</v>
      </c>
      <c r="D30" s="28" t="s">
        <v>48</v>
      </c>
      <c r="E30" s="32">
        <v>2500</v>
      </c>
      <c r="F30" s="30">
        <v>12427.28</v>
      </c>
      <c r="G30" s="30">
        <v>3.86</v>
      </c>
      <c r="H30" s="30">
        <v>7.12</v>
      </c>
      <c r="L30" s="4"/>
      <c r="M30" s="4"/>
    </row>
    <row r="31" spans="2:13">
      <c r="B31" s="28" t="s">
        <v>71</v>
      </c>
      <c r="C31" s="28" t="s">
        <v>72</v>
      </c>
      <c r="D31" s="28" t="s">
        <v>45</v>
      </c>
      <c r="E31" s="32">
        <v>2000</v>
      </c>
      <c r="F31" s="30">
        <v>9978.41</v>
      </c>
      <c r="G31" s="30">
        <v>3.1</v>
      </c>
      <c r="H31" s="30">
        <v>7.18</v>
      </c>
      <c r="L31" s="4"/>
      <c r="M31" s="4"/>
    </row>
    <row r="32" spans="2:13">
      <c r="B32" s="28" t="s">
        <v>73</v>
      </c>
      <c r="C32" s="28" t="s">
        <v>74</v>
      </c>
      <c r="D32" s="28" t="s">
        <v>48</v>
      </c>
      <c r="E32" s="32">
        <v>2000</v>
      </c>
      <c r="F32" s="30">
        <v>9969.89</v>
      </c>
      <c r="G32" s="30">
        <v>3.09</v>
      </c>
      <c r="H32" s="30">
        <v>7.35</v>
      </c>
      <c r="L32" s="4"/>
      <c r="M32" s="4"/>
    </row>
    <row r="33" spans="2:13">
      <c r="B33" s="28" t="s">
        <v>75</v>
      </c>
      <c r="C33" s="28" t="s">
        <v>76</v>
      </c>
      <c r="D33" s="28" t="s">
        <v>48</v>
      </c>
      <c r="E33" s="32">
        <v>2000</v>
      </c>
      <c r="F33" s="30">
        <v>9968.7199999999993</v>
      </c>
      <c r="G33" s="30">
        <v>3.09</v>
      </c>
      <c r="H33" s="30">
        <v>7.16</v>
      </c>
      <c r="L33" s="4"/>
      <c r="M33" s="4"/>
    </row>
    <row r="34" spans="2:13">
      <c r="B34" s="28" t="s">
        <v>77</v>
      </c>
      <c r="C34" s="28" t="s">
        <v>78</v>
      </c>
      <c r="D34" s="28" t="s">
        <v>48</v>
      </c>
      <c r="E34" s="32">
        <v>2000</v>
      </c>
      <c r="F34" s="30">
        <v>9919.25</v>
      </c>
      <c r="G34" s="30">
        <v>3.08</v>
      </c>
      <c r="H34" s="30">
        <v>7.08</v>
      </c>
      <c r="L34" s="4"/>
      <c r="M34" s="4"/>
    </row>
    <row r="35" spans="2:13">
      <c r="B35" s="28" t="s">
        <v>79</v>
      </c>
      <c r="C35" s="28" t="s">
        <v>80</v>
      </c>
      <c r="D35" s="28" t="s">
        <v>48</v>
      </c>
      <c r="E35" s="32">
        <v>2000</v>
      </c>
      <c r="F35" s="30">
        <v>9912.5</v>
      </c>
      <c r="G35" s="30">
        <v>3.08</v>
      </c>
      <c r="H35" s="30">
        <v>7.16</v>
      </c>
      <c r="L35" s="4"/>
      <c r="M35" s="4"/>
    </row>
    <row r="36" spans="2:13">
      <c r="B36" s="28" t="s">
        <v>81</v>
      </c>
      <c r="C36" s="28" t="s">
        <v>82</v>
      </c>
      <c r="D36" s="28" t="s">
        <v>61</v>
      </c>
      <c r="E36" s="32">
        <v>2000</v>
      </c>
      <c r="F36" s="30">
        <v>9888.81</v>
      </c>
      <c r="G36" s="30">
        <v>3.07</v>
      </c>
      <c r="H36" s="30">
        <v>7.2</v>
      </c>
      <c r="L36" s="4"/>
      <c r="M36" s="4"/>
    </row>
    <row r="37" spans="2:13">
      <c r="B37" s="28" t="s">
        <v>83</v>
      </c>
      <c r="C37" s="28" t="s">
        <v>84</v>
      </c>
      <c r="D37" s="28" t="s">
        <v>48</v>
      </c>
      <c r="E37" s="32">
        <v>1500</v>
      </c>
      <c r="F37" s="30">
        <v>7452.89</v>
      </c>
      <c r="G37" s="30">
        <v>2.31</v>
      </c>
      <c r="H37" s="30">
        <v>7.21</v>
      </c>
      <c r="L37" s="4"/>
      <c r="M37" s="4"/>
    </row>
    <row r="38" spans="2:13">
      <c r="B38" s="28" t="s">
        <v>85</v>
      </c>
      <c r="C38" s="28" t="s">
        <v>86</v>
      </c>
      <c r="D38" s="28" t="s">
        <v>48</v>
      </c>
      <c r="E38" s="32">
        <v>1000</v>
      </c>
      <c r="F38" s="30">
        <v>4978.4399999999996</v>
      </c>
      <c r="G38" s="30">
        <v>1.55</v>
      </c>
      <c r="H38" s="30">
        <v>7.19</v>
      </c>
      <c r="L38" s="4"/>
      <c r="M38" s="4"/>
    </row>
    <row r="39" spans="2:13">
      <c r="B39" s="28" t="s">
        <v>87</v>
      </c>
      <c r="C39" s="28" t="s">
        <v>88</v>
      </c>
      <c r="D39" s="28" t="s">
        <v>45</v>
      </c>
      <c r="E39" s="32">
        <v>1000</v>
      </c>
      <c r="F39" s="30">
        <v>4975.62</v>
      </c>
      <c r="G39" s="30">
        <v>1.54</v>
      </c>
      <c r="H39" s="30">
        <v>7.15</v>
      </c>
      <c r="L39" s="4"/>
      <c r="M39" s="4"/>
    </row>
    <row r="40" spans="2:13">
      <c r="B40" s="28" t="s">
        <v>89</v>
      </c>
      <c r="C40" s="28" t="s">
        <v>90</v>
      </c>
      <c r="D40" s="28" t="s">
        <v>48</v>
      </c>
      <c r="E40" s="32">
        <v>1000</v>
      </c>
      <c r="F40" s="30">
        <v>4966.3100000000004</v>
      </c>
      <c r="G40" s="30">
        <v>1.54</v>
      </c>
      <c r="H40" s="30">
        <v>7.08</v>
      </c>
      <c r="L40" s="4"/>
      <c r="M40" s="4"/>
    </row>
    <row r="41" spans="2:13">
      <c r="B41" s="28" t="s">
        <v>91</v>
      </c>
      <c r="C41" s="28" t="s">
        <v>92</v>
      </c>
      <c r="D41" s="28" t="s">
        <v>48</v>
      </c>
      <c r="E41" s="32">
        <v>1000</v>
      </c>
      <c r="F41" s="30">
        <v>4940.1099999999997</v>
      </c>
      <c r="G41" s="30">
        <v>1.53</v>
      </c>
      <c r="H41" s="30">
        <v>7.38</v>
      </c>
      <c r="L41" s="4"/>
      <c r="M41" s="4"/>
    </row>
    <row r="42" spans="2:13">
      <c r="B42" s="28" t="s">
        <v>93</v>
      </c>
      <c r="C42" s="28" t="s">
        <v>94</v>
      </c>
      <c r="D42" s="28" t="s">
        <v>61</v>
      </c>
      <c r="E42" s="32">
        <v>1000</v>
      </c>
      <c r="F42" s="30">
        <v>4939.22</v>
      </c>
      <c r="G42" s="30">
        <v>1.53</v>
      </c>
      <c r="H42" s="30">
        <v>7.13</v>
      </c>
      <c r="L42" s="4"/>
      <c r="M42" s="4"/>
    </row>
    <row r="43" spans="2:13">
      <c r="B43" s="28" t="s">
        <v>95</v>
      </c>
      <c r="C43" s="28" t="s">
        <v>96</v>
      </c>
      <c r="D43" s="28" t="s">
        <v>48</v>
      </c>
      <c r="E43" s="32">
        <v>1000</v>
      </c>
      <c r="F43" s="30">
        <v>4914.32</v>
      </c>
      <c r="G43" s="30">
        <v>1.53</v>
      </c>
      <c r="H43" s="30">
        <v>7.4</v>
      </c>
      <c r="L43" s="4"/>
      <c r="M43" s="4"/>
    </row>
    <row r="44" spans="2:13">
      <c r="B44" s="28" t="s">
        <v>97</v>
      </c>
      <c r="C44" s="28" t="s">
        <v>98</v>
      </c>
      <c r="D44" s="28" t="s">
        <v>48</v>
      </c>
      <c r="E44" s="32">
        <v>700</v>
      </c>
      <c r="F44" s="30">
        <v>3489.15</v>
      </c>
      <c r="G44" s="30">
        <v>1.08</v>
      </c>
      <c r="H44" s="30">
        <v>7.1</v>
      </c>
      <c r="L44" s="4"/>
      <c r="M44" s="4"/>
    </row>
    <row r="45" spans="2:13">
      <c r="B45" s="28" t="s">
        <v>99</v>
      </c>
      <c r="C45" s="28" t="s">
        <v>100</v>
      </c>
      <c r="D45" s="28" t="s">
        <v>45</v>
      </c>
      <c r="E45" s="32">
        <v>500</v>
      </c>
      <c r="F45" s="30">
        <v>2492.19</v>
      </c>
      <c r="G45" s="30">
        <v>0.77</v>
      </c>
      <c r="H45" s="30">
        <v>7.15</v>
      </c>
      <c r="L45" s="4"/>
      <c r="M45" s="4"/>
    </row>
    <row r="46" spans="2:13">
      <c r="B46" s="28" t="s">
        <v>101</v>
      </c>
      <c r="C46" s="28" t="s">
        <v>102</v>
      </c>
      <c r="D46" s="28" t="s">
        <v>45</v>
      </c>
      <c r="E46" s="32">
        <v>500</v>
      </c>
      <c r="F46" s="30">
        <v>2489.75</v>
      </c>
      <c r="G46" s="30">
        <v>0.77</v>
      </c>
      <c r="H46" s="30">
        <v>7.16</v>
      </c>
      <c r="L46" s="4"/>
      <c r="M46" s="4"/>
    </row>
    <row r="47" spans="2:13">
      <c r="B47" s="28" t="s">
        <v>103</v>
      </c>
      <c r="C47" s="28" t="s">
        <v>104</v>
      </c>
      <c r="D47" s="28" t="s">
        <v>48</v>
      </c>
      <c r="E47" s="32">
        <v>500</v>
      </c>
      <c r="F47" s="30">
        <v>2475.85</v>
      </c>
      <c r="G47" s="30">
        <v>0.77</v>
      </c>
      <c r="H47" s="30">
        <v>7.12</v>
      </c>
      <c r="L47" s="4"/>
      <c r="M47" s="4"/>
    </row>
    <row r="48" spans="2:13">
      <c r="B48" s="28" t="s">
        <v>105</v>
      </c>
      <c r="C48" s="28" t="s">
        <v>106</v>
      </c>
      <c r="D48" s="28" t="s">
        <v>48</v>
      </c>
      <c r="E48" s="32">
        <v>500</v>
      </c>
      <c r="F48" s="30">
        <v>2473.87</v>
      </c>
      <c r="G48" s="30">
        <v>0.77</v>
      </c>
      <c r="H48" s="30">
        <v>7.28</v>
      </c>
      <c r="L48" s="4"/>
      <c r="M48" s="4"/>
    </row>
    <row r="49" spans="2:13">
      <c r="B49" s="28" t="s">
        <v>107</v>
      </c>
      <c r="C49" s="28" t="s">
        <v>108</v>
      </c>
      <c r="D49" s="28" t="s">
        <v>48</v>
      </c>
      <c r="E49" s="32">
        <v>500</v>
      </c>
      <c r="F49" s="30">
        <v>2472.27</v>
      </c>
      <c r="G49" s="30">
        <v>0.77</v>
      </c>
      <c r="H49" s="30">
        <v>7.18</v>
      </c>
      <c r="L49" s="4"/>
      <c r="M49" s="4"/>
    </row>
    <row r="50" spans="2:13">
      <c r="B50" s="27" t="s">
        <v>38</v>
      </c>
      <c r="C50" s="27"/>
      <c r="D50" s="27"/>
      <c r="E50" s="49"/>
      <c r="F50" s="50">
        <f>SUM(F28:F49)</f>
        <v>140083.71999999997</v>
      </c>
      <c r="G50" s="50">
        <f>SUM(G28:G49)</f>
        <v>43.470000000000013</v>
      </c>
      <c r="H50" s="51"/>
      <c r="I50" s="44"/>
      <c r="L50" s="4"/>
      <c r="M50" s="4"/>
    </row>
    <row r="51" spans="2:13">
      <c r="B51" s="27" t="s">
        <v>109</v>
      </c>
      <c r="C51" s="28"/>
      <c r="D51" s="28"/>
      <c r="E51" s="29"/>
      <c r="F51" s="30"/>
      <c r="G51" s="30"/>
      <c r="H51" s="30"/>
      <c r="L51" s="4"/>
      <c r="M51" s="4"/>
    </row>
    <row r="52" spans="2:13">
      <c r="B52" s="28" t="s">
        <v>110</v>
      </c>
      <c r="C52" s="28" t="s">
        <v>111</v>
      </c>
      <c r="D52" s="28" t="s">
        <v>112</v>
      </c>
      <c r="E52" s="32">
        <v>13500000</v>
      </c>
      <c r="F52" s="30">
        <v>13423.05</v>
      </c>
      <c r="G52" s="30">
        <v>4.17</v>
      </c>
      <c r="H52" s="30">
        <v>6.75</v>
      </c>
      <c r="L52" s="4"/>
      <c r="M52" s="4"/>
    </row>
    <row r="53" spans="2:13">
      <c r="B53" s="28" t="s">
        <v>113</v>
      </c>
      <c r="C53" s="28" t="s">
        <v>114</v>
      </c>
      <c r="D53" s="28" t="s">
        <v>112</v>
      </c>
      <c r="E53" s="32">
        <v>12500000</v>
      </c>
      <c r="F53" s="30">
        <v>12477.26</v>
      </c>
      <c r="G53" s="30">
        <v>3.87</v>
      </c>
      <c r="H53" s="30">
        <v>6.65</v>
      </c>
      <c r="L53" s="4"/>
      <c r="M53" s="4"/>
    </row>
    <row r="54" spans="2:13">
      <c r="B54" s="28" t="s">
        <v>115</v>
      </c>
      <c r="C54" s="28" t="s">
        <v>116</v>
      </c>
      <c r="D54" s="28" t="s">
        <v>112</v>
      </c>
      <c r="E54" s="32">
        <v>10000000</v>
      </c>
      <c r="F54" s="30">
        <v>9879.89</v>
      </c>
      <c r="G54" s="30">
        <v>3.07</v>
      </c>
      <c r="H54" s="30">
        <v>6.72</v>
      </c>
      <c r="L54" s="4"/>
      <c r="M54" s="4"/>
    </row>
    <row r="55" spans="2:13">
      <c r="B55" s="28" t="s">
        <v>117</v>
      </c>
      <c r="C55" s="28" t="s">
        <v>118</v>
      </c>
      <c r="D55" s="28" t="s">
        <v>112</v>
      </c>
      <c r="E55" s="32">
        <v>10000000</v>
      </c>
      <c r="F55" s="30">
        <v>9852.83</v>
      </c>
      <c r="G55" s="30">
        <v>3.06</v>
      </c>
      <c r="H55" s="30">
        <v>6.82</v>
      </c>
      <c r="L55" s="4"/>
      <c r="M55" s="4"/>
    </row>
    <row r="56" spans="2:13">
      <c r="B56" s="28" t="s">
        <v>119</v>
      </c>
      <c r="C56" s="28" t="s">
        <v>120</v>
      </c>
      <c r="D56" s="28" t="s">
        <v>112</v>
      </c>
      <c r="E56" s="32">
        <v>5000000</v>
      </c>
      <c r="F56" s="30">
        <v>4971.5</v>
      </c>
      <c r="G56" s="30">
        <v>1.54</v>
      </c>
      <c r="H56" s="30">
        <v>6.75</v>
      </c>
      <c r="L56" s="4"/>
      <c r="M56" s="4"/>
    </row>
    <row r="57" spans="2:13">
      <c r="B57" s="28" t="s">
        <v>121</v>
      </c>
      <c r="C57" s="28" t="s">
        <v>122</v>
      </c>
      <c r="D57" s="28" t="s">
        <v>112</v>
      </c>
      <c r="E57" s="32">
        <v>5000000</v>
      </c>
      <c r="F57" s="30">
        <v>4965.1400000000003</v>
      </c>
      <c r="G57" s="30">
        <v>1.54</v>
      </c>
      <c r="H57" s="30">
        <v>6.74</v>
      </c>
      <c r="L57" s="4"/>
      <c r="M57" s="4"/>
    </row>
    <row r="58" spans="2:13">
      <c r="B58" s="28" t="s">
        <v>123</v>
      </c>
      <c r="C58" s="28" t="s">
        <v>124</v>
      </c>
      <c r="D58" s="28" t="s">
        <v>112</v>
      </c>
      <c r="E58" s="32">
        <v>4000000</v>
      </c>
      <c r="F58" s="30">
        <v>3951.96</v>
      </c>
      <c r="G58" s="30">
        <v>1.23</v>
      </c>
      <c r="H58" s="30">
        <v>6.72</v>
      </c>
      <c r="L58" s="4"/>
      <c r="M58" s="4"/>
    </row>
    <row r="59" spans="2:13">
      <c r="B59" s="28" t="s">
        <v>125</v>
      </c>
      <c r="C59" s="28" t="s">
        <v>126</v>
      </c>
      <c r="D59" s="28" t="s">
        <v>112</v>
      </c>
      <c r="E59" s="32">
        <v>2500000</v>
      </c>
      <c r="F59" s="30">
        <v>2466.83</v>
      </c>
      <c r="G59" s="30">
        <v>0.77</v>
      </c>
      <c r="H59" s="30">
        <v>6.72</v>
      </c>
      <c r="L59" s="4"/>
      <c r="M59" s="4"/>
    </row>
    <row r="60" spans="2:13">
      <c r="B60" s="40" t="s">
        <v>38</v>
      </c>
      <c r="C60" s="40"/>
      <c r="D60" s="40"/>
      <c r="E60" s="41"/>
      <c r="F60" s="42">
        <f>SUM(F51:F59)</f>
        <v>61988.46</v>
      </c>
      <c r="G60" s="42">
        <f>SUM(G51:G59)</f>
        <v>19.25</v>
      </c>
      <c r="H60" s="43"/>
      <c r="I60" s="44"/>
      <c r="L60" s="4"/>
      <c r="M60" s="4"/>
    </row>
    <row r="61" spans="2:13">
      <c r="B61" s="46" t="s">
        <v>40</v>
      </c>
      <c r="C61" s="46"/>
      <c r="D61" s="46"/>
      <c r="E61" s="47"/>
      <c r="F61" s="48">
        <f>F27+F50+F60</f>
        <v>275530.05</v>
      </c>
      <c r="G61" s="48">
        <f>G27+G50+G60</f>
        <v>85.530000000000015</v>
      </c>
      <c r="H61" s="48"/>
      <c r="I61" s="44"/>
      <c r="L61" s="4"/>
      <c r="M61" s="4"/>
    </row>
    <row r="62" spans="2:13">
      <c r="B62" s="27" t="s">
        <v>127</v>
      </c>
      <c r="C62" s="28"/>
      <c r="D62" s="28"/>
      <c r="E62" s="29"/>
      <c r="F62" s="30"/>
      <c r="G62" s="30"/>
      <c r="H62" s="30"/>
      <c r="L62" s="4"/>
      <c r="M62" s="4"/>
    </row>
    <row r="63" spans="2:13">
      <c r="B63" s="52" t="s">
        <v>128</v>
      </c>
      <c r="C63" s="52" t="s">
        <v>129</v>
      </c>
      <c r="D63" s="52" t="s">
        <v>130</v>
      </c>
      <c r="E63" s="53">
        <v>1500000</v>
      </c>
      <c r="F63" s="54">
        <v>1498.35</v>
      </c>
      <c r="G63" s="54">
        <v>0.47</v>
      </c>
      <c r="H63" s="54">
        <v>6.71</v>
      </c>
      <c r="L63" s="4"/>
      <c r="M63" s="4"/>
    </row>
    <row r="64" spans="2:13">
      <c r="B64" s="55" t="s">
        <v>40</v>
      </c>
      <c r="C64" s="55"/>
      <c r="D64" s="55"/>
      <c r="E64" s="56"/>
      <c r="F64" s="50">
        <f>SUM(F63:F63)</f>
        <v>1498.35</v>
      </c>
      <c r="G64" s="50">
        <f>SUM(G63:G63)</f>
        <v>0.47</v>
      </c>
      <c r="H64" s="50"/>
      <c r="I64" s="44"/>
      <c r="L64" s="4"/>
      <c r="M64" s="4"/>
    </row>
    <row r="65" spans="2:13">
      <c r="B65" s="27" t="s">
        <v>131</v>
      </c>
      <c r="C65" s="28"/>
      <c r="D65" s="28"/>
      <c r="E65" s="29"/>
      <c r="F65" s="30"/>
      <c r="G65" s="30"/>
      <c r="H65" s="30"/>
      <c r="L65" s="4"/>
      <c r="M65" s="4"/>
    </row>
    <row r="66" spans="2:13">
      <c r="B66" s="28" t="s">
        <v>131</v>
      </c>
      <c r="C66" s="28"/>
      <c r="D66" s="28"/>
      <c r="E66" s="29"/>
      <c r="F66" s="30">
        <v>16545.53</v>
      </c>
      <c r="G66" s="30">
        <v>5.1400000000000006</v>
      </c>
      <c r="H66" s="30"/>
      <c r="L66" s="4"/>
      <c r="M66" s="4"/>
    </row>
    <row r="67" spans="2:13">
      <c r="B67" s="40" t="s">
        <v>38</v>
      </c>
      <c r="C67" s="40"/>
      <c r="D67" s="40"/>
      <c r="E67" s="41"/>
      <c r="F67" s="42">
        <f>SUM(F65:F66)</f>
        <v>16545.53</v>
      </c>
      <c r="G67" s="42">
        <f>SUM(G65:G66)</f>
        <v>5.1400000000000006</v>
      </c>
      <c r="H67" s="43"/>
      <c r="I67" s="44"/>
      <c r="L67" s="4"/>
      <c r="M67" s="4"/>
    </row>
    <row r="68" spans="2:13">
      <c r="B68" s="57" t="s">
        <v>40</v>
      </c>
      <c r="C68" s="57"/>
      <c r="D68" s="57"/>
      <c r="E68" s="58"/>
      <c r="F68" s="59">
        <f>F67</f>
        <v>16545.53</v>
      </c>
      <c r="G68" s="59">
        <f>G67</f>
        <v>5.1400000000000006</v>
      </c>
      <c r="H68" s="59"/>
      <c r="I68" s="44"/>
      <c r="L68" s="4"/>
      <c r="M68" s="4"/>
    </row>
    <row r="69" spans="2:13">
      <c r="B69" s="60" t="s">
        <v>132</v>
      </c>
      <c r="C69" s="60"/>
      <c r="D69" s="60"/>
      <c r="E69" s="61"/>
      <c r="F69" s="62">
        <f>F70-(+F14+F61+F64+F68)</f>
        <v>-2860.8899999998976</v>
      </c>
      <c r="G69" s="62">
        <f>G70-(+G14+G61+G64+G68)</f>
        <v>-0.9100000000000108</v>
      </c>
      <c r="H69" s="62"/>
      <c r="I69" s="44"/>
      <c r="L69" s="4"/>
      <c r="M69" s="4"/>
    </row>
    <row r="70" spans="2:13">
      <c r="B70" s="60" t="s">
        <v>133</v>
      </c>
      <c r="C70" s="60"/>
      <c r="D70" s="60"/>
      <c r="E70" s="61"/>
      <c r="F70" s="62">
        <v>322193.14</v>
      </c>
      <c r="G70" s="62">
        <v>100</v>
      </c>
      <c r="H70" s="62"/>
      <c r="I70" s="44"/>
      <c r="L70" s="4"/>
      <c r="M70" s="4"/>
    </row>
    <row r="71" spans="2:13">
      <c r="L71" s="4"/>
      <c r="M71" s="4"/>
    </row>
    <row r="72" spans="2:13">
      <c r="B72" s="44" t="s">
        <v>134</v>
      </c>
      <c r="L72" s="4"/>
      <c r="M72" s="4"/>
    </row>
    <row r="73" spans="2:13">
      <c r="B73" s="44" t="s">
        <v>135</v>
      </c>
      <c r="L73" s="4"/>
      <c r="M73" s="4"/>
    </row>
    <row r="74" spans="2:13" ht="12.75" thickBot="1">
      <c r="L74" s="4"/>
      <c r="M74" s="4"/>
    </row>
    <row r="75" spans="2:13" ht="13.5" thickTop="1" thickBot="1">
      <c r="B75" s="64" t="s">
        <v>136</v>
      </c>
      <c r="C75" s="65">
        <v>8.9789151633413458E-2</v>
      </c>
      <c r="L75" s="4"/>
      <c r="M75" s="4"/>
    </row>
    <row r="76" spans="2:13" ht="13.5" thickTop="1" thickBot="1">
      <c r="B76" s="66"/>
      <c r="C76" s="66"/>
      <c r="L76" s="4"/>
      <c r="M76" s="4"/>
    </row>
    <row r="77" spans="2:13" ht="13.5" thickTop="1" thickBot="1">
      <c r="B77" s="64" t="s">
        <v>137</v>
      </c>
      <c r="C77" s="67">
        <v>7.06768460294743E-2</v>
      </c>
      <c r="L77" s="4"/>
      <c r="M77" s="4"/>
    </row>
    <row r="78" spans="2:13" ht="13.5" thickTop="1" thickBot="1">
      <c r="B78" s="66"/>
      <c r="C78" s="66"/>
      <c r="L78" s="4"/>
      <c r="M78" s="4"/>
    </row>
    <row r="79" spans="2:13" ht="13.5" thickTop="1" thickBot="1">
      <c r="B79" s="64" t="s">
        <v>138</v>
      </c>
      <c r="C79" s="65">
        <v>9.4861887480015422E-2</v>
      </c>
      <c r="L79" s="4"/>
      <c r="M79" s="4"/>
    </row>
    <row r="80" spans="2:13" ht="12.75" thickTop="1">
      <c r="L80" s="4"/>
      <c r="M80" s="4"/>
    </row>
    <row r="81" spans="12:13">
      <c r="L81" s="4"/>
      <c r="M81" s="4"/>
    </row>
    <row r="82" spans="12:13">
      <c r="L82" s="4"/>
      <c r="M82" s="4"/>
    </row>
    <row r="83" spans="12:13">
      <c r="L83" s="4"/>
      <c r="M83" s="4"/>
    </row>
    <row r="84" spans="12:13">
      <c r="L84" s="4"/>
      <c r="M84" s="4"/>
    </row>
    <row r="85" spans="12:13">
      <c r="L85" s="4"/>
      <c r="M85" s="4"/>
    </row>
    <row r="86" spans="12:13">
      <c r="L86" s="4"/>
      <c r="M86" s="4"/>
    </row>
    <row r="87" spans="12:13">
      <c r="L87" s="4"/>
      <c r="M87" s="4"/>
    </row>
    <row r="88" spans="12:13">
      <c r="L88" s="4"/>
      <c r="M88" s="4"/>
    </row>
    <row r="89" spans="12:13">
      <c r="L89" s="4"/>
      <c r="M89" s="4"/>
    </row>
    <row r="90" spans="12:13">
      <c r="L90" s="4"/>
      <c r="M90" s="4"/>
    </row>
    <row r="91" spans="12:13">
      <c r="L91" s="4"/>
      <c r="M91" s="4"/>
    </row>
    <row r="92" spans="12:13">
      <c r="L92" s="4"/>
      <c r="M92" s="4"/>
    </row>
    <row r="93" spans="12:13">
      <c r="L93" s="4"/>
      <c r="M93" s="4"/>
    </row>
    <row r="94" spans="12:13">
      <c r="L94" s="4"/>
      <c r="M94" s="4"/>
    </row>
    <row r="95" spans="12:13">
      <c r="L95" s="4"/>
      <c r="M95" s="4"/>
    </row>
    <row r="96" spans="12:13">
      <c r="L96" s="4"/>
      <c r="M96" s="4"/>
    </row>
    <row r="97" spans="12:13">
      <c r="L97" s="4"/>
      <c r="M97" s="4"/>
    </row>
    <row r="98" spans="12:13">
      <c r="L98" s="4"/>
      <c r="M98" s="4"/>
    </row>
    <row r="99" spans="12:13">
      <c r="L99" s="4"/>
      <c r="M99" s="4"/>
    </row>
    <row r="100" spans="12:13">
      <c r="L100" s="4"/>
      <c r="M100" s="4"/>
    </row>
    <row r="101" spans="12:13">
      <c r="L101" s="4"/>
      <c r="M101" s="4"/>
    </row>
    <row r="102" spans="12:13">
      <c r="L102" s="4"/>
      <c r="M102" s="4"/>
    </row>
    <row r="103" spans="12:13">
      <c r="L103" s="4"/>
      <c r="M103" s="4"/>
    </row>
    <row r="104" spans="12:13">
      <c r="L104" s="4"/>
      <c r="M104" s="4"/>
    </row>
    <row r="105" spans="12:13">
      <c r="L105" s="4"/>
      <c r="M105" s="4"/>
    </row>
    <row r="106" spans="12:13">
      <c r="L106" s="4"/>
      <c r="M106" s="4"/>
    </row>
    <row r="107" spans="12:13">
      <c r="L107" s="4"/>
      <c r="M107" s="4"/>
    </row>
    <row r="108" spans="12:13">
      <c r="L108" s="4"/>
      <c r="M108" s="4"/>
    </row>
    <row r="109" spans="12:13">
      <c r="L109" s="4"/>
      <c r="M109" s="4"/>
    </row>
    <row r="110" spans="12:13">
      <c r="L110" s="4"/>
      <c r="M110" s="4"/>
    </row>
    <row r="111" spans="12:13">
      <c r="L111" s="4"/>
      <c r="M111" s="4"/>
    </row>
    <row r="112" spans="12:13">
      <c r="L112" s="4"/>
      <c r="M112" s="4"/>
    </row>
    <row r="113" spans="12:13">
      <c r="L113" s="4"/>
      <c r="M113" s="4"/>
    </row>
    <row r="114" spans="12:13">
      <c r="L114" s="4"/>
      <c r="M114" s="4"/>
    </row>
    <row r="115" spans="12:13">
      <c r="L115" s="4"/>
      <c r="M115" s="4"/>
    </row>
    <row r="116" spans="12:13">
      <c r="L116" s="4"/>
      <c r="M116" s="4"/>
    </row>
    <row r="117" spans="12:13">
      <c r="L117" s="4"/>
      <c r="M117" s="4"/>
    </row>
    <row r="118" spans="12:13">
      <c r="L118" s="4"/>
      <c r="M118" s="4"/>
    </row>
    <row r="119" spans="12:13">
      <c r="L119" s="4"/>
      <c r="M119" s="4"/>
    </row>
    <row r="120" spans="12:13">
      <c r="L120" s="4"/>
      <c r="M120" s="4"/>
    </row>
    <row r="121" spans="12:13">
      <c r="L121" s="4"/>
      <c r="M121" s="4"/>
    </row>
    <row r="122" spans="12:13">
      <c r="L122" s="4"/>
      <c r="M122" s="4"/>
    </row>
    <row r="123" spans="12:13">
      <c r="L123" s="4"/>
      <c r="M123" s="4"/>
    </row>
    <row r="124" spans="12:13">
      <c r="L124" s="4"/>
      <c r="M124" s="4"/>
    </row>
    <row r="125" spans="12:13">
      <c r="L125" s="4"/>
      <c r="M125" s="4"/>
    </row>
    <row r="126" spans="12:13">
      <c r="L126" s="4"/>
      <c r="M126" s="4"/>
    </row>
    <row r="127" spans="12:13">
      <c r="L127" s="4"/>
      <c r="M127" s="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2023-05-04 17:45:29</KDate>
  <Classification>Public</Classification>
  <Subclassification/>
  <HostName>MUMCMP00935</HostName>
  <Domain_User>CANARAROBECOMF/628</Domain_User>
  <IPAdd>192.9.198.194</IPAdd>
  <FilePath>Book18</FilePath>
  <KID>C025A5607E97638188191293988909</KID>
  <UniqueName/>
  <Suggested/>
  <Justification/>
</Klassify>
</file>

<file path=customXml/itemProps1.xml><?xml version="1.0" encoding="utf-8"?>
<ds:datastoreItem xmlns:ds="http://schemas.openxmlformats.org/officeDocument/2006/customXml" ds:itemID="{29CEAEA6-07D0-48B3-90DD-39800F51C36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2023-05-04T12:15:24Z</dcterms:created>
  <dcterms:modified xsi:type="dcterms:W3CDTF">2023-05-04T12:15:29Z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C025A5607E97638188191293988909</vt:lpwstr>
  </property>
</Properties>
</file>