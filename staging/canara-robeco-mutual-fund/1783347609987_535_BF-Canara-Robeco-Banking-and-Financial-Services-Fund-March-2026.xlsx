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P:\hemangi\data\monthly portfolios with ISIN\FY 2025-26\Mar 26\SPLIT MONTHLY PORTFOLIOS\"/>
    </mc:Choice>
  </mc:AlternateContent>
  <xr:revisionPtr revIDLastSave="0" documentId="8_{6CF4F69F-3884-4C29-A21A-33F4F6FE1FBA}" xr6:coauthVersionLast="47" xr6:coauthVersionMax="47" xr10:uidLastSave="{00000000-0000-0000-0000-000000000000}"/>
  <bookViews>
    <workbookView xWindow="-110" yWindow="-110" windowWidth="19420" windowHeight="10300" xr2:uid="{035F229E-D55B-4DCC-8C2B-C1EF2A6706A3}"/>
  </bookViews>
  <sheets>
    <sheet name="BF"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 r="G33" i="1" s="1"/>
  <c r="F32" i="1"/>
  <c r="F33" i="1" s="1"/>
  <c r="G28" i="1"/>
  <c r="G29" i="1" s="1"/>
  <c r="F28" i="1"/>
  <c r="F29" i="1" s="1"/>
  <c r="F34" i="1" s="1"/>
  <c r="G34"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<sst xmlns="http://schemas.openxmlformats.org/spreadsheetml/2006/main" count="114" uniqueCount="77">
  <si>
    <t>CANARA ROBECO BANKING AND FINANCIAL SERVICES FUND</t>
  </si>
  <si>
    <t>Monthly Portfolio Statement as on March 31, 2026</t>
  </si>
  <si>
    <t>Name of the Instrument</t>
  </si>
  <si>
    <t>ISIN</t>
  </si>
  <si>
    <t>Industry / Rating</t>
  </si>
  <si>
    <t>Quantity</t>
  </si>
  <si>
    <t>Market/Fair Value
 (Rs. in Lacs)</t>
  </si>
  <si>
    <t>% to Net
 Assets</t>
  </si>
  <si>
    <t xml:space="preserve">Market Capitalization </t>
  </si>
  <si>
    <t>Scheme Risk-O-Meter Level - March'26</t>
  </si>
  <si>
    <t>Benchmark Risk-O-Meter Level - March'26</t>
  </si>
  <si>
    <t>Existing Scheme Risk-O-Meter Level*</t>
  </si>
  <si>
    <t>Benchmark Risk-O-Meter Level - February'26**</t>
  </si>
  <si>
    <t>Equity &amp; Equity related</t>
  </si>
  <si>
    <t>(a) Listed / awaiting listing on Stock Exchanges</t>
  </si>
  <si>
    <t>State Bank of India</t>
  </si>
  <si>
    <t>INE062A01020</t>
  </si>
  <si>
    <t>Banks</t>
  </si>
  <si>
    <t>Large Cap</t>
  </si>
  <si>
    <t>ICICI Bank Ltd</t>
  </si>
  <si>
    <t>INE090A01021</t>
  </si>
  <si>
    <t>HDFC Bank Ltd</t>
  </si>
  <si>
    <t>INE040A01034</t>
  </si>
  <si>
    <t>Axis Bank Ltd</t>
  </si>
  <si>
    <t>INE238A01034</t>
  </si>
  <si>
    <t>Kotak Mahindra Bank Ltd</t>
  </si>
  <si>
    <t>INE237A01036</t>
  </si>
  <si>
    <t>Bajaj Finance Ltd</t>
  </si>
  <si>
    <t>INE296A01032</t>
  </si>
  <si>
    <t>Finance</t>
  </si>
  <si>
    <t>Shriram Finance Ltd</t>
  </si>
  <si>
    <t>INE721A01047</t>
  </si>
  <si>
    <t>Benchmark: Nifty Financial Services Index TRI</t>
  </si>
  <si>
    <t>Max Financial Services Ltd</t>
  </si>
  <si>
    <t>INE180A01020</t>
  </si>
  <si>
    <t>Insurance</t>
  </si>
  <si>
    <t>Mid Cap</t>
  </si>
  <si>
    <t>Karur Vysya Bank Ltd</t>
  </si>
  <si>
    <t>INE036D01028</t>
  </si>
  <si>
    <t>Small Cap</t>
  </si>
  <si>
    <t>Note: The Risk-o-Meter level of the Scheme is revised based on the Notice-cum-Addendum No.2, dated 08/04/2026. However, there is no change in the product labelling of the schemes.
The same has been hosted on the CRMF website on following link: https://www.canararobeco.com/documents/forms-downloads/notice-cum-addendum/  
Canara Robeco Banking and Financial Services Fund is a new scheme (initial allotment date is March 20, 2026). The scheme risk level in the product labelling assigned during the New Fund Offer (NFO) was ‘Very High’ Risk. The above scheme and benchmark risk-o-meter is based on the evaluation of the portfolio data as of March 30, 2026. Investors are requested to note that the funds of the Scheme are in the process of being deployed in line with the asset allocation pattern given in the Scheme Information Document (SID) of the Scheme, and the risk level of the Scheme would change post completion of such deployment.”</t>
  </si>
  <si>
    <t>ICICI Prudential Asset Management Co Ltd</t>
  </si>
  <si>
    <t>INE346A01027</t>
  </si>
  <si>
    <t>Capital Markets</t>
  </si>
  <si>
    <t>SBI Life Insurance Co Ltd</t>
  </si>
  <si>
    <t>INE123W01016</t>
  </si>
  <si>
    <t>One 97 Communications Ltd</t>
  </si>
  <si>
    <t>INE982J01020</t>
  </si>
  <si>
    <t>Financial Technology (Fintech)</t>
  </si>
  <si>
    <t>Multi Commodity Exchange Of India Ltd</t>
  </si>
  <si>
    <t>INE745G01043</t>
  </si>
  <si>
    <t>PB Fintech Ltd</t>
  </si>
  <si>
    <t>INE417T01026</t>
  </si>
  <si>
    <t>Cholamandalam Investment and Finance Co Ltd</t>
  </si>
  <si>
    <t>INE121A01024</t>
  </si>
  <si>
    <t>Ujjivan Small Finance Bank Ltd</t>
  </si>
  <si>
    <t>INE551W01018</t>
  </si>
  <si>
    <t>Nippon Life India Asset Management Ltd</t>
  </si>
  <si>
    <t>INE298J01013</t>
  </si>
  <si>
    <t>BSE Ltd</t>
  </si>
  <si>
    <t>INE118H01025</t>
  </si>
  <si>
    <t>CRISIL Ltd</t>
  </si>
  <si>
    <t>INE007A01025</t>
  </si>
  <si>
    <t>*The above product labelling assigned during the New Fund Offer (NFO) is based on internal assessment of the scheme characteristics or model portfolio and the same may vary post NFO when the actual investments are made.
**The benchmark riskometer is based on the evaluation of the portfolio data as of February 27, 2026</t>
  </si>
  <si>
    <t>Computer Age Management Services Ltd</t>
  </si>
  <si>
    <t>INE596I01020</t>
  </si>
  <si>
    <t>Cholamandalam Financial Holdings Ltd</t>
  </si>
  <si>
    <t>INE149A01033</t>
  </si>
  <si>
    <t>Sub Total</t>
  </si>
  <si>
    <t>Total</t>
  </si>
  <si>
    <t>TREPS</t>
  </si>
  <si>
    <t>Net Receivables / (Payables)</t>
  </si>
  <si>
    <t>Grand Total</t>
  </si>
  <si>
    <t>Residual Maturity</t>
  </si>
  <si>
    <t>0.0055 Years</t>
  </si>
  <si>
    <t>Please refer the below link for the performance of the Schemes managed by Canara Robeco Mutual Fund</t>
  </si>
  <si>
    <t>https://www.canararobeco.com/docs/default-source/default-document-library/Scheme_Performance_March_2026.pdf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</si>
</sst>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4">
    <font>
      <sz val="11"/>
      <color theme="1"/>
      <name val="Calibri"/>
      <family val="2"/>
      <scheme val="minor"/>
    </font>
    <font>
      <sz val="11"/>
      <color theme="1"/>
      <name val="Calibri"/>
      <family val="2"/>
      <scheme val="minor"/>
    </font>
    <font>
      <u/>
      <sz val="11"/>
      <color theme="10"/>
      <name val="Calibri"/>
      <family val="2"/>
      <scheme val="minor"/>
    </font>
    <font>
      <b/>
      <sz val="16"/>
      <color indexed="63"/>
      <name val="Arial"/>
      <family val="2"/>
    </font>
    <font>
      <sz val="9"/>
      <color theme="1"/>
      <name val="Arial"/>
      <family val="2"/>
    </font>
    <font>
      <b/>
      <sz val="12"/>
      <name val="Arial"/>
      <family val="2"/>
    </font>
    <font>
      <b/>
      <sz val="9"/>
      <name val="Arial"/>
      <family val="2"/>
    </font>
    <font>
      <sz val="9"/>
      <name val="Arial"/>
      <family val="2"/>
    </font>
    <font>
      <b/>
      <sz val="9"/>
      <color indexed="72"/>
      <name val="Arial"/>
      <family val="2"/>
    </font>
    <font>
      <b/>
      <sz val="11"/>
      <color theme="1"/>
      <name val="Taz SemiLight"/>
      <family val="2"/>
    </font>
    <font>
      <b/>
      <sz val="9"/>
      <color theme="1"/>
      <name val="Arial"/>
      <family val="2"/>
    </font>
    <font>
      <i/>
      <sz val="10"/>
      <color theme="1"/>
      <name val="Taz SemiLight"/>
      <family val="2"/>
    </font>
    <font>
      <sz val="10"/>
      <color theme="1"/>
      <name val="Taz SemiLight"/>
      <family val="2"/>
    </font>
    <font>
      <b/>
      <sz val="9"/>
      <color rgb="FFFF0000"/>
      <name val="Arial"/>
      <family val="2"/>
    </font>
  </fonts>
  <fills count="6">
    <fill>
      <patternFill patternType="none"/>
    </fill>
    <fill>
      <patternFill patternType="gray125"/>
    </fill>
    <fill>
      <patternFill patternType="solid">
        <fgColor indexed="42"/>
        <bgColor indexed="64"/>
      </patternFill>
    </fill>
    <fill>
      <patternFill patternType="solid">
        <fgColor indexed="65"/>
        <bgColor indexed="64"/>
      </patternFill>
    </fill>
    <fill>
      <patternFill patternType="solid">
        <fgColor rgb="FFFFFF00"/>
        <bgColor indexed="64"/>
      </patternFill>
    </fill>
    <fill>
      <patternFill patternType="solid">
        <fgColor rgb="FFD3D3D3"/>
        <bgColor indexed="64"/>
      </patternFill>
    </fill>
  </fills>
  <borders count="22">
    <border>
      <left/>
      <right/>
      <top/>
      <bottom/>
      <diagonal/>
    </border>
    <border>
      <left style="thin">
        <color indexed="64"/>
      </left>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0"/>
      </right>
      <top style="thin">
        <color indexed="64"/>
      </top>
      <bottom/>
      <diagonal/>
    </border>
    <border>
      <left style="thin">
        <color indexed="0"/>
      </left>
      <right style="thin">
        <color indexed="0"/>
      </right>
      <top style="thin">
        <color indexed="64"/>
      </top>
      <bottom/>
      <diagonal/>
    </border>
    <border>
      <left style="thin">
        <color indexed="64"/>
      </left>
      <right style="thin">
        <color indexed="0"/>
      </right>
      <top/>
      <bottom/>
      <diagonal/>
    </border>
    <border>
      <left style="thin">
        <color indexed="0"/>
      </left>
      <right style="thin">
        <color indexed="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diagonal/>
    </border>
    <border>
      <left style="thin">
        <color indexed="64"/>
      </left>
      <right style="thin">
        <color indexed="0"/>
      </right>
      <top style="thin">
        <color indexed="0"/>
      </top>
      <bottom/>
      <diagonal/>
    </border>
    <border>
      <left style="thin">
        <color indexed="0"/>
      </left>
      <right style="thin">
        <color indexed="0"/>
      </right>
      <top style="thin">
        <color indexed="0"/>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44">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3" borderId="0" xfId="0" applyFont="1" applyFill="1"/>
    <xf numFmtId="0" fontId="5" fillId="3" borderId="0" xfId="0" applyFont="1" applyFill="1" applyAlignment="1">
      <alignment horizontal="left" vertical="top"/>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4" fontId="7" fillId="3" borderId="0" xfId="0" applyNumberFormat="1" applyFont="1" applyFill="1" applyAlignment="1">
      <alignment horizontal="left" vertical="top" wrapText="1"/>
    </xf>
    <xf numFmtId="0" fontId="8" fillId="3" borderId="2" xfId="0" applyFont="1" applyFill="1" applyBorder="1" applyAlignment="1">
      <alignment horizontal="left" vertical="center"/>
    </xf>
    <xf numFmtId="0" fontId="8" fillId="3" borderId="3" xfId="0" applyFont="1" applyFill="1" applyBorder="1" applyAlignment="1">
      <alignment horizontal="center" vertical="center" wrapText="1"/>
    </xf>
    <xf numFmtId="4" fontId="8" fillId="3" borderId="3"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0" fontId="10" fillId="3" borderId="6" xfId="0" applyFont="1" applyFill="1" applyBorder="1"/>
    <xf numFmtId="0" fontId="4" fillId="3" borderId="7" xfId="0" applyFont="1" applyFill="1" applyBorder="1"/>
    <xf numFmtId="4" fontId="4" fillId="3" borderId="7" xfId="0" applyNumberFormat="1" applyFont="1" applyFill="1" applyBorder="1"/>
    <xf numFmtId="43" fontId="4" fillId="3" borderId="5" xfId="1" applyFont="1" applyFill="1" applyBorder="1" applyAlignment="1">
      <alignment horizontal="center"/>
    </xf>
    <xf numFmtId="0" fontId="10" fillId="3" borderId="8" xfId="0" applyFont="1" applyFill="1" applyBorder="1"/>
    <xf numFmtId="0" fontId="4" fillId="3" borderId="9" xfId="0" applyFont="1" applyFill="1" applyBorder="1"/>
    <xf numFmtId="4" fontId="4" fillId="3" borderId="9" xfId="0" applyNumberFormat="1" applyFont="1" applyFill="1" applyBorder="1"/>
    <xf numFmtId="43" fontId="4" fillId="3" borderId="10" xfId="1" applyFont="1" applyFill="1" applyBorder="1" applyAlignment="1">
      <alignment horizontal="center"/>
    </xf>
    <xf numFmtId="0" fontId="4" fillId="3" borderId="8" xfId="0" applyFont="1" applyFill="1" applyBorder="1"/>
    <xf numFmtId="3" fontId="4" fillId="3" borderId="9" xfId="0" applyNumberFormat="1" applyFont="1" applyFill="1" applyBorder="1"/>
    <xf numFmtId="43" fontId="4" fillId="3" borderId="11" xfId="1" applyFont="1" applyFill="1" applyBorder="1" applyAlignment="1">
      <alignment horizontal="center"/>
    </xf>
    <xf numFmtId="0" fontId="11" fillId="4" borderId="0" xfId="0" applyFont="1" applyFill="1" applyAlignment="1">
      <alignment horizontal="left" vertical="center" wrapText="1"/>
    </xf>
    <xf numFmtId="0" fontId="12" fillId="4" borderId="0" xfId="0" applyFont="1" applyFill="1" applyAlignment="1">
      <alignment horizontal="left" vertical="center" wrapText="1"/>
    </xf>
    <xf numFmtId="0" fontId="10" fillId="3" borderId="12" xfId="0" applyFont="1" applyFill="1" applyBorder="1"/>
    <xf numFmtId="0" fontId="10" fillId="3" borderId="13" xfId="0" applyFont="1" applyFill="1" applyBorder="1"/>
    <xf numFmtId="4" fontId="10" fillId="3" borderId="14" xfId="0" applyNumberFormat="1" applyFont="1" applyFill="1" applyBorder="1"/>
    <xf numFmtId="0" fontId="10" fillId="3" borderId="0" xfId="0" applyFont="1" applyFill="1"/>
    <xf numFmtId="0" fontId="10" fillId="3" borderId="15" xfId="0" applyFont="1" applyFill="1" applyBorder="1"/>
    <xf numFmtId="4" fontId="10" fillId="3" borderId="15" xfId="0" applyNumberFormat="1" applyFont="1" applyFill="1" applyBorder="1"/>
    <xf numFmtId="0" fontId="10" fillId="3" borderId="16" xfId="0" applyFont="1" applyFill="1" applyBorder="1"/>
    <xf numFmtId="0" fontId="4" fillId="3" borderId="17" xfId="0" applyFont="1" applyFill="1" applyBorder="1"/>
    <xf numFmtId="4" fontId="4" fillId="3" borderId="17" xfId="0" applyNumberFormat="1" applyFont="1" applyFill="1" applyBorder="1"/>
    <xf numFmtId="0" fontId="10" fillId="3" borderId="18" xfId="0" applyFont="1" applyFill="1" applyBorder="1"/>
    <xf numFmtId="4" fontId="10" fillId="3" borderId="18" xfId="0" applyNumberFormat="1" applyFont="1" applyFill="1" applyBorder="1"/>
    <xf numFmtId="0" fontId="10" fillId="3" borderId="19" xfId="0" applyFont="1" applyFill="1" applyBorder="1"/>
    <xf numFmtId="4" fontId="10" fillId="3" borderId="19" xfId="0" applyNumberFormat="1" applyFont="1" applyFill="1" applyBorder="1"/>
    <xf numFmtId="4" fontId="4" fillId="3" borderId="0" xfId="0" applyNumberFormat="1" applyFont="1" applyFill="1"/>
    <xf numFmtId="0" fontId="13" fillId="5" borderId="20" xfId="0" applyFont="1" applyFill="1" applyBorder="1"/>
    <xf numFmtId="164" fontId="10" fillId="3" borderId="21" xfId="0" applyNumberFormat="1" applyFont="1" applyFill="1" applyBorder="1"/>
    <xf numFmtId="0" fontId="2" fillId="0" borderId="0" xfId="2"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c01.safelinks.protection.outlook.com/?url=https%3A%2F%2Fwww.canararobeco.com%2Fdocs%2Fdefault-source%2Fdefault-document-library%2FScheme_Performance_March_2026.pdf&amp;data=05%7C02%7C%7C9cdc4551ddd04d39a0a708de90753a1d%7C6fa82c0314f040c8895a63736b6313f0%7C0%7C0%7C639107030342686728%7CUnknown%7CTWFpbGZsb3d8eyJFbXB0eU1hcGkiOnRydWUsIlYiOiIwLjAuMDAwMCIsIlAiOiJXaW4zMiIsIkFOIjoiTWFpbCIsIldUIjoyfQ%3D%3D%7C0%7C%7C%7C&amp;sdata=4h975lkPW7g1Zmz7N6JKsTgmFmw1PmZteqfVsPdnhSk%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B52B4-F3B4-487A-B06B-E445A14D35BA}">
  <dimension ref="B1:N42"/>
  <sheetViews>
    <sheetView tabSelected="1" zoomScale="82" zoomScaleNormal="90" workbookViewId="0">
      <selection activeCell="K15" sqref="K15:N28"/>
    </sheetView>
  </sheetViews>
  <sheetFormatPr defaultColWidth="9.1796875" defaultRowHeight="11.5"/>
  <cols>
    <col min="1" max="1" width="9.1796875" style="4"/>
    <col min="2" max="2" width="54.7265625" style="4" bestFit="1" customWidth="1"/>
    <col min="3" max="3" width="13.54296875" style="4" bestFit="1" customWidth="1"/>
    <col min="4" max="4" width="23.26953125" style="4" bestFit="1" customWidth="1"/>
    <col min="5" max="5" width="8.453125" style="4" customWidth="1"/>
    <col min="6" max="6" width="14.54296875" style="40" bestFit="1" customWidth="1"/>
    <col min="7" max="7" width="8.54296875" style="40" customWidth="1"/>
    <col min="8" max="8" width="13.54296875" style="40" customWidth="1"/>
    <col min="9" max="10" width="9.1796875" style="4"/>
    <col min="11" max="11" width="31.54296875" style="4" customWidth="1"/>
    <col min="12" max="12" width="35.54296875" style="4" customWidth="1"/>
    <col min="13" max="13" width="31.453125" style="4" customWidth="1"/>
    <col min="14" max="14" width="35.54296875" style="4" customWidth="1"/>
    <col min="15" max="16384" width="9.1796875" style="4"/>
  </cols>
  <sheetData>
    <row r="1" spans="2:14" ht="21" customHeight="1">
      <c r="B1" s="1" t="s">
        <v>0</v>
      </c>
      <c r="C1" s="2"/>
      <c r="D1" s="2"/>
      <c r="E1" s="2"/>
      <c r="F1" s="2"/>
      <c r="G1" s="2"/>
      <c r="H1" s="3"/>
    </row>
    <row r="3" spans="2:14" ht="16" thickBot="1">
      <c r="B3" s="5" t="s">
        <v>1</v>
      </c>
      <c r="C3" s="6"/>
      <c r="D3" s="7"/>
      <c r="E3" s="7"/>
      <c r="F3" s="8"/>
      <c r="G3" s="8"/>
      <c r="H3" s="8"/>
    </row>
    <row r="4" spans="2:14" ht="34.5">
      <c r="B4" s="9" t="s">
        <v>2</v>
      </c>
      <c r="C4" s="10" t="s">
        <v>3</v>
      </c>
      <c r="D4" s="10" t="s">
        <v>4</v>
      </c>
      <c r="E4" s="10" t="s">
        <v>5</v>
      </c>
      <c r="F4" s="11" t="s">
        <v>6</v>
      </c>
      <c r="G4" s="12" t="s">
        <v>7</v>
      </c>
      <c r="H4" s="12" t="s">
        <v>8</v>
      </c>
      <c r="K4" s="13" t="s">
        <v>9</v>
      </c>
      <c r="L4" s="13" t="s">
        <v>10</v>
      </c>
      <c r="M4" s="13" t="s">
        <v>11</v>
      </c>
      <c r="N4" s="13" t="s">
        <v>12</v>
      </c>
    </row>
    <row r="5" spans="2:14">
      <c r="B5" s="14" t="s">
        <v>13</v>
      </c>
      <c r="C5" s="15"/>
      <c r="D5" s="15"/>
      <c r="E5" s="15"/>
      <c r="F5" s="16"/>
      <c r="G5" s="16"/>
      <c r="H5" s="16"/>
      <c r="K5" s="17" t="e" vm="1">
        <v>#VALUE!</v>
      </c>
      <c r="L5" s="17" t="e" vm="2">
        <v>#VALUE!</v>
      </c>
      <c r="M5" s="17" t="e" vm="3">
        <v>#VALUE!</v>
      </c>
      <c r="N5" s="17" t="e" vm="2">
        <v>#VALUE!</v>
      </c>
    </row>
    <row r="6" spans="2:14">
      <c r="B6" s="18" t="s">
        <v>14</v>
      </c>
      <c r="C6" s="19"/>
      <c r="D6" s="19"/>
      <c r="E6" s="19"/>
      <c r="F6" s="20"/>
      <c r="G6" s="20"/>
      <c r="H6" s="20"/>
      <c r="K6" s="21"/>
      <c r="L6" s="21"/>
      <c r="M6" s="21"/>
      <c r="N6" s="21"/>
    </row>
    <row r="7" spans="2:14">
      <c r="B7" s="22" t="s">
        <v>15</v>
      </c>
      <c r="C7" s="19" t="s">
        <v>16</v>
      </c>
      <c r="D7" s="19" t="s">
        <v>17</v>
      </c>
      <c r="E7" s="23">
        <v>361500</v>
      </c>
      <c r="F7" s="20">
        <v>3540.53</v>
      </c>
      <c r="G7" s="20">
        <v>6.75</v>
      </c>
      <c r="H7" s="20" t="s">
        <v>18</v>
      </c>
      <c r="K7" s="21"/>
      <c r="L7" s="21"/>
      <c r="M7" s="21"/>
      <c r="N7" s="21"/>
    </row>
    <row r="8" spans="2:14">
      <c r="B8" s="22" t="s">
        <v>19</v>
      </c>
      <c r="C8" s="19" t="s">
        <v>20</v>
      </c>
      <c r="D8" s="19" t="s">
        <v>17</v>
      </c>
      <c r="E8" s="23">
        <v>288500</v>
      </c>
      <c r="F8" s="20">
        <v>3479.02</v>
      </c>
      <c r="G8" s="20">
        <v>6.64</v>
      </c>
      <c r="H8" s="20" t="s">
        <v>18</v>
      </c>
      <c r="K8" s="21"/>
      <c r="L8" s="21"/>
      <c r="M8" s="21"/>
      <c r="N8" s="21"/>
    </row>
    <row r="9" spans="2:14">
      <c r="B9" s="22" t="s">
        <v>21</v>
      </c>
      <c r="C9" s="19" t="s">
        <v>22</v>
      </c>
      <c r="D9" s="19" t="s">
        <v>17</v>
      </c>
      <c r="E9" s="23">
        <v>439000</v>
      </c>
      <c r="F9" s="20">
        <v>3211.5</v>
      </c>
      <c r="G9" s="20">
        <v>6.13</v>
      </c>
      <c r="H9" s="20" t="s">
        <v>18</v>
      </c>
      <c r="K9" s="21"/>
      <c r="L9" s="21"/>
      <c r="M9" s="21"/>
      <c r="N9" s="21"/>
    </row>
    <row r="10" spans="2:14">
      <c r="B10" s="22" t="s">
        <v>23</v>
      </c>
      <c r="C10" s="19" t="s">
        <v>24</v>
      </c>
      <c r="D10" s="19" t="s">
        <v>17</v>
      </c>
      <c r="E10" s="23">
        <v>257000</v>
      </c>
      <c r="F10" s="20">
        <v>2984.54</v>
      </c>
      <c r="G10" s="20">
        <v>5.69</v>
      </c>
      <c r="H10" s="20" t="s">
        <v>18</v>
      </c>
      <c r="K10" s="21"/>
      <c r="L10" s="21"/>
      <c r="M10" s="21"/>
      <c r="N10" s="21"/>
    </row>
    <row r="11" spans="2:14">
      <c r="B11" s="22" t="s">
        <v>25</v>
      </c>
      <c r="C11" s="19" t="s">
        <v>26</v>
      </c>
      <c r="D11" s="19" t="s">
        <v>17</v>
      </c>
      <c r="E11" s="23">
        <v>525000</v>
      </c>
      <c r="F11" s="20">
        <v>1855.35</v>
      </c>
      <c r="G11" s="20">
        <v>3.54</v>
      </c>
      <c r="H11" s="20" t="s">
        <v>18</v>
      </c>
      <c r="K11" s="21"/>
      <c r="L11" s="21"/>
      <c r="M11" s="21"/>
      <c r="N11" s="21"/>
    </row>
    <row r="12" spans="2:14">
      <c r="B12" s="22" t="s">
        <v>27</v>
      </c>
      <c r="C12" s="19" t="s">
        <v>28</v>
      </c>
      <c r="D12" s="19" t="s">
        <v>29</v>
      </c>
      <c r="E12" s="23">
        <v>176000</v>
      </c>
      <c r="F12" s="20">
        <v>1410.73</v>
      </c>
      <c r="G12" s="20">
        <v>2.69</v>
      </c>
      <c r="H12" s="20" t="s">
        <v>18</v>
      </c>
      <c r="K12" s="24"/>
      <c r="L12" s="24"/>
      <c r="M12" s="24"/>
      <c r="N12" s="24"/>
    </row>
    <row r="13" spans="2:14">
      <c r="B13" s="22" t="s">
        <v>30</v>
      </c>
      <c r="C13" s="19" t="s">
        <v>31</v>
      </c>
      <c r="D13" s="19" t="s">
        <v>29</v>
      </c>
      <c r="E13" s="23">
        <v>130000</v>
      </c>
      <c r="F13" s="20">
        <v>1133.73</v>
      </c>
      <c r="G13" s="20">
        <v>2.16</v>
      </c>
      <c r="H13" s="20" t="s">
        <v>18</v>
      </c>
      <c r="L13" s="4" t="s">
        <v>32</v>
      </c>
    </row>
    <row r="14" spans="2:14">
      <c r="B14" s="22" t="s">
        <v>33</v>
      </c>
      <c r="C14" s="19" t="s">
        <v>34</v>
      </c>
      <c r="D14" s="19" t="s">
        <v>35</v>
      </c>
      <c r="E14" s="23">
        <v>70000</v>
      </c>
      <c r="F14" s="20">
        <v>1043.49</v>
      </c>
      <c r="G14" s="20">
        <v>1.99</v>
      </c>
      <c r="H14" s="20" t="s">
        <v>36</v>
      </c>
    </row>
    <row r="15" spans="2:14" ht="12" customHeight="1">
      <c r="B15" s="22" t="s">
        <v>37</v>
      </c>
      <c r="C15" s="19" t="s">
        <v>38</v>
      </c>
      <c r="D15" s="19" t="s">
        <v>17</v>
      </c>
      <c r="E15" s="23">
        <v>313681</v>
      </c>
      <c r="F15" s="20">
        <v>907.79</v>
      </c>
      <c r="G15" s="20">
        <v>1.73</v>
      </c>
      <c r="H15" s="20" t="s">
        <v>39</v>
      </c>
      <c r="K15" s="25" t="s">
        <v>40</v>
      </c>
      <c r="L15" s="25"/>
      <c r="M15" s="25"/>
      <c r="N15" s="25"/>
    </row>
    <row r="16" spans="2:14" ht="12" customHeight="1">
      <c r="B16" s="22" t="s">
        <v>41</v>
      </c>
      <c r="C16" s="19" t="s">
        <v>42</v>
      </c>
      <c r="D16" s="19" t="s">
        <v>43</v>
      </c>
      <c r="E16" s="23">
        <v>32000</v>
      </c>
      <c r="F16" s="20">
        <v>896.48</v>
      </c>
      <c r="G16" s="20">
        <v>1.71</v>
      </c>
      <c r="H16" s="20" t="s">
        <v>18</v>
      </c>
      <c r="K16" s="25"/>
      <c r="L16" s="25"/>
      <c r="M16" s="25"/>
      <c r="N16" s="25"/>
    </row>
    <row r="17" spans="2:14" ht="12" customHeight="1">
      <c r="B17" s="22" t="s">
        <v>44</v>
      </c>
      <c r="C17" s="19" t="s">
        <v>45</v>
      </c>
      <c r="D17" s="19" t="s">
        <v>35</v>
      </c>
      <c r="E17" s="23">
        <v>47500</v>
      </c>
      <c r="F17" s="20">
        <v>844.22</v>
      </c>
      <c r="G17" s="20">
        <v>1.61</v>
      </c>
      <c r="H17" s="20" t="s">
        <v>18</v>
      </c>
      <c r="K17" s="25"/>
      <c r="L17" s="25"/>
      <c r="M17" s="25"/>
      <c r="N17" s="25"/>
    </row>
    <row r="18" spans="2:14" ht="12" customHeight="1">
      <c r="B18" s="22" t="s">
        <v>46</v>
      </c>
      <c r="C18" s="19" t="s">
        <v>47</v>
      </c>
      <c r="D18" s="19" t="s">
        <v>48</v>
      </c>
      <c r="E18" s="23">
        <v>86500</v>
      </c>
      <c r="F18" s="20">
        <v>829.54</v>
      </c>
      <c r="G18" s="20">
        <v>1.58</v>
      </c>
      <c r="H18" s="20" t="s">
        <v>36</v>
      </c>
      <c r="K18" s="25"/>
      <c r="L18" s="25"/>
      <c r="M18" s="25"/>
      <c r="N18" s="25"/>
    </row>
    <row r="19" spans="2:14" ht="12" customHeight="1">
      <c r="B19" s="22" t="s">
        <v>49</v>
      </c>
      <c r="C19" s="19" t="s">
        <v>50</v>
      </c>
      <c r="D19" s="19" t="s">
        <v>43</v>
      </c>
      <c r="E19" s="23">
        <v>34000</v>
      </c>
      <c r="F19" s="20">
        <v>812.4</v>
      </c>
      <c r="G19" s="20">
        <v>1.55</v>
      </c>
      <c r="H19" s="20" t="s">
        <v>36</v>
      </c>
      <c r="K19" s="25"/>
      <c r="L19" s="25"/>
      <c r="M19" s="25"/>
      <c r="N19" s="25"/>
    </row>
    <row r="20" spans="2:14" ht="12" customHeight="1">
      <c r="B20" s="22" t="s">
        <v>51</v>
      </c>
      <c r="C20" s="19" t="s">
        <v>52</v>
      </c>
      <c r="D20" s="19" t="s">
        <v>48</v>
      </c>
      <c r="E20" s="23">
        <v>53997</v>
      </c>
      <c r="F20" s="20">
        <v>770.97</v>
      </c>
      <c r="G20" s="20">
        <v>1.47</v>
      </c>
      <c r="H20" s="20" t="s">
        <v>36</v>
      </c>
      <c r="K20" s="25"/>
      <c r="L20" s="25"/>
      <c r="M20" s="25"/>
      <c r="N20" s="25"/>
    </row>
    <row r="21" spans="2:14" ht="12" customHeight="1">
      <c r="B21" s="22" t="s">
        <v>53</v>
      </c>
      <c r="C21" s="19" t="s">
        <v>54</v>
      </c>
      <c r="D21" s="19" t="s">
        <v>29</v>
      </c>
      <c r="E21" s="23">
        <v>54000</v>
      </c>
      <c r="F21" s="20">
        <v>731.54</v>
      </c>
      <c r="G21" s="20">
        <v>1.4</v>
      </c>
      <c r="H21" s="20" t="s">
        <v>18</v>
      </c>
      <c r="K21" s="25"/>
      <c r="L21" s="25"/>
      <c r="M21" s="25"/>
      <c r="N21" s="25"/>
    </row>
    <row r="22" spans="2:14" ht="12" customHeight="1">
      <c r="B22" s="22" t="s">
        <v>55</v>
      </c>
      <c r="C22" s="19" t="s">
        <v>56</v>
      </c>
      <c r="D22" s="19" t="s">
        <v>17</v>
      </c>
      <c r="E22" s="23">
        <v>1248500</v>
      </c>
      <c r="F22" s="20">
        <v>630.62</v>
      </c>
      <c r="G22" s="20">
        <v>1.2</v>
      </c>
      <c r="H22" s="20" t="s">
        <v>39</v>
      </c>
      <c r="K22" s="25"/>
      <c r="L22" s="25"/>
      <c r="M22" s="25"/>
      <c r="N22" s="25"/>
    </row>
    <row r="23" spans="2:14" ht="12" customHeight="1">
      <c r="B23" s="22" t="s">
        <v>57</v>
      </c>
      <c r="C23" s="19" t="s">
        <v>58</v>
      </c>
      <c r="D23" s="19" t="s">
        <v>43</v>
      </c>
      <c r="E23" s="23">
        <v>62000</v>
      </c>
      <c r="F23" s="20">
        <v>497.02</v>
      </c>
      <c r="G23" s="20">
        <v>0.95</v>
      </c>
      <c r="H23" s="20" t="s">
        <v>36</v>
      </c>
      <c r="K23" s="25"/>
      <c r="L23" s="25"/>
      <c r="M23" s="25"/>
      <c r="N23" s="25"/>
    </row>
    <row r="24" spans="2:14" ht="12" customHeight="1">
      <c r="B24" s="22" t="s">
        <v>59</v>
      </c>
      <c r="C24" s="19" t="s">
        <v>60</v>
      </c>
      <c r="D24" s="19" t="s">
        <v>43</v>
      </c>
      <c r="E24" s="23">
        <v>9500</v>
      </c>
      <c r="F24" s="20">
        <v>254.93</v>
      </c>
      <c r="G24" s="20">
        <v>0.49</v>
      </c>
      <c r="H24" s="20" t="s">
        <v>36</v>
      </c>
    </row>
    <row r="25" spans="2:14" ht="12" customHeight="1">
      <c r="B25" s="22" t="s">
        <v>61</v>
      </c>
      <c r="C25" s="19" t="s">
        <v>62</v>
      </c>
      <c r="D25" s="19" t="s">
        <v>29</v>
      </c>
      <c r="E25" s="23">
        <v>3500</v>
      </c>
      <c r="F25" s="20">
        <v>131.63999999999999</v>
      </c>
      <c r="G25" s="20">
        <v>0.25</v>
      </c>
      <c r="H25" s="20" t="s">
        <v>36</v>
      </c>
      <c r="K25" s="26" t="s">
        <v>63</v>
      </c>
      <c r="L25" s="26"/>
      <c r="M25" s="26"/>
      <c r="N25" s="26"/>
    </row>
    <row r="26" spans="2:14" ht="12" customHeight="1">
      <c r="B26" s="22" t="s">
        <v>64</v>
      </c>
      <c r="C26" s="19" t="s">
        <v>65</v>
      </c>
      <c r="D26" s="19" t="s">
        <v>43</v>
      </c>
      <c r="E26" s="23">
        <v>21000</v>
      </c>
      <c r="F26" s="20">
        <v>131.41999999999999</v>
      </c>
      <c r="G26" s="20">
        <v>0.25</v>
      </c>
      <c r="H26" s="20" t="s">
        <v>39</v>
      </c>
      <c r="K26" s="26"/>
      <c r="L26" s="26"/>
      <c r="M26" s="26"/>
      <c r="N26" s="26"/>
    </row>
    <row r="27" spans="2:14" ht="12" customHeight="1">
      <c r="B27" s="22" t="s">
        <v>66</v>
      </c>
      <c r="C27" s="19" t="s">
        <v>67</v>
      </c>
      <c r="D27" s="19" t="s">
        <v>29</v>
      </c>
      <c r="E27" s="23">
        <v>9</v>
      </c>
      <c r="F27" s="20">
        <v>0.12</v>
      </c>
      <c r="G27" s="20">
        <v>0</v>
      </c>
      <c r="H27" s="20" t="s">
        <v>36</v>
      </c>
      <c r="K27" s="26"/>
      <c r="L27" s="26"/>
      <c r="M27" s="26"/>
      <c r="N27" s="26"/>
    </row>
    <row r="28" spans="2:14" ht="12" customHeight="1">
      <c r="B28" s="27" t="s">
        <v>68</v>
      </c>
      <c r="C28" s="28"/>
      <c r="D28" s="28"/>
      <c r="E28" s="28"/>
      <c r="F28" s="29">
        <f>SUM(F7:F27)</f>
        <v>26097.580000000005</v>
      </c>
      <c r="G28" s="29">
        <f>SUM(G7:G27)</f>
        <v>49.78</v>
      </c>
      <c r="H28" s="29"/>
      <c r="I28" s="30"/>
      <c r="K28" s="26"/>
      <c r="L28" s="26"/>
      <c r="M28" s="26"/>
      <c r="N28" s="26"/>
    </row>
    <row r="29" spans="2:14" ht="12" customHeight="1">
      <c r="B29" s="31" t="s">
        <v>69</v>
      </c>
      <c r="C29" s="31"/>
      <c r="D29" s="31"/>
      <c r="E29" s="31"/>
      <c r="F29" s="32">
        <f>F28</f>
        <v>26097.580000000005</v>
      </c>
      <c r="G29" s="32">
        <f>G28</f>
        <v>49.78</v>
      </c>
      <c r="H29" s="32"/>
      <c r="I29" s="30"/>
    </row>
    <row r="30" spans="2:14" ht="12" customHeight="1">
      <c r="B30" s="33" t="s">
        <v>70</v>
      </c>
      <c r="C30" s="34"/>
      <c r="D30" s="34"/>
      <c r="E30" s="34"/>
      <c r="F30" s="35"/>
      <c r="G30" s="35"/>
      <c r="H30" s="35"/>
    </row>
    <row r="31" spans="2:14" ht="12" customHeight="1">
      <c r="B31" s="22" t="s">
        <v>70</v>
      </c>
      <c r="C31" s="19"/>
      <c r="D31" s="19"/>
      <c r="E31" s="19"/>
      <c r="F31" s="20">
        <v>27141.81</v>
      </c>
      <c r="G31" s="20">
        <v>51.76</v>
      </c>
      <c r="H31" s="20"/>
    </row>
    <row r="32" spans="2:14">
      <c r="B32" s="27" t="s">
        <v>68</v>
      </c>
      <c r="C32" s="28"/>
      <c r="D32" s="28"/>
      <c r="E32" s="28"/>
      <c r="F32" s="29">
        <f>SUM(F30:F31)</f>
        <v>27141.81</v>
      </c>
      <c r="G32" s="29">
        <f>SUM(G30:G31)</f>
        <v>51.76</v>
      </c>
      <c r="H32" s="29"/>
      <c r="I32" s="30"/>
    </row>
    <row r="33" spans="2:9">
      <c r="B33" s="36" t="s">
        <v>69</v>
      </c>
      <c r="C33" s="36"/>
      <c r="D33" s="36"/>
      <c r="E33" s="36"/>
      <c r="F33" s="37">
        <f>F32</f>
        <v>27141.81</v>
      </c>
      <c r="G33" s="37">
        <f>G32</f>
        <v>51.76</v>
      </c>
      <c r="H33" s="37"/>
      <c r="I33" s="30"/>
    </row>
    <row r="34" spans="2:9">
      <c r="B34" s="38" t="s">
        <v>71</v>
      </c>
      <c r="C34" s="38"/>
      <c r="D34" s="38"/>
      <c r="E34" s="38"/>
      <c r="F34" s="39">
        <f>F35-(+F29+F33)</f>
        <v>-824.77000000000407</v>
      </c>
      <c r="G34" s="39">
        <f>G35-(+G29+G33)</f>
        <v>-1.539999999999992</v>
      </c>
      <c r="H34" s="39"/>
      <c r="I34" s="30"/>
    </row>
    <row r="35" spans="2:9">
      <c r="B35" s="38" t="s">
        <v>72</v>
      </c>
      <c r="C35" s="38"/>
      <c r="D35" s="38"/>
      <c r="E35" s="38"/>
      <c r="F35" s="39">
        <v>52414.62</v>
      </c>
      <c r="G35" s="39">
        <v>100</v>
      </c>
      <c r="H35" s="39"/>
      <c r="I35" s="30"/>
    </row>
    <row r="37" spans="2:9" ht="12" thickBot="1">
      <c r="B37" s="30"/>
    </row>
    <row r="38" spans="2:9" ht="12.5" thickTop="1" thickBot="1">
      <c r="B38" s="41" t="s">
        <v>73</v>
      </c>
      <c r="C38" s="42" t="s">
        <v>74</v>
      </c>
    </row>
    <row r="39" spans="2:9" ht="12" thickTop="1"/>
    <row r="40" spans="2:9">
      <c r="B40" s="30" t="s">
        <v>75</v>
      </c>
    </row>
    <row r="42" spans="2:9" ht="14.5">
      <c r="B42" s="43" t="s">
        <v>76</v>
      </c>
    </row>
  </sheetData>
  <mergeCells count="7">
    <mergeCell ref="K25:N28"/>
    <mergeCell ref="B1:G1"/>
    <mergeCell ref="K5:K12"/>
    <mergeCell ref="L5:L12"/>
    <mergeCell ref="M5:M12"/>
    <mergeCell ref="N5:N12"/>
    <mergeCell ref="K15:N23"/>
  </mergeCells>
  <hyperlinks>
    <hyperlink ref="B42" r:id="rId1" display="https://apc01.safelinks.protection.outlook.com/?url=https%3A%2F%2Fwww.canararobeco.com%2Fdocs%2Fdefault-source%2Fdefault-document-library%2FScheme_Performance_March_2026.pdf&amp;data=05%7C02%7C%7C9cdc4551ddd04d39a0a708de90753a1d%7C6fa82c0314f040c8895a63736b6313f0%7C0%7C0%7C639107030342686728%7CUnknown%7CTWFpbGZsb3d8eyJFbXB0eU1hcGkiOnRydWUsIlYiOiIwLjAuMDAwMCIsIlAiOiJXaW4zMiIsIkFOIjoiTWFpbCIsIldUIjoyfQ%3D%3D%7C0%7C%7C%7C&amp;sdata=4h975lkPW7g1Zmz7N6JKsTgmFmw1PmZteqfVsPdnhSk%3D&amp;reserved=0" xr:uid="{7E21F6BA-5932-47D9-9733-90D10D4DEB46}"/>
  </hyperlinks>
  <pageMargins left="0.7" right="0.7" top="0.75" bottom="0.75" header="0.3" footer="0.3"/>
  <pageSetup paperSize="9" orientation="portrait" r:id="rId2"/>
  <headerFooter>
    <oddHeader>&amp;L&amp;"Calibri"&amp;11&amp;KAA3399 Public</oddHeader>
    <oddFooter>&amp;L&amp;"Calibri"&amp;11&amp;KAA3399 Public</oddFooter>
    <evenFooter>&amp;LPUBLIC</evenFooter>
    <firstFooter>&amp;LPUBLIC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2026-04-09 14:28:26</KDate>
  <Classification>PUBLIC</Classification>
  <Subclassification/>
  <HostName>MUMCMP01346</HostName>
  <Domain_User>CANARAROBECOMF/396</Domain_User>
  <IPAdd>192.9.198.198</IPAdd>
  <FilePath>Book69</FilePath>
  <KID>1098191A8D7D639113417063145677</KID>
  <UniqueName/>
  <Suggested/>
  <Justification/>
  <KlassifyGUID/>
</Klassify>
</file>

<file path=customXml/itemProps1.xml><?xml version="1.0" encoding="utf-8"?>
<ds:datastoreItem xmlns:ds="http://schemas.openxmlformats.org/officeDocument/2006/customXml" ds:itemID="{2F72EB59-243F-4225-9E0C-B5CEB0D771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Kartiki Birje</dc:creator>
  <cp:keywords>Public</cp:keywords>
  <cp:lastModifiedBy>Kartiki Birje</cp:lastModifiedBy>
  <dcterms:created xsi:type="dcterms:W3CDTF">2026-04-09T08:58:19Z</dcterms:created>
  <dcterms:modified xsi:type="dcterms:W3CDTF">2026-04-09T08:58:26Z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KID">
    <vt:lpwstr>1098191A8D7D639113417063145677</vt:lpwstr>
  </property>
</Properties>
</file>