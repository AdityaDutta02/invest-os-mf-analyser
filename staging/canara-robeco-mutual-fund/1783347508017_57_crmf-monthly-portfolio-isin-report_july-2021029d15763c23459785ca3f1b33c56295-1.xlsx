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0490" windowHeight="7050"/>
  </bookViews>
  <sheets>
    <sheet name="Riskometer" sheetId="23" r:id="rId1"/>
    <sheet name="CRI" sheetId="1" r:id="rId2"/>
    <sheet name="CREDF" sheetId="2" r:id="rId3"/>
    <sheet name="CRETSF" sheetId="3" r:id="rId4"/>
    <sheet name="CREE" sheetId="4" r:id="rId5"/>
    <sheet name="CRCTF" sheetId="5" r:id="rId6"/>
    <sheet name="CRBCEF" sheetId="6" r:id="rId7"/>
    <sheet name="CRSCF" sheetId="7" r:id="rId8"/>
    <sheet name="CRFEF" sheetId="8" r:id="rId9"/>
    <sheet name="CREHF" sheetId="9" r:id="rId10"/>
    <sheet name="CRDBF" sheetId="10" r:id="rId11"/>
    <sheet name="CRGILT" sheetId="11" r:id="rId12"/>
    <sheet name="CRINC" sheetId="12" r:id="rId13"/>
    <sheet name="CRSF" sheetId="13" r:id="rId14"/>
    <sheet name="CRCHF" sheetId="14" r:id="rId15"/>
    <sheet name="CRG1988" sheetId="15" r:id="rId16"/>
    <sheet name="CRL" sheetId="16" r:id="rId17"/>
    <sheet name="CRUSTF" sheetId="17" r:id="rId18"/>
    <sheet name="CROF" sheetId="18" r:id="rId19"/>
    <sheet name="CRSDF" sheetId="19" r:id="rId20"/>
    <sheet name="CRCBF" sheetId="20" r:id="rId21"/>
    <sheet name="CRFMP8" sheetId="21" r:id="rId22"/>
    <sheet name="CRCPOF10" sheetId="22" r:id="rId23"/>
  </sheets>
  <calcPr calcId="162913"/>
</workbook>
</file>

<file path=xl/calcChain.xml><?xml version="1.0" encoding="utf-8"?>
<calcChain xmlns="http://schemas.openxmlformats.org/spreadsheetml/2006/main">
  <c r="G64" i="22" l="1"/>
  <c r="F64" i="22"/>
  <c r="G63" i="22"/>
  <c r="F63" i="22"/>
  <c r="G62" i="22"/>
  <c r="F62" i="22"/>
  <c r="G59" i="22"/>
  <c r="F59" i="22"/>
  <c r="G53" i="22"/>
  <c r="F53" i="22"/>
  <c r="G52" i="22"/>
  <c r="F52" i="22"/>
  <c r="G42" i="22"/>
  <c r="F42" i="22"/>
  <c r="G41" i="22"/>
  <c r="F41" i="22"/>
  <c r="G27" i="21"/>
  <c r="F27" i="21"/>
  <c r="G26" i="21"/>
  <c r="F26" i="21"/>
  <c r="G25" i="21"/>
  <c r="F25" i="21"/>
  <c r="G22" i="21"/>
  <c r="F22" i="21"/>
  <c r="G18" i="21"/>
  <c r="F18" i="21"/>
  <c r="G17" i="21"/>
  <c r="F17" i="21"/>
  <c r="G12" i="21"/>
  <c r="F12" i="21"/>
  <c r="G11" i="21"/>
  <c r="F11" i="21"/>
  <c r="G54" i="20"/>
  <c r="F54" i="20"/>
  <c r="G53" i="20"/>
  <c r="F53" i="20"/>
  <c r="G52" i="20"/>
  <c r="F52" i="20"/>
  <c r="G49" i="20"/>
  <c r="F49" i="20"/>
  <c r="G39" i="20"/>
  <c r="F39" i="20"/>
  <c r="G38" i="20"/>
  <c r="F38" i="20"/>
  <c r="G34" i="20"/>
  <c r="F34" i="20"/>
  <c r="G33" i="20"/>
  <c r="F33" i="20"/>
  <c r="G73" i="19"/>
  <c r="F73" i="19"/>
  <c r="G72" i="19"/>
  <c r="F72" i="19"/>
  <c r="G71" i="19"/>
  <c r="F71" i="19"/>
  <c r="G68" i="19"/>
  <c r="F68" i="19"/>
  <c r="G52" i="19"/>
  <c r="F52" i="19"/>
  <c r="G51" i="19"/>
  <c r="F51" i="19"/>
  <c r="G44" i="19"/>
  <c r="F44" i="19"/>
  <c r="G43" i="19"/>
  <c r="F43" i="19"/>
  <c r="G7" i="18"/>
  <c r="G8" i="18"/>
  <c r="G9" i="18" s="1"/>
  <c r="F7" i="18"/>
  <c r="F8" i="18" s="1"/>
  <c r="F9" i="18" s="1"/>
  <c r="F46" i="17"/>
  <c r="G45" i="17"/>
  <c r="G46" i="17"/>
  <c r="F45" i="17"/>
  <c r="G44" i="17"/>
  <c r="F44" i="17"/>
  <c r="G41" i="17"/>
  <c r="F41" i="17"/>
  <c r="G37" i="17"/>
  <c r="F37" i="17"/>
  <c r="G36" i="17"/>
  <c r="F36" i="17"/>
  <c r="G27" i="17"/>
  <c r="F27" i="17"/>
  <c r="G23" i="17"/>
  <c r="F23" i="17"/>
  <c r="G17" i="17"/>
  <c r="F17" i="17"/>
  <c r="G16" i="17"/>
  <c r="F16" i="17"/>
  <c r="G37" i="16"/>
  <c r="F37" i="16"/>
  <c r="G36" i="16"/>
  <c r="F36" i="16"/>
  <c r="G35" i="16"/>
  <c r="F35" i="16"/>
  <c r="G32" i="16"/>
  <c r="F32" i="16"/>
  <c r="G31" i="16"/>
  <c r="F31" i="16"/>
  <c r="G22" i="16"/>
  <c r="F22" i="16"/>
  <c r="G13" i="16"/>
  <c r="F13" i="16"/>
  <c r="G9" i="16"/>
  <c r="F9" i="16"/>
  <c r="G8" i="16"/>
  <c r="F8" i="16"/>
  <c r="G13" i="15"/>
  <c r="F13" i="15"/>
  <c r="G12" i="15"/>
  <c r="F12" i="15"/>
  <c r="G11" i="15"/>
  <c r="F11" i="15"/>
  <c r="G8" i="15"/>
  <c r="F8" i="15"/>
  <c r="G88" i="14"/>
  <c r="F88" i="14"/>
  <c r="G87" i="14"/>
  <c r="F87" i="14"/>
  <c r="G86" i="14"/>
  <c r="F86" i="14"/>
  <c r="G83" i="14"/>
  <c r="F83" i="14"/>
  <c r="G64" i="14"/>
  <c r="F64" i="14"/>
  <c r="G63" i="14"/>
  <c r="F63" i="14"/>
  <c r="G59" i="14"/>
  <c r="F59" i="14"/>
  <c r="G58" i="14"/>
  <c r="F58" i="14"/>
  <c r="G43" i="14"/>
  <c r="F43" i="14"/>
  <c r="G42" i="14"/>
  <c r="F42" i="14"/>
  <c r="G64" i="13"/>
  <c r="F64" i="13"/>
  <c r="G63" i="13"/>
  <c r="F63" i="13"/>
  <c r="G62" i="13"/>
  <c r="F62" i="13"/>
  <c r="G59" i="13"/>
  <c r="F59" i="13"/>
  <c r="G50" i="13"/>
  <c r="F50" i="13"/>
  <c r="G49" i="13"/>
  <c r="F49" i="13"/>
  <c r="G42" i="13"/>
  <c r="F42" i="13"/>
  <c r="G38" i="13"/>
  <c r="F38" i="13"/>
  <c r="G31" i="13"/>
  <c r="F31" i="13"/>
  <c r="G30" i="13"/>
  <c r="F30" i="13"/>
  <c r="G35" i="12"/>
  <c r="F35" i="12"/>
  <c r="G34" i="12"/>
  <c r="F34" i="12"/>
  <c r="G33" i="12"/>
  <c r="F33" i="12"/>
  <c r="G30" i="12"/>
  <c r="F30" i="12"/>
  <c r="G14" i="12"/>
  <c r="F14" i="12"/>
  <c r="G13" i="12"/>
  <c r="F13" i="12"/>
  <c r="G20" i="11"/>
  <c r="F20" i="11"/>
  <c r="G19" i="11"/>
  <c r="F19" i="11"/>
  <c r="G18" i="11"/>
  <c r="F18" i="11"/>
  <c r="G15" i="11"/>
  <c r="F15" i="11"/>
  <c r="G29" i="10"/>
  <c r="F29" i="10"/>
  <c r="G28" i="10"/>
  <c r="F28" i="10"/>
  <c r="G27" i="10"/>
  <c r="F27" i="10"/>
  <c r="G24" i="10"/>
  <c r="F24" i="10"/>
  <c r="G15" i="10"/>
  <c r="F15" i="10"/>
  <c r="G14" i="10"/>
  <c r="F14" i="10"/>
  <c r="G10" i="10"/>
  <c r="F10" i="10"/>
  <c r="G9" i="10"/>
  <c r="F9" i="10"/>
  <c r="G125" i="9"/>
  <c r="F125" i="9"/>
  <c r="G124" i="9"/>
  <c r="F124" i="9"/>
  <c r="G123" i="9"/>
  <c r="F123" i="9"/>
  <c r="G120" i="9"/>
  <c r="F120" i="9"/>
  <c r="G99" i="9"/>
  <c r="F99" i="9"/>
  <c r="G98" i="9"/>
  <c r="F98" i="9"/>
  <c r="G65" i="9"/>
  <c r="F65" i="9"/>
  <c r="G64" i="9"/>
  <c r="F64" i="9"/>
  <c r="G40" i="8"/>
  <c r="G41" i="8" s="1"/>
  <c r="F40" i="8"/>
  <c r="F41" i="8" s="1"/>
  <c r="G36" i="8"/>
  <c r="G37" i="8" s="1"/>
  <c r="G42" i="8" s="1"/>
  <c r="F36" i="8"/>
  <c r="F37" i="8" s="1"/>
  <c r="F42" i="8" s="1"/>
  <c r="G65" i="7"/>
  <c r="G66" i="7" s="1"/>
  <c r="F65" i="7"/>
  <c r="F66" i="7" s="1"/>
  <c r="G61" i="7"/>
  <c r="G62" i="7" s="1"/>
  <c r="G67" i="7" s="1"/>
  <c r="F61" i="7"/>
  <c r="F62" i="7" s="1"/>
  <c r="F67" i="7" s="1"/>
  <c r="G66" i="6"/>
  <c r="F66" i="6"/>
  <c r="G65" i="6"/>
  <c r="F65" i="6"/>
  <c r="G64" i="6"/>
  <c r="F64" i="6"/>
  <c r="G61" i="6"/>
  <c r="F61" i="6"/>
  <c r="G60" i="6"/>
  <c r="F60" i="6"/>
  <c r="G56" i="6"/>
  <c r="F56" i="6"/>
  <c r="G55" i="6"/>
  <c r="F55" i="6"/>
  <c r="G56" i="5"/>
  <c r="G57" i="5" s="1"/>
  <c r="F56" i="5"/>
  <c r="F57" i="5" s="1"/>
  <c r="G52" i="5"/>
  <c r="G53" i="5" s="1"/>
  <c r="G58" i="5" s="1"/>
  <c r="F52" i="5"/>
  <c r="F53" i="5" s="1"/>
  <c r="G78" i="4"/>
  <c r="F78" i="4"/>
  <c r="G77" i="4"/>
  <c r="F77" i="4"/>
  <c r="G76" i="4"/>
  <c r="F76" i="4"/>
  <c r="G73" i="4"/>
  <c r="F73" i="4"/>
  <c r="G72" i="4"/>
  <c r="F72" i="4"/>
  <c r="G68" i="4"/>
  <c r="F68" i="4"/>
  <c r="G67" i="4"/>
  <c r="F67" i="4"/>
  <c r="G67" i="3"/>
  <c r="G68" i="3" s="1"/>
  <c r="F67" i="3"/>
  <c r="F68" i="3" s="1"/>
  <c r="G63" i="3"/>
  <c r="G64" i="3" s="1"/>
  <c r="G69" i="3" s="1"/>
  <c r="F63" i="3"/>
  <c r="F64" i="3" s="1"/>
  <c r="G78" i="2"/>
  <c r="F78" i="2"/>
  <c r="G77" i="2"/>
  <c r="F77" i="2"/>
  <c r="G76" i="2"/>
  <c r="F76" i="2"/>
  <c r="G73" i="2"/>
  <c r="F73" i="2"/>
  <c r="G72" i="2"/>
  <c r="F72" i="2"/>
  <c r="G68" i="2"/>
  <c r="F68" i="2"/>
  <c r="G67" i="2"/>
  <c r="F67" i="2"/>
  <c r="G43" i="1"/>
  <c r="F43" i="1"/>
  <c r="G42" i="1"/>
  <c r="F42" i="1"/>
  <c r="G39" i="1"/>
  <c r="G44" i="1" s="1"/>
  <c r="F39" i="1"/>
  <c r="F44" i="1" s="1"/>
  <c r="G38" i="1"/>
  <c r="F38" i="1"/>
  <c r="F58" i="5" l="1"/>
  <c r="F69" i="3"/>
</calcChain>
</file>

<file path=xl/sharedStrings.xml><?xml version="1.0" encoding="utf-8"?>
<sst xmlns="http://schemas.openxmlformats.org/spreadsheetml/2006/main" count="3018" uniqueCount="787">
  <si>
    <t>Name of the Instrument</t>
  </si>
  <si>
    <t>ISIN</t>
  </si>
  <si>
    <t>Quantity</t>
  </si>
  <si>
    <t>Market/Fair Value
 (Rs. in Lacs)</t>
  </si>
  <si>
    <t>% to Net
 Assets</t>
  </si>
  <si>
    <t>Industry / Rating</t>
  </si>
  <si>
    <t>Yield %</t>
  </si>
  <si>
    <t>Monthly Portfolio Statement as on July 31, 2021</t>
  </si>
  <si>
    <t>CANARA ROBECO INFRASTRUCTURE</t>
  </si>
  <si>
    <t>CANARA ROBECO FLEXICAP FUND</t>
  </si>
  <si>
    <t>CANARA ROBECO EQUITY TAX SAVER FUND</t>
  </si>
  <si>
    <t>CANARA ROBECO EMERGING EQUITIES</t>
  </si>
  <si>
    <t>CANARA ROBECO CONSUMER TRENDS FUND</t>
  </si>
  <si>
    <t>CANARA ROBECO BLUE CHIP EQUITY FUND</t>
  </si>
  <si>
    <t>CANARA ROBECO SMALL CAP FUND</t>
  </si>
  <si>
    <t>CANARA ROBECO FOCUSED EQUITY FUND</t>
  </si>
  <si>
    <t>CANARA ROBECO EQUITY HYBRID FUND</t>
  </si>
  <si>
    <t>CANARA ROBECO DYNAMIC BOND FUND</t>
  </si>
  <si>
    <t>CANARA ROBECO GILT FUND</t>
  </si>
  <si>
    <t>CANARA ROBECO INCOME FUND</t>
  </si>
  <si>
    <t>CANARA ROBECO SAVINGS FUND</t>
  </si>
  <si>
    <t>CANARA ROBECO CONSERVATIVE HYBRID FUND</t>
  </si>
  <si>
    <t>CANARA ROBECO GILT 1988</t>
  </si>
  <si>
    <t>CANARA ROBECO LIQUID FUND</t>
  </si>
  <si>
    <t>CANARA ROBECO ULTRA SHORT TERM FUND</t>
  </si>
  <si>
    <t>CANARA ROBECO OVERNIGHT FUND</t>
  </si>
  <si>
    <t>CANARA ROBECO SHORT DURATION FUND</t>
  </si>
  <si>
    <t>CANARA ROBECO CORPORATE BOND FUND</t>
  </si>
  <si>
    <t>CANARA ROBECO FIXED MATURITY PLAN SERIES 8</t>
  </si>
  <si>
    <t>CANARA  ROBECO  CAPITAL  PROTECTION  ORIENTED FUND– SERIES 10</t>
  </si>
  <si>
    <t>Equity &amp; Equity related</t>
  </si>
  <si>
    <t>(a) Listed / awaiting listing on Stock Exchanges</t>
  </si>
  <si>
    <t>Larsen &amp; Toubro Ltd</t>
  </si>
  <si>
    <t>INE018A01030</t>
  </si>
  <si>
    <t>Construction Project</t>
  </si>
  <si>
    <t>ICICI Bank Ltd</t>
  </si>
  <si>
    <t>INE090A01021</t>
  </si>
  <si>
    <t>Banks</t>
  </si>
  <si>
    <t>KNR Constructions Ltd</t>
  </si>
  <si>
    <t>INE634I01029</t>
  </si>
  <si>
    <t>Construction</t>
  </si>
  <si>
    <t>Bharat Electronics Ltd</t>
  </si>
  <si>
    <t>INE263A01024</t>
  </si>
  <si>
    <t>Aerospace &amp; Defense</t>
  </si>
  <si>
    <t>Siemens Ltd</t>
  </si>
  <si>
    <t>INE003A01024</t>
  </si>
  <si>
    <t>Industrial Capital Goods</t>
  </si>
  <si>
    <t>PNC Infratech Ltd</t>
  </si>
  <si>
    <t>INE195J01029</t>
  </si>
  <si>
    <t>TCI Express Ltd</t>
  </si>
  <si>
    <t>INE586V01016</t>
  </si>
  <si>
    <t>Transportation</t>
  </si>
  <si>
    <t>Sobha Ltd</t>
  </si>
  <si>
    <t>INE671H01015</t>
  </si>
  <si>
    <t>Honeywell Automation India Ltd</t>
  </si>
  <si>
    <t>INE671A01010</t>
  </si>
  <si>
    <t>State Bank of India</t>
  </si>
  <si>
    <t>INE062A01020</t>
  </si>
  <si>
    <t>Schaeffler India Ltd</t>
  </si>
  <si>
    <t>INE513A01014</t>
  </si>
  <si>
    <t>Industrial Products</t>
  </si>
  <si>
    <t>Ultratech Cement Ltd</t>
  </si>
  <si>
    <t>INE481G01011</t>
  </si>
  <si>
    <t>Cement &amp; Cement Products</t>
  </si>
  <si>
    <t>Ahluwalia Contracts (India) Ltd</t>
  </si>
  <si>
    <t>INE758C01029</t>
  </si>
  <si>
    <t>Dalmia Bharat Ltd</t>
  </si>
  <si>
    <t>INE00R701025</t>
  </si>
  <si>
    <t>Gujarat Gas Ltd</t>
  </si>
  <si>
    <t>INE844O01030</t>
  </si>
  <si>
    <t>Gas</t>
  </si>
  <si>
    <t>ABB India Ltd</t>
  </si>
  <si>
    <t>INE117A01022</t>
  </si>
  <si>
    <t>Tata Steel Ltd</t>
  </si>
  <si>
    <t>INE081A01012</t>
  </si>
  <si>
    <t>Ferrous Metals</t>
  </si>
  <si>
    <t>Grindwell Norton Ltd</t>
  </si>
  <si>
    <t>INE536A01023</t>
  </si>
  <si>
    <t>Mahindra Lifespace Developers Ltd</t>
  </si>
  <si>
    <t>INE813A01018</t>
  </si>
  <si>
    <t>Timken India Ltd</t>
  </si>
  <si>
    <t>INE325A01013</t>
  </si>
  <si>
    <t>Thermax Ltd</t>
  </si>
  <si>
    <t>INE152A01029</t>
  </si>
  <si>
    <t>J.K. Cement Ltd</t>
  </si>
  <si>
    <t>INE823G01014</t>
  </si>
  <si>
    <t>Ambuja Cements Ltd</t>
  </si>
  <si>
    <t>INE079A01024</t>
  </si>
  <si>
    <t>Indian Oil Corporation Ltd</t>
  </si>
  <si>
    <t>INE242A01010</t>
  </si>
  <si>
    <t>Petroleum Products</t>
  </si>
  <si>
    <t>Hindalco Industries Ltd</t>
  </si>
  <si>
    <t>INE038A01020</t>
  </si>
  <si>
    <t>Non - Ferrous Metals</t>
  </si>
  <si>
    <t>GAIL (India) Ltd</t>
  </si>
  <si>
    <t>INE129A01019</t>
  </si>
  <si>
    <t>Dixon Technologies (India) Ltd</t>
  </si>
  <si>
    <t>INE935N01020</t>
  </si>
  <si>
    <t>Consumer Durables</t>
  </si>
  <si>
    <t>Cummins India Ltd</t>
  </si>
  <si>
    <t>INE298A01020</t>
  </si>
  <si>
    <t>Power Grid Corporation of India Ltd</t>
  </si>
  <si>
    <t>INE752E01010</t>
  </si>
  <si>
    <t>Power</t>
  </si>
  <si>
    <t>NTPC Ltd</t>
  </si>
  <si>
    <t>INE733E01010</t>
  </si>
  <si>
    <t>Bosch Ltd</t>
  </si>
  <si>
    <t>INE323A01026</t>
  </si>
  <si>
    <t>Auto Ancillaries</t>
  </si>
  <si>
    <t>Sub Total</t>
  </si>
  <si>
    <t>Total</t>
  </si>
  <si>
    <t>TREPS</t>
  </si>
  <si>
    <t>Grand Total</t>
  </si>
  <si>
    <t>Net Receivables / (Payables)</t>
  </si>
  <si>
    <t>Infosys Ltd</t>
  </si>
  <si>
    <t>INE009A01021</t>
  </si>
  <si>
    <t>Software</t>
  </si>
  <si>
    <t>HDFC Bank Ltd</t>
  </si>
  <si>
    <t>INE040A01034</t>
  </si>
  <si>
    <t>Tata Consultancy Services Ltd</t>
  </si>
  <si>
    <t>INE467B01029</t>
  </si>
  <si>
    <t>Reliance Industries Ltd</t>
  </si>
  <si>
    <t>INE002A01018</t>
  </si>
  <si>
    <t>Bajaj Finance Ltd</t>
  </si>
  <si>
    <t>INE296A01024</t>
  </si>
  <si>
    <t>Finance</t>
  </si>
  <si>
    <t>Axis Bank Ltd</t>
  </si>
  <si>
    <t>INE238A01034</t>
  </si>
  <si>
    <t>Housing Development Finance Corporation Ltd</t>
  </si>
  <si>
    <t>INE001A01036</t>
  </si>
  <si>
    <t>Hindustan Unilever Ltd</t>
  </si>
  <si>
    <t>INE030A01027</t>
  </si>
  <si>
    <t>Consumer Non Durables</t>
  </si>
  <si>
    <t>Mphasis Ltd</t>
  </si>
  <si>
    <t>INE356A01018</t>
  </si>
  <si>
    <t>Max Financial Services Ltd</t>
  </si>
  <si>
    <t>INE180A01020</t>
  </si>
  <si>
    <t>Insurance</t>
  </si>
  <si>
    <t>Avenue Supermarts Ltd</t>
  </si>
  <si>
    <t>INE192R01011</t>
  </si>
  <si>
    <t>Retailing</t>
  </si>
  <si>
    <t>Divi's Laboratories Ltd</t>
  </si>
  <si>
    <t>INE361B01024</t>
  </si>
  <si>
    <t>Pharmaceuticals</t>
  </si>
  <si>
    <t>Kotak Mahindra Bank Ltd</t>
  </si>
  <si>
    <t>INE237A01028</t>
  </si>
  <si>
    <t>HCL Technologies Ltd</t>
  </si>
  <si>
    <t>INE860A01027</t>
  </si>
  <si>
    <t>Havells India Ltd</t>
  </si>
  <si>
    <t>INE176B01034</t>
  </si>
  <si>
    <t>Bharti Airtel Ltd</t>
  </si>
  <si>
    <t>INE397D01024</t>
  </si>
  <si>
    <t>Telecom - Services</t>
  </si>
  <si>
    <t>Sona Blw Precision Forgings Ltd</t>
  </si>
  <si>
    <t>INE073K01018</t>
  </si>
  <si>
    <t>Indraprastha Gas Ltd</t>
  </si>
  <si>
    <t>INE203G01027</t>
  </si>
  <si>
    <t>Max Healthcare Institute Ltd</t>
  </si>
  <si>
    <t>INE027H01010</t>
  </si>
  <si>
    <t>Healthcare Services</t>
  </si>
  <si>
    <t>Polycab India Ltd</t>
  </si>
  <si>
    <t>INE455K01017</t>
  </si>
  <si>
    <t>Asian Paints Ltd</t>
  </si>
  <si>
    <t>INE021A01026</t>
  </si>
  <si>
    <t>Minda Industries Ltd</t>
  </si>
  <si>
    <t>INE405E01023</t>
  </si>
  <si>
    <t>Voltas Ltd</t>
  </si>
  <si>
    <t>INE226A01021</t>
  </si>
  <si>
    <t>PI Industries Ltd</t>
  </si>
  <si>
    <t>INE603J01030</t>
  </si>
  <si>
    <t>Pesticides</t>
  </si>
  <si>
    <t>Jubilant Foodworks Ltd</t>
  </si>
  <si>
    <t>INE797F01012</t>
  </si>
  <si>
    <t>Leisure Services</t>
  </si>
  <si>
    <t>TVS Motor Co Ltd</t>
  </si>
  <si>
    <t>INE494B01023</t>
  </si>
  <si>
    <t>Auto</t>
  </si>
  <si>
    <t>Atul Ltd</t>
  </si>
  <si>
    <t>INE100A01010</t>
  </si>
  <si>
    <t>Chemicals</t>
  </si>
  <si>
    <t>Tata Consumer Products Ltd</t>
  </si>
  <si>
    <t>INE192A01025</t>
  </si>
  <si>
    <t>Vinati Organics Ltd</t>
  </si>
  <si>
    <t>INE410B01037</t>
  </si>
  <si>
    <t>Balkrishna Industries Ltd</t>
  </si>
  <si>
    <t>INE787D01026</t>
  </si>
  <si>
    <t>Can Fin Homes Ltd</t>
  </si>
  <si>
    <t>INE477A01020</t>
  </si>
  <si>
    <t>Ashok Leyland Ltd</t>
  </si>
  <si>
    <t>INE208A01029</t>
  </si>
  <si>
    <t>Abbott India Ltd</t>
  </si>
  <si>
    <t>INE358A01014</t>
  </si>
  <si>
    <t>Navin Fluorine International Ltd</t>
  </si>
  <si>
    <t>INE048G01026</t>
  </si>
  <si>
    <t>Sun Pharmaceutical Industries Ltd</t>
  </si>
  <si>
    <t>INE044A01036</t>
  </si>
  <si>
    <t>Titan Co Ltd</t>
  </si>
  <si>
    <t>INE280A01028</t>
  </si>
  <si>
    <t>Bharat Forge Ltd</t>
  </si>
  <si>
    <t>INE465A01025</t>
  </si>
  <si>
    <t>Cholamandalam Investment and Finance Co Ltd</t>
  </si>
  <si>
    <t>INE121A01024</t>
  </si>
  <si>
    <t>HDFC Life Insurance Co Ltd</t>
  </si>
  <si>
    <t>INE795G01014</t>
  </si>
  <si>
    <t>Bata India Ltd</t>
  </si>
  <si>
    <t>INE176A01028</t>
  </si>
  <si>
    <t>SBI Cards and Payment Services Ltd</t>
  </si>
  <si>
    <t>INE018E01016</t>
  </si>
  <si>
    <t>Maruti Suzuki India Ltd</t>
  </si>
  <si>
    <t>INE585B01010</t>
  </si>
  <si>
    <t>Cipla Ltd</t>
  </si>
  <si>
    <t>INE059A01026</t>
  </si>
  <si>
    <t>Dr. Lal Path Labs Ltd</t>
  </si>
  <si>
    <t>INE600L01024</t>
  </si>
  <si>
    <t>Tata Motors Ltd</t>
  </si>
  <si>
    <t>INE155A01022</t>
  </si>
  <si>
    <t>IPCA Laboratories Ltd</t>
  </si>
  <si>
    <t>INE571A01020</t>
  </si>
  <si>
    <t>Britannia Industries Ltd</t>
  </si>
  <si>
    <t>INE216A01030</t>
  </si>
  <si>
    <t>Whirlpool Of India Ltd</t>
  </si>
  <si>
    <t>INE716A01013</t>
  </si>
  <si>
    <t>Shree Cement Ltd</t>
  </si>
  <si>
    <t>INE070A01015</t>
  </si>
  <si>
    <t>Debt Instruments</t>
  </si>
  <si>
    <t>5.50% Britannia Industries Ltd (03/06/2024) **</t>
  </si>
  <si>
    <t>INE216A08027</t>
  </si>
  <si>
    <t>CRISIL AAA</t>
  </si>
  <si>
    <t>Motherson Sumi Systems Ltd</t>
  </si>
  <si>
    <t>INE775A01035</t>
  </si>
  <si>
    <t>Persistent Systems Ltd</t>
  </si>
  <si>
    <t>INE262H01013</t>
  </si>
  <si>
    <t>Crompton Greaves Consumer Electricals Ltd</t>
  </si>
  <si>
    <t>INE299U01018</t>
  </si>
  <si>
    <t>Gland Pharma Ltd</t>
  </si>
  <si>
    <t>INE068V01023</t>
  </si>
  <si>
    <t>Info Edge (India) Ltd</t>
  </si>
  <si>
    <t>INE663F01024</t>
  </si>
  <si>
    <t>WABCO India Ltd</t>
  </si>
  <si>
    <t>INE342J01019</t>
  </si>
  <si>
    <t>PVR Ltd</t>
  </si>
  <si>
    <t>INE191H01014</t>
  </si>
  <si>
    <t>Entertainment</t>
  </si>
  <si>
    <t>Dr. Reddy's Laboratories Ltd</t>
  </si>
  <si>
    <t>INE089A01023</t>
  </si>
  <si>
    <t>Zomato Ltd</t>
  </si>
  <si>
    <t>INE758T01015</t>
  </si>
  <si>
    <t>SBI Life Insurance Co Ltd</t>
  </si>
  <si>
    <t>INE123W01016</t>
  </si>
  <si>
    <t>Tata Communications Ltd</t>
  </si>
  <si>
    <t>INE151A01013</t>
  </si>
  <si>
    <t>Indian Railway Catering And Tourism Corp Ltd</t>
  </si>
  <si>
    <t>INE335Y01012</t>
  </si>
  <si>
    <t>Aditya Birla Fashion and Retail Ltd</t>
  </si>
  <si>
    <t>INE647O01011</t>
  </si>
  <si>
    <t>The Ramco Cements Ltd</t>
  </si>
  <si>
    <t>INE331A01037</t>
  </si>
  <si>
    <t>LIC Housing Finance Ltd</t>
  </si>
  <si>
    <t>INE115A01026</t>
  </si>
  <si>
    <t>Kansai Nerolac Paints Ltd</t>
  </si>
  <si>
    <t>INE531A01024</t>
  </si>
  <si>
    <t>Century Textile &amp; Industries Ltd</t>
  </si>
  <si>
    <t>INE055A01016</t>
  </si>
  <si>
    <t>Paper</t>
  </si>
  <si>
    <t>AIA Engineering Ltd</t>
  </si>
  <si>
    <t>INE212H01026</t>
  </si>
  <si>
    <t>Muthoot Finance Ltd</t>
  </si>
  <si>
    <t>INE414G01012</t>
  </si>
  <si>
    <t>City Union Bank Ltd</t>
  </si>
  <si>
    <t>INE491A01021</t>
  </si>
  <si>
    <t>Multi Commodity Exchange Of India Ltd</t>
  </si>
  <si>
    <t>INE745G01035</t>
  </si>
  <si>
    <t>Capital Markets</t>
  </si>
  <si>
    <t>IN9647O01027</t>
  </si>
  <si>
    <t>Page Industries Ltd</t>
  </si>
  <si>
    <t>INE761H01022</t>
  </si>
  <si>
    <t>Textile Products</t>
  </si>
  <si>
    <t>Orient Electric Ltd</t>
  </si>
  <si>
    <t>INE142Z01019</t>
  </si>
  <si>
    <t>Procter &amp; Gamble Hygiene and Health Care Ltd</t>
  </si>
  <si>
    <t>INE179A01014</t>
  </si>
  <si>
    <t>UTI Asset Management Co Ltd</t>
  </si>
  <si>
    <t>INE094J01016</t>
  </si>
  <si>
    <t>Berger Paints India Ltd</t>
  </si>
  <si>
    <t>INE463A01038</t>
  </si>
  <si>
    <t>Bajaj Auto Ltd</t>
  </si>
  <si>
    <t>INE917I01010</t>
  </si>
  <si>
    <t>Finolex Industries Ltd</t>
  </si>
  <si>
    <t>INE183A01024</t>
  </si>
  <si>
    <t>Computer Age Management Services Ltd</t>
  </si>
  <si>
    <t>INE596I01012</t>
  </si>
  <si>
    <t>Dabur India Ltd</t>
  </si>
  <si>
    <t>INE016A01026</t>
  </si>
  <si>
    <t>Grasim Industries Ltd</t>
  </si>
  <si>
    <t>INE047A01021</t>
  </si>
  <si>
    <t>ICICI Lombard General Insurance Co Ltd</t>
  </si>
  <si>
    <t>INE765G01017</t>
  </si>
  <si>
    <t>K.P.R. Mill Ltd</t>
  </si>
  <si>
    <t>INE930H01023</t>
  </si>
  <si>
    <t>Equitas Holdings Ltd</t>
  </si>
  <si>
    <t>INE988K01017</t>
  </si>
  <si>
    <t>National Aluminium Co Ltd</t>
  </si>
  <si>
    <t>INE139A01034</t>
  </si>
  <si>
    <t>Cera Sanitaryware Ltd</t>
  </si>
  <si>
    <t>INE739E01017</t>
  </si>
  <si>
    <t>Angel Broking Ltd</t>
  </si>
  <si>
    <t>INE732I01013</t>
  </si>
  <si>
    <t>Central Depository Services (India) Ltd</t>
  </si>
  <si>
    <t>INE736A01011</t>
  </si>
  <si>
    <t>EPL Ltd</t>
  </si>
  <si>
    <t>INE255A01020</t>
  </si>
  <si>
    <t>Rhi Magnesita India Ltd</t>
  </si>
  <si>
    <t>INE743M01012</t>
  </si>
  <si>
    <t>BSE Ltd</t>
  </si>
  <si>
    <t>INE118H01025</t>
  </si>
  <si>
    <t>VRL Logistics Ltd</t>
  </si>
  <si>
    <t>INE366I01010</t>
  </si>
  <si>
    <t>Great Eastern Shipping Co Ltd</t>
  </si>
  <si>
    <t>INE017A01032</t>
  </si>
  <si>
    <t>Rallis India Ltd</t>
  </si>
  <si>
    <t>INE613A01020</t>
  </si>
  <si>
    <t>Greenply Industries Ltd</t>
  </si>
  <si>
    <t>INE461C01038</t>
  </si>
  <si>
    <t>V-Mart Retail Ltd</t>
  </si>
  <si>
    <t>INE665J01013</t>
  </si>
  <si>
    <t>Indian Bank</t>
  </si>
  <si>
    <t>INE562A01011</t>
  </si>
  <si>
    <t>KEC International Ltd</t>
  </si>
  <si>
    <t>INE389H01022</t>
  </si>
  <si>
    <t>Galaxy Surfactants Ltd</t>
  </si>
  <si>
    <t>INE600K01018</t>
  </si>
  <si>
    <t>NOCIL Ltd</t>
  </si>
  <si>
    <t>INE163A01018</t>
  </si>
  <si>
    <t>Balrampur Chini Mills Ltd</t>
  </si>
  <si>
    <t>INE119A01028</t>
  </si>
  <si>
    <t>Teamlease Services Ltd</t>
  </si>
  <si>
    <t>INE985S01024</t>
  </si>
  <si>
    <t>Commercial Services</t>
  </si>
  <si>
    <t>Indian Energy Exchange Ltd</t>
  </si>
  <si>
    <t>INE022Q01020</t>
  </si>
  <si>
    <t>Subros Ltd</t>
  </si>
  <si>
    <t>INE287B01021</t>
  </si>
  <si>
    <t>EID Parry India Ltd</t>
  </si>
  <si>
    <t>INE126A01031</t>
  </si>
  <si>
    <t>Mold Tek Packaging Ltd</t>
  </si>
  <si>
    <t>INE893J01029</t>
  </si>
  <si>
    <t>Creditaccess Grameen Ltd</t>
  </si>
  <si>
    <t>INE741K01010</t>
  </si>
  <si>
    <t>Greenpanel Industries Ltd</t>
  </si>
  <si>
    <t>INE08ZM01014</t>
  </si>
  <si>
    <t>DCB Bank Ltd</t>
  </si>
  <si>
    <t>INE503A01015</t>
  </si>
  <si>
    <t>V.I.P. Industries Ltd</t>
  </si>
  <si>
    <t>INE054A01027</t>
  </si>
  <si>
    <t>Deepak Nitrite Ltd</t>
  </si>
  <si>
    <t>INE288B01029</t>
  </si>
  <si>
    <t>Fine Organic Industries Ltd</t>
  </si>
  <si>
    <t>INE686Y01026</t>
  </si>
  <si>
    <t>ICRA Ltd</t>
  </si>
  <si>
    <t>INE725G01011</t>
  </si>
  <si>
    <t>Shriram City Union Finance Ltd</t>
  </si>
  <si>
    <t>INE722A01011</t>
  </si>
  <si>
    <t>Greenlam Industries Ltd</t>
  </si>
  <si>
    <t>INE544R01013</t>
  </si>
  <si>
    <t>Blue Dart Express Ltd</t>
  </si>
  <si>
    <t>INE233B01017</t>
  </si>
  <si>
    <t>Gulf Oil Lubricants India Ltd</t>
  </si>
  <si>
    <t>INE635Q01029</t>
  </si>
  <si>
    <t>4.96% LIC Housing Finance Ltd (14/09/2023) **</t>
  </si>
  <si>
    <t>INE115A07OZ3</t>
  </si>
  <si>
    <t>CARE AAA</t>
  </si>
  <si>
    <t>7.87% Housing Development Finance Corporation Ltd (18/07/2022) **</t>
  </si>
  <si>
    <t>INE001A07RW5</t>
  </si>
  <si>
    <t>7.40% Power Finance Corporation Ltd (30/09/2021)</t>
  </si>
  <si>
    <t>INE134E08IM4</t>
  </si>
  <si>
    <t>8.30% Reliance Industries Ltd (08/03/2022) **</t>
  </si>
  <si>
    <t>INE002A08575</t>
  </si>
  <si>
    <t>7.00% Reliance Industries Ltd (31/08/2022) **</t>
  </si>
  <si>
    <t>INE002A08476</t>
  </si>
  <si>
    <t>7.21% Housing Development Finance Corporation Ltd (30/12/2022) **</t>
  </si>
  <si>
    <t>INE001A07SD3</t>
  </si>
  <si>
    <t>7.17% Reliance Industries Ltd (08/11/2022) **</t>
  </si>
  <si>
    <t>INE002A08500</t>
  </si>
  <si>
    <t>5.35% LIC Housing Finance Ltd (20/03/2023) **</t>
  </si>
  <si>
    <t>INE115A07PC9</t>
  </si>
  <si>
    <t>7.22% LIC Housing Finance Ltd (19/11/2021) **</t>
  </si>
  <si>
    <t>INE115A07OP4</t>
  </si>
  <si>
    <t>6.22% Housing Development Finance Corporation Ltd (10/12/2021) **</t>
  </si>
  <si>
    <t>INE001A07SN2</t>
  </si>
  <si>
    <t>7.15% Housing Development Finance Corporation Ltd (16/09/2021)</t>
  </si>
  <si>
    <t>INE001A07RY1</t>
  </si>
  <si>
    <t>7.99% Housing Development Finance Corporation Ltd (11/07/2024) **</t>
  </si>
  <si>
    <t>INE001A07RV7</t>
  </si>
  <si>
    <t>7.39% LIC Housing Finance Ltd (30/08/2022) **</t>
  </si>
  <si>
    <t>INE115A07MJ1</t>
  </si>
  <si>
    <t>8.40% Indian Railway Finance Corporation Ltd (08/01/2029) **</t>
  </si>
  <si>
    <t>INE053F07AZ4</t>
  </si>
  <si>
    <t>7.69% National Bank For Agriculture &amp; Rural Development (29/05/2024) **</t>
  </si>
  <si>
    <t>INE261F08BK1</t>
  </si>
  <si>
    <t>7.45% REC Ltd (30/11/2022) **</t>
  </si>
  <si>
    <t>INE020B08AP1</t>
  </si>
  <si>
    <t>8.18% Power Finance Corporation Ltd (19/03/2022) **</t>
  </si>
  <si>
    <t>INE134E08JW1</t>
  </si>
  <si>
    <t>7.50% Power Finance Corporation Ltd (16/08/2021) **</t>
  </si>
  <si>
    <t>INE134E08IH4</t>
  </si>
  <si>
    <t>8.40% Small Industries Development Bank Of India (10/08/2021) **</t>
  </si>
  <si>
    <t>INE556F08JH3</t>
  </si>
  <si>
    <t>8.22% National Bank For Agriculture &amp; Rural Development (13/12/2028) **</t>
  </si>
  <si>
    <t>INE261F08AV0</t>
  </si>
  <si>
    <t>8.33% LIC Housing Finance Ltd (31/05/2024) **</t>
  </si>
  <si>
    <t>INE115A07OE8</t>
  </si>
  <si>
    <t>7.79% LIC Housing Finance Ltd (18/10/2024) **</t>
  </si>
  <si>
    <t>INE115A07OM1</t>
  </si>
  <si>
    <t>7.09% REC Ltd (13/12/2022) **</t>
  </si>
  <si>
    <t>INE020B08CD3</t>
  </si>
  <si>
    <t>6.27% Small Industries Development Bank Of India (27/02/2023) **</t>
  </si>
  <si>
    <t>INE556F08JP6</t>
  </si>
  <si>
    <t>ICRA AAA</t>
  </si>
  <si>
    <t>7.47% Power Finance Corporation Ltd (16/09/2021) **</t>
  </si>
  <si>
    <t>INE134E08IJ0</t>
  </si>
  <si>
    <t>8.13% Power Grid Corporation of India Ltd (25/04/2024) **</t>
  </si>
  <si>
    <t>INE752E07NQ6</t>
  </si>
  <si>
    <t>7.75% LIC Housing Finance Ltd (23/07/2024) **</t>
  </si>
  <si>
    <t>INE115A07OL3</t>
  </si>
  <si>
    <t>7.85% Power Finance Corporation Ltd (03/04/2028) **</t>
  </si>
  <si>
    <t>INE134E08JP5</t>
  </si>
  <si>
    <t>8.60% National Bank For Agriculture &amp; Rural Development (31/01/2022) **</t>
  </si>
  <si>
    <t>INE261F08AI7</t>
  </si>
  <si>
    <t>Government Bonds</t>
  </si>
  <si>
    <t>4.48% GOI (02/11/2023)</t>
  </si>
  <si>
    <t>IN0020200211</t>
  </si>
  <si>
    <t>Sovereign</t>
  </si>
  <si>
    <t>4.26% INDIA GOVERNMENT 17-MAY-23</t>
  </si>
  <si>
    <t>IN0020210046</t>
  </si>
  <si>
    <t>5.22% GOI (15/06/2025)</t>
  </si>
  <si>
    <t>IN0020200112</t>
  </si>
  <si>
    <t>8.08% GOI (02/08/2022)</t>
  </si>
  <si>
    <t>IN0020070028</t>
  </si>
  <si>
    <t>8.15% GOI (11/06/2022)</t>
  </si>
  <si>
    <t>IN0020120013</t>
  </si>
  <si>
    <t>8.79% GOI (08/11/2021)</t>
  </si>
  <si>
    <t>IN0020110030</t>
  </si>
  <si>
    <t>3.96% GOI (09/11/2022)</t>
  </si>
  <si>
    <t>IN0020200260</t>
  </si>
  <si>
    <t>6.10% INDIA GOVERNMENT 12-JUL-31</t>
  </si>
  <si>
    <t>IN0020210095</t>
  </si>
  <si>
    <t>6.18% GOI (04/11/2024)</t>
  </si>
  <si>
    <t>IN0020190396</t>
  </si>
  <si>
    <t>8.20% GOI (15/02/2022)</t>
  </si>
  <si>
    <t>IN0020060037</t>
  </si>
  <si>
    <t>5.09% GOI (13/04/2022)</t>
  </si>
  <si>
    <t>IN0020200021</t>
  </si>
  <si>
    <t>8.01% TAMILNADU SDL 11-MAY-26</t>
  </si>
  <si>
    <t>IN3120160038</t>
  </si>
  <si>
    <t>6.97% GOI (06/09/2026)</t>
  </si>
  <si>
    <t>IN0020160035</t>
  </si>
  <si>
    <t>7.35% GOI (22/06/2024)</t>
  </si>
  <si>
    <t>IN0020090034</t>
  </si>
  <si>
    <t>7.16% GOI (20/05/2023)</t>
  </si>
  <si>
    <t>IN0020130012</t>
  </si>
  <si>
    <t>7.37% TAMILNADU SDL 14-SEP-26</t>
  </si>
  <si>
    <t>IN3120160103</t>
  </si>
  <si>
    <t>8.24% GOI (15/02/2027)</t>
  </si>
  <si>
    <t>IN0020060078</t>
  </si>
  <si>
    <t>8.15% GOI (24/11/2026)</t>
  </si>
  <si>
    <t>IN0020140060</t>
  </si>
  <si>
    <t>7.42% Maharashtra SDL 11-May-22</t>
  </si>
  <si>
    <t>IN2220170012</t>
  </si>
  <si>
    <t>8.81% Small Industries Development Bank Of India (25/01/2022) **</t>
  </si>
  <si>
    <t>INE556F08JI1</t>
  </si>
  <si>
    <t>Money Market Instruments</t>
  </si>
  <si>
    <t>Treasury Bill</t>
  </si>
  <si>
    <t>91 DAYS INDIA TREASURY BILLS 16-SEP-21</t>
  </si>
  <si>
    <t>IN002021X116</t>
  </si>
  <si>
    <t xml:space="preserve"> Sovereign</t>
  </si>
  <si>
    <t>7.27% GOI (08/04/2026)</t>
  </si>
  <si>
    <t>IN0020190016</t>
  </si>
  <si>
    <t>7.57% GOI (17/06/2033)</t>
  </si>
  <si>
    <t>IN0020190065</t>
  </si>
  <si>
    <t>7.17% GOI (08/01/2028)</t>
  </si>
  <si>
    <t>IN0020170174</t>
  </si>
  <si>
    <t>6.68% GOI (17/09/2031)</t>
  </si>
  <si>
    <t>IN0020170042</t>
  </si>
  <si>
    <t>6.97% TAMIL NADU SDL 28-JUL-31</t>
  </si>
  <si>
    <t>IN3120210148</t>
  </si>
  <si>
    <t>5.15% GOI (09/11/2025)</t>
  </si>
  <si>
    <t>IN0020200278</t>
  </si>
  <si>
    <t>6.67% GOI (17/12/2050)</t>
  </si>
  <si>
    <t>IN0020200252</t>
  </si>
  <si>
    <t>6.22% GOI (16/03/2035)</t>
  </si>
  <si>
    <t>IN0020200245</t>
  </si>
  <si>
    <t>8.13% GOI (22/06/2045)</t>
  </si>
  <si>
    <t>IN0020150044</t>
  </si>
  <si>
    <t>8.70% Power Finance Corporation Ltd (14/05/2025) **</t>
  </si>
  <si>
    <t>INE134E08CY2</t>
  </si>
  <si>
    <t>8.79% LIC Housing Finance Ltd (05/03/2024) **</t>
  </si>
  <si>
    <t>INE115A07NY8</t>
  </si>
  <si>
    <t>8.13% Power Grid Corporation of India Ltd (25/04/2023) **</t>
  </si>
  <si>
    <t>INE752E07NP8</t>
  </si>
  <si>
    <t>7.50% Housing Development Finance Corporation Ltd (08/01/2025) **</t>
  </si>
  <si>
    <t>INE001A07SE1</t>
  </si>
  <si>
    <t>5.63% GOI (12/04/2026)</t>
  </si>
  <si>
    <t>IN0020210012</t>
  </si>
  <si>
    <t>7.39% Maharashtra SDL 09-Nov-26</t>
  </si>
  <si>
    <t>IN2220160104</t>
  </si>
  <si>
    <t>7.39% TAMIL NADU SDL 09-NOV-26</t>
  </si>
  <si>
    <t>IN3120160137</t>
  </si>
  <si>
    <t>7.16% TAMIL NADU SDL 11-JAN-27</t>
  </si>
  <si>
    <t>IN3120160178</t>
  </si>
  <si>
    <t>6.64% GOI (16/06/2035)</t>
  </si>
  <si>
    <t>IN0020210020</t>
  </si>
  <si>
    <t>8.47% Maharashtra SDL 10-Feb-26</t>
  </si>
  <si>
    <t>IN2220150188</t>
  </si>
  <si>
    <t>7.35% Power Finance Corporation Ltd (15/10/2022) **</t>
  </si>
  <si>
    <t>INE134E08KG2</t>
  </si>
  <si>
    <t>7.00% Larsen &amp; Toubro Ltd (25/04/2022) **</t>
  </si>
  <si>
    <t>INE018A08AX1</t>
  </si>
  <si>
    <t>6.60% REC Ltd (21/03/2022) **</t>
  </si>
  <si>
    <t>INE020B08CV5</t>
  </si>
  <si>
    <t>6.32% REC Ltd (31/12/2021) **</t>
  </si>
  <si>
    <t>INE020B08CL6</t>
  </si>
  <si>
    <t>7.66% LIC Housing Finance Ltd (21/10/2021) **</t>
  </si>
  <si>
    <t>INE115A07KR8</t>
  </si>
  <si>
    <t>4.95% Housing Development Finance Corporation Ltd (09/09/2022) **</t>
  </si>
  <si>
    <t>INE001A07SQ5</t>
  </si>
  <si>
    <t>6.99% Housing Development Finance Corporation Ltd (25/11/2021) **</t>
  </si>
  <si>
    <t>INE001A07SC5</t>
  </si>
  <si>
    <t>4.58% Small Industries Development Bank Of India (18/12/2023) **</t>
  </si>
  <si>
    <t>INE556F08JR2</t>
  </si>
  <si>
    <t>7.49% Power Grid Corporation of India Ltd (25/10/2024) **</t>
  </si>
  <si>
    <t>INE752E08593</t>
  </si>
  <si>
    <t>6.75% Power Finance Corporation Ltd (22/05/2023) **</t>
  </si>
  <si>
    <t>INE134E08KS7</t>
  </si>
  <si>
    <t>8.02% Larsen &amp; Toubro Ltd (22/05/2022) **</t>
  </si>
  <si>
    <t>INE018A08AS1</t>
  </si>
  <si>
    <t>7.24% REC Ltd (31/12/2022) **</t>
  </si>
  <si>
    <t>INE020B08CG6</t>
  </si>
  <si>
    <t>6.98% National Bank For Agriculture &amp; Rural Development (19/09/2022)</t>
  </si>
  <si>
    <t>INE261F08BO3</t>
  </si>
  <si>
    <t>8.13% Power Grid Corporation of India Ltd (25/04/2022) **</t>
  </si>
  <si>
    <t>INE752E07NO1</t>
  </si>
  <si>
    <t>6.99% Small Industries Development Bank Of India (08/08/2022) **</t>
  </si>
  <si>
    <t>INE556F08JN1</t>
  </si>
  <si>
    <t>7.24% LIC Housing Finance Ltd (23/08/2021) **</t>
  </si>
  <si>
    <t>INE115A07OK5</t>
  </si>
  <si>
    <t>8.44% REC Ltd (04/12/2021) **</t>
  </si>
  <si>
    <t>INE020B08872</t>
  </si>
  <si>
    <t>Certificate of Deposit</t>
  </si>
  <si>
    <t>Axis Bank Ltd (22/10/2021) ** #</t>
  </si>
  <si>
    <t>INE238A166U3</t>
  </si>
  <si>
    <t>CRISIL A1+</t>
  </si>
  <si>
    <t>Small Industries Development Bank of India (18/03/2022) ** #</t>
  </si>
  <si>
    <t>INE556F16853</t>
  </si>
  <si>
    <t>CARE A1+</t>
  </si>
  <si>
    <t>Axis Bank Ltd (28/04/2022) #</t>
  </si>
  <si>
    <t>INE238A167W7</t>
  </si>
  <si>
    <t>Small Industries Development Bank of India (02/06/2022) ** #</t>
  </si>
  <si>
    <t>INE556F16879</t>
  </si>
  <si>
    <t>Commercial Paper</t>
  </si>
  <si>
    <t>INE115A14CU5</t>
  </si>
  <si>
    <t>INE115A14DE7</t>
  </si>
  <si>
    <t>182 DAYS INDIA TREASURY BILLS 16-DEC-21</t>
  </si>
  <si>
    <t>IN002021Y114</t>
  </si>
  <si>
    <t>182 DAYS INDIA TREASURY BILLS 23-DEC-21</t>
  </si>
  <si>
    <t>IN002021Y122</t>
  </si>
  <si>
    <t>364 DAYS INDIA TREASURY BILLS 05-MAY-22</t>
  </si>
  <si>
    <t>IN002021Z053</t>
  </si>
  <si>
    <t>364 DAYS INDIA TREASURY BILLS 30-MAR-22</t>
  </si>
  <si>
    <t>IN002020Z527</t>
  </si>
  <si>
    <t>364 DAYS INDIA TREASURY BILLS 09-SEP-21</t>
  </si>
  <si>
    <t>IN002020Z238</t>
  </si>
  <si>
    <t>5.54% MADHYA PRADESH SDL 15-OCT-21</t>
  </si>
  <si>
    <t>IN2120200059</t>
  </si>
  <si>
    <t>6.84% GOI (19/12/2022)</t>
  </si>
  <si>
    <t>IN0020160050</t>
  </si>
  <si>
    <t>8.35% GOI (14/05/2022)</t>
  </si>
  <si>
    <t>IN0020020072</t>
  </si>
  <si>
    <t>9.23% GUJARAT SDL 23-NOV-21</t>
  </si>
  <si>
    <t>IN1520110090</t>
  </si>
  <si>
    <t>#  Unlisted Security</t>
  </si>
  <si>
    <t>7.14% REC Ltd (09/12/2021) **</t>
  </si>
  <si>
    <t>INE020B08AB1</t>
  </si>
  <si>
    <t>7.40% LIC Housing Finance Ltd (06/09/2024) **</t>
  </si>
  <si>
    <t>INE115A07ML7</t>
  </si>
  <si>
    <t>364 DAYS INDIA TREASURY BILLS 23-SEP-21</t>
  </si>
  <si>
    <t>IN002020Z253</t>
  </si>
  <si>
    <t>8.49% Punjab SDL Uday 31-Mar-22</t>
  </si>
  <si>
    <t>IN2820150273</t>
  </si>
  <si>
    <t>9.25% MAHARASHTRA SDL 09-OCT-23</t>
  </si>
  <si>
    <t>IN2220130099</t>
  </si>
  <si>
    <t>7.72% GOI (26/10/2055)</t>
  </si>
  <si>
    <t>IN0020150077</t>
  </si>
  <si>
    <t>6.79% GOI (15/05/2027)</t>
  </si>
  <si>
    <t>IN0020170026</t>
  </si>
  <si>
    <t>7.59% GOI (11/01/2026)</t>
  </si>
  <si>
    <t>IN0020150093</t>
  </si>
  <si>
    <t>Axis Bank Ltd (23/08/2021) #</t>
  </si>
  <si>
    <t>INE238A169V5</t>
  </si>
  <si>
    <t>INE733E14AD7</t>
  </si>
  <si>
    <t>INE002A14HJ7</t>
  </si>
  <si>
    <t>INE001A14WS9</t>
  </si>
  <si>
    <t>INE481G14CX2</t>
  </si>
  <si>
    <t>INE261F14HJ8</t>
  </si>
  <si>
    <t>ICRA A1+</t>
  </si>
  <si>
    <t>INE110L14PH2</t>
  </si>
  <si>
    <t>INE891K14KK4</t>
  </si>
  <si>
    <t>364 DAYS INDIA TREASURY BILLS 05-AUG-21</t>
  </si>
  <si>
    <t>IN002020Z188</t>
  </si>
  <si>
    <t>364 DAYS INDIA TREASURY BILLS 02-SEP-21</t>
  </si>
  <si>
    <t>IN002020Z220</t>
  </si>
  <si>
    <t>364 DAYS INDIA TREASURY BILLS 12-AUG-21</t>
  </si>
  <si>
    <t>IN002020Z196</t>
  </si>
  <si>
    <t>91 DAYS INDIA TREASURY BILLS 05-AUG-21</t>
  </si>
  <si>
    <t>IN002021X058</t>
  </si>
  <si>
    <t>91 DAYS INDIA TREASURY BILLS 26-AUG-21</t>
  </si>
  <si>
    <t>IN002021X082</t>
  </si>
  <si>
    <t>91 DAYS INDIA TREASURY BILLS 09-SEP-21</t>
  </si>
  <si>
    <t>IN002021X108</t>
  </si>
  <si>
    <t>7.20% Power Grid Corporation of India Ltd (21/12/2021) **</t>
  </si>
  <si>
    <t>INE752E07OD2</t>
  </si>
  <si>
    <t>7.06% Housing Development Finance Corporation Ltd (13/12/2021) **</t>
  </si>
  <si>
    <t>INE001A07SL6</t>
  </si>
  <si>
    <t>7.10% Power Finance Corporation Ltd (08/08/2022) **</t>
  </si>
  <si>
    <t>INE134E08JD1</t>
  </si>
  <si>
    <t>9.4041% L&amp;T Housing Finance Ltd (11/10/2021) **</t>
  </si>
  <si>
    <t>INE476M07BQ0</t>
  </si>
  <si>
    <t>Axis Bank Ltd (17/09/2021) ** #</t>
  </si>
  <si>
    <t>INE238A168V7</t>
  </si>
  <si>
    <t>INE018A14IE2</t>
  </si>
  <si>
    <t>182 DAYS INDIA TREASURY BILLS 14-OCT-21</t>
  </si>
  <si>
    <t>IN002021Y023</t>
  </si>
  <si>
    <t>182 DAYS INDIA TREASURY BILLS 19-AUG-21</t>
  </si>
  <si>
    <t>IN002020Y462</t>
  </si>
  <si>
    <t>364 DAYS INDIA TREASURY BILLS 11-MAR-22</t>
  </si>
  <si>
    <t>IN002020Z493</t>
  </si>
  <si>
    <t>182 DAYS INDIA TREASURY BILLS 25-NOV-21</t>
  </si>
  <si>
    <t>IN002021Y080</t>
  </si>
  <si>
    <t>364 DAYS INDIA TREASURY BILLS 26-AUG-21</t>
  </si>
  <si>
    <t>IN002020Z212</t>
  </si>
  <si>
    <t>5.05% Indian Oil Corporation Ltd (25/11/2022) **</t>
  </si>
  <si>
    <t>INE242A08460</t>
  </si>
  <si>
    <t>6.59% Indian Railway Finance Corporation Ltd (14/04/2023) **</t>
  </si>
  <si>
    <t>INE053F07BZ2</t>
  </si>
  <si>
    <t>7.20% Housing Development Finance Corporation Ltd (13/04/2023) **</t>
  </si>
  <si>
    <t>INE001A07SJ0</t>
  </si>
  <si>
    <t>7.4450% LIC HOUSING FINANCE LTD13-JAN-23 **</t>
  </si>
  <si>
    <t>INE115A07OJ7</t>
  </si>
  <si>
    <t>6.70% National Bank For Agriculture &amp; Rural Development (11/11/2022) **</t>
  </si>
  <si>
    <t>INE261F08BQ8</t>
  </si>
  <si>
    <t>6.50% Power Finance Corporation Ltd (17/09/2025) **</t>
  </si>
  <si>
    <t>INE134E08LD7</t>
  </si>
  <si>
    <t>5.32% National Housing Bank (01/09/2023) **</t>
  </si>
  <si>
    <t>INE557F08FK3</t>
  </si>
  <si>
    <t>7.16% Power Finance Corporation Ltd (24/04/2025) **</t>
  </si>
  <si>
    <t>INE134E08KP3</t>
  </si>
  <si>
    <t>7.95% Small Industries Development Bank Of India (26/04/2022) **</t>
  </si>
  <si>
    <t>INE556F08JK7</t>
  </si>
  <si>
    <t>8.15% REC Ltd (10/06/2022) **</t>
  </si>
  <si>
    <t>INE020B08BT1</t>
  </si>
  <si>
    <t>6.80% Small Industries Development Bank Of India (29/09/2022) **</t>
  </si>
  <si>
    <t>INE556F08JO9</t>
  </si>
  <si>
    <t>7.87% Larsen &amp; Toubro Ltd (18/04/2022) **</t>
  </si>
  <si>
    <t>INE018A08AR3</t>
  </si>
  <si>
    <t>5.40% Housing Development Finance Corporation Ltd (11/08/2023) **</t>
  </si>
  <si>
    <t>INE001A07SP7</t>
  </si>
  <si>
    <t>7.05% National Housing Bank (18/12/2024) **</t>
  </si>
  <si>
    <t>INE557F08FG1</t>
  </si>
  <si>
    <t>7.85% National Bank For Agriculture &amp; Rural Development (23/05/2022)</t>
  </si>
  <si>
    <t>INE261F08BJ3</t>
  </si>
  <si>
    <t>6.93% UltraTech Cement Ltd (25/11/2021) **</t>
  </si>
  <si>
    <t>INE481G08032</t>
  </si>
  <si>
    <t>8.40% Power Grid Corporation of India Ltd (14/09/2021) **</t>
  </si>
  <si>
    <t>INE752E07MZ9</t>
  </si>
  <si>
    <t>8.40% Power Grid Corporation of India Ltd (27/05/2027) **</t>
  </si>
  <si>
    <t>INE752E07MT2</t>
  </si>
  <si>
    <t>8.40% Power Grid Corporation of India Ltd (27/05/2026) **</t>
  </si>
  <si>
    <t>INE752E07MS4</t>
  </si>
  <si>
    <t>8.50% National Bank For Agriculture &amp; Rural Development (31/01/2023) **</t>
  </si>
  <si>
    <t>INE261F08AT4</t>
  </si>
  <si>
    <t>8.50% LIC Housing Finance Ltd (20/06/2022) **</t>
  </si>
  <si>
    <t>INE115A07OD0</t>
  </si>
  <si>
    <t>6.72% NTPC Ltd (24/11/2021) **</t>
  </si>
  <si>
    <t>INE733E07KH1</t>
  </si>
  <si>
    <t>8.58% Housing Development Finance Corporation Ltd (18/03/2022) **</t>
  </si>
  <si>
    <t>INE001A07RS3</t>
  </si>
  <si>
    <t>364 DAYS INDIA TREASURY BILLS 16-SEP-21</t>
  </si>
  <si>
    <t>IN002020Z246</t>
  </si>
  <si>
    <t>364 DAYS INDIA TREASURY BILLS 23-DEC-21</t>
  </si>
  <si>
    <t>IN002020Z386</t>
  </si>
  <si>
    <t>7.32% GOI (28/01/2024)</t>
  </si>
  <si>
    <t>IN0020180488</t>
  </si>
  <si>
    <t>8.75% UTTAR PRADESH SDL 11-JAN-22</t>
  </si>
  <si>
    <t>IN3320110130</t>
  </si>
  <si>
    <t>8.62% MAHARASHTRA SDL 06-MAR-23</t>
  </si>
  <si>
    <t>IN2220120116</t>
  </si>
  <si>
    <t>8.85% MAHARASHTRA SDL 18-JUL-22</t>
  </si>
  <si>
    <t>IN2220120017</t>
  </si>
  <si>
    <t>8.84% TAMILNADU SDL 18-JUL-22</t>
  </si>
  <si>
    <t>IN3120120032</t>
  </si>
  <si>
    <t>8.27% Rajasthan SDL 23-Jun-22</t>
  </si>
  <si>
    <t>IN2920160081</t>
  </si>
  <si>
    <t>8.21% Haryana SDL Uday 31-Mar-22</t>
  </si>
  <si>
    <t>IN1620150145</t>
  </si>
  <si>
    <t>8.88% GUJARAT SDL 06-JUN-22</t>
  </si>
  <si>
    <t>IN1520120032</t>
  </si>
  <si>
    <t>7.86% Karnataka SDL 15-Mar-27</t>
  </si>
  <si>
    <t>IN1920160117</t>
  </si>
  <si>
    <t>7.24% Indian Railway Finance Corporation Ltd (08/11/2021) **</t>
  </si>
  <si>
    <t>INE053F07934</t>
  </si>
  <si>
    <t>8.73% NTPC Ltd (07/03/2023) **</t>
  </si>
  <si>
    <t>INE733E07JC4</t>
  </si>
  <si>
    <t>6.72% Power Finance Corporation Ltd (09/06/2023) **</t>
  </si>
  <si>
    <t>INE134E08KW9</t>
  </si>
  <si>
    <t>9.35% Power Grid Corporation of India Ltd (29/08/2023) **</t>
  </si>
  <si>
    <t>INE752E07IT0</t>
  </si>
  <si>
    <t>7.60% Grasim Industries Ltd (04/06/2024) **</t>
  </si>
  <si>
    <t>INE047A08158</t>
  </si>
  <si>
    <t>7.28% Housing Development Finance Corporation Ltd (26/09/2022) **</t>
  </si>
  <si>
    <t>INE001A07RZ8</t>
  </si>
  <si>
    <t>7.80% LIC Housing Finance Ltd (03/05/2022) **</t>
  </si>
  <si>
    <t>INE115A07LQ8</t>
  </si>
  <si>
    <t>5.10% Sundaram Finance Ltd (01/12/2023) **</t>
  </si>
  <si>
    <t>INE660A07QQ2</t>
  </si>
  <si>
    <t>0.00% Aditya Birla Finance Ltd (12/10/2021) **</t>
  </si>
  <si>
    <t>INE860H07GD2</t>
  </si>
  <si>
    <t>8.84% MAHARASHTRA SDL 17-OCT-22</t>
  </si>
  <si>
    <t>IN2220120058</t>
  </si>
  <si>
    <t>8.72% MAHARASHTRA SDL 11-JAN-22</t>
  </si>
  <si>
    <t>IN2220110083</t>
  </si>
  <si>
    <t>9.25% UTTAR PRADESH SDL 23-NOV-21</t>
  </si>
  <si>
    <t>IN3320110106</t>
  </si>
  <si>
    <t>8.65% GUJARAT SDL 21-SEP-21</t>
  </si>
  <si>
    <t>IN1520110074</t>
  </si>
  <si>
    <t>8.62% GUJARAT SDL 07-SEP-21</t>
  </si>
  <si>
    <t>IN1520110066</t>
  </si>
  <si>
    <t>Mahindra &amp; Mahindra Ltd</t>
  </si>
  <si>
    <t>INE101A01026</t>
  </si>
  <si>
    <t>Alkem Laboratories Ltd</t>
  </si>
  <si>
    <t>INE540L01014</t>
  </si>
  <si>
    <t>ITC Ltd</t>
  </si>
  <si>
    <t>INE154A01025</t>
  </si>
  <si>
    <t>7.95% LIC Housing Finance Ltd (24/03/2022) **</t>
  </si>
  <si>
    <t>INE115A07LM7</t>
  </si>
  <si>
    <t>9.43% LIC Housing Finance Ltd (10/02/2022) **</t>
  </si>
  <si>
    <t>INE115A07CA1</t>
  </si>
  <si>
    <t>8.99% GUJARAT SDL 14-MAR-22</t>
  </si>
  <si>
    <t>IN1520110132</t>
  </si>
  <si>
    <t>**  Non Traded Security</t>
  </si>
  <si>
    <t xml:space="preserve">Larsen &amp; Toubro Ltd (09/08/2021) ** </t>
  </si>
  <si>
    <t xml:space="preserve">NTPC Ltd (09/08/2021) </t>
  </si>
  <si>
    <t xml:space="preserve">Reliance Industries Ltd (12/08/2021) ** </t>
  </si>
  <si>
    <t xml:space="preserve">Housing Development Finance Corporation Ltd (26/08/2021) ** </t>
  </si>
  <si>
    <t xml:space="preserve">UltraTech Cement Ltd (09/08/2021) ** </t>
  </si>
  <si>
    <t xml:space="preserve">National Bank For Agriculture &amp; Rural Development (02/08/2021) </t>
  </si>
  <si>
    <t xml:space="preserve">Reliance Jio Infocomm Ltd (11/08/2021) ** </t>
  </si>
  <si>
    <t xml:space="preserve">Axis Finance Ltd (24/09/2021) ** </t>
  </si>
  <si>
    <t xml:space="preserve">LIC Housing Finance Ltd (07/07/2022) ** </t>
  </si>
  <si>
    <t xml:space="preserve">LIC Housing Finance Ltd (14/12/2021) ** </t>
  </si>
  <si>
    <t>Product Labeling ( Risk-o-meter) in Canara Robeco Mutual Fund schemes</t>
  </si>
  <si>
    <t>Sr No.</t>
  </si>
  <si>
    <t>Fund Name</t>
  </si>
  <si>
    <r>
      <t xml:space="preserve">Product Labelling
</t>
    </r>
    <r>
      <rPr>
        <sz val="12"/>
        <color theme="1"/>
        <rFont val="Taz SemiLight"/>
        <family val="2"/>
      </rPr>
      <t>This product is suitable for investors who are seeking*:</t>
    </r>
  </si>
  <si>
    <t>Revised Risk-o-meter Level- Jun'21</t>
  </si>
  <si>
    <t>Revised Risk-o-meter Level- Jul'21</t>
  </si>
  <si>
    <t>• Capital appreciation over long term
• Investing predominantly in equities and equity related instruments of large cap companies</t>
  </si>
  <si>
    <t>• Capital appreciation over long term
• Investment in equity and equity related instruments across large cap, mid cap, small cap stocks</t>
  </si>
  <si>
    <t>• Capital appreciation over long term
• Investing predominantly in equities and equity related instruments of both large cap and mid cap companies</t>
  </si>
  <si>
    <t>• Capital appreciation over long term
• Investment in equity and equity related securities with a statutory lock in of 3 years and tax benefit</t>
  </si>
  <si>
    <t>• Capital appreciation over long term
• Investing predominantly in equities and equity
related instruments of small cap companies</t>
  </si>
  <si>
    <t>• Capital appreciation over long term
• Investing in equities and equity related instruments of companies following the Infrastructure Theme</t>
  </si>
  <si>
    <t>• Capital appreciation over long term
• Investing in equity and equity related securities of companies following the Consumption and Financial Theme</t>
  </si>
  <si>
    <t>•  Regular income over short  term that may be in line with the overnight call rates
•  Investment in Overnight Securities</t>
  </si>
  <si>
    <t>•  Income/ Capital appreciation while maintaining a level of high liquidity
• Investment in a mix of Debt and Money Market instruments with maturity of upto 91 days only</t>
  </si>
  <si>
    <t>• Income/ Capital appreciation over ultra-short term through a low risk strategy
• Investment in a mix of Debt and Money Market instruments such that the Macaulay duration of the portfolio is between 3 months and 6 months</t>
  </si>
  <si>
    <t xml:space="preserve">• Income / Capital appreciation through a low duration strategy
• Investment in debt &amp; money market instruments such that the Macaulay duration of the portfolio is between 6 months and 12 months </t>
  </si>
  <si>
    <t>• Income / capital appreciation over short term
•Investment in debt &amp; money market instruments such that the Macaulay duration of the portfolio is between 1 year and 3 years</t>
  </si>
  <si>
    <t>• Income / capital appreciation through a low credit risk strategy
• Investment in a portfolio constituted predominantly of AA+ and above rated corporate bonds</t>
  </si>
  <si>
    <t>• Income/ Capital appreciation by dynamically managing duration
• Investment in Debt and Money Market securities across duration</t>
  </si>
  <si>
    <t>• Income / Capital appreciation over Medium to Long term
• Investment in debt &amp; money market instruments such that the Macaulay duration of the portfolio is between 4 years and 7 years (Portfolio Macaulay duration under anticipated adverse situation is 1 year to 7 years)</t>
  </si>
  <si>
    <t>• Risk free return (except interest rate risk) and long term capital appreciation
•  Investment in government securities across maturity</t>
  </si>
  <si>
    <t xml:space="preserve">• Income / Capital appreciation over medium term to long term.
• Investment predominantly in debt and money market instruments and small portion in equity </t>
  </si>
  <si>
    <t>•  Income/capital appreciation over long term
•  Investment predominantly in equity and equity related instruments and a small portion in debt and money market instruments</t>
  </si>
  <si>
    <t>CANARA ROBECO CAPITAL PROTECTION ORIENTED FUND– SERIES 10</t>
  </si>
  <si>
    <t>• Capital protection at maturity and capital appreciation over medium term
• Investment in debt and money market securities (70%-100%) and equity and equity related instruments (0%-30%)</t>
  </si>
  <si>
    <t>• Generate income over the tenure of the scheme
• Generate income by investing in debt and money market instruments</t>
  </si>
  <si>
    <t>• Long term capital appreciation
• Investment in equity and equity related securities across market capitalisation in maximum 30 stocks.</t>
  </si>
  <si>
    <t>*Investors should consult their financial advisers if in doubt about whether the product is suitable for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</si>
</sst>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b/>
      <sz val="9"/>
      <color indexed="72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sz val="16"/>
      <color theme="1"/>
      <name val="Taz SemiLight"/>
      <family val="2"/>
    </font>
    <font>
      <sz val="10"/>
      <color theme="1"/>
      <name val="Taz SemiLight"/>
      <family val="2"/>
    </font>
    <font>
      <b/>
      <sz val="12"/>
      <color theme="1"/>
      <name val="Taz SemiLight"/>
      <family val="2"/>
    </font>
    <font>
      <sz val="12"/>
      <color theme="1"/>
      <name val="Taz SemiLight"/>
      <family val="2"/>
    </font>
    <font>
      <b/>
      <sz val="10"/>
      <color theme="1"/>
      <name val="Taz SemiLight"/>
      <family val="2"/>
    </font>
    <font>
      <sz val="10"/>
      <color rgb="FFFF0000"/>
      <name val="Taz SemiLight"/>
      <family val="2"/>
    </font>
    <font>
      <i/>
      <sz val="10"/>
      <color theme="1"/>
      <name val="Taz SemiLight"/>
      <family val="2"/>
    </font>
  </fonts>
  <fills count="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64"/>
      </right>
      <top/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8" fillId="0" borderId="0"/>
  </cellStyleXfs>
  <cellXfs count="84">
    <xf numFmtId="0" fontId="0" fillId="0" borderId="0" xfId="0"/>
    <xf numFmtId="0" fontId="6" fillId="2" borderId="0" xfId="0" applyFont="1" applyFill="1"/>
    <xf numFmtId="0" fontId="3" fillId="2" borderId="0" xfId="0" applyFont="1" applyFill="1" applyAlignment="1">
      <alignment horizontal="left" vertical="top"/>
    </xf>
    <xf numFmtId="0" fontId="4" fillId="2" borderId="0" xfId="0" applyFont="1" applyFill="1" applyAlignment="1">
      <alignment horizontal="left" vertical="top" wrapText="1"/>
    </xf>
    <xf numFmtId="0" fontId="5" fillId="2" borderId="0" xfId="0" applyFont="1" applyFill="1" applyAlignment="1">
      <alignment horizontal="left" vertical="top" wrapText="1"/>
    </xf>
    <xf numFmtId="0" fontId="5" fillId="2" borderId="0" xfId="0" applyNumberFormat="1" applyFont="1" applyFill="1" applyAlignment="1">
      <alignment horizontal="left" vertical="top" wrapText="1"/>
    </xf>
    <xf numFmtId="4" fontId="5" fillId="2" borderId="0" xfId="0" applyNumberFormat="1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NumberFormat="1" applyFont="1" applyFill="1" applyBorder="1" applyAlignment="1">
      <alignment horizontal="center" vertical="center" wrapText="1"/>
    </xf>
    <xf numFmtId="4" fontId="2" fillId="2" borderId="2" xfId="0" applyNumberFormat="1" applyFont="1" applyFill="1" applyBorder="1" applyAlignment="1">
      <alignment horizontal="center" vertical="center" wrapText="1"/>
    </xf>
    <xf numFmtId="4" fontId="2" fillId="2" borderId="3" xfId="0" applyNumberFormat="1" applyFont="1" applyFill="1" applyBorder="1" applyAlignment="1">
      <alignment horizontal="center" vertical="center" wrapText="1"/>
    </xf>
    <xf numFmtId="0" fontId="6" fillId="2" borderId="0" xfId="0" applyNumberFormat="1" applyFont="1" applyFill="1"/>
    <xf numFmtId="4" fontId="6" fillId="2" borderId="0" xfId="0" applyNumberFormat="1" applyFont="1" applyFill="1"/>
    <xf numFmtId="0" fontId="7" fillId="2" borderId="0" xfId="0" applyFont="1" applyFill="1"/>
    <xf numFmtId="4" fontId="7" fillId="2" borderId="0" xfId="0" applyNumberFormat="1" applyFont="1" applyFill="1"/>
    <xf numFmtId="4" fontId="7" fillId="2" borderId="4" xfId="0" applyNumberFormat="1" applyFont="1" applyFill="1" applyBorder="1"/>
    <xf numFmtId="0" fontId="7" fillId="2" borderId="5" xfId="0" applyFont="1" applyFill="1" applyBorder="1"/>
    <xf numFmtId="0" fontId="6" fillId="2" borderId="6" xfId="0" applyFont="1" applyFill="1" applyBorder="1"/>
    <xf numFmtId="0" fontId="6" fillId="2" borderId="6" xfId="0" applyNumberFormat="1" applyFont="1" applyFill="1" applyBorder="1"/>
    <xf numFmtId="4" fontId="6" fillId="2" borderId="6" xfId="0" applyNumberFormat="1" applyFont="1" applyFill="1" applyBorder="1"/>
    <xf numFmtId="4" fontId="6" fillId="2" borderId="7" xfId="0" applyNumberFormat="1" applyFont="1" applyFill="1" applyBorder="1"/>
    <xf numFmtId="0" fontId="7" fillId="2" borderId="8" xfId="0" applyFont="1" applyFill="1" applyBorder="1"/>
    <xf numFmtId="0" fontId="6" fillId="2" borderId="9" xfId="0" applyFont="1" applyFill="1" applyBorder="1"/>
    <xf numFmtId="0" fontId="6" fillId="2" borderId="9" xfId="0" applyNumberFormat="1" applyFont="1" applyFill="1" applyBorder="1"/>
    <xf numFmtId="4" fontId="6" fillId="2" borderId="9" xfId="0" applyNumberFormat="1" applyFont="1" applyFill="1" applyBorder="1"/>
    <xf numFmtId="4" fontId="6" fillId="2" borderId="10" xfId="0" applyNumberFormat="1" applyFont="1" applyFill="1" applyBorder="1"/>
    <xf numFmtId="0" fontId="6" fillId="2" borderId="8" xfId="0" applyFont="1" applyFill="1" applyBorder="1"/>
    <xf numFmtId="3" fontId="6" fillId="2" borderId="9" xfId="0" applyNumberFormat="1" applyFont="1" applyFill="1" applyBorder="1"/>
    <xf numFmtId="0" fontId="7" fillId="2" borderId="11" xfId="0" applyFont="1" applyFill="1" applyBorder="1"/>
    <xf numFmtId="0" fontId="7" fillId="2" borderId="12" xfId="0" applyFont="1" applyFill="1" applyBorder="1"/>
    <xf numFmtId="0" fontId="7" fillId="2" borderId="12" xfId="0" applyNumberFormat="1" applyFont="1" applyFill="1" applyBorder="1"/>
    <xf numFmtId="4" fontId="7" fillId="2" borderId="13" xfId="0" applyNumberFormat="1" applyFont="1" applyFill="1" applyBorder="1"/>
    <xf numFmtId="4" fontId="7" fillId="2" borderId="14" xfId="0" applyNumberFormat="1" applyFont="1" applyFill="1" applyBorder="1"/>
    <xf numFmtId="0" fontId="7" fillId="2" borderId="15" xfId="0" applyFont="1" applyFill="1" applyBorder="1"/>
    <xf numFmtId="0" fontId="7" fillId="2" borderId="15" xfId="0" applyNumberFormat="1" applyFont="1" applyFill="1" applyBorder="1"/>
    <xf numFmtId="4" fontId="7" fillId="2" borderId="15" xfId="0" applyNumberFormat="1" applyFont="1" applyFill="1" applyBorder="1"/>
    <xf numFmtId="0" fontId="7" fillId="2" borderId="16" xfId="0" applyFont="1" applyFill="1" applyBorder="1"/>
    <xf numFmtId="0" fontId="7" fillId="2" borderId="16" xfId="0" applyNumberFormat="1" applyFont="1" applyFill="1" applyBorder="1"/>
    <xf numFmtId="4" fontId="7" fillId="2" borderId="16" xfId="0" applyNumberFormat="1" applyFont="1" applyFill="1" applyBorder="1"/>
    <xf numFmtId="0" fontId="7" fillId="2" borderId="17" xfId="0" applyFont="1" applyFill="1" applyBorder="1"/>
    <xf numFmtId="0" fontId="6" fillId="2" borderId="18" xfId="0" applyFont="1" applyFill="1" applyBorder="1"/>
    <xf numFmtId="0" fontId="6" fillId="2" borderId="18" xfId="0" applyNumberFormat="1" applyFont="1" applyFill="1" applyBorder="1"/>
    <xf numFmtId="4" fontId="6" fillId="2" borderId="18" xfId="0" applyNumberFormat="1" applyFont="1" applyFill="1" applyBorder="1"/>
    <xf numFmtId="0" fontId="7" fillId="2" borderId="4" xfId="0" applyFont="1" applyFill="1" applyBorder="1"/>
    <xf numFmtId="0" fontId="7" fillId="2" borderId="4" xfId="0" applyNumberFormat="1" applyFont="1" applyFill="1" applyBorder="1"/>
    <xf numFmtId="0" fontId="7" fillId="2" borderId="18" xfId="0" applyFont="1" applyFill="1" applyBorder="1"/>
    <xf numFmtId="0" fontId="7" fillId="2" borderId="9" xfId="0" applyFont="1" applyFill="1" applyBorder="1"/>
    <xf numFmtId="4" fontId="7" fillId="2" borderId="12" xfId="0" applyNumberFormat="1" applyFont="1" applyFill="1" applyBorder="1"/>
    <xf numFmtId="0" fontId="7" fillId="2" borderId="19" xfId="0" applyFont="1" applyFill="1" applyBorder="1"/>
    <xf numFmtId="0" fontId="7" fillId="2" borderId="19" xfId="0" applyNumberFormat="1" applyFont="1" applyFill="1" applyBorder="1"/>
    <xf numFmtId="4" fontId="7" fillId="2" borderId="19" xfId="0" applyNumberFormat="1" applyFont="1" applyFill="1" applyBorder="1"/>
    <xf numFmtId="0" fontId="6" fillId="2" borderId="20" xfId="0" applyFont="1" applyFill="1" applyBorder="1"/>
    <xf numFmtId="3" fontId="6" fillId="2" borderId="20" xfId="0" applyNumberFormat="1" applyFont="1" applyFill="1" applyBorder="1"/>
    <xf numFmtId="4" fontId="6" fillId="2" borderId="20" xfId="0" applyNumberFormat="1" applyFont="1" applyFill="1" applyBorder="1"/>
    <xf numFmtId="0" fontId="7" fillId="2" borderId="21" xfId="0" applyFont="1" applyFill="1" applyBorder="1"/>
    <xf numFmtId="0" fontId="7" fillId="2" borderId="21" xfId="0" applyNumberFormat="1" applyFont="1" applyFill="1" applyBorder="1"/>
    <xf numFmtId="4" fontId="7" fillId="2" borderId="21" xfId="0" applyNumberFormat="1" applyFont="1" applyFill="1" applyBorder="1"/>
    <xf numFmtId="0" fontId="7" fillId="2" borderId="6" xfId="0" applyFont="1" applyFill="1" applyBorder="1"/>
    <xf numFmtId="0" fontId="7" fillId="2" borderId="9" xfId="0" applyNumberFormat="1" applyFont="1" applyFill="1" applyBorder="1"/>
    <xf numFmtId="4" fontId="7" fillId="2" borderId="9" xfId="0" applyNumberFormat="1" applyFont="1" applyFill="1" applyBorder="1"/>
    <xf numFmtId="0" fontId="9" fillId="0" borderId="0" xfId="0" applyFont="1" applyBorder="1" applyAlignment="1">
      <alignment horizontal="center"/>
    </xf>
    <xf numFmtId="0" fontId="10" fillId="0" borderId="0" xfId="0" applyFont="1"/>
    <xf numFmtId="0" fontId="11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left" vertical="center" wrapText="1"/>
    </xf>
    <xf numFmtId="0" fontId="13" fillId="4" borderId="4" xfId="1" applyFont="1" applyFill="1" applyBorder="1" applyAlignment="1">
      <alignment horizontal="center" vertical="center" wrapText="1"/>
    </xf>
    <xf numFmtId="0" fontId="10" fillId="4" borderId="4" xfId="1" applyFont="1" applyFill="1" applyBorder="1" applyAlignment="1">
      <alignment horizontal="justify" vertical="center" wrapText="1"/>
    </xf>
    <xf numFmtId="2" fontId="14" fillId="4" borderId="4" xfId="0" applyNumberFormat="1" applyFont="1" applyFill="1" applyBorder="1" applyAlignment="1">
      <alignment horizontal="center"/>
    </xf>
    <xf numFmtId="2" fontId="10" fillId="4" borderId="4" xfId="0" applyNumberFormat="1" applyFont="1" applyFill="1" applyBorder="1" applyAlignment="1">
      <alignment horizontal="center"/>
    </xf>
    <xf numFmtId="0" fontId="10" fillId="0" borderId="4" xfId="1" applyFont="1" applyFill="1" applyBorder="1" applyAlignment="1">
      <alignment horizontal="justify" vertical="center" wrapText="1"/>
    </xf>
    <xf numFmtId="0" fontId="14" fillId="0" borderId="0" xfId="0" applyFont="1"/>
    <xf numFmtId="0" fontId="15" fillId="0" borderId="0" xfId="0" applyFont="1" applyBorder="1" applyAlignment="1">
      <alignment horizontal="left"/>
    </xf>
    <xf numFmtId="0" fontId="15" fillId="0" borderId="0" xfId="0" applyFont="1" applyAlignment="1">
      <alignment horizontal="left" wrapText="1"/>
    </xf>
    <xf numFmtId="0" fontId="13" fillId="0" borderId="0" xfId="0" applyFont="1" applyAlignment="1">
      <alignment horizontal="center"/>
    </xf>
    <xf numFmtId="0" fontId="10" fillId="0" borderId="0" xfId="0" applyFont="1" applyAlignment="1">
      <alignment wrapText="1"/>
    </xf>
    <xf numFmtId="0" fontId="15" fillId="0" borderId="0" xfId="0" applyFont="1" applyFill="1" applyBorder="1" applyAlignment="1">
      <alignment horizontal="left" wrapText="1"/>
    </xf>
    <xf numFmtId="0" fontId="15" fillId="0" borderId="22" xfId="0" applyFont="1" applyFill="1" applyBorder="1" applyAlignment="1">
      <alignment wrapText="1"/>
    </xf>
    <xf numFmtId="0" fontId="15" fillId="0" borderId="0" xfId="0" applyFont="1" applyFill="1" applyBorder="1" applyAlignment="1">
      <alignment wrapText="1"/>
    </xf>
    <xf numFmtId="0" fontId="15" fillId="0" borderId="0" xfId="0" applyFont="1" applyAlignment="1">
      <alignment wrapText="1"/>
    </xf>
    <xf numFmtId="0" fontId="9" fillId="0" borderId="23" xfId="0" applyFont="1" applyBorder="1" applyAlignment="1">
      <alignment horizontal="center"/>
    </xf>
    <xf numFmtId="0" fontId="15" fillId="0" borderId="24" xfId="0" applyFont="1" applyBorder="1" applyAlignment="1">
      <alignment horizontal="left"/>
    </xf>
    <xf numFmtId="0" fontId="15" fillId="0" borderId="25" xfId="0" applyFont="1" applyBorder="1" applyAlignment="1">
      <alignment horizontal="left"/>
    </xf>
    <xf numFmtId="0" fontId="1" fillId="3" borderId="22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Normal 6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2</xdr:row>
      <xdr:rowOff>19050</xdr:rowOff>
    </xdr:from>
    <xdr:to>
      <xdr:col>3</xdr:col>
      <xdr:colOff>1876425</xdr:colOff>
      <xdr:row>3</xdr:row>
      <xdr:rowOff>3487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CFB478-06E3-49A6-96F3-171A5480BD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05525" y="857250"/>
          <a:ext cx="1771650" cy="1241737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</xdr:row>
      <xdr:rowOff>28575</xdr:rowOff>
    </xdr:from>
    <xdr:to>
      <xdr:col>3</xdr:col>
      <xdr:colOff>1809750</xdr:colOff>
      <xdr:row>3</xdr:row>
      <xdr:rowOff>1270312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49D267-CDBC-4EA7-BDF2-5DDD416F05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38850" y="2124075"/>
          <a:ext cx="1771650" cy="1241737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4</xdr:row>
      <xdr:rowOff>19050</xdr:rowOff>
    </xdr:from>
    <xdr:to>
      <xdr:col>3</xdr:col>
      <xdr:colOff>1809750</xdr:colOff>
      <xdr:row>4</xdr:row>
      <xdr:rowOff>1285875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9A6F56F-B752-4122-8452-7F307BAC5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38850" y="3390900"/>
          <a:ext cx="1771650" cy="1266825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5</xdr:row>
      <xdr:rowOff>28575</xdr:rowOff>
    </xdr:from>
    <xdr:to>
      <xdr:col>3</xdr:col>
      <xdr:colOff>1809750</xdr:colOff>
      <xdr:row>5</xdr:row>
      <xdr:rowOff>1295400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136DBFF-C5EF-4570-BE12-CAC3FC14FB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38850" y="4724400"/>
          <a:ext cx="1771650" cy="1266825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6</xdr:row>
      <xdr:rowOff>28575</xdr:rowOff>
    </xdr:from>
    <xdr:to>
      <xdr:col>3</xdr:col>
      <xdr:colOff>1838325</xdr:colOff>
      <xdr:row>6</xdr:row>
      <xdr:rowOff>1295400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6B18D38-0FB8-421F-9317-9F6C18955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67425" y="6038850"/>
          <a:ext cx="1771650" cy="1266825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7</xdr:row>
      <xdr:rowOff>19050</xdr:rowOff>
    </xdr:from>
    <xdr:to>
      <xdr:col>3</xdr:col>
      <xdr:colOff>1809750</xdr:colOff>
      <xdr:row>7</xdr:row>
      <xdr:rowOff>1238249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5E961AF-68EE-4D83-B7F5-77B33DEE51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38850" y="7343775"/>
          <a:ext cx="1771650" cy="1219199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8</xdr:row>
      <xdr:rowOff>28575</xdr:rowOff>
    </xdr:from>
    <xdr:to>
      <xdr:col>3</xdr:col>
      <xdr:colOff>1819275</xdr:colOff>
      <xdr:row>9</xdr:row>
      <xdr:rowOff>1587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023F30D-3464-433A-B6EF-B98E15CBD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48375" y="8610600"/>
          <a:ext cx="1771650" cy="1220787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9</xdr:row>
      <xdr:rowOff>28574</xdr:rowOff>
    </xdr:from>
    <xdr:to>
      <xdr:col>3</xdr:col>
      <xdr:colOff>1849870</xdr:colOff>
      <xdr:row>9</xdr:row>
      <xdr:rowOff>1219199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4854270-9C5B-4C2E-8CCD-9798BFB33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57900" y="9858374"/>
          <a:ext cx="1792720" cy="1190625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10</xdr:row>
      <xdr:rowOff>28574</xdr:rowOff>
    </xdr:from>
    <xdr:to>
      <xdr:col>3</xdr:col>
      <xdr:colOff>1838325</xdr:colOff>
      <xdr:row>10</xdr:row>
      <xdr:rowOff>1228725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084AB83-4244-4DE4-A20A-6DB638C27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48375" y="11106149"/>
          <a:ext cx="1790700" cy="1200151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11</xdr:row>
      <xdr:rowOff>19050</xdr:rowOff>
    </xdr:from>
    <xdr:to>
      <xdr:col>3</xdr:col>
      <xdr:colOff>1828800</xdr:colOff>
      <xdr:row>11</xdr:row>
      <xdr:rowOff>1219201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C70AE55-F03C-45EC-8D47-F95D027FD5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38850" y="12334875"/>
          <a:ext cx="1790700" cy="1200151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12</xdr:row>
      <xdr:rowOff>28575</xdr:rowOff>
    </xdr:from>
    <xdr:to>
      <xdr:col>3</xdr:col>
      <xdr:colOff>1866900</xdr:colOff>
      <xdr:row>12</xdr:row>
      <xdr:rowOff>1228726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6819020-0338-4EEA-92B2-BA5DFA947E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76950" y="13582650"/>
          <a:ext cx="1790700" cy="1200151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13</xdr:row>
      <xdr:rowOff>28575</xdr:rowOff>
    </xdr:from>
    <xdr:to>
      <xdr:col>3</xdr:col>
      <xdr:colOff>1819275</xdr:colOff>
      <xdr:row>13</xdr:row>
      <xdr:rowOff>1228726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77DE2D3-5B1E-4573-9A39-841BE6936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14820900"/>
          <a:ext cx="1790700" cy="1200151"/>
        </a:xfrm>
        <a:prstGeom prst="rect">
          <a:avLst/>
        </a:prstGeom>
      </xdr:spPr>
    </xdr:pic>
    <xdr:clientData/>
  </xdr:twoCellAnchor>
  <xdr:twoCellAnchor editAs="oneCell">
    <xdr:from>
      <xdr:col>3</xdr:col>
      <xdr:colOff>104775</xdr:colOff>
      <xdr:row>19</xdr:row>
      <xdr:rowOff>19049</xdr:rowOff>
    </xdr:from>
    <xdr:to>
      <xdr:col>3</xdr:col>
      <xdr:colOff>1871451</xdr:colOff>
      <xdr:row>20</xdr:row>
      <xdr:rowOff>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55E06E5-9281-4D23-B1B3-E2D9FE374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05525" y="22393274"/>
          <a:ext cx="1766676" cy="1323976"/>
        </a:xfrm>
        <a:prstGeom prst="rect">
          <a:avLst/>
        </a:prstGeom>
      </xdr:spPr>
    </xdr:pic>
    <xdr:clientData/>
  </xdr:twoCellAnchor>
  <xdr:twoCellAnchor editAs="oneCell">
    <xdr:from>
      <xdr:col>3</xdr:col>
      <xdr:colOff>123825</xdr:colOff>
      <xdr:row>20</xdr:row>
      <xdr:rowOff>19050</xdr:rowOff>
    </xdr:from>
    <xdr:to>
      <xdr:col>3</xdr:col>
      <xdr:colOff>1895475</xdr:colOff>
      <xdr:row>20</xdr:row>
      <xdr:rowOff>1228724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701E1CED-1925-4A98-9A3C-9E6D0952E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4575" y="23736300"/>
          <a:ext cx="1771650" cy="120967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16</xdr:row>
      <xdr:rowOff>28575</xdr:rowOff>
    </xdr:from>
    <xdr:to>
      <xdr:col>3</xdr:col>
      <xdr:colOff>1819275</xdr:colOff>
      <xdr:row>16</xdr:row>
      <xdr:rowOff>1238249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DC5D74E0-20C2-4FC0-90F1-E8954060B1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48375" y="18573750"/>
          <a:ext cx="1771650" cy="1209674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15</xdr:row>
      <xdr:rowOff>28575</xdr:rowOff>
    </xdr:from>
    <xdr:to>
      <xdr:col>3</xdr:col>
      <xdr:colOff>1828800</xdr:colOff>
      <xdr:row>15</xdr:row>
      <xdr:rowOff>1238249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9AF62437-6623-449D-B14F-93FCDC5FFD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57900" y="17306925"/>
          <a:ext cx="1771650" cy="1209674"/>
        </a:xfrm>
        <a:prstGeom prst="rect">
          <a:avLst/>
        </a:prstGeom>
      </xdr:spPr>
    </xdr:pic>
    <xdr:clientData/>
  </xdr:twoCellAnchor>
  <xdr:oneCellAnchor>
    <xdr:from>
      <xdr:col>3</xdr:col>
      <xdr:colOff>57150</xdr:colOff>
      <xdr:row>14</xdr:row>
      <xdr:rowOff>28575</xdr:rowOff>
    </xdr:from>
    <xdr:ext cx="1790700" cy="1200151"/>
    <xdr:pic>
      <xdr:nvPicPr>
        <xdr:cNvPr id="18" name="Picture 17">
          <a:extLst>
            <a:ext uri="{FF2B5EF4-FFF2-40B4-BE49-F238E27FC236}">
              <a16:creationId xmlns:a16="http://schemas.microsoft.com/office/drawing/2014/main" id="{B840CF41-392C-4513-A361-4E23D1E8D9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57900" y="16068675"/>
          <a:ext cx="1790700" cy="1200151"/>
        </a:xfrm>
        <a:prstGeom prst="rect">
          <a:avLst/>
        </a:prstGeom>
      </xdr:spPr>
    </xdr:pic>
    <xdr:clientData/>
  </xdr:oneCellAnchor>
  <xdr:twoCellAnchor editAs="oneCell">
    <xdr:from>
      <xdr:col>3</xdr:col>
      <xdr:colOff>114300</xdr:colOff>
      <xdr:row>22</xdr:row>
      <xdr:rowOff>28575</xdr:rowOff>
    </xdr:from>
    <xdr:to>
      <xdr:col>3</xdr:col>
      <xdr:colOff>1885950</xdr:colOff>
      <xdr:row>23</xdr:row>
      <xdr:rowOff>3487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2A4408DA-3260-4BAF-85AD-FD723DB70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15050" y="26269950"/>
          <a:ext cx="1771650" cy="1241737"/>
        </a:xfrm>
        <a:prstGeom prst="rect">
          <a:avLst/>
        </a:prstGeom>
      </xdr:spPr>
    </xdr:pic>
    <xdr:clientData/>
  </xdr:twoCellAnchor>
  <xdr:twoCellAnchor editAs="oneCell">
    <xdr:from>
      <xdr:col>3</xdr:col>
      <xdr:colOff>133350</xdr:colOff>
      <xdr:row>18</xdr:row>
      <xdr:rowOff>28575</xdr:rowOff>
    </xdr:from>
    <xdr:to>
      <xdr:col>3</xdr:col>
      <xdr:colOff>1905000</xdr:colOff>
      <xdr:row>18</xdr:row>
      <xdr:rowOff>1333501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6289DB26-BC49-4B36-A80C-E0CFDDC8B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4100" y="21059775"/>
          <a:ext cx="1771650" cy="1304926"/>
        </a:xfrm>
        <a:prstGeom prst="rect">
          <a:avLst/>
        </a:prstGeom>
      </xdr:spPr>
    </xdr:pic>
    <xdr:clientData/>
  </xdr:twoCellAnchor>
  <xdr:oneCellAnchor>
    <xdr:from>
      <xdr:col>3</xdr:col>
      <xdr:colOff>47625</xdr:colOff>
      <xdr:row>21</xdr:row>
      <xdr:rowOff>19049</xdr:rowOff>
    </xdr:from>
    <xdr:ext cx="1771651" cy="1228726"/>
    <xdr:pic>
      <xdr:nvPicPr>
        <xdr:cNvPr id="21" name="Picture 20">
          <a:extLst>
            <a:ext uri="{FF2B5EF4-FFF2-40B4-BE49-F238E27FC236}">
              <a16:creationId xmlns:a16="http://schemas.microsoft.com/office/drawing/2014/main" id="{D032CEA7-79B9-49F1-951A-4620DDD44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48375" y="24993599"/>
          <a:ext cx="1771651" cy="1228726"/>
        </a:xfrm>
        <a:prstGeom prst="rect">
          <a:avLst/>
        </a:prstGeom>
      </xdr:spPr>
    </xdr:pic>
    <xdr:clientData/>
  </xdr:oneCellAnchor>
  <xdr:oneCellAnchor>
    <xdr:from>
      <xdr:col>4</xdr:col>
      <xdr:colOff>104775</xdr:colOff>
      <xdr:row>2</xdr:row>
      <xdr:rowOff>9525</xdr:rowOff>
    </xdr:from>
    <xdr:ext cx="1771650" cy="1241737"/>
    <xdr:pic>
      <xdr:nvPicPr>
        <xdr:cNvPr id="22" name="Picture 21">
          <a:extLst>
            <a:ext uri="{FF2B5EF4-FFF2-40B4-BE49-F238E27FC236}">
              <a16:creationId xmlns:a16="http://schemas.microsoft.com/office/drawing/2014/main" id="{A657A970-1BE1-48BA-9D1A-15E70E1DCB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9575" y="847725"/>
          <a:ext cx="1771650" cy="1241737"/>
        </a:xfrm>
        <a:prstGeom prst="rect">
          <a:avLst/>
        </a:prstGeom>
      </xdr:spPr>
    </xdr:pic>
    <xdr:clientData/>
  </xdr:oneCellAnchor>
  <xdr:oneCellAnchor>
    <xdr:from>
      <xdr:col>4</xdr:col>
      <xdr:colOff>85725</xdr:colOff>
      <xdr:row>3</xdr:row>
      <xdr:rowOff>38100</xdr:rowOff>
    </xdr:from>
    <xdr:ext cx="1771650" cy="1241737"/>
    <xdr:pic>
      <xdr:nvPicPr>
        <xdr:cNvPr id="23" name="Picture 22">
          <a:extLst>
            <a:ext uri="{FF2B5EF4-FFF2-40B4-BE49-F238E27FC236}">
              <a16:creationId xmlns:a16="http://schemas.microsoft.com/office/drawing/2014/main" id="{C9970239-65AA-4FAA-99A6-EB0B1349CA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0525" y="2133600"/>
          <a:ext cx="1771650" cy="1241737"/>
        </a:xfrm>
        <a:prstGeom prst="rect">
          <a:avLst/>
        </a:prstGeom>
      </xdr:spPr>
    </xdr:pic>
    <xdr:clientData/>
  </xdr:oneCellAnchor>
  <xdr:oneCellAnchor>
    <xdr:from>
      <xdr:col>4</xdr:col>
      <xdr:colOff>57150</xdr:colOff>
      <xdr:row>4</xdr:row>
      <xdr:rowOff>38100</xdr:rowOff>
    </xdr:from>
    <xdr:ext cx="1771650" cy="1266825"/>
    <xdr:pic>
      <xdr:nvPicPr>
        <xdr:cNvPr id="24" name="Picture 23">
          <a:extLst>
            <a:ext uri="{FF2B5EF4-FFF2-40B4-BE49-F238E27FC236}">
              <a16:creationId xmlns:a16="http://schemas.microsoft.com/office/drawing/2014/main" id="{298F1F62-2EA9-42BE-A3A1-3A6DC9BE7E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1950" y="3409950"/>
          <a:ext cx="1771650" cy="1266825"/>
        </a:xfrm>
        <a:prstGeom prst="rect">
          <a:avLst/>
        </a:prstGeom>
      </xdr:spPr>
    </xdr:pic>
    <xdr:clientData/>
  </xdr:oneCellAnchor>
  <xdr:oneCellAnchor>
    <xdr:from>
      <xdr:col>4</xdr:col>
      <xdr:colOff>95250</xdr:colOff>
      <xdr:row>5</xdr:row>
      <xdr:rowOff>19050</xdr:rowOff>
    </xdr:from>
    <xdr:ext cx="1771650" cy="1266825"/>
    <xdr:pic>
      <xdr:nvPicPr>
        <xdr:cNvPr id="25" name="Picture 24">
          <a:extLst>
            <a:ext uri="{FF2B5EF4-FFF2-40B4-BE49-F238E27FC236}">
              <a16:creationId xmlns:a16="http://schemas.microsoft.com/office/drawing/2014/main" id="{9058F191-2C9C-4138-BE3D-92E0E0C871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0050" y="4714875"/>
          <a:ext cx="1771650" cy="1266825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6</xdr:row>
      <xdr:rowOff>47625</xdr:rowOff>
    </xdr:from>
    <xdr:ext cx="1771650" cy="1266825"/>
    <xdr:pic>
      <xdr:nvPicPr>
        <xdr:cNvPr id="26" name="Picture 25">
          <a:extLst>
            <a:ext uri="{FF2B5EF4-FFF2-40B4-BE49-F238E27FC236}">
              <a16:creationId xmlns:a16="http://schemas.microsoft.com/office/drawing/2014/main" id="{2857670F-2A1B-41FF-AD88-B4BB3C10FA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62900" y="6057900"/>
          <a:ext cx="1771650" cy="1266825"/>
        </a:xfrm>
        <a:prstGeom prst="rect">
          <a:avLst/>
        </a:prstGeom>
      </xdr:spPr>
    </xdr:pic>
    <xdr:clientData/>
  </xdr:oneCellAnchor>
  <xdr:oneCellAnchor>
    <xdr:from>
      <xdr:col>4</xdr:col>
      <xdr:colOff>76200</xdr:colOff>
      <xdr:row>7</xdr:row>
      <xdr:rowOff>19050</xdr:rowOff>
    </xdr:from>
    <xdr:ext cx="1771650" cy="1219199"/>
    <xdr:pic>
      <xdr:nvPicPr>
        <xdr:cNvPr id="27" name="Picture 26">
          <a:extLst>
            <a:ext uri="{FF2B5EF4-FFF2-40B4-BE49-F238E27FC236}">
              <a16:creationId xmlns:a16="http://schemas.microsoft.com/office/drawing/2014/main" id="{6F1EECAC-FC91-4DBF-B666-BB35A5FA6D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1000" y="7343775"/>
          <a:ext cx="1771650" cy="1219199"/>
        </a:xfrm>
        <a:prstGeom prst="rect">
          <a:avLst/>
        </a:prstGeom>
      </xdr:spPr>
    </xdr:pic>
    <xdr:clientData/>
  </xdr:oneCellAnchor>
  <xdr:oneCellAnchor>
    <xdr:from>
      <xdr:col>4</xdr:col>
      <xdr:colOff>66675</xdr:colOff>
      <xdr:row>8</xdr:row>
      <xdr:rowOff>28575</xdr:rowOff>
    </xdr:from>
    <xdr:ext cx="1771650" cy="1220787"/>
    <xdr:pic>
      <xdr:nvPicPr>
        <xdr:cNvPr id="28" name="Picture 27">
          <a:extLst>
            <a:ext uri="{FF2B5EF4-FFF2-40B4-BE49-F238E27FC236}">
              <a16:creationId xmlns:a16="http://schemas.microsoft.com/office/drawing/2014/main" id="{5AD5FC44-487C-4500-9AF9-37A15E9EF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91475" y="8610600"/>
          <a:ext cx="1771650" cy="1220787"/>
        </a:xfrm>
        <a:prstGeom prst="rect">
          <a:avLst/>
        </a:prstGeom>
      </xdr:spPr>
    </xdr:pic>
    <xdr:clientData/>
  </xdr:oneCellAnchor>
  <xdr:oneCellAnchor>
    <xdr:from>
      <xdr:col>4</xdr:col>
      <xdr:colOff>114300</xdr:colOff>
      <xdr:row>9</xdr:row>
      <xdr:rowOff>47624</xdr:rowOff>
    </xdr:from>
    <xdr:ext cx="1792720" cy="1190625"/>
    <xdr:pic>
      <xdr:nvPicPr>
        <xdr:cNvPr id="29" name="Picture 28">
          <a:extLst>
            <a:ext uri="{FF2B5EF4-FFF2-40B4-BE49-F238E27FC236}">
              <a16:creationId xmlns:a16="http://schemas.microsoft.com/office/drawing/2014/main" id="{4ED0F552-BAEA-4731-B109-B1ABBB8E9C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9100" y="9877424"/>
          <a:ext cx="1792720" cy="1190625"/>
        </a:xfrm>
        <a:prstGeom prst="rect">
          <a:avLst/>
        </a:prstGeom>
      </xdr:spPr>
    </xdr:pic>
    <xdr:clientData/>
  </xdr:oneCellAnchor>
  <xdr:oneCellAnchor>
    <xdr:from>
      <xdr:col>4</xdr:col>
      <xdr:colOff>85725</xdr:colOff>
      <xdr:row>10</xdr:row>
      <xdr:rowOff>28574</xdr:rowOff>
    </xdr:from>
    <xdr:ext cx="1790700" cy="1200151"/>
    <xdr:pic>
      <xdr:nvPicPr>
        <xdr:cNvPr id="30" name="Picture 29">
          <a:extLst>
            <a:ext uri="{FF2B5EF4-FFF2-40B4-BE49-F238E27FC236}">
              <a16:creationId xmlns:a16="http://schemas.microsoft.com/office/drawing/2014/main" id="{1A09BB94-913A-478A-8C68-7D49E6EEA4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0525" y="11106149"/>
          <a:ext cx="1790700" cy="1200151"/>
        </a:xfrm>
        <a:prstGeom prst="rect">
          <a:avLst/>
        </a:prstGeom>
      </xdr:spPr>
    </xdr:pic>
    <xdr:clientData/>
  </xdr:oneCellAnchor>
  <xdr:oneCellAnchor>
    <xdr:from>
      <xdr:col>4</xdr:col>
      <xdr:colOff>85725</xdr:colOff>
      <xdr:row>11</xdr:row>
      <xdr:rowOff>19050</xdr:rowOff>
    </xdr:from>
    <xdr:ext cx="1790700" cy="1200151"/>
    <xdr:pic>
      <xdr:nvPicPr>
        <xdr:cNvPr id="31" name="Picture 30">
          <a:extLst>
            <a:ext uri="{FF2B5EF4-FFF2-40B4-BE49-F238E27FC236}">
              <a16:creationId xmlns:a16="http://schemas.microsoft.com/office/drawing/2014/main" id="{1C555760-FDA4-45E9-B44C-72AAFCE3F0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0525" y="12334875"/>
          <a:ext cx="1790700" cy="1200151"/>
        </a:xfrm>
        <a:prstGeom prst="rect">
          <a:avLst/>
        </a:prstGeom>
      </xdr:spPr>
    </xdr:pic>
    <xdr:clientData/>
  </xdr:oneCellAnchor>
  <xdr:oneCellAnchor>
    <xdr:from>
      <xdr:col>4</xdr:col>
      <xdr:colOff>114300</xdr:colOff>
      <xdr:row>12</xdr:row>
      <xdr:rowOff>38100</xdr:rowOff>
    </xdr:from>
    <xdr:ext cx="1790700" cy="1200151"/>
    <xdr:pic>
      <xdr:nvPicPr>
        <xdr:cNvPr id="32" name="Picture 31">
          <a:extLst>
            <a:ext uri="{FF2B5EF4-FFF2-40B4-BE49-F238E27FC236}">
              <a16:creationId xmlns:a16="http://schemas.microsoft.com/office/drawing/2014/main" id="{872F1A3E-CED3-49CA-823B-54D8216AF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9100" y="13592175"/>
          <a:ext cx="1790700" cy="1200151"/>
        </a:xfrm>
        <a:prstGeom prst="rect">
          <a:avLst/>
        </a:prstGeom>
      </xdr:spPr>
    </xdr:pic>
    <xdr:clientData/>
  </xdr:oneCellAnchor>
  <xdr:oneCellAnchor>
    <xdr:from>
      <xdr:col>4</xdr:col>
      <xdr:colOff>133350</xdr:colOff>
      <xdr:row>13</xdr:row>
      <xdr:rowOff>28575</xdr:rowOff>
    </xdr:from>
    <xdr:ext cx="1790700" cy="1200151"/>
    <xdr:pic>
      <xdr:nvPicPr>
        <xdr:cNvPr id="33" name="Picture 32">
          <a:extLst>
            <a:ext uri="{FF2B5EF4-FFF2-40B4-BE49-F238E27FC236}">
              <a16:creationId xmlns:a16="http://schemas.microsoft.com/office/drawing/2014/main" id="{0C5710A1-6FC4-4FD3-88F2-1E47D7EA6F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58150" y="14820900"/>
          <a:ext cx="1790700" cy="1200151"/>
        </a:xfrm>
        <a:prstGeom prst="rect">
          <a:avLst/>
        </a:prstGeom>
      </xdr:spPr>
    </xdr:pic>
    <xdr:clientData/>
  </xdr:oneCellAnchor>
  <xdr:oneCellAnchor>
    <xdr:from>
      <xdr:col>4</xdr:col>
      <xdr:colOff>85725</xdr:colOff>
      <xdr:row>19</xdr:row>
      <xdr:rowOff>9524</xdr:rowOff>
    </xdr:from>
    <xdr:ext cx="1766676" cy="1323976"/>
    <xdr:pic>
      <xdr:nvPicPr>
        <xdr:cNvPr id="34" name="Picture 33">
          <a:extLst>
            <a:ext uri="{FF2B5EF4-FFF2-40B4-BE49-F238E27FC236}">
              <a16:creationId xmlns:a16="http://schemas.microsoft.com/office/drawing/2014/main" id="{D325BDA4-BFE7-4EC3-B7A1-88C6E1EF9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0525" y="22383749"/>
          <a:ext cx="1766676" cy="1323976"/>
        </a:xfrm>
        <a:prstGeom prst="rect">
          <a:avLst/>
        </a:prstGeom>
      </xdr:spPr>
    </xdr:pic>
    <xdr:clientData/>
  </xdr:oneCellAnchor>
  <xdr:oneCellAnchor>
    <xdr:from>
      <xdr:col>4</xdr:col>
      <xdr:colOff>76200</xdr:colOff>
      <xdr:row>20</xdr:row>
      <xdr:rowOff>38100</xdr:rowOff>
    </xdr:from>
    <xdr:ext cx="1771650" cy="1209674"/>
    <xdr:pic>
      <xdr:nvPicPr>
        <xdr:cNvPr id="35" name="Picture 34">
          <a:extLst>
            <a:ext uri="{FF2B5EF4-FFF2-40B4-BE49-F238E27FC236}">
              <a16:creationId xmlns:a16="http://schemas.microsoft.com/office/drawing/2014/main" id="{6E8EDA70-B2C0-4E4A-9353-D2E8C674E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1000" y="23755350"/>
          <a:ext cx="1771650" cy="1209674"/>
        </a:xfrm>
        <a:prstGeom prst="rect">
          <a:avLst/>
        </a:prstGeom>
      </xdr:spPr>
    </xdr:pic>
    <xdr:clientData/>
  </xdr:oneCellAnchor>
  <xdr:oneCellAnchor>
    <xdr:from>
      <xdr:col>4</xdr:col>
      <xdr:colOff>47625</xdr:colOff>
      <xdr:row>16</xdr:row>
      <xdr:rowOff>28575</xdr:rowOff>
    </xdr:from>
    <xdr:ext cx="1771650" cy="1209674"/>
    <xdr:pic>
      <xdr:nvPicPr>
        <xdr:cNvPr id="36" name="Picture 35">
          <a:extLst>
            <a:ext uri="{FF2B5EF4-FFF2-40B4-BE49-F238E27FC236}">
              <a16:creationId xmlns:a16="http://schemas.microsoft.com/office/drawing/2014/main" id="{68A7A5FB-0811-4E81-B7CB-AEB86F8637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72425" y="18573750"/>
          <a:ext cx="1771650" cy="1209674"/>
        </a:xfrm>
        <a:prstGeom prst="rect">
          <a:avLst/>
        </a:prstGeom>
      </xdr:spPr>
    </xdr:pic>
    <xdr:clientData/>
  </xdr:oneCellAnchor>
  <xdr:oneCellAnchor>
    <xdr:from>
      <xdr:col>4</xdr:col>
      <xdr:colOff>95250</xdr:colOff>
      <xdr:row>15</xdr:row>
      <xdr:rowOff>28575</xdr:rowOff>
    </xdr:from>
    <xdr:ext cx="1771650" cy="1209674"/>
    <xdr:pic>
      <xdr:nvPicPr>
        <xdr:cNvPr id="37" name="Picture 36">
          <a:extLst>
            <a:ext uri="{FF2B5EF4-FFF2-40B4-BE49-F238E27FC236}">
              <a16:creationId xmlns:a16="http://schemas.microsoft.com/office/drawing/2014/main" id="{B4322AF7-ED91-472A-956F-E7C5B2DFE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0050" y="17306925"/>
          <a:ext cx="1771650" cy="1209674"/>
        </a:xfrm>
        <a:prstGeom prst="rect">
          <a:avLst/>
        </a:prstGeom>
      </xdr:spPr>
    </xdr:pic>
    <xdr:clientData/>
  </xdr:oneCellAnchor>
  <xdr:oneCellAnchor>
    <xdr:from>
      <xdr:col>4</xdr:col>
      <xdr:colOff>57150</xdr:colOff>
      <xdr:row>14</xdr:row>
      <xdr:rowOff>28575</xdr:rowOff>
    </xdr:from>
    <xdr:ext cx="1790700" cy="1200151"/>
    <xdr:pic>
      <xdr:nvPicPr>
        <xdr:cNvPr id="38" name="Picture 37">
          <a:extLst>
            <a:ext uri="{FF2B5EF4-FFF2-40B4-BE49-F238E27FC236}">
              <a16:creationId xmlns:a16="http://schemas.microsoft.com/office/drawing/2014/main" id="{2BF191C3-2781-49E0-952A-70A90A44F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1950" y="16068675"/>
          <a:ext cx="1790700" cy="1200151"/>
        </a:xfrm>
        <a:prstGeom prst="rect">
          <a:avLst/>
        </a:prstGeom>
      </xdr:spPr>
    </xdr:pic>
    <xdr:clientData/>
  </xdr:oneCellAnchor>
  <xdr:oneCellAnchor>
    <xdr:from>
      <xdr:col>4</xdr:col>
      <xdr:colOff>114300</xdr:colOff>
      <xdr:row>22</xdr:row>
      <xdr:rowOff>28575</xdr:rowOff>
    </xdr:from>
    <xdr:ext cx="1771650" cy="1241737"/>
    <xdr:pic>
      <xdr:nvPicPr>
        <xdr:cNvPr id="39" name="Picture 38">
          <a:extLst>
            <a:ext uri="{FF2B5EF4-FFF2-40B4-BE49-F238E27FC236}">
              <a16:creationId xmlns:a16="http://schemas.microsoft.com/office/drawing/2014/main" id="{A3E24D52-3B72-4B21-BF34-7F358A2CD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9100" y="26269950"/>
          <a:ext cx="1771650" cy="1241737"/>
        </a:xfrm>
        <a:prstGeom prst="rect">
          <a:avLst/>
        </a:prstGeom>
      </xdr:spPr>
    </xdr:pic>
    <xdr:clientData/>
  </xdr:oneCellAnchor>
  <xdr:oneCellAnchor>
    <xdr:from>
      <xdr:col>4</xdr:col>
      <xdr:colOff>114300</xdr:colOff>
      <xdr:row>18</xdr:row>
      <xdr:rowOff>28575</xdr:rowOff>
    </xdr:from>
    <xdr:ext cx="1771650" cy="1304926"/>
    <xdr:pic>
      <xdr:nvPicPr>
        <xdr:cNvPr id="40" name="Picture 39">
          <a:extLst>
            <a:ext uri="{FF2B5EF4-FFF2-40B4-BE49-F238E27FC236}">
              <a16:creationId xmlns:a16="http://schemas.microsoft.com/office/drawing/2014/main" id="{BCF8546D-53DE-4E44-9EF7-C2A0AADCE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9100" y="21059775"/>
          <a:ext cx="1771650" cy="1304926"/>
        </a:xfrm>
        <a:prstGeom prst="rect">
          <a:avLst/>
        </a:prstGeom>
      </xdr:spPr>
    </xdr:pic>
    <xdr:clientData/>
  </xdr:oneCellAnchor>
  <xdr:oneCellAnchor>
    <xdr:from>
      <xdr:col>4</xdr:col>
      <xdr:colOff>104775</xdr:colOff>
      <xdr:row>21</xdr:row>
      <xdr:rowOff>38099</xdr:rowOff>
    </xdr:from>
    <xdr:ext cx="1771651" cy="1228726"/>
    <xdr:pic>
      <xdr:nvPicPr>
        <xdr:cNvPr id="41" name="Picture 40">
          <a:extLst>
            <a:ext uri="{FF2B5EF4-FFF2-40B4-BE49-F238E27FC236}">
              <a16:creationId xmlns:a16="http://schemas.microsoft.com/office/drawing/2014/main" id="{93E0AFC6-F67A-4794-B06C-B6EBD79930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9575" y="25012649"/>
          <a:ext cx="1771651" cy="1228726"/>
        </a:xfrm>
        <a:prstGeom prst="rect">
          <a:avLst/>
        </a:prstGeom>
      </xdr:spPr>
    </xdr:pic>
    <xdr:clientData/>
  </xdr:oneCellAnchor>
  <xdr:oneCellAnchor>
    <xdr:from>
      <xdr:col>3</xdr:col>
      <xdr:colOff>66675</xdr:colOff>
      <xdr:row>17</xdr:row>
      <xdr:rowOff>38100</xdr:rowOff>
    </xdr:from>
    <xdr:ext cx="1790700" cy="1200151"/>
    <xdr:pic>
      <xdr:nvPicPr>
        <xdr:cNvPr id="42" name="Picture 41">
          <a:extLst>
            <a:ext uri="{FF2B5EF4-FFF2-40B4-BE49-F238E27FC236}">
              <a16:creationId xmlns:a16="http://schemas.microsoft.com/office/drawing/2014/main" id="{FD446B3D-3561-4A40-B0A0-10822BB17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67425" y="19831050"/>
          <a:ext cx="1790700" cy="1200151"/>
        </a:xfrm>
        <a:prstGeom prst="rect">
          <a:avLst/>
        </a:prstGeom>
      </xdr:spPr>
    </xdr:pic>
    <xdr:clientData/>
  </xdr:oneCellAnchor>
  <xdr:oneCellAnchor>
    <xdr:from>
      <xdr:col>4</xdr:col>
      <xdr:colOff>85725</xdr:colOff>
      <xdr:row>17</xdr:row>
      <xdr:rowOff>19050</xdr:rowOff>
    </xdr:from>
    <xdr:ext cx="1790700" cy="1200151"/>
    <xdr:pic>
      <xdr:nvPicPr>
        <xdr:cNvPr id="43" name="Picture 42">
          <a:extLst>
            <a:ext uri="{FF2B5EF4-FFF2-40B4-BE49-F238E27FC236}">
              <a16:creationId xmlns:a16="http://schemas.microsoft.com/office/drawing/2014/main" id="{E7119404-56F9-4E27-A471-74FAEE6CE7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0525" y="19812000"/>
          <a:ext cx="1790700" cy="120015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tabSelected="1" zoomScaleNormal="100" workbookViewId="0">
      <selection activeCell="E2" sqref="E2"/>
    </sheetView>
  </sheetViews>
  <sheetFormatPr defaultRowHeight="12.75"/>
  <cols>
    <col min="1" max="1" width="7.7109375" style="73" customWidth="1"/>
    <col min="2" max="2" width="32.28515625" style="74" customWidth="1"/>
    <col min="3" max="3" width="50" style="62" customWidth="1"/>
    <col min="4" max="5" width="28.85546875" style="62" customWidth="1"/>
    <col min="6" max="16384" width="9.140625" style="62"/>
  </cols>
  <sheetData>
    <row r="1" spans="1:5" ht="20.25">
      <c r="A1" s="79" t="s">
        <v>758</v>
      </c>
      <c r="B1" s="79"/>
      <c r="C1" s="79"/>
      <c r="D1" s="79"/>
      <c r="E1" s="61"/>
    </row>
    <row r="2" spans="1:5" ht="45.75">
      <c r="A2" s="63" t="s">
        <v>759</v>
      </c>
      <c r="B2" s="63" t="s">
        <v>760</v>
      </c>
      <c r="C2" s="64" t="s">
        <v>761</v>
      </c>
      <c r="D2" s="63" t="s">
        <v>762</v>
      </c>
      <c r="E2" s="63" t="s">
        <v>763</v>
      </c>
    </row>
    <row r="3" spans="1:5" ht="99" customHeight="1">
      <c r="A3" s="65">
        <v>1</v>
      </c>
      <c r="B3" s="66" t="s">
        <v>13</v>
      </c>
      <c r="C3" s="66" t="s">
        <v>764</v>
      </c>
      <c r="D3" s="67"/>
      <c r="E3" s="67"/>
    </row>
    <row r="4" spans="1:5" ht="100.5" customHeight="1">
      <c r="A4" s="65">
        <v>2</v>
      </c>
      <c r="B4" s="66" t="s">
        <v>9</v>
      </c>
      <c r="C4" s="66" t="s">
        <v>765</v>
      </c>
      <c r="D4" s="67"/>
      <c r="E4" s="67"/>
    </row>
    <row r="5" spans="1:5" ht="104.25" customHeight="1">
      <c r="A5" s="65">
        <v>3</v>
      </c>
      <c r="B5" s="66" t="s">
        <v>11</v>
      </c>
      <c r="C5" s="66" t="s">
        <v>766</v>
      </c>
      <c r="D5" s="67"/>
      <c r="E5" s="67"/>
    </row>
    <row r="6" spans="1:5" ht="103.5" customHeight="1">
      <c r="A6" s="65">
        <v>4</v>
      </c>
      <c r="B6" s="66" t="s">
        <v>10</v>
      </c>
      <c r="C6" s="66" t="s">
        <v>767</v>
      </c>
      <c r="D6" s="67"/>
      <c r="E6" s="67"/>
    </row>
    <row r="7" spans="1:5" ht="103.5" customHeight="1">
      <c r="A7" s="65">
        <v>5</v>
      </c>
      <c r="B7" s="66" t="s">
        <v>14</v>
      </c>
      <c r="C7" s="66" t="s">
        <v>768</v>
      </c>
      <c r="D7" s="67"/>
      <c r="E7" s="67"/>
    </row>
    <row r="8" spans="1:5" ht="99" customHeight="1">
      <c r="A8" s="65">
        <v>6</v>
      </c>
      <c r="B8" s="66" t="s">
        <v>8</v>
      </c>
      <c r="C8" s="66" t="s">
        <v>769</v>
      </c>
      <c r="D8" s="67"/>
      <c r="E8" s="67"/>
    </row>
    <row r="9" spans="1:5" ht="98.25" customHeight="1">
      <c r="A9" s="65">
        <v>7</v>
      </c>
      <c r="B9" s="66" t="s">
        <v>12</v>
      </c>
      <c r="C9" s="66" t="s">
        <v>770</v>
      </c>
      <c r="D9" s="67"/>
      <c r="E9" s="67"/>
    </row>
    <row r="10" spans="1:5" ht="98.25" customHeight="1">
      <c r="A10" s="65">
        <v>8</v>
      </c>
      <c r="B10" s="66" t="s">
        <v>25</v>
      </c>
      <c r="C10" s="66" t="s">
        <v>771</v>
      </c>
      <c r="D10" s="68"/>
      <c r="E10" s="68"/>
    </row>
    <row r="11" spans="1:5" ht="97.5" customHeight="1">
      <c r="A11" s="65">
        <v>9</v>
      </c>
      <c r="B11" s="66" t="s">
        <v>23</v>
      </c>
      <c r="C11" s="66" t="s">
        <v>772</v>
      </c>
      <c r="D11" s="67"/>
      <c r="E11" s="67"/>
    </row>
    <row r="12" spans="1:5" ht="97.5" customHeight="1">
      <c r="A12" s="65">
        <v>10</v>
      </c>
      <c r="B12" s="66" t="s">
        <v>24</v>
      </c>
      <c r="C12" s="66" t="s">
        <v>773</v>
      </c>
      <c r="D12" s="67"/>
      <c r="E12" s="67"/>
    </row>
    <row r="13" spans="1:5" ht="97.5" customHeight="1">
      <c r="A13" s="65">
        <v>11</v>
      </c>
      <c r="B13" s="66" t="s">
        <v>20</v>
      </c>
      <c r="C13" s="66" t="s">
        <v>774</v>
      </c>
      <c r="D13" s="67"/>
      <c r="E13" s="67"/>
    </row>
    <row r="14" spans="1:5" ht="98.25" customHeight="1">
      <c r="A14" s="65">
        <v>12</v>
      </c>
      <c r="B14" s="66" t="s">
        <v>26</v>
      </c>
      <c r="C14" s="66" t="s">
        <v>775</v>
      </c>
      <c r="D14" s="67"/>
      <c r="E14" s="67"/>
    </row>
    <row r="15" spans="1:5" ht="97.5" customHeight="1">
      <c r="A15" s="65">
        <v>13</v>
      </c>
      <c r="B15" s="66" t="s">
        <v>27</v>
      </c>
      <c r="C15" s="66" t="s">
        <v>776</v>
      </c>
      <c r="D15" s="68"/>
      <c r="E15" s="68"/>
    </row>
    <row r="16" spans="1:5" ht="99.75" customHeight="1">
      <c r="A16" s="65">
        <v>14</v>
      </c>
      <c r="B16" s="66" t="s">
        <v>17</v>
      </c>
      <c r="C16" s="66" t="s">
        <v>777</v>
      </c>
      <c r="D16" s="68"/>
      <c r="E16" s="68"/>
    </row>
    <row r="17" spans="1:6" ht="98.25" customHeight="1">
      <c r="A17" s="65">
        <v>15</v>
      </c>
      <c r="B17" s="66" t="s">
        <v>19</v>
      </c>
      <c r="C17" s="66" t="s">
        <v>778</v>
      </c>
      <c r="D17" s="68"/>
      <c r="E17" s="68"/>
    </row>
    <row r="18" spans="1:6" ht="97.5" customHeight="1">
      <c r="A18" s="65">
        <v>16</v>
      </c>
      <c r="B18" s="69" t="s">
        <v>18</v>
      </c>
      <c r="C18" s="66" t="s">
        <v>779</v>
      </c>
      <c r="D18" s="68"/>
      <c r="E18" s="68"/>
    </row>
    <row r="19" spans="1:6" ht="105.75" customHeight="1">
      <c r="A19" s="65">
        <v>17</v>
      </c>
      <c r="B19" s="69" t="s">
        <v>21</v>
      </c>
      <c r="C19" s="66" t="s">
        <v>780</v>
      </c>
      <c r="D19" s="68"/>
      <c r="E19" s="68"/>
    </row>
    <row r="20" spans="1:6" ht="105.75" customHeight="1">
      <c r="A20" s="65">
        <v>18</v>
      </c>
      <c r="B20" s="66" t="s">
        <v>16</v>
      </c>
      <c r="C20" s="66" t="s">
        <v>781</v>
      </c>
      <c r="D20" s="67"/>
      <c r="E20" s="67"/>
    </row>
    <row r="21" spans="1:6" ht="99" customHeight="1">
      <c r="A21" s="65">
        <v>19</v>
      </c>
      <c r="B21" s="66" t="s">
        <v>782</v>
      </c>
      <c r="C21" s="66" t="s">
        <v>783</v>
      </c>
      <c r="D21" s="67"/>
      <c r="E21" s="67"/>
    </row>
    <row r="22" spans="1:6" s="70" customFormat="1" ht="99.75" customHeight="1">
      <c r="A22" s="65">
        <v>20</v>
      </c>
      <c r="B22" s="66" t="s">
        <v>28</v>
      </c>
      <c r="C22" s="66" t="s">
        <v>784</v>
      </c>
      <c r="D22" s="67"/>
      <c r="E22" s="67"/>
      <c r="F22" s="62"/>
    </row>
    <row r="23" spans="1:6" ht="99.75" customHeight="1">
      <c r="A23" s="65">
        <v>21</v>
      </c>
      <c r="B23" s="66" t="s">
        <v>15</v>
      </c>
      <c r="C23" s="66" t="s">
        <v>785</v>
      </c>
      <c r="D23" s="67"/>
      <c r="E23" s="67"/>
    </row>
    <row r="24" spans="1:6" ht="25.5" customHeight="1">
      <c r="A24" s="80" t="s">
        <v>786</v>
      </c>
      <c r="B24" s="81"/>
      <c r="C24" s="81"/>
      <c r="D24" s="81"/>
      <c r="E24" s="71"/>
    </row>
    <row r="25" spans="1:6">
      <c r="A25" s="76"/>
      <c r="B25" s="77"/>
      <c r="C25" s="77"/>
      <c r="D25" s="77"/>
      <c r="E25" s="75"/>
    </row>
    <row r="26" spans="1:6">
      <c r="A26" s="78"/>
      <c r="B26" s="78"/>
      <c r="C26" s="78"/>
      <c r="D26" s="78"/>
      <c r="E26" s="72"/>
    </row>
  </sheetData>
  <mergeCells count="2">
    <mergeCell ref="A1:D1"/>
    <mergeCell ref="A24:D2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7"/>
  <sheetViews>
    <sheetView workbookViewId="0">
      <selection activeCell="B10" sqref="B10"/>
    </sheetView>
  </sheetViews>
  <sheetFormatPr defaultRowHeight="12"/>
  <cols>
    <col min="1" max="1" width="9.140625" style="1"/>
    <col min="2" max="2" width="54" style="1" bestFit="1" customWidth="1"/>
    <col min="3" max="3" width="13.28515625" style="1" bestFit="1" customWidth="1"/>
    <col min="4" max="4" width="23.42578125" style="1" bestFit="1" customWidth="1"/>
    <col min="5" max="5" width="7.710937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7" ht="21" customHeight="1">
      <c r="B1" s="82" t="s">
        <v>8</v>
      </c>
      <c r="C1" s="83"/>
      <c r="D1" s="83"/>
      <c r="E1" s="83"/>
      <c r="F1" s="83"/>
      <c r="G1" s="83"/>
    </row>
    <row r="3" spans="2:7" ht="16.5" thickBot="1">
      <c r="B3" s="2" t="s">
        <v>7</v>
      </c>
      <c r="C3" s="3"/>
      <c r="D3" s="4"/>
      <c r="E3" s="5"/>
      <c r="F3" s="6"/>
      <c r="G3" s="6"/>
    </row>
    <row r="4" spans="2:7" ht="24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7">
      <c r="B5" s="17" t="s">
        <v>30</v>
      </c>
      <c r="C5" s="18"/>
      <c r="D5" s="18"/>
      <c r="E5" s="19"/>
      <c r="F5" s="20"/>
      <c r="G5" s="20"/>
    </row>
    <row r="6" spans="2:7">
      <c r="B6" s="22" t="s">
        <v>31</v>
      </c>
      <c r="C6" s="23"/>
      <c r="D6" s="23"/>
      <c r="E6" s="24"/>
      <c r="F6" s="25"/>
      <c r="G6" s="25"/>
    </row>
    <row r="7" spans="2:7">
      <c r="B7" s="27" t="s">
        <v>32</v>
      </c>
      <c r="C7" s="23" t="s">
        <v>33</v>
      </c>
      <c r="D7" s="23" t="s">
        <v>34</v>
      </c>
      <c r="E7" s="28">
        <v>87800</v>
      </c>
      <c r="F7" s="25">
        <v>1406.07</v>
      </c>
      <c r="G7" s="25">
        <v>9.15</v>
      </c>
    </row>
    <row r="8" spans="2:7">
      <c r="B8" s="27" t="s">
        <v>35</v>
      </c>
      <c r="C8" s="23" t="s">
        <v>36</v>
      </c>
      <c r="D8" s="23" t="s">
        <v>37</v>
      </c>
      <c r="E8" s="28">
        <v>149500</v>
      </c>
      <c r="F8" s="25">
        <v>1020.34</v>
      </c>
      <c r="G8" s="25">
        <v>6.64</v>
      </c>
    </row>
    <row r="9" spans="2:7">
      <c r="B9" s="27" t="s">
        <v>38</v>
      </c>
      <c r="C9" s="23" t="s">
        <v>39</v>
      </c>
      <c r="D9" s="23" t="s">
        <v>40</v>
      </c>
      <c r="E9" s="28">
        <v>367874</v>
      </c>
      <c r="F9" s="25">
        <v>996.39</v>
      </c>
      <c r="G9" s="25">
        <v>6.48</v>
      </c>
    </row>
    <row r="10" spans="2:7">
      <c r="B10" s="27" t="s">
        <v>41</v>
      </c>
      <c r="C10" s="23" t="s">
        <v>42</v>
      </c>
      <c r="D10" s="23" t="s">
        <v>43</v>
      </c>
      <c r="E10" s="28">
        <v>406000</v>
      </c>
      <c r="F10" s="25">
        <v>749.68</v>
      </c>
      <c r="G10" s="25">
        <v>4.88</v>
      </c>
    </row>
    <row r="11" spans="2:7">
      <c r="B11" s="27" t="s">
        <v>44</v>
      </c>
      <c r="C11" s="23" t="s">
        <v>45</v>
      </c>
      <c r="D11" s="23" t="s">
        <v>46</v>
      </c>
      <c r="E11" s="28">
        <v>35750</v>
      </c>
      <c r="F11" s="25">
        <v>698.27</v>
      </c>
      <c r="G11" s="25">
        <v>4.54</v>
      </c>
    </row>
    <row r="12" spans="2:7">
      <c r="B12" s="27" t="s">
        <v>47</v>
      </c>
      <c r="C12" s="23" t="s">
        <v>48</v>
      </c>
      <c r="D12" s="23" t="s">
        <v>40</v>
      </c>
      <c r="E12" s="28">
        <v>220000</v>
      </c>
      <c r="F12" s="25">
        <v>692.78</v>
      </c>
      <c r="G12" s="25">
        <v>4.51</v>
      </c>
    </row>
    <row r="13" spans="2:7">
      <c r="B13" s="27" t="s">
        <v>49</v>
      </c>
      <c r="C13" s="23" t="s">
        <v>50</v>
      </c>
      <c r="D13" s="23" t="s">
        <v>51</v>
      </c>
      <c r="E13" s="28">
        <v>44243</v>
      </c>
      <c r="F13" s="25">
        <v>676.7</v>
      </c>
      <c r="G13" s="25">
        <v>4.4000000000000004</v>
      </c>
    </row>
    <row r="14" spans="2:7">
      <c r="B14" s="27" t="s">
        <v>52</v>
      </c>
      <c r="C14" s="23" t="s">
        <v>53</v>
      </c>
      <c r="D14" s="23" t="s">
        <v>40</v>
      </c>
      <c r="E14" s="28">
        <v>106000</v>
      </c>
      <c r="F14" s="25">
        <v>632.03</v>
      </c>
      <c r="G14" s="25">
        <v>4.1100000000000003</v>
      </c>
    </row>
    <row r="15" spans="2:7">
      <c r="B15" s="27" t="s">
        <v>54</v>
      </c>
      <c r="C15" s="23" t="s">
        <v>55</v>
      </c>
      <c r="D15" s="23" t="s">
        <v>46</v>
      </c>
      <c r="E15" s="28">
        <v>1395</v>
      </c>
      <c r="F15" s="25">
        <v>596.07000000000005</v>
      </c>
      <c r="G15" s="25">
        <v>3.88</v>
      </c>
    </row>
    <row r="16" spans="2:7">
      <c r="B16" s="27" t="s">
        <v>56</v>
      </c>
      <c r="C16" s="23" t="s">
        <v>57</v>
      </c>
      <c r="D16" s="23" t="s">
        <v>37</v>
      </c>
      <c r="E16" s="28">
        <v>137000</v>
      </c>
      <c r="F16" s="25">
        <v>591.57000000000005</v>
      </c>
      <c r="G16" s="25">
        <v>3.85</v>
      </c>
    </row>
    <row r="17" spans="2:7">
      <c r="B17" s="27" t="s">
        <v>58</v>
      </c>
      <c r="C17" s="23" t="s">
        <v>59</v>
      </c>
      <c r="D17" s="23" t="s">
        <v>60</v>
      </c>
      <c r="E17" s="28">
        <v>7700</v>
      </c>
      <c r="F17" s="25">
        <v>528.47</v>
      </c>
      <c r="G17" s="25">
        <v>3.44</v>
      </c>
    </row>
    <row r="18" spans="2:7">
      <c r="B18" s="27" t="s">
        <v>61</v>
      </c>
      <c r="C18" s="23" t="s">
        <v>62</v>
      </c>
      <c r="D18" s="23" t="s">
        <v>63</v>
      </c>
      <c r="E18" s="28">
        <v>6750</v>
      </c>
      <c r="F18" s="25">
        <v>514.29999999999995</v>
      </c>
      <c r="G18" s="25">
        <v>3.35</v>
      </c>
    </row>
    <row r="19" spans="2:7">
      <c r="B19" s="27" t="s">
        <v>64</v>
      </c>
      <c r="C19" s="23" t="s">
        <v>65</v>
      </c>
      <c r="D19" s="23" t="s">
        <v>40</v>
      </c>
      <c r="E19" s="28">
        <v>121772</v>
      </c>
      <c r="F19" s="25">
        <v>476.49</v>
      </c>
      <c r="G19" s="25">
        <v>3.1</v>
      </c>
    </row>
    <row r="20" spans="2:7">
      <c r="B20" s="27" t="s">
        <v>66</v>
      </c>
      <c r="C20" s="23" t="s">
        <v>67</v>
      </c>
      <c r="D20" s="23" t="s">
        <v>63</v>
      </c>
      <c r="E20" s="28">
        <v>18500</v>
      </c>
      <c r="F20" s="25">
        <v>395.73</v>
      </c>
      <c r="G20" s="25">
        <v>2.57</v>
      </c>
    </row>
    <row r="21" spans="2:7">
      <c r="B21" s="27" t="s">
        <v>68</v>
      </c>
      <c r="C21" s="23" t="s">
        <v>69</v>
      </c>
      <c r="D21" s="23" t="s">
        <v>70</v>
      </c>
      <c r="E21" s="28">
        <v>54342</v>
      </c>
      <c r="F21" s="25">
        <v>388.52</v>
      </c>
      <c r="G21" s="25">
        <v>2.5299999999999998</v>
      </c>
    </row>
    <row r="22" spans="2:7">
      <c r="B22" s="27" t="s">
        <v>71</v>
      </c>
      <c r="C22" s="23" t="s">
        <v>72</v>
      </c>
      <c r="D22" s="23" t="s">
        <v>46</v>
      </c>
      <c r="E22" s="28">
        <v>22750</v>
      </c>
      <c r="F22" s="25">
        <v>386.56</v>
      </c>
      <c r="G22" s="25">
        <v>2.5099999999999998</v>
      </c>
    </row>
    <row r="23" spans="2:7">
      <c r="B23" s="27" t="s">
        <v>73</v>
      </c>
      <c r="C23" s="23" t="s">
        <v>74</v>
      </c>
      <c r="D23" s="23" t="s">
        <v>75</v>
      </c>
      <c r="E23" s="28">
        <v>25750</v>
      </c>
      <c r="F23" s="25">
        <v>369.33</v>
      </c>
      <c r="G23" s="25">
        <v>2.4</v>
      </c>
    </row>
    <row r="24" spans="2:7">
      <c r="B24" s="27" t="s">
        <v>76</v>
      </c>
      <c r="C24" s="23" t="s">
        <v>77</v>
      </c>
      <c r="D24" s="23" t="s">
        <v>60</v>
      </c>
      <c r="E24" s="28">
        <v>27500</v>
      </c>
      <c r="F24" s="25">
        <v>344.33</v>
      </c>
      <c r="G24" s="25">
        <v>2.2400000000000002</v>
      </c>
    </row>
    <row r="25" spans="2:7">
      <c r="B25" s="27" t="s">
        <v>78</v>
      </c>
      <c r="C25" s="23" t="s">
        <v>79</v>
      </c>
      <c r="D25" s="23" t="s">
        <v>40</v>
      </c>
      <c r="E25" s="28">
        <v>44000</v>
      </c>
      <c r="F25" s="25">
        <v>335.57</v>
      </c>
      <c r="G25" s="25">
        <v>2.1800000000000002</v>
      </c>
    </row>
    <row r="26" spans="2:7">
      <c r="B26" s="27" t="s">
        <v>80</v>
      </c>
      <c r="C26" s="23" t="s">
        <v>81</v>
      </c>
      <c r="D26" s="23" t="s">
        <v>60</v>
      </c>
      <c r="E26" s="28">
        <v>20500</v>
      </c>
      <c r="F26" s="25">
        <v>321.08999999999997</v>
      </c>
      <c r="G26" s="25">
        <v>2.09</v>
      </c>
    </row>
    <row r="27" spans="2:7">
      <c r="B27" s="27" t="s">
        <v>82</v>
      </c>
      <c r="C27" s="23" t="s">
        <v>83</v>
      </c>
      <c r="D27" s="23" t="s">
        <v>46</v>
      </c>
      <c r="E27" s="28">
        <v>22544</v>
      </c>
      <c r="F27" s="25">
        <v>319.76</v>
      </c>
      <c r="G27" s="25">
        <v>2.08</v>
      </c>
    </row>
    <row r="28" spans="2:7">
      <c r="B28" s="27" t="s">
        <v>84</v>
      </c>
      <c r="C28" s="23" t="s">
        <v>85</v>
      </c>
      <c r="D28" s="23" t="s">
        <v>63</v>
      </c>
      <c r="E28" s="28">
        <v>9500</v>
      </c>
      <c r="F28" s="25">
        <v>309.62</v>
      </c>
      <c r="G28" s="25">
        <v>2.0099999999999998</v>
      </c>
    </row>
    <row r="29" spans="2:7">
      <c r="B29" s="27" t="s">
        <v>86</v>
      </c>
      <c r="C29" s="23" t="s">
        <v>87</v>
      </c>
      <c r="D29" s="23" t="s">
        <v>63</v>
      </c>
      <c r="E29" s="28">
        <v>72500</v>
      </c>
      <c r="F29" s="25">
        <v>298.08</v>
      </c>
      <c r="G29" s="25">
        <v>1.94</v>
      </c>
    </row>
    <row r="30" spans="2:7">
      <c r="B30" s="27" t="s">
        <v>88</v>
      </c>
      <c r="C30" s="23" t="s">
        <v>89</v>
      </c>
      <c r="D30" s="23" t="s">
        <v>90</v>
      </c>
      <c r="E30" s="28">
        <v>285000</v>
      </c>
      <c r="F30" s="25">
        <v>293.98</v>
      </c>
      <c r="G30" s="25">
        <v>1.91</v>
      </c>
    </row>
    <row r="31" spans="2:7">
      <c r="B31" s="27" t="s">
        <v>91</v>
      </c>
      <c r="C31" s="23" t="s">
        <v>92</v>
      </c>
      <c r="D31" s="23" t="s">
        <v>93</v>
      </c>
      <c r="E31" s="28">
        <v>59800</v>
      </c>
      <c r="F31" s="25">
        <v>265.99</v>
      </c>
      <c r="G31" s="25">
        <v>1.73</v>
      </c>
    </row>
    <row r="32" spans="2:7">
      <c r="B32" s="27" t="s">
        <v>94</v>
      </c>
      <c r="C32" s="23" t="s">
        <v>95</v>
      </c>
      <c r="D32" s="23" t="s">
        <v>70</v>
      </c>
      <c r="E32" s="28">
        <v>175000</v>
      </c>
      <c r="F32" s="25">
        <v>244.21</v>
      </c>
      <c r="G32" s="25">
        <v>1.59</v>
      </c>
    </row>
    <row r="33" spans="2:9">
      <c r="B33" s="27" t="s">
        <v>96</v>
      </c>
      <c r="C33" s="23" t="s">
        <v>97</v>
      </c>
      <c r="D33" s="23" t="s">
        <v>98</v>
      </c>
      <c r="E33" s="28">
        <v>4750</v>
      </c>
      <c r="F33" s="25">
        <v>204.47</v>
      </c>
      <c r="G33" s="25">
        <v>1.33</v>
      </c>
    </row>
    <row r="34" spans="2:9">
      <c r="B34" s="27" t="s">
        <v>99</v>
      </c>
      <c r="C34" s="23" t="s">
        <v>100</v>
      </c>
      <c r="D34" s="23" t="s">
        <v>60</v>
      </c>
      <c r="E34" s="28">
        <v>22500</v>
      </c>
      <c r="F34" s="25">
        <v>191.79</v>
      </c>
      <c r="G34" s="25">
        <v>1.25</v>
      </c>
    </row>
    <row r="35" spans="2:9">
      <c r="B35" s="27" t="s">
        <v>101</v>
      </c>
      <c r="C35" s="23" t="s">
        <v>102</v>
      </c>
      <c r="D35" s="23" t="s">
        <v>103</v>
      </c>
      <c r="E35" s="28">
        <v>99410</v>
      </c>
      <c r="F35" s="25">
        <v>170.14</v>
      </c>
      <c r="G35" s="25">
        <v>1.1100000000000001</v>
      </c>
    </row>
    <row r="36" spans="2:9">
      <c r="B36" s="27" t="s">
        <v>104</v>
      </c>
      <c r="C36" s="23" t="s">
        <v>105</v>
      </c>
      <c r="D36" s="23" t="s">
        <v>103</v>
      </c>
      <c r="E36" s="28">
        <v>127600</v>
      </c>
      <c r="F36" s="25">
        <v>150.82</v>
      </c>
      <c r="G36" s="25">
        <v>0.98</v>
      </c>
    </row>
    <row r="37" spans="2:9">
      <c r="B37" s="27" t="s">
        <v>106</v>
      </c>
      <c r="C37" s="23" t="s">
        <v>107</v>
      </c>
      <c r="D37" s="23" t="s">
        <v>108</v>
      </c>
      <c r="E37" s="28">
        <v>650</v>
      </c>
      <c r="F37" s="25">
        <v>97.29</v>
      </c>
      <c r="G37" s="25">
        <v>0.63</v>
      </c>
    </row>
    <row r="38" spans="2:9">
      <c r="B38" s="29" t="s">
        <v>109</v>
      </c>
      <c r="C38" s="30"/>
      <c r="D38" s="30"/>
      <c r="E38" s="31"/>
      <c r="F38" s="32">
        <f>SUM(F7:F37)</f>
        <v>14666.439999999997</v>
      </c>
      <c r="G38" s="32">
        <f>SUM(G7:G37)</f>
        <v>95.410000000000011</v>
      </c>
      <c r="H38" s="14"/>
      <c r="I38" s="14"/>
    </row>
    <row r="39" spans="2:9">
      <c r="B39" s="37" t="s">
        <v>110</v>
      </c>
      <c r="C39" s="37"/>
      <c r="D39" s="37"/>
      <c r="E39" s="38"/>
      <c r="F39" s="39">
        <f>F38</f>
        <v>14666.439999999997</v>
      </c>
      <c r="G39" s="39">
        <f>G38</f>
        <v>95.410000000000011</v>
      </c>
      <c r="H39" s="14"/>
      <c r="I39" s="14"/>
    </row>
    <row r="40" spans="2:9">
      <c r="B40" s="40" t="s">
        <v>111</v>
      </c>
      <c r="C40" s="41"/>
      <c r="D40" s="41"/>
      <c r="E40" s="42"/>
      <c r="F40" s="43"/>
      <c r="G40" s="43"/>
    </row>
    <row r="41" spans="2:9">
      <c r="B41" s="27" t="s">
        <v>111</v>
      </c>
      <c r="C41" s="23"/>
      <c r="D41" s="23"/>
      <c r="E41" s="24"/>
      <c r="F41" s="25">
        <v>719.72</v>
      </c>
      <c r="G41" s="25">
        <v>4.68</v>
      </c>
    </row>
    <row r="42" spans="2:9">
      <c r="B42" s="29" t="s">
        <v>109</v>
      </c>
      <c r="C42" s="30"/>
      <c r="D42" s="30"/>
      <c r="E42" s="31"/>
      <c r="F42" s="32">
        <f>SUM(F40:F41)</f>
        <v>719.72</v>
      </c>
      <c r="G42" s="32">
        <f>SUM(G40:G41)</f>
        <v>4.68</v>
      </c>
      <c r="H42" s="14"/>
      <c r="I42" s="14"/>
    </row>
    <row r="43" spans="2:9">
      <c r="B43" s="34" t="s">
        <v>110</v>
      </c>
      <c r="C43" s="34"/>
      <c r="D43" s="34"/>
      <c r="E43" s="35"/>
      <c r="F43" s="36">
        <f>F42</f>
        <v>719.72</v>
      </c>
      <c r="G43" s="36">
        <f>G42</f>
        <v>4.68</v>
      </c>
      <c r="H43" s="14"/>
      <c r="I43" s="14"/>
    </row>
    <row r="44" spans="2:9">
      <c r="B44" s="44" t="s">
        <v>113</v>
      </c>
      <c r="C44" s="44"/>
      <c r="D44" s="44"/>
      <c r="E44" s="45"/>
      <c r="F44" s="16">
        <f>F45-(+F39+F43)</f>
        <v>-11.569999999996071</v>
      </c>
      <c r="G44" s="16">
        <f>G45-(+G39+G43)</f>
        <v>-9.0000000000003411E-2</v>
      </c>
      <c r="H44" s="14"/>
      <c r="I44" s="14"/>
    </row>
    <row r="45" spans="2:9">
      <c r="B45" s="44" t="s">
        <v>112</v>
      </c>
      <c r="C45" s="44"/>
      <c r="D45" s="44"/>
      <c r="E45" s="45"/>
      <c r="F45" s="16">
        <v>15374.59</v>
      </c>
      <c r="G45" s="16">
        <v>100</v>
      </c>
      <c r="H45" s="14"/>
      <c r="I45" s="14"/>
    </row>
    <row r="47" spans="2:9">
      <c r="B47" s="14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81"/>
  <sheetViews>
    <sheetView workbookViewId="0">
      <selection activeCell="B1" sqref="B1:H1"/>
    </sheetView>
  </sheetViews>
  <sheetFormatPr defaultRowHeight="12"/>
  <cols>
    <col min="1" max="1" width="9.140625" style="1"/>
    <col min="2" max="2" width="54" style="1" bestFit="1" customWidth="1"/>
    <col min="3" max="3" width="13.28515625" style="1" bestFit="1" customWidth="1"/>
    <col min="4" max="4" width="23.425781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>
      <c r="B1" s="82" t="s">
        <v>9</v>
      </c>
      <c r="C1" s="83"/>
      <c r="D1" s="83"/>
      <c r="E1" s="83"/>
      <c r="F1" s="83"/>
      <c r="G1" s="83"/>
      <c r="H1" s="83"/>
    </row>
    <row r="3" spans="2:8" ht="16.5" thickBot="1">
      <c r="B3" s="2" t="s">
        <v>7</v>
      </c>
      <c r="C3" s="3"/>
      <c r="D3" s="4"/>
      <c r="E3" s="5"/>
      <c r="F3" s="6"/>
      <c r="G3" s="6"/>
    </row>
    <row r="4" spans="2:8" ht="24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>
      <c r="B5" s="17" t="s">
        <v>30</v>
      </c>
      <c r="C5" s="18"/>
      <c r="D5" s="18"/>
      <c r="E5" s="19"/>
      <c r="F5" s="20"/>
      <c r="G5" s="20"/>
      <c r="H5" s="21"/>
    </row>
    <row r="6" spans="2:8">
      <c r="B6" s="22" t="s">
        <v>31</v>
      </c>
      <c r="C6" s="23"/>
      <c r="D6" s="23"/>
      <c r="E6" s="24"/>
      <c r="F6" s="25"/>
      <c r="G6" s="25"/>
      <c r="H6" s="26"/>
    </row>
    <row r="7" spans="2:8">
      <c r="B7" s="27" t="s">
        <v>35</v>
      </c>
      <c r="C7" s="23" t="s">
        <v>36</v>
      </c>
      <c r="D7" s="23" t="s">
        <v>37</v>
      </c>
      <c r="E7" s="28">
        <v>5040550</v>
      </c>
      <c r="F7" s="25">
        <v>34401.75</v>
      </c>
      <c r="G7" s="25">
        <v>6.64</v>
      </c>
      <c r="H7" s="26"/>
    </row>
    <row r="8" spans="2:8">
      <c r="B8" s="27" t="s">
        <v>114</v>
      </c>
      <c r="C8" s="23" t="s">
        <v>115</v>
      </c>
      <c r="D8" s="23" t="s">
        <v>116</v>
      </c>
      <c r="E8" s="28">
        <v>2002188</v>
      </c>
      <c r="F8" s="25">
        <v>32245.24</v>
      </c>
      <c r="G8" s="25">
        <v>6.22</v>
      </c>
      <c r="H8" s="26"/>
    </row>
    <row r="9" spans="2:8">
      <c r="B9" s="27" t="s">
        <v>117</v>
      </c>
      <c r="C9" s="23" t="s">
        <v>118</v>
      </c>
      <c r="D9" s="23" t="s">
        <v>37</v>
      </c>
      <c r="E9" s="28">
        <v>2172340</v>
      </c>
      <c r="F9" s="25">
        <v>30987.34</v>
      </c>
      <c r="G9" s="25">
        <v>5.98</v>
      </c>
      <c r="H9" s="26"/>
    </row>
    <row r="10" spans="2:8">
      <c r="B10" s="27" t="s">
        <v>119</v>
      </c>
      <c r="C10" s="23" t="s">
        <v>120</v>
      </c>
      <c r="D10" s="23" t="s">
        <v>116</v>
      </c>
      <c r="E10" s="28">
        <v>574428</v>
      </c>
      <c r="F10" s="25">
        <v>18194.72</v>
      </c>
      <c r="G10" s="25">
        <v>3.51</v>
      </c>
      <c r="H10" s="26"/>
    </row>
    <row r="11" spans="2:8">
      <c r="B11" s="27" t="s">
        <v>121</v>
      </c>
      <c r="C11" s="23" t="s">
        <v>122</v>
      </c>
      <c r="D11" s="23" t="s">
        <v>90</v>
      </c>
      <c r="E11" s="28">
        <v>857400</v>
      </c>
      <c r="F11" s="25">
        <v>17450.66</v>
      </c>
      <c r="G11" s="25">
        <v>3.37</v>
      </c>
      <c r="H11" s="26"/>
    </row>
    <row r="12" spans="2:8">
      <c r="B12" s="27" t="s">
        <v>123</v>
      </c>
      <c r="C12" s="23" t="s">
        <v>124</v>
      </c>
      <c r="D12" s="23" t="s">
        <v>125</v>
      </c>
      <c r="E12" s="28">
        <v>261535</v>
      </c>
      <c r="F12" s="25">
        <v>16288.66</v>
      </c>
      <c r="G12" s="25">
        <v>3.14</v>
      </c>
      <c r="H12" s="26"/>
    </row>
    <row r="13" spans="2:8">
      <c r="B13" s="27" t="s">
        <v>126</v>
      </c>
      <c r="C13" s="23" t="s">
        <v>127</v>
      </c>
      <c r="D13" s="23" t="s">
        <v>37</v>
      </c>
      <c r="E13" s="28">
        <v>2233600</v>
      </c>
      <c r="F13" s="25">
        <v>15833.99</v>
      </c>
      <c r="G13" s="25">
        <v>3.05</v>
      </c>
      <c r="H13" s="26"/>
    </row>
    <row r="14" spans="2:8">
      <c r="B14" s="27" t="s">
        <v>32</v>
      </c>
      <c r="C14" s="23" t="s">
        <v>33</v>
      </c>
      <c r="D14" s="23" t="s">
        <v>34</v>
      </c>
      <c r="E14" s="28">
        <v>975657</v>
      </c>
      <c r="F14" s="25">
        <v>15624.66</v>
      </c>
      <c r="G14" s="25">
        <v>3.01</v>
      </c>
      <c r="H14" s="26"/>
    </row>
    <row r="15" spans="2:8">
      <c r="B15" s="27" t="s">
        <v>56</v>
      </c>
      <c r="C15" s="23" t="s">
        <v>57</v>
      </c>
      <c r="D15" s="23" t="s">
        <v>37</v>
      </c>
      <c r="E15" s="28">
        <v>3600000</v>
      </c>
      <c r="F15" s="25">
        <v>15544.8</v>
      </c>
      <c r="G15" s="25">
        <v>3</v>
      </c>
      <c r="H15" s="26"/>
    </row>
    <row r="16" spans="2:8">
      <c r="B16" s="27" t="s">
        <v>128</v>
      </c>
      <c r="C16" s="23" t="s">
        <v>129</v>
      </c>
      <c r="D16" s="23" t="s">
        <v>125</v>
      </c>
      <c r="E16" s="28">
        <v>565900</v>
      </c>
      <c r="F16" s="25">
        <v>13814.47</v>
      </c>
      <c r="G16" s="25">
        <v>2.66</v>
      </c>
      <c r="H16" s="26"/>
    </row>
    <row r="17" spans="2:8">
      <c r="B17" s="27" t="s">
        <v>130</v>
      </c>
      <c r="C17" s="23" t="s">
        <v>131</v>
      </c>
      <c r="D17" s="23" t="s">
        <v>132</v>
      </c>
      <c r="E17" s="28">
        <v>460400</v>
      </c>
      <c r="F17" s="25">
        <v>10742.51</v>
      </c>
      <c r="G17" s="25">
        <v>2.0699999999999998</v>
      </c>
      <c r="H17" s="26"/>
    </row>
    <row r="18" spans="2:8">
      <c r="B18" s="27" t="s">
        <v>61</v>
      </c>
      <c r="C18" s="23" t="s">
        <v>62</v>
      </c>
      <c r="D18" s="23" t="s">
        <v>63</v>
      </c>
      <c r="E18" s="28">
        <v>136971</v>
      </c>
      <c r="F18" s="25">
        <v>10436.09</v>
      </c>
      <c r="G18" s="25">
        <v>2.0099999999999998</v>
      </c>
      <c r="H18" s="26"/>
    </row>
    <row r="19" spans="2:8">
      <c r="B19" s="27" t="s">
        <v>133</v>
      </c>
      <c r="C19" s="23" t="s">
        <v>134</v>
      </c>
      <c r="D19" s="23" t="s">
        <v>116</v>
      </c>
      <c r="E19" s="28">
        <v>330000</v>
      </c>
      <c r="F19" s="25">
        <v>8579.18</v>
      </c>
      <c r="G19" s="25">
        <v>1.65</v>
      </c>
      <c r="H19" s="26"/>
    </row>
    <row r="20" spans="2:8">
      <c r="B20" s="27" t="s">
        <v>135</v>
      </c>
      <c r="C20" s="23" t="s">
        <v>136</v>
      </c>
      <c r="D20" s="23" t="s">
        <v>137</v>
      </c>
      <c r="E20" s="28">
        <v>750000</v>
      </c>
      <c r="F20" s="25">
        <v>8415.75</v>
      </c>
      <c r="G20" s="25">
        <v>1.62</v>
      </c>
      <c r="H20" s="26"/>
    </row>
    <row r="21" spans="2:8">
      <c r="B21" s="27" t="s">
        <v>138</v>
      </c>
      <c r="C21" s="23" t="s">
        <v>139</v>
      </c>
      <c r="D21" s="23" t="s">
        <v>140</v>
      </c>
      <c r="E21" s="28">
        <v>223500</v>
      </c>
      <c r="F21" s="25">
        <v>7824.29</v>
      </c>
      <c r="G21" s="25">
        <v>1.51</v>
      </c>
      <c r="H21" s="26"/>
    </row>
    <row r="22" spans="2:8">
      <c r="B22" s="27" t="s">
        <v>141</v>
      </c>
      <c r="C22" s="23" t="s">
        <v>142</v>
      </c>
      <c r="D22" s="23" t="s">
        <v>143</v>
      </c>
      <c r="E22" s="28">
        <v>154032</v>
      </c>
      <c r="F22" s="25">
        <v>7556.96</v>
      </c>
      <c r="G22" s="25">
        <v>1.46</v>
      </c>
      <c r="H22" s="26"/>
    </row>
    <row r="23" spans="2:8">
      <c r="B23" s="27" t="s">
        <v>144</v>
      </c>
      <c r="C23" s="23" t="s">
        <v>145</v>
      </c>
      <c r="D23" s="23" t="s">
        <v>37</v>
      </c>
      <c r="E23" s="28">
        <v>456651</v>
      </c>
      <c r="F23" s="25">
        <v>7556.66</v>
      </c>
      <c r="G23" s="25">
        <v>1.46</v>
      </c>
      <c r="H23" s="26"/>
    </row>
    <row r="24" spans="2:8">
      <c r="B24" s="27" t="s">
        <v>146</v>
      </c>
      <c r="C24" s="23" t="s">
        <v>147</v>
      </c>
      <c r="D24" s="23" t="s">
        <v>116</v>
      </c>
      <c r="E24" s="28">
        <v>730000</v>
      </c>
      <c r="F24" s="25">
        <v>7482.14</v>
      </c>
      <c r="G24" s="25">
        <v>1.44</v>
      </c>
      <c r="H24" s="26"/>
    </row>
    <row r="25" spans="2:8">
      <c r="B25" s="27" t="s">
        <v>148</v>
      </c>
      <c r="C25" s="23" t="s">
        <v>149</v>
      </c>
      <c r="D25" s="23" t="s">
        <v>98</v>
      </c>
      <c r="E25" s="28">
        <v>615000</v>
      </c>
      <c r="F25" s="25">
        <v>7217.95</v>
      </c>
      <c r="G25" s="25">
        <v>1.39</v>
      </c>
      <c r="H25" s="26"/>
    </row>
    <row r="26" spans="2:8">
      <c r="B26" s="27" t="s">
        <v>150</v>
      </c>
      <c r="C26" s="23" t="s">
        <v>151</v>
      </c>
      <c r="D26" s="23" t="s">
        <v>152</v>
      </c>
      <c r="E26" s="28">
        <v>1272334</v>
      </c>
      <c r="F26" s="25">
        <v>7146.06</v>
      </c>
      <c r="G26" s="25">
        <v>1.38</v>
      </c>
      <c r="H26" s="26"/>
    </row>
    <row r="27" spans="2:8">
      <c r="B27" s="27" t="s">
        <v>153</v>
      </c>
      <c r="C27" s="23" t="s">
        <v>154</v>
      </c>
      <c r="D27" s="23" t="s">
        <v>108</v>
      </c>
      <c r="E27" s="28">
        <v>1613991</v>
      </c>
      <c r="F27" s="25">
        <v>7089.46</v>
      </c>
      <c r="G27" s="25">
        <v>1.37</v>
      </c>
      <c r="H27" s="26"/>
    </row>
    <row r="28" spans="2:8">
      <c r="B28" s="27" t="s">
        <v>155</v>
      </c>
      <c r="C28" s="23" t="s">
        <v>156</v>
      </c>
      <c r="D28" s="23" t="s">
        <v>70</v>
      </c>
      <c r="E28" s="28">
        <v>1258000</v>
      </c>
      <c r="F28" s="25">
        <v>7016.5</v>
      </c>
      <c r="G28" s="25">
        <v>1.35</v>
      </c>
      <c r="H28" s="26"/>
    </row>
    <row r="29" spans="2:8">
      <c r="B29" s="27" t="s">
        <v>157</v>
      </c>
      <c r="C29" s="23" t="s">
        <v>158</v>
      </c>
      <c r="D29" s="23" t="s">
        <v>159</v>
      </c>
      <c r="E29" s="28">
        <v>2350000</v>
      </c>
      <c r="F29" s="25">
        <v>6966.58</v>
      </c>
      <c r="G29" s="25">
        <v>1.34</v>
      </c>
      <c r="H29" s="26"/>
    </row>
    <row r="30" spans="2:8">
      <c r="B30" s="27" t="s">
        <v>160</v>
      </c>
      <c r="C30" s="23" t="s">
        <v>161</v>
      </c>
      <c r="D30" s="23" t="s">
        <v>60</v>
      </c>
      <c r="E30" s="28">
        <v>375000</v>
      </c>
      <c r="F30" s="25">
        <v>6939.94</v>
      </c>
      <c r="G30" s="25">
        <v>1.34</v>
      </c>
      <c r="H30" s="26"/>
    </row>
    <row r="31" spans="2:8">
      <c r="B31" s="27" t="s">
        <v>49</v>
      </c>
      <c r="C31" s="23" t="s">
        <v>50</v>
      </c>
      <c r="D31" s="23" t="s">
        <v>51</v>
      </c>
      <c r="E31" s="28">
        <v>453140</v>
      </c>
      <c r="F31" s="25">
        <v>6930.78</v>
      </c>
      <c r="G31" s="25">
        <v>1.34</v>
      </c>
      <c r="H31" s="26"/>
    </row>
    <row r="32" spans="2:8">
      <c r="B32" s="27" t="s">
        <v>91</v>
      </c>
      <c r="C32" s="23" t="s">
        <v>92</v>
      </c>
      <c r="D32" s="23" t="s">
        <v>93</v>
      </c>
      <c r="E32" s="28">
        <v>1500000</v>
      </c>
      <c r="F32" s="25">
        <v>6672</v>
      </c>
      <c r="G32" s="25">
        <v>1.29</v>
      </c>
      <c r="H32" s="26"/>
    </row>
    <row r="33" spans="2:8">
      <c r="B33" s="27" t="s">
        <v>162</v>
      </c>
      <c r="C33" s="23" t="s">
        <v>163</v>
      </c>
      <c r="D33" s="23" t="s">
        <v>132</v>
      </c>
      <c r="E33" s="28">
        <v>224500</v>
      </c>
      <c r="F33" s="25">
        <v>6641.72</v>
      </c>
      <c r="G33" s="25">
        <v>1.28</v>
      </c>
      <c r="H33" s="26"/>
    </row>
    <row r="34" spans="2:8">
      <c r="B34" s="27" t="s">
        <v>164</v>
      </c>
      <c r="C34" s="23" t="s">
        <v>165</v>
      </c>
      <c r="D34" s="23" t="s">
        <v>108</v>
      </c>
      <c r="E34" s="28">
        <v>890690</v>
      </c>
      <c r="F34" s="25">
        <v>6633.86</v>
      </c>
      <c r="G34" s="25">
        <v>1.28</v>
      </c>
      <c r="H34" s="26"/>
    </row>
    <row r="35" spans="2:8">
      <c r="B35" s="27" t="s">
        <v>166</v>
      </c>
      <c r="C35" s="23" t="s">
        <v>167</v>
      </c>
      <c r="D35" s="23" t="s">
        <v>98</v>
      </c>
      <c r="E35" s="28">
        <v>620429</v>
      </c>
      <c r="F35" s="25">
        <v>6571.58</v>
      </c>
      <c r="G35" s="25">
        <v>1.27</v>
      </c>
      <c r="H35" s="26"/>
    </row>
    <row r="36" spans="2:8">
      <c r="B36" s="27" t="s">
        <v>68</v>
      </c>
      <c r="C36" s="23" t="s">
        <v>69</v>
      </c>
      <c r="D36" s="23" t="s">
        <v>70</v>
      </c>
      <c r="E36" s="28">
        <v>901413</v>
      </c>
      <c r="F36" s="25">
        <v>6444.65</v>
      </c>
      <c r="G36" s="25">
        <v>1.24</v>
      </c>
      <c r="H36" s="26"/>
    </row>
    <row r="37" spans="2:8">
      <c r="B37" s="27" t="s">
        <v>168</v>
      </c>
      <c r="C37" s="23" t="s">
        <v>169</v>
      </c>
      <c r="D37" s="23" t="s">
        <v>170</v>
      </c>
      <c r="E37" s="28">
        <v>203375</v>
      </c>
      <c r="F37" s="25">
        <v>5999.97</v>
      </c>
      <c r="G37" s="25">
        <v>1.1599999999999999</v>
      </c>
      <c r="H37" s="26"/>
    </row>
    <row r="38" spans="2:8">
      <c r="B38" s="27" t="s">
        <v>171</v>
      </c>
      <c r="C38" s="23" t="s">
        <v>172</v>
      </c>
      <c r="D38" s="23" t="s">
        <v>173</v>
      </c>
      <c r="E38" s="28">
        <v>157700</v>
      </c>
      <c r="F38" s="25">
        <v>5953.41</v>
      </c>
      <c r="G38" s="25">
        <v>1.1499999999999999</v>
      </c>
      <c r="H38" s="26"/>
    </row>
    <row r="39" spans="2:8">
      <c r="B39" s="27" t="s">
        <v>84</v>
      </c>
      <c r="C39" s="23" t="s">
        <v>85</v>
      </c>
      <c r="D39" s="23" t="s">
        <v>63</v>
      </c>
      <c r="E39" s="28">
        <v>179240</v>
      </c>
      <c r="F39" s="25">
        <v>5841.7</v>
      </c>
      <c r="G39" s="25">
        <v>1.1299999999999999</v>
      </c>
      <c r="H39" s="26"/>
    </row>
    <row r="40" spans="2:8">
      <c r="B40" s="27" t="s">
        <v>73</v>
      </c>
      <c r="C40" s="23" t="s">
        <v>74</v>
      </c>
      <c r="D40" s="23" t="s">
        <v>75</v>
      </c>
      <c r="E40" s="28">
        <v>405000</v>
      </c>
      <c r="F40" s="25">
        <v>5808.92</v>
      </c>
      <c r="G40" s="25">
        <v>1.1200000000000001</v>
      </c>
      <c r="H40" s="26"/>
    </row>
    <row r="41" spans="2:8">
      <c r="B41" s="27" t="s">
        <v>174</v>
      </c>
      <c r="C41" s="23" t="s">
        <v>175</v>
      </c>
      <c r="D41" s="23" t="s">
        <v>176</v>
      </c>
      <c r="E41" s="28">
        <v>1000000</v>
      </c>
      <c r="F41" s="25">
        <v>5793</v>
      </c>
      <c r="G41" s="25">
        <v>1.1200000000000001</v>
      </c>
      <c r="H41" s="26"/>
    </row>
    <row r="42" spans="2:8">
      <c r="B42" s="27" t="s">
        <v>177</v>
      </c>
      <c r="C42" s="23" t="s">
        <v>178</v>
      </c>
      <c r="D42" s="23" t="s">
        <v>179</v>
      </c>
      <c r="E42" s="28">
        <v>63952</v>
      </c>
      <c r="F42" s="25">
        <v>5789.8</v>
      </c>
      <c r="G42" s="25">
        <v>1.1200000000000001</v>
      </c>
      <c r="H42" s="26"/>
    </row>
    <row r="43" spans="2:8">
      <c r="B43" s="27" t="s">
        <v>180</v>
      </c>
      <c r="C43" s="23" t="s">
        <v>181</v>
      </c>
      <c r="D43" s="23" t="s">
        <v>132</v>
      </c>
      <c r="E43" s="28">
        <v>765000</v>
      </c>
      <c r="F43" s="25">
        <v>5785.31</v>
      </c>
      <c r="G43" s="25">
        <v>1.1200000000000001</v>
      </c>
      <c r="H43" s="26"/>
    </row>
    <row r="44" spans="2:8">
      <c r="B44" s="27" t="s">
        <v>182</v>
      </c>
      <c r="C44" s="23" t="s">
        <v>183</v>
      </c>
      <c r="D44" s="23" t="s">
        <v>179</v>
      </c>
      <c r="E44" s="28">
        <v>288909</v>
      </c>
      <c r="F44" s="25">
        <v>5718.52</v>
      </c>
      <c r="G44" s="25">
        <v>1.1000000000000001</v>
      </c>
      <c r="H44" s="26"/>
    </row>
    <row r="45" spans="2:8">
      <c r="B45" s="27" t="s">
        <v>184</v>
      </c>
      <c r="C45" s="23" t="s">
        <v>185</v>
      </c>
      <c r="D45" s="23" t="s">
        <v>108</v>
      </c>
      <c r="E45" s="28">
        <v>227500</v>
      </c>
      <c r="F45" s="25">
        <v>5400.51</v>
      </c>
      <c r="G45" s="25">
        <v>1.04</v>
      </c>
      <c r="H45" s="26"/>
    </row>
    <row r="46" spans="2:8">
      <c r="B46" s="27" t="s">
        <v>186</v>
      </c>
      <c r="C46" s="23" t="s">
        <v>187</v>
      </c>
      <c r="D46" s="23" t="s">
        <v>125</v>
      </c>
      <c r="E46" s="28">
        <v>992113</v>
      </c>
      <c r="F46" s="25">
        <v>5355.43</v>
      </c>
      <c r="G46" s="25">
        <v>1.03</v>
      </c>
      <c r="H46" s="26"/>
    </row>
    <row r="47" spans="2:8">
      <c r="B47" s="27" t="s">
        <v>188</v>
      </c>
      <c r="C47" s="23" t="s">
        <v>189</v>
      </c>
      <c r="D47" s="23" t="s">
        <v>176</v>
      </c>
      <c r="E47" s="28">
        <v>3950000</v>
      </c>
      <c r="F47" s="25">
        <v>5245.6</v>
      </c>
      <c r="G47" s="25">
        <v>1.01</v>
      </c>
      <c r="H47" s="26"/>
    </row>
    <row r="48" spans="2:8">
      <c r="B48" s="27" t="s">
        <v>190</v>
      </c>
      <c r="C48" s="23" t="s">
        <v>191</v>
      </c>
      <c r="D48" s="23" t="s">
        <v>143</v>
      </c>
      <c r="E48" s="28">
        <v>26860</v>
      </c>
      <c r="F48" s="25">
        <v>5106.82</v>
      </c>
      <c r="G48" s="25">
        <v>0.98</v>
      </c>
      <c r="H48" s="26"/>
    </row>
    <row r="49" spans="2:8">
      <c r="B49" s="27" t="s">
        <v>192</v>
      </c>
      <c r="C49" s="23" t="s">
        <v>193</v>
      </c>
      <c r="D49" s="23" t="s">
        <v>179</v>
      </c>
      <c r="E49" s="28">
        <v>136780</v>
      </c>
      <c r="F49" s="25">
        <v>5002.3900000000003</v>
      </c>
      <c r="G49" s="25">
        <v>0.96</v>
      </c>
      <c r="H49" s="26"/>
    </row>
    <row r="50" spans="2:8">
      <c r="B50" s="27" t="s">
        <v>194</v>
      </c>
      <c r="C50" s="23" t="s">
        <v>195</v>
      </c>
      <c r="D50" s="23" t="s">
        <v>143</v>
      </c>
      <c r="E50" s="28">
        <v>645000</v>
      </c>
      <c r="F50" s="25">
        <v>4991.9799999999996</v>
      </c>
      <c r="G50" s="25">
        <v>0.96</v>
      </c>
      <c r="H50" s="26"/>
    </row>
    <row r="51" spans="2:8">
      <c r="B51" s="27" t="s">
        <v>196</v>
      </c>
      <c r="C51" s="23" t="s">
        <v>197</v>
      </c>
      <c r="D51" s="23" t="s">
        <v>98</v>
      </c>
      <c r="E51" s="28">
        <v>288800</v>
      </c>
      <c r="F51" s="25">
        <v>4951.62</v>
      </c>
      <c r="G51" s="25">
        <v>0.96</v>
      </c>
      <c r="H51" s="26"/>
    </row>
    <row r="52" spans="2:8">
      <c r="B52" s="27" t="s">
        <v>198</v>
      </c>
      <c r="C52" s="23" t="s">
        <v>199</v>
      </c>
      <c r="D52" s="23" t="s">
        <v>60</v>
      </c>
      <c r="E52" s="28">
        <v>636750</v>
      </c>
      <c r="F52" s="25">
        <v>4913.4799999999996</v>
      </c>
      <c r="G52" s="25">
        <v>0.95</v>
      </c>
      <c r="H52" s="26"/>
    </row>
    <row r="53" spans="2:8">
      <c r="B53" s="27" t="s">
        <v>200</v>
      </c>
      <c r="C53" s="23" t="s">
        <v>201</v>
      </c>
      <c r="D53" s="23" t="s">
        <v>125</v>
      </c>
      <c r="E53" s="28">
        <v>1025000</v>
      </c>
      <c r="F53" s="25">
        <v>4876.4399999999996</v>
      </c>
      <c r="G53" s="25">
        <v>0.94</v>
      </c>
      <c r="H53" s="26"/>
    </row>
    <row r="54" spans="2:8">
      <c r="B54" s="27" t="s">
        <v>202</v>
      </c>
      <c r="C54" s="23" t="s">
        <v>203</v>
      </c>
      <c r="D54" s="23" t="s">
        <v>137</v>
      </c>
      <c r="E54" s="28">
        <v>720000</v>
      </c>
      <c r="F54" s="25">
        <v>4781.16</v>
      </c>
      <c r="G54" s="25">
        <v>0.92</v>
      </c>
      <c r="H54" s="26"/>
    </row>
    <row r="55" spans="2:8">
      <c r="B55" s="27" t="s">
        <v>204</v>
      </c>
      <c r="C55" s="23" t="s">
        <v>205</v>
      </c>
      <c r="D55" s="23" t="s">
        <v>98</v>
      </c>
      <c r="E55" s="28">
        <v>295000</v>
      </c>
      <c r="F55" s="25">
        <v>4776.6400000000003</v>
      </c>
      <c r="G55" s="25">
        <v>0.92</v>
      </c>
      <c r="H55" s="26"/>
    </row>
    <row r="56" spans="2:8">
      <c r="B56" s="27" t="s">
        <v>206</v>
      </c>
      <c r="C56" s="23" t="s">
        <v>207</v>
      </c>
      <c r="D56" s="23" t="s">
        <v>125</v>
      </c>
      <c r="E56" s="28">
        <v>453000</v>
      </c>
      <c r="F56" s="25">
        <v>4696.4799999999996</v>
      </c>
      <c r="G56" s="25">
        <v>0.91</v>
      </c>
      <c r="H56" s="26"/>
    </row>
    <row r="57" spans="2:8">
      <c r="B57" s="27" t="s">
        <v>208</v>
      </c>
      <c r="C57" s="23" t="s">
        <v>209</v>
      </c>
      <c r="D57" s="23" t="s">
        <v>176</v>
      </c>
      <c r="E57" s="28">
        <v>66326</v>
      </c>
      <c r="F57" s="25">
        <v>4628.03</v>
      </c>
      <c r="G57" s="25">
        <v>0.89</v>
      </c>
      <c r="H57" s="26"/>
    </row>
    <row r="58" spans="2:8">
      <c r="B58" s="27" t="s">
        <v>210</v>
      </c>
      <c r="C58" s="23" t="s">
        <v>211</v>
      </c>
      <c r="D58" s="23" t="s">
        <v>143</v>
      </c>
      <c r="E58" s="28">
        <v>500000</v>
      </c>
      <c r="F58" s="25">
        <v>4600.25</v>
      </c>
      <c r="G58" s="25">
        <v>0.89</v>
      </c>
      <c r="H58" s="26"/>
    </row>
    <row r="59" spans="2:8">
      <c r="B59" s="27" t="s">
        <v>71</v>
      </c>
      <c r="C59" s="23" t="s">
        <v>72</v>
      </c>
      <c r="D59" s="23" t="s">
        <v>46</v>
      </c>
      <c r="E59" s="28">
        <v>268500</v>
      </c>
      <c r="F59" s="25">
        <v>4562.22</v>
      </c>
      <c r="G59" s="25">
        <v>0.88</v>
      </c>
      <c r="H59" s="26"/>
    </row>
    <row r="60" spans="2:8">
      <c r="B60" s="27" t="s">
        <v>54</v>
      </c>
      <c r="C60" s="23" t="s">
        <v>55</v>
      </c>
      <c r="D60" s="23" t="s">
        <v>46</v>
      </c>
      <c r="E60" s="28">
        <v>9275</v>
      </c>
      <c r="F60" s="25">
        <v>3963.11</v>
      </c>
      <c r="G60" s="25">
        <v>0.76</v>
      </c>
      <c r="H60" s="26"/>
    </row>
    <row r="61" spans="2:8">
      <c r="B61" s="27" t="s">
        <v>212</v>
      </c>
      <c r="C61" s="23" t="s">
        <v>213</v>
      </c>
      <c r="D61" s="23" t="s">
        <v>159</v>
      </c>
      <c r="E61" s="28">
        <v>80394</v>
      </c>
      <c r="F61" s="25">
        <v>2859.09</v>
      </c>
      <c r="G61" s="25">
        <v>0.55000000000000004</v>
      </c>
      <c r="H61" s="26"/>
    </row>
    <row r="62" spans="2:8">
      <c r="B62" s="27" t="s">
        <v>214</v>
      </c>
      <c r="C62" s="23" t="s">
        <v>215</v>
      </c>
      <c r="D62" s="23" t="s">
        <v>176</v>
      </c>
      <c r="E62" s="28">
        <v>900000</v>
      </c>
      <c r="F62" s="25">
        <v>2645.55</v>
      </c>
      <c r="G62" s="25">
        <v>0.51</v>
      </c>
      <c r="H62" s="26"/>
    </row>
    <row r="63" spans="2:8">
      <c r="B63" s="27" t="s">
        <v>216</v>
      </c>
      <c r="C63" s="23" t="s">
        <v>217</v>
      </c>
      <c r="D63" s="23" t="s">
        <v>143</v>
      </c>
      <c r="E63" s="28">
        <v>120659</v>
      </c>
      <c r="F63" s="25">
        <v>2539.15</v>
      </c>
      <c r="G63" s="25">
        <v>0.49</v>
      </c>
      <c r="H63" s="26"/>
    </row>
    <row r="64" spans="2:8">
      <c r="B64" s="27" t="s">
        <v>218</v>
      </c>
      <c r="C64" s="23" t="s">
        <v>219</v>
      </c>
      <c r="D64" s="23" t="s">
        <v>132</v>
      </c>
      <c r="E64" s="28">
        <v>58490</v>
      </c>
      <c r="F64" s="25">
        <v>2002.35</v>
      </c>
      <c r="G64" s="25">
        <v>0.39</v>
      </c>
      <c r="H64" s="26"/>
    </row>
    <row r="65" spans="2:10">
      <c r="B65" s="27" t="s">
        <v>220</v>
      </c>
      <c r="C65" s="23" t="s">
        <v>221</v>
      </c>
      <c r="D65" s="23" t="s">
        <v>98</v>
      </c>
      <c r="E65" s="28">
        <v>66282</v>
      </c>
      <c r="F65" s="25">
        <v>1460.16</v>
      </c>
      <c r="G65" s="25">
        <v>0.28000000000000003</v>
      </c>
      <c r="H65" s="26"/>
    </row>
    <row r="66" spans="2:10">
      <c r="B66" s="27" t="s">
        <v>222</v>
      </c>
      <c r="C66" s="23" t="s">
        <v>223</v>
      </c>
      <c r="D66" s="23" t="s">
        <v>63</v>
      </c>
      <c r="E66" s="28">
        <v>2342</v>
      </c>
      <c r="F66" s="25">
        <v>661.98</v>
      </c>
      <c r="G66" s="25">
        <v>0.13</v>
      </c>
      <c r="H66" s="26"/>
    </row>
    <row r="67" spans="2:10">
      <c r="B67" s="29" t="s">
        <v>109</v>
      </c>
      <c r="C67" s="30"/>
      <c r="D67" s="30"/>
      <c r="E67" s="31"/>
      <c r="F67" s="32">
        <f>SUM(F7:F66)</f>
        <v>497962.0199999999</v>
      </c>
      <c r="G67" s="32">
        <f>SUM(G7:G66)</f>
        <v>96.04</v>
      </c>
      <c r="H67" s="33"/>
      <c r="I67" s="14"/>
      <c r="J67" s="14"/>
    </row>
    <row r="68" spans="2:10">
      <c r="B68" s="37" t="s">
        <v>110</v>
      </c>
      <c r="C68" s="37"/>
      <c r="D68" s="37"/>
      <c r="E68" s="38"/>
      <c r="F68" s="39">
        <f>F67</f>
        <v>497962.0199999999</v>
      </c>
      <c r="G68" s="39">
        <f>G67</f>
        <v>96.04</v>
      </c>
      <c r="H68" s="15"/>
      <c r="I68" s="14"/>
      <c r="J68" s="14"/>
    </row>
    <row r="69" spans="2:10">
      <c r="B69" s="46" t="s">
        <v>224</v>
      </c>
      <c r="C69" s="41"/>
      <c r="D69" s="41"/>
      <c r="E69" s="42"/>
      <c r="F69" s="43"/>
      <c r="G69" s="43"/>
      <c r="H69" s="43"/>
    </row>
    <row r="70" spans="2:10">
      <c r="B70" s="47" t="s">
        <v>31</v>
      </c>
      <c r="C70" s="23"/>
      <c r="D70" s="23"/>
      <c r="E70" s="24"/>
      <c r="F70" s="25"/>
      <c r="G70" s="25"/>
      <c r="H70" s="25"/>
    </row>
    <row r="71" spans="2:10">
      <c r="B71" s="23" t="s">
        <v>225</v>
      </c>
      <c r="C71" s="23" t="s">
        <v>226</v>
      </c>
      <c r="D71" s="23" t="s">
        <v>227</v>
      </c>
      <c r="E71" s="28">
        <v>58490</v>
      </c>
      <c r="F71" s="25">
        <v>17</v>
      </c>
      <c r="G71" s="25">
        <v>0</v>
      </c>
      <c r="H71" s="25">
        <v>5.4</v>
      </c>
    </row>
    <row r="72" spans="2:10">
      <c r="B72" s="30" t="s">
        <v>109</v>
      </c>
      <c r="C72" s="30"/>
      <c r="D72" s="30"/>
      <c r="E72" s="31"/>
      <c r="F72" s="32">
        <f>SUM(F70:F71)</f>
        <v>17</v>
      </c>
      <c r="G72" s="32">
        <f>SUM(G70:G71)</f>
        <v>0</v>
      </c>
      <c r="H72" s="48"/>
      <c r="I72" s="14"/>
      <c r="J72" s="14"/>
    </row>
    <row r="73" spans="2:10">
      <c r="B73" s="49" t="s">
        <v>110</v>
      </c>
      <c r="C73" s="49"/>
      <c r="D73" s="49"/>
      <c r="E73" s="50"/>
      <c r="F73" s="51">
        <f>F72</f>
        <v>17</v>
      </c>
      <c r="G73" s="51">
        <f>G72</f>
        <v>0</v>
      </c>
      <c r="H73" s="51"/>
      <c r="I73" s="14"/>
      <c r="J73" s="14"/>
    </row>
    <row r="74" spans="2:10">
      <c r="B74" s="47" t="s">
        <v>111</v>
      </c>
      <c r="C74" s="23"/>
      <c r="D74" s="23"/>
      <c r="E74" s="24"/>
      <c r="F74" s="25"/>
      <c r="G74" s="25"/>
      <c r="H74" s="25"/>
    </row>
    <row r="75" spans="2:10">
      <c r="B75" s="23" t="s">
        <v>111</v>
      </c>
      <c r="C75" s="23"/>
      <c r="D75" s="23"/>
      <c r="E75" s="24"/>
      <c r="F75" s="25">
        <v>21864.2</v>
      </c>
      <c r="G75" s="25">
        <v>4.22</v>
      </c>
      <c r="H75" s="25"/>
    </row>
    <row r="76" spans="2:10">
      <c r="B76" s="30" t="s">
        <v>109</v>
      </c>
      <c r="C76" s="30"/>
      <c r="D76" s="30"/>
      <c r="E76" s="31"/>
      <c r="F76" s="32">
        <f>SUM(F74:F75)</f>
        <v>21864.2</v>
      </c>
      <c r="G76" s="32">
        <f>SUM(G74:G75)</f>
        <v>4.22</v>
      </c>
      <c r="H76" s="48"/>
      <c r="I76" s="14"/>
      <c r="J76" s="14"/>
    </row>
    <row r="77" spans="2:10">
      <c r="B77" s="34" t="s">
        <v>110</v>
      </c>
      <c r="C77" s="34"/>
      <c r="D77" s="34"/>
      <c r="E77" s="35"/>
      <c r="F77" s="36">
        <f>F76</f>
        <v>21864.2</v>
      </c>
      <c r="G77" s="36">
        <f>G76</f>
        <v>4.22</v>
      </c>
      <c r="H77" s="36"/>
      <c r="I77" s="14"/>
      <c r="J77" s="14"/>
    </row>
    <row r="78" spans="2:10">
      <c r="B78" s="44" t="s">
        <v>113</v>
      </c>
      <c r="C78" s="44"/>
      <c r="D78" s="44"/>
      <c r="E78" s="45"/>
      <c r="F78" s="16">
        <f>F79-(+F68+F73+F77)</f>
        <v>-1360.6699999999255</v>
      </c>
      <c r="G78" s="16">
        <f>G79-(+G68+G73+G77)</f>
        <v>-0.26000000000000512</v>
      </c>
      <c r="H78" s="16"/>
      <c r="I78" s="14"/>
      <c r="J78" s="14"/>
    </row>
    <row r="79" spans="2:10">
      <c r="B79" s="44" t="s">
        <v>112</v>
      </c>
      <c r="C79" s="44"/>
      <c r="D79" s="44"/>
      <c r="E79" s="45"/>
      <c r="F79" s="16">
        <v>518482.55</v>
      </c>
      <c r="G79" s="16">
        <v>100</v>
      </c>
      <c r="H79" s="16"/>
      <c r="I79" s="14"/>
      <c r="J79" s="14"/>
    </row>
    <row r="81" spans="2:2">
      <c r="B81" s="14" t="s">
        <v>747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72"/>
  <sheetViews>
    <sheetView workbookViewId="0">
      <selection activeCell="D10" sqref="D10"/>
    </sheetView>
  </sheetViews>
  <sheetFormatPr defaultRowHeight="12"/>
  <cols>
    <col min="1" max="1" width="9.140625" style="1"/>
    <col min="2" max="2" width="54" style="1" bestFit="1" customWidth="1"/>
    <col min="3" max="3" width="13.5703125" style="1" bestFit="1" customWidth="1"/>
    <col min="4" max="4" width="23.425781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7" ht="21" customHeight="1">
      <c r="B1" s="82" t="s">
        <v>10</v>
      </c>
      <c r="C1" s="83"/>
      <c r="D1" s="83"/>
      <c r="E1" s="83"/>
      <c r="F1" s="83"/>
      <c r="G1" s="83"/>
    </row>
    <row r="3" spans="2:7" ht="16.5" thickBot="1">
      <c r="B3" s="2" t="s">
        <v>7</v>
      </c>
      <c r="C3" s="3"/>
      <c r="D3" s="4"/>
      <c r="E3" s="5"/>
      <c r="F3" s="6"/>
      <c r="G3" s="6"/>
    </row>
    <row r="4" spans="2:7" ht="24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7">
      <c r="B5" s="17" t="s">
        <v>30</v>
      </c>
      <c r="C5" s="18"/>
      <c r="D5" s="18"/>
      <c r="E5" s="19"/>
      <c r="F5" s="20"/>
      <c r="G5" s="20"/>
    </row>
    <row r="6" spans="2:7">
      <c r="B6" s="22" t="s">
        <v>31</v>
      </c>
      <c r="C6" s="23"/>
      <c r="D6" s="23"/>
      <c r="E6" s="24"/>
      <c r="F6" s="25"/>
      <c r="G6" s="25"/>
    </row>
    <row r="7" spans="2:7">
      <c r="B7" s="27" t="s">
        <v>114</v>
      </c>
      <c r="C7" s="23" t="s">
        <v>115</v>
      </c>
      <c r="D7" s="23" t="s">
        <v>116</v>
      </c>
      <c r="E7" s="28">
        <v>1376310</v>
      </c>
      <c r="F7" s="25">
        <v>22165.47</v>
      </c>
      <c r="G7" s="25">
        <v>8.98</v>
      </c>
    </row>
    <row r="8" spans="2:7">
      <c r="B8" s="27" t="s">
        <v>117</v>
      </c>
      <c r="C8" s="23" t="s">
        <v>118</v>
      </c>
      <c r="D8" s="23" t="s">
        <v>37</v>
      </c>
      <c r="E8" s="28">
        <v>1322184</v>
      </c>
      <c r="F8" s="25">
        <v>18860.29</v>
      </c>
      <c r="G8" s="25">
        <v>7.64</v>
      </c>
    </row>
    <row r="9" spans="2:7">
      <c r="B9" s="27" t="s">
        <v>35</v>
      </c>
      <c r="C9" s="23" t="s">
        <v>36</v>
      </c>
      <c r="D9" s="23" t="s">
        <v>37</v>
      </c>
      <c r="E9" s="28">
        <v>2506000</v>
      </c>
      <c r="F9" s="25">
        <v>17103.45</v>
      </c>
      <c r="G9" s="25">
        <v>6.93</v>
      </c>
    </row>
    <row r="10" spans="2:7">
      <c r="B10" s="27" t="s">
        <v>32</v>
      </c>
      <c r="C10" s="23" t="s">
        <v>33</v>
      </c>
      <c r="D10" s="23" t="s">
        <v>34</v>
      </c>
      <c r="E10" s="28">
        <v>680000</v>
      </c>
      <c r="F10" s="25">
        <v>10889.86</v>
      </c>
      <c r="G10" s="25">
        <v>4.41</v>
      </c>
    </row>
    <row r="11" spans="2:7">
      <c r="B11" s="27" t="s">
        <v>119</v>
      </c>
      <c r="C11" s="23" t="s">
        <v>120</v>
      </c>
      <c r="D11" s="23" t="s">
        <v>116</v>
      </c>
      <c r="E11" s="28">
        <v>288815</v>
      </c>
      <c r="F11" s="25">
        <v>9148.07</v>
      </c>
      <c r="G11" s="25">
        <v>3.7</v>
      </c>
    </row>
    <row r="12" spans="2:7">
      <c r="B12" s="27" t="s">
        <v>123</v>
      </c>
      <c r="C12" s="23" t="s">
        <v>124</v>
      </c>
      <c r="D12" s="23" t="s">
        <v>125</v>
      </c>
      <c r="E12" s="28">
        <v>132450</v>
      </c>
      <c r="F12" s="25">
        <v>8249.1200000000008</v>
      </c>
      <c r="G12" s="25">
        <v>3.34</v>
      </c>
    </row>
    <row r="13" spans="2:7">
      <c r="B13" s="27" t="s">
        <v>128</v>
      </c>
      <c r="C13" s="23" t="s">
        <v>129</v>
      </c>
      <c r="D13" s="23" t="s">
        <v>125</v>
      </c>
      <c r="E13" s="28">
        <v>297500</v>
      </c>
      <c r="F13" s="25">
        <v>7262.42</v>
      </c>
      <c r="G13" s="25">
        <v>2.94</v>
      </c>
    </row>
    <row r="14" spans="2:7">
      <c r="B14" s="27" t="s">
        <v>56</v>
      </c>
      <c r="C14" s="23" t="s">
        <v>57</v>
      </c>
      <c r="D14" s="23" t="s">
        <v>37</v>
      </c>
      <c r="E14" s="28">
        <v>1600000</v>
      </c>
      <c r="F14" s="25">
        <v>6908.8</v>
      </c>
      <c r="G14" s="25">
        <v>2.8</v>
      </c>
    </row>
    <row r="15" spans="2:7">
      <c r="B15" s="27" t="s">
        <v>126</v>
      </c>
      <c r="C15" s="23" t="s">
        <v>127</v>
      </c>
      <c r="D15" s="23" t="s">
        <v>37</v>
      </c>
      <c r="E15" s="28">
        <v>928000</v>
      </c>
      <c r="F15" s="25">
        <v>6578.59</v>
      </c>
      <c r="G15" s="25">
        <v>2.66</v>
      </c>
    </row>
    <row r="16" spans="2:7">
      <c r="B16" s="27" t="s">
        <v>141</v>
      </c>
      <c r="C16" s="23" t="s">
        <v>142</v>
      </c>
      <c r="D16" s="23" t="s">
        <v>143</v>
      </c>
      <c r="E16" s="28">
        <v>101500</v>
      </c>
      <c r="F16" s="25">
        <v>4979.6899999999996</v>
      </c>
      <c r="G16" s="25">
        <v>2.02</v>
      </c>
    </row>
    <row r="17" spans="2:7">
      <c r="B17" s="27" t="s">
        <v>171</v>
      </c>
      <c r="C17" s="23" t="s">
        <v>172</v>
      </c>
      <c r="D17" s="23" t="s">
        <v>173</v>
      </c>
      <c r="E17" s="28">
        <v>131200</v>
      </c>
      <c r="F17" s="25">
        <v>4953</v>
      </c>
      <c r="G17" s="25">
        <v>2.0099999999999998</v>
      </c>
    </row>
    <row r="18" spans="2:7">
      <c r="B18" s="27" t="s">
        <v>164</v>
      </c>
      <c r="C18" s="23" t="s">
        <v>165</v>
      </c>
      <c r="D18" s="23" t="s">
        <v>108</v>
      </c>
      <c r="E18" s="28">
        <v>612358</v>
      </c>
      <c r="F18" s="25">
        <v>4560.84</v>
      </c>
      <c r="G18" s="25">
        <v>1.85</v>
      </c>
    </row>
    <row r="19" spans="2:7">
      <c r="B19" s="27" t="s">
        <v>66</v>
      </c>
      <c r="C19" s="23" t="s">
        <v>67</v>
      </c>
      <c r="D19" s="23" t="s">
        <v>63</v>
      </c>
      <c r="E19" s="28">
        <v>205000</v>
      </c>
      <c r="F19" s="25">
        <v>4385.16</v>
      </c>
      <c r="G19" s="25">
        <v>1.78</v>
      </c>
    </row>
    <row r="20" spans="2:7">
      <c r="B20" s="27" t="s">
        <v>228</v>
      </c>
      <c r="C20" s="23" t="s">
        <v>229</v>
      </c>
      <c r="D20" s="23" t="s">
        <v>108</v>
      </c>
      <c r="E20" s="28">
        <v>1843334</v>
      </c>
      <c r="F20" s="25">
        <v>4319.8500000000004</v>
      </c>
      <c r="G20" s="25">
        <v>1.75</v>
      </c>
    </row>
    <row r="21" spans="2:7">
      <c r="B21" s="27" t="s">
        <v>121</v>
      </c>
      <c r="C21" s="23" t="s">
        <v>122</v>
      </c>
      <c r="D21" s="23" t="s">
        <v>90</v>
      </c>
      <c r="E21" s="28">
        <v>210500</v>
      </c>
      <c r="F21" s="25">
        <v>4284.3100000000004</v>
      </c>
      <c r="G21" s="25">
        <v>1.73</v>
      </c>
    </row>
    <row r="22" spans="2:7">
      <c r="B22" s="27" t="s">
        <v>130</v>
      </c>
      <c r="C22" s="23" t="s">
        <v>131</v>
      </c>
      <c r="D22" s="23" t="s">
        <v>132</v>
      </c>
      <c r="E22" s="28">
        <v>174690</v>
      </c>
      <c r="F22" s="25">
        <v>4076.04</v>
      </c>
      <c r="G22" s="25">
        <v>1.65</v>
      </c>
    </row>
    <row r="23" spans="2:7">
      <c r="B23" s="27" t="s">
        <v>230</v>
      </c>
      <c r="C23" s="23" t="s">
        <v>231</v>
      </c>
      <c r="D23" s="23" t="s">
        <v>116</v>
      </c>
      <c r="E23" s="28">
        <v>128000</v>
      </c>
      <c r="F23" s="25">
        <v>4023.3</v>
      </c>
      <c r="G23" s="25">
        <v>1.63</v>
      </c>
    </row>
    <row r="24" spans="2:7">
      <c r="B24" s="27" t="s">
        <v>148</v>
      </c>
      <c r="C24" s="23" t="s">
        <v>149</v>
      </c>
      <c r="D24" s="23" t="s">
        <v>98</v>
      </c>
      <c r="E24" s="28">
        <v>325000</v>
      </c>
      <c r="F24" s="25">
        <v>3814.36</v>
      </c>
      <c r="G24" s="25">
        <v>1.54</v>
      </c>
    </row>
    <row r="25" spans="2:7">
      <c r="B25" s="27" t="s">
        <v>180</v>
      </c>
      <c r="C25" s="23" t="s">
        <v>181</v>
      </c>
      <c r="D25" s="23" t="s">
        <v>132</v>
      </c>
      <c r="E25" s="28">
        <v>493000</v>
      </c>
      <c r="F25" s="25">
        <v>3728.31</v>
      </c>
      <c r="G25" s="25">
        <v>1.51</v>
      </c>
    </row>
    <row r="26" spans="2:7">
      <c r="B26" s="27" t="s">
        <v>144</v>
      </c>
      <c r="C26" s="23" t="s">
        <v>145</v>
      </c>
      <c r="D26" s="23" t="s">
        <v>37</v>
      </c>
      <c r="E26" s="28">
        <v>222500</v>
      </c>
      <c r="F26" s="25">
        <v>3681.93</v>
      </c>
      <c r="G26" s="25">
        <v>1.49</v>
      </c>
    </row>
    <row r="27" spans="2:7">
      <c r="B27" s="27" t="s">
        <v>54</v>
      </c>
      <c r="C27" s="23" t="s">
        <v>55</v>
      </c>
      <c r="D27" s="23" t="s">
        <v>46</v>
      </c>
      <c r="E27" s="28">
        <v>8266</v>
      </c>
      <c r="F27" s="25">
        <v>3531.97</v>
      </c>
      <c r="G27" s="25">
        <v>1.43</v>
      </c>
    </row>
    <row r="28" spans="2:7">
      <c r="B28" s="27" t="s">
        <v>162</v>
      </c>
      <c r="C28" s="23" t="s">
        <v>163</v>
      </c>
      <c r="D28" s="23" t="s">
        <v>132</v>
      </c>
      <c r="E28" s="28">
        <v>110700</v>
      </c>
      <c r="F28" s="25">
        <v>3275</v>
      </c>
      <c r="G28" s="25">
        <v>1.33</v>
      </c>
    </row>
    <row r="29" spans="2:7">
      <c r="B29" s="27" t="s">
        <v>200</v>
      </c>
      <c r="C29" s="23" t="s">
        <v>201</v>
      </c>
      <c r="D29" s="23" t="s">
        <v>125</v>
      </c>
      <c r="E29" s="28">
        <v>670000</v>
      </c>
      <c r="F29" s="25">
        <v>3187.53</v>
      </c>
      <c r="G29" s="25">
        <v>1.29</v>
      </c>
    </row>
    <row r="30" spans="2:7">
      <c r="B30" s="27" t="s">
        <v>133</v>
      </c>
      <c r="C30" s="23" t="s">
        <v>134</v>
      </c>
      <c r="D30" s="23" t="s">
        <v>116</v>
      </c>
      <c r="E30" s="28">
        <v>116000</v>
      </c>
      <c r="F30" s="25">
        <v>3015.71</v>
      </c>
      <c r="G30" s="25">
        <v>1.22</v>
      </c>
    </row>
    <row r="31" spans="2:7">
      <c r="B31" s="27" t="s">
        <v>232</v>
      </c>
      <c r="C31" s="23" t="s">
        <v>233</v>
      </c>
      <c r="D31" s="23" t="s">
        <v>98</v>
      </c>
      <c r="E31" s="28">
        <v>614272</v>
      </c>
      <c r="F31" s="25">
        <v>2992.12</v>
      </c>
      <c r="G31" s="25">
        <v>1.21</v>
      </c>
    </row>
    <row r="32" spans="2:7">
      <c r="B32" s="27" t="s">
        <v>234</v>
      </c>
      <c r="C32" s="23" t="s">
        <v>235</v>
      </c>
      <c r="D32" s="23" t="s">
        <v>143</v>
      </c>
      <c r="E32" s="28">
        <v>75000</v>
      </c>
      <c r="F32" s="25">
        <v>2947.84</v>
      </c>
      <c r="G32" s="25">
        <v>1.19</v>
      </c>
    </row>
    <row r="33" spans="2:7">
      <c r="B33" s="27" t="s">
        <v>236</v>
      </c>
      <c r="C33" s="23" t="s">
        <v>237</v>
      </c>
      <c r="D33" s="23" t="s">
        <v>140</v>
      </c>
      <c r="E33" s="28">
        <v>56500</v>
      </c>
      <c r="F33" s="25">
        <v>2946.36</v>
      </c>
      <c r="G33" s="25">
        <v>1.19</v>
      </c>
    </row>
    <row r="34" spans="2:7">
      <c r="B34" s="27" t="s">
        <v>188</v>
      </c>
      <c r="C34" s="23" t="s">
        <v>189</v>
      </c>
      <c r="D34" s="23" t="s">
        <v>176</v>
      </c>
      <c r="E34" s="28">
        <v>2155000</v>
      </c>
      <c r="F34" s="25">
        <v>2861.84</v>
      </c>
      <c r="G34" s="25">
        <v>1.1599999999999999</v>
      </c>
    </row>
    <row r="35" spans="2:7">
      <c r="B35" s="27" t="s">
        <v>138</v>
      </c>
      <c r="C35" s="23" t="s">
        <v>139</v>
      </c>
      <c r="D35" s="23" t="s">
        <v>140</v>
      </c>
      <c r="E35" s="28">
        <v>81500</v>
      </c>
      <c r="F35" s="25">
        <v>2853.15</v>
      </c>
      <c r="G35" s="25">
        <v>1.1599999999999999</v>
      </c>
    </row>
    <row r="36" spans="2:7">
      <c r="B36" s="27" t="s">
        <v>71</v>
      </c>
      <c r="C36" s="23" t="s">
        <v>72</v>
      </c>
      <c r="D36" s="23" t="s">
        <v>46</v>
      </c>
      <c r="E36" s="28">
        <v>167500</v>
      </c>
      <c r="F36" s="25">
        <v>2846.08</v>
      </c>
      <c r="G36" s="25">
        <v>1.1499999999999999</v>
      </c>
    </row>
    <row r="37" spans="2:7">
      <c r="B37" s="27" t="s">
        <v>73</v>
      </c>
      <c r="C37" s="23" t="s">
        <v>74</v>
      </c>
      <c r="D37" s="23" t="s">
        <v>75</v>
      </c>
      <c r="E37" s="28">
        <v>196500</v>
      </c>
      <c r="F37" s="25">
        <v>2818.4</v>
      </c>
      <c r="G37" s="25">
        <v>1.1399999999999999</v>
      </c>
    </row>
    <row r="38" spans="2:7">
      <c r="B38" s="27" t="s">
        <v>238</v>
      </c>
      <c r="C38" s="23" t="s">
        <v>239</v>
      </c>
      <c r="D38" s="23" t="s">
        <v>108</v>
      </c>
      <c r="E38" s="28">
        <v>37000</v>
      </c>
      <c r="F38" s="25">
        <v>2692.6</v>
      </c>
      <c r="G38" s="25">
        <v>1.0900000000000001</v>
      </c>
    </row>
    <row r="39" spans="2:7">
      <c r="B39" s="27" t="s">
        <v>91</v>
      </c>
      <c r="C39" s="23" t="s">
        <v>92</v>
      </c>
      <c r="D39" s="23" t="s">
        <v>93</v>
      </c>
      <c r="E39" s="28">
        <v>593000</v>
      </c>
      <c r="F39" s="25">
        <v>2637.66</v>
      </c>
      <c r="G39" s="25">
        <v>1.07</v>
      </c>
    </row>
    <row r="40" spans="2:7">
      <c r="B40" s="27" t="s">
        <v>49</v>
      </c>
      <c r="C40" s="23" t="s">
        <v>50</v>
      </c>
      <c r="D40" s="23" t="s">
        <v>51</v>
      </c>
      <c r="E40" s="28">
        <v>171575</v>
      </c>
      <c r="F40" s="25">
        <v>2624.24</v>
      </c>
      <c r="G40" s="25">
        <v>1.06</v>
      </c>
    </row>
    <row r="41" spans="2:7">
      <c r="B41" s="27" t="s">
        <v>210</v>
      </c>
      <c r="C41" s="23" t="s">
        <v>211</v>
      </c>
      <c r="D41" s="23" t="s">
        <v>143</v>
      </c>
      <c r="E41" s="28">
        <v>285000</v>
      </c>
      <c r="F41" s="25">
        <v>2622.14</v>
      </c>
      <c r="G41" s="25">
        <v>1.06</v>
      </c>
    </row>
    <row r="42" spans="2:7">
      <c r="B42" s="27" t="s">
        <v>68</v>
      </c>
      <c r="C42" s="23" t="s">
        <v>69</v>
      </c>
      <c r="D42" s="23" t="s">
        <v>70</v>
      </c>
      <c r="E42" s="28">
        <v>365000</v>
      </c>
      <c r="F42" s="25">
        <v>2609.5700000000002</v>
      </c>
      <c r="G42" s="25">
        <v>1.06</v>
      </c>
    </row>
    <row r="43" spans="2:7">
      <c r="B43" s="27" t="s">
        <v>240</v>
      </c>
      <c r="C43" s="23" t="s">
        <v>241</v>
      </c>
      <c r="D43" s="23" t="s">
        <v>242</v>
      </c>
      <c r="E43" s="28">
        <v>185000</v>
      </c>
      <c r="F43" s="25">
        <v>2590.37</v>
      </c>
      <c r="G43" s="25">
        <v>1.05</v>
      </c>
    </row>
    <row r="44" spans="2:7">
      <c r="B44" s="27" t="s">
        <v>196</v>
      </c>
      <c r="C44" s="23" t="s">
        <v>197</v>
      </c>
      <c r="D44" s="23" t="s">
        <v>98</v>
      </c>
      <c r="E44" s="28">
        <v>150000</v>
      </c>
      <c r="F44" s="25">
        <v>2571.83</v>
      </c>
      <c r="G44" s="25">
        <v>1.04</v>
      </c>
    </row>
    <row r="45" spans="2:7">
      <c r="B45" s="27" t="s">
        <v>168</v>
      </c>
      <c r="C45" s="23" t="s">
        <v>169</v>
      </c>
      <c r="D45" s="23" t="s">
        <v>170</v>
      </c>
      <c r="E45" s="28">
        <v>85500</v>
      </c>
      <c r="F45" s="25">
        <v>2522.42</v>
      </c>
      <c r="G45" s="25">
        <v>1.02</v>
      </c>
    </row>
    <row r="46" spans="2:7">
      <c r="B46" s="27" t="s">
        <v>160</v>
      </c>
      <c r="C46" s="23" t="s">
        <v>161</v>
      </c>
      <c r="D46" s="23" t="s">
        <v>60</v>
      </c>
      <c r="E46" s="28">
        <v>135000</v>
      </c>
      <c r="F46" s="25">
        <v>2498.38</v>
      </c>
      <c r="G46" s="25">
        <v>1.01</v>
      </c>
    </row>
    <row r="47" spans="2:7">
      <c r="B47" s="27" t="s">
        <v>206</v>
      </c>
      <c r="C47" s="23" t="s">
        <v>207</v>
      </c>
      <c r="D47" s="23" t="s">
        <v>125</v>
      </c>
      <c r="E47" s="28">
        <v>236000</v>
      </c>
      <c r="F47" s="25">
        <v>2446.73</v>
      </c>
      <c r="G47" s="25">
        <v>0.99</v>
      </c>
    </row>
    <row r="48" spans="2:7">
      <c r="B48" s="27" t="s">
        <v>61</v>
      </c>
      <c r="C48" s="23" t="s">
        <v>62</v>
      </c>
      <c r="D48" s="23" t="s">
        <v>63</v>
      </c>
      <c r="E48" s="28">
        <v>31000</v>
      </c>
      <c r="F48" s="25">
        <v>2361.9499999999998</v>
      </c>
      <c r="G48" s="25">
        <v>0.96</v>
      </c>
    </row>
    <row r="49" spans="2:9">
      <c r="B49" s="27" t="s">
        <v>166</v>
      </c>
      <c r="C49" s="23" t="s">
        <v>167</v>
      </c>
      <c r="D49" s="23" t="s">
        <v>98</v>
      </c>
      <c r="E49" s="28">
        <v>220000</v>
      </c>
      <c r="F49" s="25">
        <v>2330.2399999999998</v>
      </c>
      <c r="G49" s="25">
        <v>0.94</v>
      </c>
    </row>
    <row r="50" spans="2:9">
      <c r="B50" s="27" t="s">
        <v>44</v>
      </c>
      <c r="C50" s="23" t="s">
        <v>45</v>
      </c>
      <c r="D50" s="23" t="s">
        <v>46</v>
      </c>
      <c r="E50" s="28">
        <v>117500</v>
      </c>
      <c r="F50" s="25">
        <v>2295.0100000000002</v>
      </c>
      <c r="G50" s="25">
        <v>0.93</v>
      </c>
    </row>
    <row r="51" spans="2:9">
      <c r="B51" s="27" t="s">
        <v>155</v>
      </c>
      <c r="C51" s="23" t="s">
        <v>156</v>
      </c>
      <c r="D51" s="23" t="s">
        <v>70</v>
      </c>
      <c r="E51" s="28">
        <v>410000</v>
      </c>
      <c r="F51" s="25">
        <v>2286.7800000000002</v>
      </c>
      <c r="G51" s="25">
        <v>0.93</v>
      </c>
    </row>
    <row r="52" spans="2:9">
      <c r="B52" s="27" t="s">
        <v>157</v>
      </c>
      <c r="C52" s="23" t="s">
        <v>158</v>
      </c>
      <c r="D52" s="23" t="s">
        <v>159</v>
      </c>
      <c r="E52" s="28">
        <v>750000</v>
      </c>
      <c r="F52" s="25">
        <v>2223.38</v>
      </c>
      <c r="G52" s="25">
        <v>0.9</v>
      </c>
    </row>
    <row r="53" spans="2:9">
      <c r="B53" s="27" t="s">
        <v>174</v>
      </c>
      <c r="C53" s="23" t="s">
        <v>175</v>
      </c>
      <c r="D53" s="23" t="s">
        <v>176</v>
      </c>
      <c r="E53" s="28">
        <v>375000</v>
      </c>
      <c r="F53" s="25">
        <v>2172.38</v>
      </c>
      <c r="G53" s="25">
        <v>0.88</v>
      </c>
    </row>
    <row r="54" spans="2:9">
      <c r="B54" s="27" t="s">
        <v>84</v>
      </c>
      <c r="C54" s="23" t="s">
        <v>85</v>
      </c>
      <c r="D54" s="23" t="s">
        <v>63</v>
      </c>
      <c r="E54" s="28">
        <v>63000</v>
      </c>
      <c r="F54" s="25">
        <v>2053.2600000000002</v>
      </c>
      <c r="G54" s="25">
        <v>0.83</v>
      </c>
    </row>
    <row r="55" spans="2:9">
      <c r="B55" s="27" t="s">
        <v>243</v>
      </c>
      <c r="C55" s="23" t="s">
        <v>244</v>
      </c>
      <c r="D55" s="23" t="s">
        <v>143</v>
      </c>
      <c r="E55" s="28">
        <v>42000</v>
      </c>
      <c r="F55" s="25">
        <v>1978.7</v>
      </c>
      <c r="G55" s="25">
        <v>0.8</v>
      </c>
    </row>
    <row r="56" spans="2:9">
      <c r="B56" s="27" t="s">
        <v>184</v>
      </c>
      <c r="C56" s="23" t="s">
        <v>185</v>
      </c>
      <c r="D56" s="23" t="s">
        <v>108</v>
      </c>
      <c r="E56" s="28">
        <v>76500</v>
      </c>
      <c r="F56" s="25">
        <v>1816</v>
      </c>
      <c r="G56" s="25">
        <v>0.74</v>
      </c>
    </row>
    <row r="57" spans="2:9">
      <c r="B57" s="27" t="s">
        <v>135</v>
      </c>
      <c r="C57" s="23" t="s">
        <v>136</v>
      </c>
      <c r="D57" s="23" t="s">
        <v>137</v>
      </c>
      <c r="E57" s="28">
        <v>160000</v>
      </c>
      <c r="F57" s="25">
        <v>1795.36</v>
      </c>
      <c r="G57" s="25">
        <v>0.73</v>
      </c>
    </row>
    <row r="58" spans="2:9">
      <c r="B58" s="27" t="s">
        <v>96</v>
      </c>
      <c r="C58" s="23" t="s">
        <v>97</v>
      </c>
      <c r="D58" s="23" t="s">
        <v>98</v>
      </c>
      <c r="E58" s="28">
        <v>39820</v>
      </c>
      <c r="F58" s="25">
        <v>1714.09</v>
      </c>
      <c r="G58" s="25">
        <v>0.69</v>
      </c>
    </row>
    <row r="59" spans="2:9">
      <c r="B59" s="27" t="s">
        <v>245</v>
      </c>
      <c r="C59" s="23" t="s">
        <v>246</v>
      </c>
      <c r="D59" s="23" t="s">
        <v>140</v>
      </c>
      <c r="E59" s="28">
        <v>1250000</v>
      </c>
      <c r="F59" s="25">
        <v>1668.75</v>
      </c>
      <c r="G59" s="25">
        <v>0.68</v>
      </c>
    </row>
    <row r="60" spans="2:9">
      <c r="B60" s="27" t="s">
        <v>247</v>
      </c>
      <c r="C60" s="23" t="s">
        <v>248</v>
      </c>
      <c r="D60" s="23" t="s">
        <v>137</v>
      </c>
      <c r="E60" s="28">
        <v>150000</v>
      </c>
      <c r="F60" s="25">
        <v>1647.9</v>
      </c>
      <c r="G60" s="25">
        <v>0.67</v>
      </c>
    </row>
    <row r="61" spans="2:9">
      <c r="B61" s="27" t="s">
        <v>192</v>
      </c>
      <c r="C61" s="23" t="s">
        <v>193</v>
      </c>
      <c r="D61" s="23" t="s">
        <v>179</v>
      </c>
      <c r="E61" s="28">
        <v>32849</v>
      </c>
      <c r="F61" s="25">
        <v>1201.3699999999999</v>
      </c>
      <c r="G61" s="25">
        <v>0.49</v>
      </c>
    </row>
    <row r="62" spans="2:9">
      <c r="B62" s="27" t="s">
        <v>214</v>
      </c>
      <c r="C62" s="23" t="s">
        <v>215</v>
      </c>
      <c r="D62" s="23" t="s">
        <v>176</v>
      </c>
      <c r="E62" s="28">
        <v>380000</v>
      </c>
      <c r="F62" s="25">
        <v>1117.01</v>
      </c>
      <c r="G62" s="25">
        <v>0.45</v>
      </c>
    </row>
    <row r="63" spans="2:9">
      <c r="B63" s="29" t="s">
        <v>109</v>
      </c>
      <c r="C63" s="30"/>
      <c r="D63" s="30"/>
      <c r="E63" s="31"/>
      <c r="F63" s="32">
        <f>SUM(F7:F62)</f>
        <v>241726.97999999998</v>
      </c>
      <c r="G63" s="32">
        <f>SUM(G7:G62)</f>
        <v>97.899999999999991</v>
      </c>
      <c r="H63" s="14"/>
      <c r="I63" s="14"/>
    </row>
    <row r="64" spans="2:9">
      <c r="B64" s="37" t="s">
        <v>110</v>
      </c>
      <c r="C64" s="37"/>
      <c r="D64" s="37"/>
      <c r="E64" s="38"/>
      <c r="F64" s="39">
        <f>F63</f>
        <v>241726.97999999998</v>
      </c>
      <c r="G64" s="39">
        <f>G63</f>
        <v>97.899999999999991</v>
      </c>
      <c r="H64" s="14"/>
      <c r="I64" s="14"/>
    </row>
    <row r="65" spans="2:9">
      <c r="B65" s="40" t="s">
        <v>111</v>
      </c>
      <c r="C65" s="41"/>
      <c r="D65" s="41"/>
      <c r="E65" s="42"/>
      <c r="F65" s="43"/>
      <c r="G65" s="43"/>
    </row>
    <row r="66" spans="2:9">
      <c r="B66" s="27" t="s">
        <v>111</v>
      </c>
      <c r="C66" s="23"/>
      <c r="D66" s="23"/>
      <c r="E66" s="24"/>
      <c r="F66" s="25">
        <v>6573.42</v>
      </c>
      <c r="G66" s="25">
        <v>2.66</v>
      </c>
    </row>
    <row r="67" spans="2:9">
      <c r="B67" s="29" t="s">
        <v>109</v>
      </c>
      <c r="C67" s="30"/>
      <c r="D67" s="30"/>
      <c r="E67" s="31"/>
      <c r="F67" s="32">
        <f>SUM(F65:F66)</f>
        <v>6573.42</v>
      </c>
      <c r="G67" s="32">
        <f>SUM(G65:G66)</f>
        <v>2.66</v>
      </c>
      <c r="H67" s="14"/>
      <c r="I67" s="14"/>
    </row>
    <row r="68" spans="2:9">
      <c r="B68" s="34" t="s">
        <v>110</v>
      </c>
      <c r="C68" s="34"/>
      <c r="D68" s="34"/>
      <c r="E68" s="35"/>
      <c r="F68" s="36">
        <f>F67</f>
        <v>6573.42</v>
      </c>
      <c r="G68" s="36">
        <f>G67</f>
        <v>2.66</v>
      </c>
      <c r="H68" s="14"/>
      <c r="I68" s="14"/>
    </row>
    <row r="69" spans="2:9">
      <c r="B69" s="44" t="s">
        <v>113</v>
      </c>
      <c r="C69" s="44"/>
      <c r="D69" s="44"/>
      <c r="E69" s="45"/>
      <c r="F69" s="16">
        <f>F70-(+F64+F68)</f>
        <v>-1350.4499999999825</v>
      </c>
      <c r="G69" s="16">
        <f>G70-(+G64+G68)</f>
        <v>-0.55999999999998806</v>
      </c>
      <c r="H69" s="14"/>
      <c r="I69" s="14"/>
    </row>
    <row r="70" spans="2:9">
      <c r="B70" s="44" t="s">
        <v>112</v>
      </c>
      <c r="C70" s="44"/>
      <c r="D70" s="44"/>
      <c r="E70" s="45"/>
      <c r="F70" s="16">
        <v>246949.95</v>
      </c>
      <c r="G70" s="16">
        <v>100</v>
      </c>
      <c r="H70" s="14"/>
      <c r="I70" s="14"/>
    </row>
    <row r="72" spans="2:9">
      <c r="B72" s="14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81"/>
  <sheetViews>
    <sheetView workbookViewId="0">
      <selection activeCell="B1" sqref="B1:H1"/>
    </sheetView>
  </sheetViews>
  <sheetFormatPr defaultRowHeight="12"/>
  <cols>
    <col min="1" max="1" width="9.140625" style="1"/>
    <col min="2" max="2" width="54" style="1" bestFit="1" customWidth="1"/>
    <col min="3" max="3" width="13.28515625" style="1" bestFit="1" customWidth="1"/>
    <col min="4" max="4" width="23.425781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>
      <c r="B1" s="82" t="s">
        <v>11</v>
      </c>
      <c r="C1" s="83"/>
      <c r="D1" s="83"/>
      <c r="E1" s="83"/>
      <c r="F1" s="83"/>
      <c r="G1" s="83"/>
      <c r="H1" s="83"/>
    </row>
    <row r="3" spans="2:8" ht="16.5" thickBot="1">
      <c r="B3" s="2" t="s">
        <v>7</v>
      </c>
      <c r="C3" s="3"/>
      <c r="D3" s="4"/>
      <c r="E3" s="5"/>
      <c r="F3" s="6"/>
      <c r="G3" s="6"/>
    </row>
    <row r="4" spans="2:8" ht="24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>
      <c r="B5" s="17" t="s">
        <v>30</v>
      </c>
      <c r="C5" s="18"/>
      <c r="D5" s="18"/>
      <c r="E5" s="19"/>
      <c r="F5" s="20"/>
      <c r="G5" s="20"/>
      <c r="H5" s="21"/>
    </row>
    <row r="6" spans="2:8">
      <c r="B6" s="22" t="s">
        <v>31</v>
      </c>
      <c r="C6" s="23"/>
      <c r="D6" s="23"/>
      <c r="E6" s="24"/>
      <c r="F6" s="25"/>
      <c r="G6" s="25"/>
      <c r="H6" s="26"/>
    </row>
    <row r="7" spans="2:8">
      <c r="B7" s="27" t="s">
        <v>35</v>
      </c>
      <c r="C7" s="23" t="s">
        <v>36</v>
      </c>
      <c r="D7" s="23" t="s">
        <v>37</v>
      </c>
      <c r="E7" s="28">
        <v>7598000</v>
      </c>
      <c r="F7" s="25">
        <v>51856.35</v>
      </c>
      <c r="G7" s="25">
        <v>5.05</v>
      </c>
      <c r="H7" s="26"/>
    </row>
    <row r="8" spans="2:8">
      <c r="B8" s="27" t="s">
        <v>117</v>
      </c>
      <c r="C8" s="23" t="s">
        <v>118</v>
      </c>
      <c r="D8" s="23" t="s">
        <v>37</v>
      </c>
      <c r="E8" s="28">
        <v>3516000</v>
      </c>
      <c r="F8" s="25">
        <v>50153.98</v>
      </c>
      <c r="G8" s="25">
        <v>4.8899999999999997</v>
      </c>
      <c r="H8" s="26"/>
    </row>
    <row r="9" spans="2:8">
      <c r="B9" s="27" t="s">
        <v>114</v>
      </c>
      <c r="C9" s="23" t="s">
        <v>115</v>
      </c>
      <c r="D9" s="23" t="s">
        <v>116</v>
      </c>
      <c r="E9" s="28">
        <v>2860000</v>
      </c>
      <c r="F9" s="25">
        <v>46060.3</v>
      </c>
      <c r="G9" s="25">
        <v>4.49</v>
      </c>
      <c r="H9" s="26"/>
    </row>
    <row r="10" spans="2:8">
      <c r="B10" s="27" t="s">
        <v>126</v>
      </c>
      <c r="C10" s="23" t="s">
        <v>127</v>
      </c>
      <c r="D10" s="23" t="s">
        <v>37</v>
      </c>
      <c r="E10" s="28">
        <v>4863090</v>
      </c>
      <c r="F10" s="25">
        <v>34474.449999999997</v>
      </c>
      <c r="G10" s="25">
        <v>3.36</v>
      </c>
      <c r="H10" s="26"/>
    </row>
    <row r="11" spans="2:8">
      <c r="B11" s="27" t="s">
        <v>123</v>
      </c>
      <c r="C11" s="23" t="s">
        <v>124</v>
      </c>
      <c r="D11" s="23" t="s">
        <v>125</v>
      </c>
      <c r="E11" s="28">
        <v>548000</v>
      </c>
      <c r="F11" s="25">
        <v>34129.99</v>
      </c>
      <c r="G11" s="25">
        <v>3.33</v>
      </c>
      <c r="H11" s="26"/>
    </row>
    <row r="12" spans="2:8">
      <c r="B12" s="27" t="s">
        <v>56</v>
      </c>
      <c r="C12" s="23" t="s">
        <v>57</v>
      </c>
      <c r="D12" s="23" t="s">
        <v>37</v>
      </c>
      <c r="E12" s="28">
        <v>6950000</v>
      </c>
      <c r="F12" s="25">
        <v>30010.1</v>
      </c>
      <c r="G12" s="25">
        <v>2.92</v>
      </c>
      <c r="H12" s="26"/>
    </row>
    <row r="13" spans="2:8">
      <c r="B13" s="27" t="s">
        <v>164</v>
      </c>
      <c r="C13" s="23" t="s">
        <v>165</v>
      </c>
      <c r="D13" s="23" t="s">
        <v>108</v>
      </c>
      <c r="E13" s="28">
        <v>3759476</v>
      </c>
      <c r="F13" s="25">
        <v>28000.58</v>
      </c>
      <c r="G13" s="25">
        <v>2.73</v>
      </c>
      <c r="H13" s="26"/>
    </row>
    <row r="14" spans="2:8">
      <c r="B14" s="27" t="s">
        <v>121</v>
      </c>
      <c r="C14" s="23" t="s">
        <v>122</v>
      </c>
      <c r="D14" s="23" t="s">
        <v>90</v>
      </c>
      <c r="E14" s="28">
        <v>1283000</v>
      </c>
      <c r="F14" s="25">
        <v>26112.9</v>
      </c>
      <c r="G14" s="25">
        <v>2.54</v>
      </c>
      <c r="H14" s="26"/>
    </row>
    <row r="15" spans="2:8">
      <c r="B15" s="27" t="s">
        <v>68</v>
      </c>
      <c r="C15" s="23" t="s">
        <v>69</v>
      </c>
      <c r="D15" s="23" t="s">
        <v>70</v>
      </c>
      <c r="E15" s="28">
        <v>3034300</v>
      </c>
      <c r="F15" s="25">
        <v>21693.73</v>
      </c>
      <c r="G15" s="25">
        <v>2.11</v>
      </c>
      <c r="H15" s="26"/>
    </row>
    <row r="16" spans="2:8">
      <c r="B16" s="27" t="s">
        <v>234</v>
      </c>
      <c r="C16" s="23" t="s">
        <v>235</v>
      </c>
      <c r="D16" s="23" t="s">
        <v>143</v>
      </c>
      <c r="E16" s="28">
        <v>550709</v>
      </c>
      <c r="F16" s="25">
        <v>21645.34</v>
      </c>
      <c r="G16" s="25">
        <v>2.11</v>
      </c>
      <c r="H16" s="26"/>
    </row>
    <row r="17" spans="2:8">
      <c r="B17" s="27" t="s">
        <v>166</v>
      </c>
      <c r="C17" s="23" t="s">
        <v>167</v>
      </c>
      <c r="D17" s="23" t="s">
        <v>98</v>
      </c>
      <c r="E17" s="28">
        <v>2021175</v>
      </c>
      <c r="F17" s="25">
        <v>21408.29</v>
      </c>
      <c r="G17" s="25">
        <v>2.09</v>
      </c>
      <c r="H17" s="26"/>
    </row>
    <row r="18" spans="2:8">
      <c r="B18" s="27" t="s">
        <v>135</v>
      </c>
      <c r="C18" s="23" t="s">
        <v>136</v>
      </c>
      <c r="D18" s="23" t="s">
        <v>137</v>
      </c>
      <c r="E18" s="28">
        <v>1852802</v>
      </c>
      <c r="F18" s="25">
        <v>20790.29</v>
      </c>
      <c r="G18" s="25">
        <v>2.0299999999999998</v>
      </c>
      <c r="H18" s="26"/>
    </row>
    <row r="19" spans="2:8">
      <c r="B19" s="27" t="s">
        <v>138</v>
      </c>
      <c r="C19" s="23" t="s">
        <v>139</v>
      </c>
      <c r="D19" s="23" t="s">
        <v>140</v>
      </c>
      <c r="E19" s="28">
        <v>593005</v>
      </c>
      <c r="F19" s="25">
        <v>20759.919999999998</v>
      </c>
      <c r="G19" s="25">
        <v>2.02</v>
      </c>
      <c r="H19" s="26"/>
    </row>
    <row r="20" spans="2:8">
      <c r="B20" s="27" t="s">
        <v>177</v>
      </c>
      <c r="C20" s="23" t="s">
        <v>178</v>
      </c>
      <c r="D20" s="23" t="s">
        <v>179</v>
      </c>
      <c r="E20" s="28">
        <v>228427</v>
      </c>
      <c r="F20" s="25">
        <v>20680.3</v>
      </c>
      <c r="G20" s="25">
        <v>2.0099999999999998</v>
      </c>
      <c r="H20" s="26"/>
    </row>
    <row r="21" spans="2:8">
      <c r="B21" s="27" t="s">
        <v>133</v>
      </c>
      <c r="C21" s="23" t="s">
        <v>134</v>
      </c>
      <c r="D21" s="23" t="s">
        <v>116</v>
      </c>
      <c r="E21" s="28">
        <v>727587</v>
      </c>
      <c r="F21" s="25">
        <v>18915.439999999999</v>
      </c>
      <c r="G21" s="25">
        <v>1.84</v>
      </c>
      <c r="H21" s="26"/>
    </row>
    <row r="22" spans="2:8">
      <c r="B22" s="27" t="s">
        <v>157</v>
      </c>
      <c r="C22" s="23" t="s">
        <v>158</v>
      </c>
      <c r="D22" s="23" t="s">
        <v>159</v>
      </c>
      <c r="E22" s="28">
        <v>6373324</v>
      </c>
      <c r="F22" s="25">
        <v>18893.72</v>
      </c>
      <c r="G22" s="25">
        <v>1.84</v>
      </c>
      <c r="H22" s="26"/>
    </row>
    <row r="23" spans="2:8">
      <c r="B23" s="27" t="s">
        <v>119</v>
      </c>
      <c r="C23" s="23" t="s">
        <v>120</v>
      </c>
      <c r="D23" s="23" t="s">
        <v>116</v>
      </c>
      <c r="E23" s="28">
        <v>585264</v>
      </c>
      <c r="F23" s="25">
        <v>18537.939999999999</v>
      </c>
      <c r="G23" s="25">
        <v>1.81</v>
      </c>
      <c r="H23" s="26"/>
    </row>
    <row r="24" spans="2:8">
      <c r="B24" s="27" t="s">
        <v>32</v>
      </c>
      <c r="C24" s="23" t="s">
        <v>33</v>
      </c>
      <c r="D24" s="23" t="s">
        <v>34</v>
      </c>
      <c r="E24" s="28">
        <v>1125000</v>
      </c>
      <c r="F24" s="25">
        <v>18016.310000000001</v>
      </c>
      <c r="G24" s="25">
        <v>1.76</v>
      </c>
      <c r="H24" s="26"/>
    </row>
    <row r="25" spans="2:8">
      <c r="B25" s="27" t="s">
        <v>160</v>
      </c>
      <c r="C25" s="23" t="s">
        <v>161</v>
      </c>
      <c r="D25" s="23" t="s">
        <v>60</v>
      </c>
      <c r="E25" s="28">
        <v>965180</v>
      </c>
      <c r="F25" s="25">
        <v>17862.099999999999</v>
      </c>
      <c r="G25" s="25">
        <v>1.74</v>
      </c>
      <c r="H25" s="26"/>
    </row>
    <row r="26" spans="2:8">
      <c r="B26" s="27" t="s">
        <v>200</v>
      </c>
      <c r="C26" s="23" t="s">
        <v>201</v>
      </c>
      <c r="D26" s="23" t="s">
        <v>125</v>
      </c>
      <c r="E26" s="28">
        <v>3699707</v>
      </c>
      <c r="F26" s="25">
        <v>17601.36</v>
      </c>
      <c r="G26" s="25">
        <v>1.71</v>
      </c>
      <c r="H26" s="26"/>
    </row>
    <row r="27" spans="2:8">
      <c r="B27" s="27" t="s">
        <v>249</v>
      </c>
      <c r="C27" s="23" t="s">
        <v>250</v>
      </c>
      <c r="D27" s="23" t="s">
        <v>152</v>
      </c>
      <c r="E27" s="28">
        <v>1200000</v>
      </c>
      <c r="F27" s="25">
        <v>17308.2</v>
      </c>
      <c r="G27" s="25">
        <v>1.69</v>
      </c>
      <c r="H27" s="26"/>
    </row>
    <row r="28" spans="2:8">
      <c r="B28" s="27" t="s">
        <v>73</v>
      </c>
      <c r="C28" s="23" t="s">
        <v>74</v>
      </c>
      <c r="D28" s="23" t="s">
        <v>75</v>
      </c>
      <c r="E28" s="28">
        <v>1200000</v>
      </c>
      <c r="F28" s="25">
        <v>17211.599999999999</v>
      </c>
      <c r="G28" s="25">
        <v>1.68</v>
      </c>
      <c r="H28" s="26"/>
    </row>
    <row r="29" spans="2:8">
      <c r="B29" s="27" t="s">
        <v>194</v>
      </c>
      <c r="C29" s="23" t="s">
        <v>195</v>
      </c>
      <c r="D29" s="23" t="s">
        <v>143</v>
      </c>
      <c r="E29" s="28">
        <v>2200000</v>
      </c>
      <c r="F29" s="25">
        <v>17026.900000000001</v>
      </c>
      <c r="G29" s="25">
        <v>1.66</v>
      </c>
      <c r="H29" s="26"/>
    </row>
    <row r="30" spans="2:8">
      <c r="B30" s="27" t="s">
        <v>155</v>
      </c>
      <c r="C30" s="23" t="s">
        <v>156</v>
      </c>
      <c r="D30" s="23" t="s">
        <v>70</v>
      </c>
      <c r="E30" s="28">
        <v>3020534</v>
      </c>
      <c r="F30" s="25">
        <v>16847.03</v>
      </c>
      <c r="G30" s="25">
        <v>1.64</v>
      </c>
      <c r="H30" s="26"/>
    </row>
    <row r="31" spans="2:8">
      <c r="B31" s="27" t="s">
        <v>251</v>
      </c>
      <c r="C31" s="23" t="s">
        <v>252</v>
      </c>
      <c r="D31" s="23" t="s">
        <v>51</v>
      </c>
      <c r="E31" s="28">
        <v>718028</v>
      </c>
      <c r="F31" s="25">
        <v>16739.39</v>
      </c>
      <c r="G31" s="25">
        <v>1.63</v>
      </c>
      <c r="H31" s="26"/>
    </row>
    <row r="32" spans="2:8">
      <c r="B32" s="27" t="s">
        <v>192</v>
      </c>
      <c r="C32" s="23" t="s">
        <v>193</v>
      </c>
      <c r="D32" s="23" t="s">
        <v>179</v>
      </c>
      <c r="E32" s="28">
        <v>427964</v>
      </c>
      <c r="F32" s="25">
        <v>15651.71</v>
      </c>
      <c r="G32" s="25">
        <v>1.52</v>
      </c>
      <c r="H32" s="26"/>
    </row>
    <row r="33" spans="2:8">
      <c r="B33" s="27" t="s">
        <v>171</v>
      </c>
      <c r="C33" s="23" t="s">
        <v>172</v>
      </c>
      <c r="D33" s="23" t="s">
        <v>173</v>
      </c>
      <c r="E33" s="28">
        <v>413954</v>
      </c>
      <c r="F33" s="25">
        <v>15627.38</v>
      </c>
      <c r="G33" s="25">
        <v>1.52</v>
      </c>
      <c r="H33" s="26"/>
    </row>
    <row r="34" spans="2:8">
      <c r="B34" s="27" t="s">
        <v>184</v>
      </c>
      <c r="C34" s="23" t="s">
        <v>185</v>
      </c>
      <c r="D34" s="23" t="s">
        <v>108</v>
      </c>
      <c r="E34" s="28">
        <v>611072</v>
      </c>
      <c r="F34" s="25">
        <v>14505.93</v>
      </c>
      <c r="G34" s="25">
        <v>1.41</v>
      </c>
      <c r="H34" s="26"/>
    </row>
    <row r="35" spans="2:8">
      <c r="B35" s="27" t="s">
        <v>153</v>
      </c>
      <c r="C35" s="23" t="s">
        <v>154</v>
      </c>
      <c r="D35" s="23" t="s">
        <v>108</v>
      </c>
      <c r="E35" s="28">
        <v>3199998</v>
      </c>
      <c r="F35" s="25">
        <v>14055.99</v>
      </c>
      <c r="G35" s="25">
        <v>1.37</v>
      </c>
      <c r="H35" s="26"/>
    </row>
    <row r="36" spans="2:8">
      <c r="B36" s="27" t="s">
        <v>180</v>
      </c>
      <c r="C36" s="23" t="s">
        <v>181</v>
      </c>
      <c r="D36" s="23" t="s">
        <v>132</v>
      </c>
      <c r="E36" s="28">
        <v>1855000</v>
      </c>
      <c r="F36" s="25">
        <v>14028.44</v>
      </c>
      <c r="G36" s="25">
        <v>1.37</v>
      </c>
      <c r="H36" s="26"/>
    </row>
    <row r="37" spans="2:8">
      <c r="B37" s="27" t="s">
        <v>253</v>
      </c>
      <c r="C37" s="23" t="s">
        <v>254</v>
      </c>
      <c r="D37" s="23" t="s">
        <v>140</v>
      </c>
      <c r="E37" s="28">
        <v>6156869</v>
      </c>
      <c r="F37" s="25">
        <v>13806.78</v>
      </c>
      <c r="G37" s="25">
        <v>1.35</v>
      </c>
      <c r="H37" s="26"/>
    </row>
    <row r="38" spans="2:8">
      <c r="B38" s="27" t="s">
        <v>141</v>
      </c>
      <c r="C38" s="23" t="s">
        <v>142</v>
      </c>
      <c r="D38" s="23" t="s">
        <v>143</v>
      </c>
      <c r="E38" s="28">
        <v>280378</v>
      </c>
      <c r="F38" s="25">
        <v>13755.63</v>
      </c>
      <c r="G38" s="25">
        <v>1.34</v>
      </c>
      <c r="H38" s="26"/>
    </row>
    <row r="39" spans="2:8">
      <c r="B39" s="27" t="s">
        <v>61</v>
      </c>
      <c r="C39" s="23" t="s">
        <v>62</v>
      </c>
      <c r="D39" s="23" t="s">
        <v>63</v>
      </c>
      <c r="E39" s="28">
        <v>180000</v>
      </c>
      <c r="F39" s="25">
        <v>13714.56</v>
      </c>
      <c r="G39" s="25">
        <v>1.34</v>
      </c>
      <c r="H39" s="26"/>
    </row>
    <row r="40" spans="2:8">
      <c r="B40" s="27" t="s">
        <v>182</v>
      </c>
      <c r="C40" s="23" t="s">
        <v>183</v>
      </c>
      <c r="D40" s="23" t="s">
        <v>179</v>
      </c>
      <c r="E40" s="28">
        <v>682176</v>
      </c>
      <c r="F40" s="25">
        <v>13502.65</v>
      </c>
      <c r="G40" s="25">
        <v>1.32</v>
      </c>
      <c r="H40" s="26"/>
    </row>
    <row r="41" spans="2:8">
      <c r="B41" s="27" t="s">
        <v>41</v>
      </c>
      <c r="C41" s="23" t="s">
        <v>42</v>
      </c>
      <c r="D41" s="23" t="s">
        <v>43</v>
      </c>
      <c r="E41" s="28">
        <v>7300000</v>
      </c>
      <c r="F41" s="25">
        <v>13479.45</v>
      </c>
      <c r="G41" s="25">
        <v>1.31</v>
      </c>
      <c r="H41" s="26"/>
    </row>
    <row r="42" spans="2:8">
      <c r="B42" s="27" t="s">
        <v>255</v>
      </c>
      <c r="C42" s="23" t="s">
        <v>256</v>
      </c>
      <c r="D42" s="23" t="s">
        <v>63</v>
      </c>
      <c r="E42" s="28">
        <v>1224043</v>
      </c>
      <c r="F42" s="25">
        <v>13381.24</v>
      </c>
      <c r="G42" s="25">
        <v>1.3</v>
      </c>
      <c r="H42" s="26"/>
    </row>
    <row r="43" spans="2:8">
      <c r="B43" s="27" t="s">
        <v>257</v>
      </c>
      <c r="C43" s="23" t="s">
        <v>258</v>
      </c>
      <c r="D43" s="23" t="s">
        <v>125</v>
      </c>
      <c r="E43" s="28">
        <v>3250000</v>
      </c>
      <c r="F43" s="25">
        <v>13339.63</v>
      </c>
      <c r="G43" s="25">
        <v>1.3</v>
      </c>
      <c r="H43" s="26"/>
    </row>
    <row r="44" spans="2:8">
      <c r="B44" s="27" t="s">
        <v>190</v>
      </c>
      <c r="C44" s="23" t="s">
        <v>191</v>
      </c>
      <c r="D44" s="23" t="s">
        <v>143</v>
      </c>
      <c r="E44" s="28">
        <v>68776</v>
      </c>
      <c r="F44" s="25">
        <v>13076.21</v>
      </c>
      <c r="G44" s="25">
        <v>1.27</v>
      </c>
      <c r="H44" s="26"/>
    </row>
    <row r="45" spans="2:8">
      <c r="B45" s="27" t="s">
        <v>216</v>
      </c>
      <c r="C45" s="23" t="s">
        <v>217</v>
      </c>
      <c r="D45" s="23" t="s">
        <v>143</v>
      </c>
      <c r="E45" s="28">
        <v>611438</v>
      </c>
      <c r="F45" s="25">
        <v>12867.1</v>
      </c>
      <c r="G45" s="25">
        <v>1.25</v>
      </c>
      <c r="H45" s="26"/>
    </row>
    <row r="46" spans="2:8">
      <c r="B46" s="27" t="s">
        <v>168</v>
      </c>
      <c r="C46" s="23" t="s">
        <v>169</v>
      </c>
      <c r="D46" s="23" t="s">
        <v>170</v>
      </c>
      <c r="E46" s="28">
        <v>408084</v>
      </c>
      <c r="F46" s="25">
        <v>12039.29</v>
      </c>
      <c r="G46" s="25">
        <v>1.17</v>
      </c>
      <c r="H46" s="26"/>
    </row>
    <row r="47" spans="2:8">
      <c r="B47" s="27" t="s">
        <v>259</v>
      </c>
      <c r="C47" s="23" t="s">
        <v>260</v>
      </c>
      <c r="D47" s="23" t="s">
        <v>132</v>
      </c>
      <c r="E47" s="28">
        <v>1908216</v>
      </c>
      <c r="F47" s="25">
        <v>11944.48</v>
      </c>
      <c r="G47" s="25">
        <v>1.1599999999999999</v>
      </c>
      <c r="H47" s="26"/>
    </row>
    <row r="48" spans="2:8">
      <c r="B48" s="27" t="s">
        <v>174</v>
      </c>
      <c r="C48" s="23" t="s">
        <v>175</v>
      </c>
      <c r="D48" s="23" t="s">
        <v>176</v>
      </c>
      <c r="E48" s="28">
        <v>2050000</v>
      </c>
      <c r="F48" s="25">
        <v>11875.65</v>
      </c>
      <c r="G48" s="25">
        <v>1.1599999999999999</v>
      </c>
      <c r="H48" s="26"/>
    </row>
    <row r="49" spans="2:8">
      <c r="B49" s="27" t="s">
        <v>220</v>
      </c>
      <c r="C49" s="23" t="s">
        <v>221</v>
      </c>
      <c r="D49" s="23" t="s">
        <v>98</v>
      </c>
      <c r="E49" s="28">
        <v>532336</v>
      </c>
      <c r="F49" s="25">
        <v>11727.1</v>
      </c>
      <c r="G49" s="25">
        <v>1.1399999999999999</v>
      </c>
      <c r="H49" s="26"/>
    </row>
    <row r="50" spans="2:8">
      <c r="B50" s="27" t="s">
        <v>261</v>
      </c>
      <c r="C50" s="23" t="s">
        <v>262</v>
      </c>
      <c r="D50" s="23" t="s">
        <v>263</v>
      </c>
      <c r="E50" s="28">
        <v>1396805</v>
      </c>
      <c r="F50" s="25">
        <v>11115.08</v>
      </c>
      <c r="G50" s="25">
        <v>1.08</v>
      </c>
      <c r="H50" s="26"/>
    </row>
    <row r="51" spans="2:8">
      <c r="B51" s="27" t="s">
        <v>245</v>
      </c>
      <c r="C51" s="23" t="s">
        <v>246</v>
      </c>
      <c r="D51" s="23" t="s">
        <v>140</v>
      </c>
      <c r="E51" s="28">
        <v>8285000</v>
      </c>
      <c r="F51" s="25">
        <v>11060.48</v>
      </c>
      <c r="G51" s="25">
        <v>1.08</v>
      </c>
      <c r="H51" s="26"/>
    </row>
    <row r="52" spans="2:8">
      <c r="B52" s="27" t="s">
        <v>214</v>
      </c>
      <c r="C52" s="23" t="s">
        <v>215</v>
      </c>
      <c r="D52" s="23" t="s">
        <v>176</v>
      </c>
      <c r="E52" s="28">
        <v>3700000</v>
      </c>
      <c r="F52" s="25">
        <v>10876.15</v>
      </c>
      <c r="G52" s="25">
        <v>1.06</v>
      </c>
      <c r="H52" s="26"/>
    </row>
    <row r="53" spans="2:8">
      <c r="B53" s="27" t="s">
        <v>206</v>
      </c>
      <c r="C53" s="23" t="s">
        <v>207</v>
      </c>
      <c r="D53" s="23" t="s">
        <v>125</v>
      </c>
      <c r="E53" s="28">
        <v>998508</v>
      </c>
      <c r="F53" s="25">
        <v>10352.030000000001</v>
      </c>
      <c r="G53" s="25">
        <v>1.01</v>
      </c>
      <c r="H53" s="26"/>
    </row>
    <row r="54" spans="2:8">
      <c r="B54" s="27" t="s">
        <v>212</v>
      </c>
      <c r="C54" s="23" t="s">
        <v>213</v>
      </c>
      <c r="D54" s="23" t="s">
        <v>159</v>
      </c>
      <c r="E54" s="28">
        <v>264653</v>
      </c>
      <c r="F54" s="25">
        <v>9411.99</v>
      </c>
      <c r="G54" s="25">
        <v>0.92</v>
      </c>
      <c r="H54" s="26"/>
    </row>
    <row r="55" spans="2:8">
      <c r="B55" s="27" t="s">
        <v>130</v>
      </c>
      <c r="C55" s="23" t="s">
        <v>131</v>
      </c>
      <c r="D55" s="23" t="s">
        <v>132</v>
      </c>
      <c r="E55" s="28">
        <v>400000</v>
      </c>
      <c r="F55" s="25">
        <v>9333.2000000000007</v>
      </c>
      <c r="G55" s="25">
        <v>0.91</v>
      </c>
      <c r="H55" s="26"/>
    </row>
    <row r="56" spans="2:8">
      <c r="B56" s="27" t="s">
        <v>198</v>
      </c>
      <c r="C56" s="23" t="s">
        <v>199</v>
      </c>
      <c r="D56" s="23" t="s">
        <v>60</v>
      </c>
      <c r="E56" s="28">
        <v>1206703</v>
      </c>
      <c r="F56" s="25">
        <v>9311.52</v>
      </c>
      <c r="G56" s="25">
        <v>0.91</v>
      </c>
      <c r="H56" s="26"/>
    </row>
    <row r="57" spans="2:8">
      <c r="B57" s="27" t="s">
        <v>196</v>
      </c>
      <c r="C57" s="23" t="s">
        <v>197</v>
      </c>
      <c r="D57" s="23" t="s">
        <v>98</v>
      </c>
      <c r="E57" s="28">
        <v>538000</v>
      </c>
      <c r="F57" s="25">
        <v>9224.2800000000007</v>
      </c>
      <c r="G57" s="25">
        <v>0.9</v>
      </c>
      <c r="H57" s="26"/>
    </row>
    <row r="58" spans="2:8">
      <c r="B58" s="27" t="s">
        <v>264</v>
      </c>
      <c r="C58" s="23" t="s">
        <v>265</v>
      </c>
      <c r="D58" s="23" t="s">
        <v>60</v>
      </c>
      <c r="E58" s="28">
        <v>436085</v>
      </c>
      <c r="F58" s="25">
        <v>8724.75</v>
      </c>
      <c r="G58" s="25">
        <v>0.85</v>
      </c>
      <c r="H58" s="26"/>
    </row>
    <row r="59" spans="2:8">
      <c r="B59" s="27" t="s">
        <v>144</v>
      </c>
      <c r="C59" s="23" t="s">
        <v>145</v>
      </c>
      <c r="D59" s="23" t="s">
        <v>37</v>
      </c>
      <c r="E59" s="28">
        <v>474657</v>
      </c>
      <c r="F59" s="25">
        <v>7854.62</v>
      </c>
      <c r="G59" s="25">
        <v>0.77</v>
      </c>
      <c r="H59" s="26"/>
    </row>
    <row r="60" spans="2:8">
      <c r="B60" s="27" t="s">
        <v>266</v>
      </c>
      <c r="C60" s="23" t="s">
        <v>267</v>
      </c>
      <c r="D60" s="23" t="s">
        <v>125</v>
      </c>
      <c r="E60" s="28">
        <v>500000</v>
      </c>
      <c r="F60" s="25">
        <v>7773.75</v>
      </c>
      <c r="G60" s="25">
        <v>0.76</v>
      </c>
      <c r="H60" s="26"/>
    </row>
    <row r="61" spans="2:8">
      <c r="B61" s="27" t="s">
        <v>49</v>
      </c>
      <c r="C61" s="23" t="s">
        <v>50</v>
      </c>
      <c r="D61" s="23" t="s">
        <v>51</v>
      </c>
      <c r="E61" s="28">
        <v>502642</v>
      </c>
      <c r="F61" s="25">
        <v>7687.91</v>
      </c>
      <c r="G61" s="25">
        <v>0.75</v>
      </c>
      <c r="H61" s="26"/>
    </row>
    <row r="62" spans="2:8">
      <c r="B62" s="27" t="s">
        <v>268</v>
      </c>
      <c r="C62" s="23" t="s">
        <v>269</v>
      </c>
      <c r="D62" s="23" t="s">
        <v>37</v>
      </c>
      <c r="E62" s="28">
        <v>4897674</v>
      </c>
      <c r="F62" s="25">
        <v>7358.76</v>
      </c>
      <c r="G62" s="25">
        <v>0.72</v>
      </c>
      <c r="H62" s="26"/>
    </row>
    <row r="63" spans="2:8">
      <c r="B63" s="27" t="s">
        <v>218</v>
      </c>
      <c r="C63" s="23" t="s">
        <v>219</v>
      </c>
      <c r="D63" s="23" t="s">
        <v>132</v>
      </c>
      <c r="E63" s="28">
        <v>193012</v>
      </c>
      <c r="F63" s="25">
        <v>6607.57</v>
      </c>
      <c r="G63" s="25">
        <v>0.64</v>
      </c>
      <c r="H63" s="26"/>
    </row>
    <row r="64" spans="2:8">
      <c r="B64" s="27" t="s">
        <v>270</v>
      </c>
      <c r="C64" s="23" t="s">
        <v>271</v>
      </c>
      <c r="D64" s="23" t="s">
        <v>272</v>
      </c>
      <c r="E64" s="28">
        <v>369500</v>
      </c>
      <c r="F64" s="25">
        <v>5924.01</v>
      </c>
      <c r="G64" s="25">
        <v>0.57999999999999996</v>
      </c>
      <c r="H64" s="26"/>
    </row>
    <row r="65" spans="2:10">
      <c r="B65" s="27" t="s">
        <v>54</v>
      </c>
      <c r="C65" s="23" t="s">
        <v>55</v>
      </c>
      <c r="D65" s="23" t="s">
        <v>46</v>
      </c>
      <c r="E65" s="28">
        <v>12070</v>
      </c>
      <c r="F65" s="25">
        <v>5157.38</v>
      </c>
      <c r="G65" s="25">
        <v>0.5</v>
      </c>
      <c r="H65" s="26"/>
    </row>
    <row r="66" spans="2:10">
      <c r="B66" s="27" t="s">
        <v>253</v>
      </c>
      <c r="C66" s="23" t="s">
        <v>273</v>
      </c>
      <c r="D66" s="23" t="s">
        <v>140</v>
      </c>
      <c r="E66" s="28">
        <v>767000</v>
      </c>
      <c r="F66" s="25">
        <v>1720</v>
      </c>
      <c r="G66" s="25">
        <v>0.17</v>
      </c>
      <c r="H66" s="26"/>
    </row>
    <row r="67" spans="2:10">
      <c r="B67" s="29" t="s">
        <v>109</v>
      </c>
      <c r="C67" s="30"/>
      <c r="D67" s="30"/>
      <c r="E67" s="31"/>
      <c r="F67" s="32">
        <f>SUM(F7:F66)</f>
        <v>1004609.2099999998</v>
      </c>
      <c r="G67" s="32">
        <f>SUM(G7:G66)</f>
        <v>97.890000000000015</v>
      </c>
      <c r="H67" s="33"/>
      <c r="I67" s="14"/>
      <c r="J67" s="14"/>
    </row>
    <row r="68" spans="2:10">
      <c r="B68" s="37" t="s">
        <v>110</v>
      </c>
      <c r="C68" s="37"/>
      <c r="D68" s="37"/>
      <c r="E68" s="38"/>
      <c r="F68" s="39">
        <f>F67</f>
        <v>1004609.2099999998</v>
      </c>
      <c r="G68" s="39">
        <f>G67</f>
        <v>97.890000000000015</v>
      </c>
      <c r="H68" s="15"/>
      <c r="I68" s="14"/>
      <c r="J68" s="14"/>
    </row>
    <row r="69" spans="2:10">
      <c r="B69" s="46" t="s">
        <v>224</v>
      </c>
      <c r="C69" s="41"/>
      <c r="D69" s="41"/>
      <c r="E69" s="42"/>
      <c r="F69" s="43"/>
      <c r="G69" s="43"/>
      <c r="H69" s="43"/>
    </row>
    <row r="70" spans="2:10">
      <c r="B70" s="47" t="s">
        <v>31</v>
      </c>
      <c r="C70" s="23"/>
      <c r="D70" s="23"/>
      <c r="E70" s="24"/>
      <c r="F70" s="25"/>
      <c r="G70" s="25"/>
      <c r="H70" s="25"/>
    </row>
    <row r="71" spans="2:10">
      <c r="B71" s="23" t="s">
        <v>225</v>
      </c>
      <c r="C71" s="23" t="s">
        <v>226</v>
      </c>
      <c r="D71" s="23" t="s">
        <v>227</v>
      </c>
      <c r="E71" s="28">
        <v>193012</v>
      </c>
      <c r="F71" s="25">
        <v>56.11</v>
      </c>
      <c r="G71" s="25">
        <v>0.01</v>
      </c>
      <c r="H71" s="25">
        <v>5.4</v>
      </c>
    </row>
    <row r="72" spans="2:10">
      <c r="B72" s="30" t="s">
        <v>109</v>
      </c>
      <c r="C72" s="30"/>
      <c r="D72" s="30"/>
      <c r="E72" s="31"/>
      <c r="F72" s="32">
        <f>SUM(F70:F71)</f>
        <v>56.11</v>
      </c>
      <c r="G72" s="32">
        <f>SUM(G70:G71)</f>
        <v>0.01</v>
      </c>
      <c r="H72" s="48"/>
      <c r="I72" s="14"/>
      <c r="J72" s="14"/>
    </row>
    <row r="73" spans="2:10">
      <c r="B73" s="49" t="s">
        <v>110</v>
      </c>
      <c r="C73" s="49"/>
      <c r="D73" s="49"/>
      <c r="E73" s="50"/>
      <c r="F73" s="51">
        <f>F72</f>
        <v>56.11</v>
      </c>
      <c r="G73" s="51">
        <f>G72</f>
        <v>0.01</v>
      </c>
      <c r="H73" s="51"/>
      <c r="I73" s="14"/>
      <c r="J73" s="14"/>
    </row>
    <row r="74" spans="2:10">
      <c r="B74" s="47" t="s">
        <v>111</v>
      </c>
      <c r="C74" s="23"/>
      <c r="D74" s="23"/>
      <c r="E74" s="24"/>
      <c r="F74" s="25"/>
      <c r="G74" s="25"/>
      <c r="H74" s="25"/>
    </row>
    <row r="75" spans="2:10">
      <c r="B75" s="23" t="s">
        <v>111</v>
      </c>
      <c r="C75" s="23"/>
      <c r="D75" s="23"/>
      <c r="E75" s="24"/>
      <c r="F75" s="25">
        <v>30670.48</v>
      </c>
      <c r="G75" s="25">
        <v>2.99</v>
      </c>
      <c r="H75" s="25"/>
    </row>
    <row r="76" spans="2:10">
      <c r="B76" s="30" t="s">
        <v>109</v>
      </c>
      <c r="C76" s="30"/>
      <c r="D76" s="30"/>
      <c r="E76" s="31"/>
      <c r="F76" s="32">
        <f>SUM(F74:F75)</f>
        <v>30670.48</v>
      </c>
      <c r="G76" s="32">
        <f>SUM(G74:G75)</f>
        <v>2.99</v>
      </c>
      <c r="H76" s="48"/>
      <c r="I76" s="14"/>
      <c r="J76" s="14"/>
    </row>
    <row r="77" spans="2:10">
      <c r="B77" s="34" t="s">
        <v>110</v>
      </c>
      <c r="C77" s="34"/>
      <c r="D77" s="34"/>
      <c r="E77" s="35"/>
      <c r="F77" s="36">
        <f>F76</f>
        <v>30670.48</v>
      </c>
      <c r="G77" s="36">
        <f>G76</f>
        <v>2.99</v>
      </c>
      <c r="H77" s="36"/>
      <c r="I77" s="14"/>
      <c r="J77" s="14"/>
    </row>
    <row r="78" spans="2:10">
      <c r="B78" s="44" t="s">
        <v>113</v>
      </c>
      <c r="C78" s="44"/>
      <c r="D78" s="44"/>
      <c r="E78" s="45"/>
      <c r="F78" s="16">
        <f>F79-(+F68+F73+F77)</f>
        <v>-8908.2599999997765</v>
      </c>
      <c r="G78" s="16">
        <f>G79-(+G68+G73+G77)</f>
        <v>-0.89000000000001478</v>
      </c>
      <c r="H78" s="16"/>
      <c r="I78" s="14"/>
      <c r="J78" s="14"/>
    </row>
    <row r="79" spans="2:10">
      <c r="B79" s="44" t="s">
        <v>112</v>
      </c>
      <c r="C79" s="44"/>
      <c r="D79" s="44"/>
      <c r="E79" s="45"/>
      <c r="F79" s="16">
        <v>1026427.54</v>
      </c>
      <c r="G79" s="16">
        <v>100</v>
      </c>
      <c r="H79" s="16"/>
      <c r="I79" s="14"/>
      <c r="J79" s="14"/>
    </row>
    <row r="81" spans="2:2">
      <c r="B81" s="14" t="s">
        <v>747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61"/>
  <sheetViews>
    <sheetView workbookViewId="0">
      <selection activeCell="F2" sqref="F2"/>
    </sheetView>
  </sheetViews>
  <sheetFormatPr defaultRowHeight="12"/>
  <cols>
    <col min="1" max="1" width="9.140625" style="1"/>
    <col min="2" max="2" width="54" style="1" bestFit="1" customWidth="1"/>
    <col min="3" max="3" width="13.5703125" style="1" bestFit="1" customWidth="1"/>
    <col min="4" max="4" width="21.140625" style="1" bestFit="1" customWidth="1"/>
    <col min="5" max="5" width="7.710937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7" ht="21" customHeight="1">
      <c r="B1" s="82" t="s">
        <v>12</v>
      </c>
      <c r="C1" s="83"/>
      <c r="D1" s="83"/>
      <c r="E1" s="83"/>
      <c r="F1" s="83"/>
      <c r="G1" s="83"/>
    </row>
    <row r="3" spans="2:7" ht="16.5" thickBot="1">
      <c r="B3" s="2" t="s">
        <v>7</v>
      </c>
      <c r="C3" s="3"/>
      <c r="D3" s="4"/>
      <c r="E3" s="5"/>
      <c r="F3" s="6"/>
      <c r="G3" s="6"/>
    </row>
    <row r="4" spans="2:7" ht="24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7">
      <c r="B5" s="17" t="s">
        <v>30</v>
      </c>
      <c r="C5" s="18"/>
      <c r="D5" s="18"/>
      <c r="E5" s="19"/>
      <c r="F5" s="20"/>
      <c r="G5" s="20"/>
    </row>
    <row r="6" spans="2:7">
      <c r="B6" s="22" t="s">
        <v>31</v>
      </c>
      <c r="C6" s="23"/>
      <c r="D6" s="23"/>
      <c r="E6" s="24"/>
      <c r="F6" s="25"/>
      <c r="G6" s="25"/>
    </row>
    <row r="7" spans="2:7">
      <c r="B7" s="27" t="s">
        <v>35</v>
      </c>
      <c r="C7" s="23" t="s">
        <v>36</v>
      </c>
      <c r="D7" s="23" t="s">
        <v>37</v>
      </c>
      <c r="E7" s="28">
        <v>707000</v>
      </c>
      <c r="F7" s="25">
        <v>4825.28</v>
      </c>
      <c r="G7" s="25">
        <v>7.34</v>
      </c>
    </row>
    <row r="8" spans="2:7">
      <c r="B8" s="27" t="s">
        <v>117</v>
      </c>
      <c r="C8" s="23" t="s">
        <v>118</v>
      </c>
      <c r="D8" s="23" t="s">
        <v>37</v>
      </c>
      <c r="E8" s="28">
        <v>295800</v>
      </c>
      <c r="F8" s="25">
        <v>4219.4399999999996</v>
      </c>
      <c r="G8" s="25">
        <v>6.42</v>
      </c>
    </row>
    <row r="9" spans="2:7">
      <c r="B9" s="27" t="s">
        <v>123</v>
      </c>
      <c r="C9" s="23" t="s">
        <v>124</v>
      </c>
      <c r="D9" s="23" t="s">
        <v>125</v>
      </c>
      <c r="E9" s="28">
        <v>53175</v>
      </c>
      <c r="F9" s="25">
        <v>3311.79</v>
      </c>
      <c r="G9" s="25">
        <v>5.04</v>
      </c>
    </row>
    <row r="10" spans="2:7">
      <c r="B10" s="27" t="s">
        <v>162</v>
      </c>
      <c r="C10" s="23" t="s">
        <v>163</v>
      </c>
      <c r="D10" s="23" t="s">
        <v>132</v>
      </c>
      <c r="E10" s="28">
        <v>111675</v>
      </c>
      <c r="F10" s="25">
        <v>3303.85</v>
      </c>
      <c r="G10" s="25">
        <v>5.0199999999999996</v>
      </c>
    </row>
    <row r="11" spans="2:7">
      <c r="B11" s="27" t="s">
        <v>171</v>
      </c>
      <c r="C11" s="23" t="s">
        <v>172</v>
      </c>
      <c r="D11" s="23" t="s">
        <v>173</v>
      </c>
      <c r="E11" s="28">
        <v>80000</v>
      </c>
      <c r="F11" s="25">
        <v>3020.12</v>
      </c>
      <c r="G11" s="25">
        <v>4.59</v>
      </c>
    </row>
    <row r="12" spans="2:7">
      <c r="B12" s="27" t="s">
        <v>130</v>
      </c>
      <c r="C12" s="23" t="s">
        <v>131</v>
      </c>
      <c r="D12" s="23" t="s">
        <v>132</v>
      </c>
      <c r="E12" s="28">
        <v>115030</v>
      </c>
      <c r="F12" s="25">
        <v>2683.99</v>
      </c>
      <c r="G12" s="25">
        <v>4.08</v>
      </c>
    </row>
    <row r="13" spans="2:7">
      <c r="B13" s="27" t="s">
        <v>180</v>
      </c>
      <c r="C13" s="23" t="s">
        <v>181</v>
      </c>
      <c r="D13" s="23" t="s">
        <v>132</v>
      </c>
      <c r="E13" s="28">
        <v>350000</v>
      </c>
      <c r="F13" s="25">
        <v>2646.88</v>
      </c>
      <c r="G13" s="25">
        <v>4.03</v>
      </c>
    </row>
    <row r="14" spans="2:7">
      <c r="B14" s="27" t="s">
        <v>196</v>
      </c>
      <c r="C14" s="23" t="s">
        <v>197</v>
      </c>
      <c r="D14" s="23" t="s">
        <v>98</v>
      </c>
      <c r="E14" s="28">
        <v>135000</v>
      </c>
      <c r="F14" s="25">
        <v>2314.64</v>
      </c>
      <c r="G14" s="25">
        <v>3.52</v>
      </c>
    </row>
    <row r="15" spans="2:7">
      <c r="B15" s="27" t="s">
        <v>148</v>
      </c>
      <c r="C15" s="23" t="s">
        <v>149</v>
      </c>
      <c r="D15" s="23" t="s">
        <v>98</v>
      </c>
      <c r="E15" s="28">
        <v>180000</v>
      </c>
      <c r="F15" s="25">
        <v>2112.5700000000002</v>
      </c>
      <c r="G15" s="25">
        <v>3.21</v>
      </c>
    </row>
    <row r="16" spans="2:7">
      <c r="B16" s="27" t="s">
        <v>138</v>
      </c>
      <c r="C16" s="23" t="s">
        <v>139</v>
      </c>
      <c r="D16" s="23" t="s">
        <v>140</v>
      </c>
      <c r="E16" s="28">
        <v>50250</v>
      </c>
      <c r="F16" s="25">
        <v>1759.15</v>
      </c>
      <c r="G16" s="25">
        <v>2.68</v>
      </c>
    </row>
    <row r="17" spans="2:7">
      <c r="B17" s="27" t="s">
        <v>126</v>
      </c>
      <c r="C17" s="23" t="s">
        <v>127</v>
      </c>
      <c r="D17" s="23" t="s">
        <v>37</v>
      </c>
      <c r="E17" s="28">
        <v>231500</v>
      </c>
      <c r="F17" s="25">
        <v>1641.1</v>
      </c>
      <c r="G17" s="25">
        <v>2.5</v>
      </c>
    </row>
    <row r="18" spans="2:7">
      <c r="B18" s="27" t="s">
        <v>232</v>
      </c>
      <c r="C18" s="23" t="s">
        <v>233</v>
      </c>
      <c r="D18" s="23" t="s">
        <v>98</v>
      </c>
      <c r="E18" s="28">
        <v>305791</v>
      </c>
      <c r="F18" s="25">
        <v>1489.51</v>
      </c>
      <c r="G18" s="25">
        <v>2.27</v>
      </c>
    </row>
    <row r="19" spans="2:7">
      <c r="B19" s="27" t="s">
        <v>96</v>
      </c>
      <c r="C19" s="23" t="s">
        <v>97</v>
      </c>
      <c r="D19" s="23" t="s">
        <v>98</v>
      </c>
      <c r="E19" s="28">
        <v>34505</v>
      </c>
      <c r="F19" s="25">
        <v>1485.3</v>
      </c>
      <c r="G19" s="25">
        <v>2.2599999999999998</v>
      </c>
    </row>
    <row r="20" spans="2:7">
      <c r="B20" s="27" t="s">
        <v>236</v>
      </c>
      <c r="C20" s="23" t="s">
        <v>237</v>
      </c>
      <c r="D20" s="23" t="s">
        <v>140</v>
      </c>
      <c r="E20" s="28">
        <v>27499</v>
      </c>
      <c r="F20" s="25">
        <v>1434.02</v>
      </c>
      <c r="G20" s="25">
        <v>2.1800000000000002</v>
      </c>
    </row>
    <row r="21" spans="2:7">
      <c r="B21" s="27" t="s">
        <v>160</v>
      </c>
      <c r="C21" s="23" t="s">
        <v>161</v>
      </c>
      <c r="D21" s="23" t="s">
        <v>60</v>
      </c>
      <c r="E21" s="28">
        <v>75000</v>
      </c>
      <c r="F21" s="25">
        <v>1387.99</v>
      </c>
      <c r="G21" s="25">
        <v>2.11</v>
      </c>
    </row>
    <row r="22" spans="2:7">
      <c r="B22" s="27" t="s">
        <v>238</v>
      </c>
      <c r="C22" s="23" t="s">
        <v>239</v>
      </c>
      <c r="D22" s="23" t="s">
        <v>108</v>
      </c>
      <c r="E22" s="28">
        <v>18524</v>
      </c>
      <c r="F22" s="25">
        <v>1348.05</v>
      </c>
      <c r="G22" s="25">
        <v>2.0499999999999998</v>
      </c>
    </row>
    <row r="23" spans="2:7">
      <c r="B23" s="27" t="s">
        <v>228</v>
      </c>
      <c r="C23" s="23" t="s">
        <v>229</v>
      </c>
      <c r="D23" s="23" t="s">
        <v>108</v>
      </c>
      <c r="E23" s="28">
        <v>575000</v>
      </c>
      <c r="F23" s="25">
        <v>1347.51</v>
      </c>
      <c r="G23" s="25">
        <v>2.0499999999999998</v>
      </c>
    </row>
    <row r="24" spans="2:7">
      <c r="B24" s="27" t="s">
        <v>247</v>
      </c>
      <c r="C24" s="23" t="s">
        <v>248</v>
      </c>
      <c r="D24" s="23" t="s">
        <v>137</v>
      </c>
      <c r="E24" s="28">
        <v>120000</v>
      </c>
      <c r="F24" s="25">
        <v>1318.32</v>
      </c>
      <c r="G24" s="25">
        <v>2</v>
      </c>
    </row>
    <row r="25" spans="2:7">
      <c r="B25" s="27" t="s">
        <v>128</v>
      </c>
      <c r="C25" s="23" t="s">
        <v>129</v>
      </c>
      <c r="D25" s="23" t="s">
        <v>125</v>
      </c>
      <c r="E25" s="28">
        <v>53500</v>
      </c>
      <c r="F25" s="25">
        <v>1306.02</v>
      </c>
      <c r="G25" s="25">
        <v>1.99</v>
      </c>
    </row>
    <row r="26" spans="2:7">
      <c r="B26" s="27" t="s">
        <v>174</v>
      </c>
      <c r="C26" s="23" t="s">
        <v>175</v>
      </c>
      <c r="D26" s="23" t="s">
        <v>176</v>
      </c>
      <c r="E26" s="28">
        <v>225000</v>
      </c>
      <c r="F26" s="25">
        <v>1303.43</v>
      </c>
      <c r="G26" s="25">
        <v>1.98</v>
      </c>
    </row>
    <row r="27" spans="2:7">
      <c r="B27" s="27" t="s">
        <v>56</v>
      </c>
      <c r="C27" s="23" t="s">
        <v>57</v>
      </c>
      <c r="D27" s="23" t="s">
        <v>37</v>
      </c>
      <c r="E27" s="28">
        <v>297755</v>
      </c>
      <c r="F27" s="25">
        <v>1285.71</v>
      </c>
      <c r="G27" s="25">
        <v>1.96</v>
      </c>
    </row>
    <row r="28" spans="2:7">
      <c r="B28" s="27" t="s">
        <v>274</v>
      </c>
      <c r="C28" s="23" t="s">
        <v>275</v>
      </c>
      <c r="D28" s="23" t="s">
        <v>276</v>
      </c>
      <c r="E28" s="28">
        <v>4000</v>
      </c>
      <c r="F28" s="25">
        <v>1260.08</v>
      </c>
      <c r="G28" s="25">
        <v>1.92</v>
      </c>
    </row>
    <row r="29" spans="2:7">
      <c r="B29" s="27" t="s">
        <v>277</v>
      </c>
      <c r="C29" s="23" t="s">
        <v>278</v>
      </c>
      <c r="D29" s="23" t="s">
        <v>98</v>
      </c>
      <c r="E29" s="28">
        <v>373087</v>
      </c>
      <c r="F29" s="25">
        <v>1200.5899999999999</v>
      </c>
      <c r="G29" s="25">
        <v>1.83</v>
      </c>
    </row>
    <row r="30" spans="2:7">
      <c r="B30" s="27" t="s">
        <v>164</v>
      </c>
      <c r="C30" s="23" t="s">
        <v>165</v>
      </c>
      <c r="D30" s="23" t="s">
        <v>108</v>
      </c>
      <c r="E30" s="28">
        <v>155000</v>
      </c>
      <c r="F30" s="25">
        <v>1154.44</v>
      </c>
      <c r="G30" s="25">
        <v>1.76</v>
      </c>
    </row>
    <row r="31" spans="2:7">
      <c r="B31" s="27" t="s">
        <v>166</v>
      </c>
      <c r="C31" s="23" t="s">
        <v>167</v>
      </c>
      <c r="D31" s="23" t="s">
        <v>98</v>
      </c>
      <c r="E31" s="28">
        <v>102500</v>
      </c>
      <c r="F31" s="25">
        <v>1085.68</v>
      </c>
      <c r="G31" s="25">
        <v>1.65</v>
      </c>
    </row>
    <row r="32" spans="2:7">
      <c r="B32" s="27" t="s">
        <v>279</v>
      </c>
      <c r="C32" s="23" t="s">
        <v>280</v>
      </c>
      <c r="D32" s="23" t="s">
        <v>132</v>
      </c>
      <c r="E32" s="28">
        <v>8200</v>
      </c>
      <c r="F32" s="25">
        <v>1039.81</v>
      </c>
      <c r="G32" s="25">
        <v>1.58</v>
      </c>
    </row>
    <row r="33" spans="2:7">
      <c r="B33" s="27" t="s">
        <v>281</v>
      </c>
      <c r="C33" s="23" t="s">
        <v>282</v>
      </c>
      <c r="D33" s="23" t="s">
        <v>272</v>
      </c>
      <c r="E33" s="28">
        <v>95000</v>
      </c>
      <c r="F33" s="25">
        <v>989.66</v>
      </c>
      <c r="G33" s="25">
        <v>1.51</v>
      </c>
    </row>
    <row r="34" spans="2:7">
      <c r="B34" s="27" t="s">
        <v>141</v>
      </c>
      <c r="C34" s="23" t="s">
        <v>142</v>
      </c>
      <c r="D34" s="23" t="s">
        <v>143</v>
      </c>
      <c r="E34" s="28">
        <v>18125</v>
      </c>
      <c r="F34" s="25">
        <v>889.23</v>
      </c>
      <c r="G34" s="25">
        <v>1.35</v>
      </c>
    </row>
    <row r="35" spans="2:7">
      <c r="B35" s="27" t="s">
        <v>188</v>
      </c>
      <c r="C35" s="23" t="s">
        <v>189</v>
      </c>
      <c r="D35" s="23" t="s">
        <v>176</v>
      </c>
      <c r="E35" s="28">
        <v>650000</v>
      </c>
      <c r="F35" s="25">
        <v>863.2</v>
      </c>
      <c r="G35" s="25">
        <v>1.31</v>
      </c>
    </row>
    <row r="36" spans="2:7">
      <c r="B36" s="27" t="s">
        <v>283</v>
      </c>
      <c r="C36" s="23" t="s">
        <v>284</v>
      </c>
      <c r="D36" s="23" t="s">
        <v>132</v>
      </c>
      <c r="E36" s="28">
        <v>91000</v>
      </c>
      <c r="F36" s="25">
        <v>767.63</v>
      </c>
      <c r="G36" s="25">
        <v>1.17</v>
      </c>
    </row>
    <row r="37" spans="2:7">
      <c r="B37" s="27" t="s">
        <v>68</v>
      </c>
      <c r="C37" s="23" t="s">
        <v>69</v>
      </c>
      <c r="D37" s="23" t="s">
        <v>70</v>
      </c>
      <c r="E37" s="28">
        <v>107000</v>
      </c>
      <c r="F37" s="25">
        <v>765</v>
      </c>
      <c r="G37" s="25">
        <v>1.1599999999999999</v>
      </c>
    </row>
    <row r="38" spans="2:7">
      <c r="B38" s="27" t="s">
        <v>204</v>
      </c>
      <c r="C38" s="23" t="s">
        <v>205</v>
      </c>
      <c r="D38" s="23" t="s">
        <v>98</v>
      </c>
      <c r="E38" s="28">
        <v>45000</v>
      </c>
      <c r="F38" s="25">
        <v>728.64</v>
      </c>
      <c r="G38" s="25">
        <v>1.1100000000000001</v>
      </c>
    </row>
    <row r="39" spans="2:7">
      <c r="B39" s="27" t="s">
        <v>200</v>
      </c>
      <c r="C39" s="23" t="s">
        <v>201</v>
      </c>
      <c r="D39" s="23" t="s">
        <v>125</v>
      </c>
      <c r="E39" s="28">
        <v>151000</v>
      </c>
      <c r="F39" s="25">
        <v>718.38</v>
      </c>
      <c r="G39" s="25">
        <v>1.0900000000000001</v>
      </c>
    </row>
    <row r="40" spans="2:7">
      <c r="B40" s="27" t="s">
        <v>240</v>
      </c>
      <c r="C40" s="23" t="s">
        <v>241</v>
      </c>
      <c r="D40" s="23" t="s">
        <v>242</v>
      </c>
      <c r="E40" s="28">
        <v>50000</v>
      </c>
      <c r="F40" s="25">
        <v>700.1</v>
      </c>
      <c r="G40" s="25">
        <v>1.06</v>
      </c>
    </row>
    <row r="41" spans="2:7">
      <c r="B41" s="27" t="s">
        <v>184</v>
      </c>
      <c r="C41" s="23" t="s">
        <v>185</v>
      </c>
      <c r="D41" s="23" t="s">
        <v>108</v>
      </c>
      <c r="E41" s="28">
        <v>27500</v>
      </c>
      <c r="F41" s="25">
        <v>652.80999999999995</v>
      </c>
      <c r="G41" s="25">
        <v>0.99</v>
      </c>
    </row>
    <row r="42" spans="2:7">
      <c r="B42" s="27" t="s">
        <v>206</v>
      </c>
      <c r="C42" s="23" t="s">
        <v>207</v>
      </c>
      <c r="D42" s="23" t="s">
        <v>125</v>
      </c>
      <c r="E42" s="28">
        <v>62500</v>
      </c>
      <c r="F42" s="25">
        <v>647.97</v>
      </c>
      <c r="G42" s="25">
        <v>0.99</v>
      </c>
    </row>
    <row r="43" spans="2:7">
      <c r="B43" s="27" t="s">
        <v>144</v>
      </c>
      <c r="C43" s="23" t="s">
        <v>145</v>
      </c>
      <c r="D43" s="23" t="s">
        <v>37</v>
      </c>
      <c r="E43" s="28">
        <v>37000</v>
      </c>
      <c r="F43" s="25">
        <v>612.28</v>
      </c>
      <c r="G43" s="25">
        <v>0.93</v>
      </c>
    </row>
    <row r="44" spans="2:7">
      <c r="B44" s="27" t="s">
        <v>245</v>
      </c>
      <c r="C44" s="23" t="s">
        <v>246</v>
      </c>
      <c r="D44" s="23" t="s">
        <v>140</v>
      </c>
      <c r="E44" s="28">
        <v>450000</v>
      </c>
      <c r="F44" s="25">
        <v>600.75</v>
      </c>
      <c r="G44" s="25">
        <v>0.91</v>
      </c>
    </row>
    <row r="45" spans="2:7">
      <c r="B45" s="27" t="s">
        <v>168</v>
      </c>
      <c r="C45" s="23" t="s">
        <v>169</v>
      </c>
      <c r="D45" s="23" t="s">
        <v>170</v>
      </c>
      <c r="E45" s="28">
        <v>19582</v>
      </c>
      <c r="F45" s="25">
        <v>577.71</v>
      </c>
      <c r="G45" s="25">
        <v>0.88</v>
      </c>
    </row>
    <row r="46" spans="2:7">
      <c r="B46" s="27" t="s">
        <v>135</v>
      </c>
      <c r="C46" s="23" t="s">
        <v>136</v>
      </c>
      <c r="D46" s="23" t="s">
        <v>137</v>
      </c>
      <c r="E46" s="28">
        <v>45000</v>
      </c>
      <c r="F46" s="25">
        <v>504.95</v>
      </c>
      <c r="G46" s="25">
        <v>0.77</v>
      </c>
    </row>
    <row r="47" spans="2:7">
      <c r="B47" s="27" t="s">
        <v>285</v>
      </c>
      <c r="C47" s="23" t="s">
        <v>286</v>
      </c>
      <c r="D47" s="23" t="s">
        <v>176</v>
      </c>
      <c r="E47" s="28">
        <v>12500</v>
      </c>
      <c r="F47" s="25">
        <v>478.7</v>
      </c>
      <c r="G47" s="25">
        <v>0.73</v>
      </c>
    </row>
    <row r="48" spans="2:7">
      <c r="B48" s="27" t="s">
        <v>259</v>
      </c>
      <c r="C48" s="23" t="s">
        <v>260</v>
      </c>
      <c r="D48" s="23" t="s">
        <v>132</v>
      </c>
      <c r="E48" s="28">
        <v>75000</v>
      </c>
      <c r="F48" s="25">
        <v>469.46</v>
      </c>
      <c r="G48" s="25">
        <v>0.71</v>
      </c>
    </row>
    <row r="49" spans="2:9">
      <c r="B49" s="27" t="s">
        <v>287</v>
      </c>
      <c r="C49" s="23" t="s">
        <v>288</v>
      </c>
      <c r="D49" s="23" t="s">
        <v>60</v>
      </c>
      <c r="E49" s="28">
        <v>250000</v>
      </c>
      <c r="F49" s="25">
        <v>442.5</v>
      </c>
      <c r="G49" s="25">
        <v>0.67</v>
      </c>
    </row>
    <row r="50" spans="2:9">
      <c r="B50" s="27" t="s">
        <v>289</v>
      </c>
      <c r="C50" s="23" t="s">
        <v>290</v>
      </c>
      <c r="D50" s="23" t="s">
        <v>272</v>
      </c>
      <c r="E50" s="28">
        <v>7500</v>
      </c>
      <c r="F50" s="25">
        <v>250.56</v>
      </c>
      <c r="G50" s="25">
        <v>0.38</v>
      </c>
    </row>
    <row r="51" spans="2:9">
      <c r="B51" s="27" t="s">
        <v>291</v>
      </c>
      <c r="C51" s="23" t="s">
        <v>292</v>
      </c>
      <c r="D51" s="23" t="s">
        <v>132</v>
      </c>
      <c r="E51" s="28">
        <v>32500</v>
      </c>
      <c r="F51" s="25">
        <v>195.23</v>
      </c>
      <c r="G51" s="25">
        <v>0.3</v>
      </c>
    </row>
    <row r="52" spans="2:9">
      <c r="B52" s="29" t="s">
        <v>109</v>
      </c>
      <c r="C52" s="30"/>
      <c r="D52" s="30"/>
      <c r="E52" s="31"/>
      <c r="F52" s="32">
        <f>SUM(F7:F51)</f>
        <v>63140.029999999984</v>
      </c>
      <c r="G52" s="32">
        <f>SUM(G7:G51)</f>
        <v>96.039999999999992</v>
      </c>
      <c r="H52" s="14"/>
      <c r="I52" s="14"/>
    </row>
    <row r="53" spans="2:9">
      <c r="B53" s="37" t="s">
        <v>110</v>
      </c>
      <c r="C53" s="37"/>
      <c r="D53" s="37"/>
      <c r="E53" s="38"/>
      <c r="F53" s="39">
        <f>F52</f>
        <v>63140.029999999984</v>
      </c>
      <c r="G53" s="39">
        <f>G52</f>
        <v>96.039999999999992</v>
      </c>
      <c r="H53" s="14"/>
      <c r="I53" s="14"/>
    </row>
    <row r="54" spans="2:9">
      <c r="B54" s="40" t="s">
        <v>111</v>
      </c>
      <c r="C54" s="41"/>
      <c r="D54" s="41"/>
      <c r="E54" s="42"/>
      <c r="F54" s="43"/>
      <c r="G54" s="43"/>
    </row>
    <row r="55" spans="2:9">
      <c r="B55" s="27" t="s">
        <v>111</v>
      </c>
      <c r="C55" s="23"/>
      <c r="D55" s="23"/>
      <c r="E55" s="24"/>
      <c r="F55" s="25">
        <v>3050.25</v>
      </c>
      <c r="G55" s="25">
        <v>4.62</v>
      </c>
    </row>
    <row r="56" spans="2:9">
      <c r="B56" s="29" t="s">
        <v>109</v>
      </c>
      <c r="C56" s="30"/>
      <c r="D56" s="30"/>
      <c r="E56" s="31"/>
      <c r="F56" s="32">
        <f>SUM(F54:F55)</f>
        <v>3050.25</v>
      </c>
      <c r="G56" s="32">
        <f>SUM(G54:G55)</f>
        <v>4.62</v>
      </c>
      <c r="H56" s="14"/>
      <c r="I56" s="14"/>
    </row>
    <row r="57" spans="2:9">
      <c r="B57" s="34" t="s">
        <v>110</v>
      </c>
      <c r="C57" s="34"/>
      <c r="D57" s="34"/>
      <c r="E57" s="35"/>
      <c r="F57" s="36">
        <f>F56</f>
        <v>3050.25</v>
      </c>
      <c r="G57" s="36">
        <f>G56</f>
        <v>4.62</v>
      </c>
      <c r="H57" s="14"/>
      <c r="I57" s="14"/>
    </row>
    <row r="58" spans="2:9">
      <c r="B58" s="44" t="s">
        <v>113</v>
      </c>
      <c r="C58" s="44"/>
      <c r="D58" s="44"/>
      <c r="E58" s="45"/>
      <c r="F58" s="16">
        <f>F59-(+F53+F57)</f>
        <v>-434.40999999998894</v>
      </c>
      <c r="G58" s="16">
        <f>G59-(+G53+G57)</f>
        <v>-0.65999999999999659</v>
      </c>
      <c r="H58" s="14"/>
      <c r="I58" s="14"/>
    </row>
    <row r="59" spans="2:9">
      <c r="B59" s="44" t="s">
        <v>112</v>
      </c>
      <c r="C59" s="44"/>
      <c r="D59" s="44"/>
      <c r="E59" s="45"/>
      <c r="F59" s="16">
        <v>65755.87</v>
      </c>
      <c r="G59" s="16">
        <v>100</v>
      </c>
      <c r="H59" s="14"/>
      <c r="I59" s="14"/>
    </row>
    <row r="61" spans="2:9">
      <c r="B61" s="14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69"/>
  <sheetViews>
    <sheetView workbookViewId="0">
      <selection activeCell="B1" sqref="B1:H1"/>
    </sheetView>
  </sheetViews>
  <sheetFormatPr defaultRowHeight="12"/>
  <cols>
    <col min="1" max="1" width="9.140625" style="1"/>
    <col min="2" max="2" width="54" style="1" bestFit="1" customWidth="1"/>
    <col min="3" max="3" width="13.28515625" style="1" bestFit="1" customWidth="1"/>
    <col min="4" max="4" width="23.425781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>
      <c r="B1" s="82" t="s">
        <v>13</v>
      </c>
      <c r="C1" s="83"/>
      <c r="D1" s="83"/>
      <c r="E1" s="83"/>
      <c r="F1" s="83"/>
      <c r="G1" s="83"/>
      <c r="H1" s="83"/>
    </row>
    <row r="3" spans="2:8" ht="16.5" thickBot="1">
      <c r="B3" s="2" t="s">
        <v>7</v>
      </c>
      <c r="C3" s="3"/>
      <c r="D3" s="4"/>
      <c r="E3" s="5"/>
      <c r="F3" s="6"/>
      <c r="G3" s="6"/>
    </row>
    <row r="4" spans="2:8" ht="24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>
      <c r="B5" s="17" t="s">
        <v>30</v>
      </c>
      <c r="C5" s="18"/>
      <c r="D5" s="18"/>
      <c r="E5" s="19"/>
      <c r="F5" s="20"/>
      <c r="G5" s="20"/>
      <c r="H5" s="21"/>
    </row>
    <row r="6" spans="2:8">
      <c r="B6" s="22" t="s">
        <v>31</v>
      </c>
      <c r="C6" s="23"/>
      <c r="D6" s="23"/>
      <c r="E6" s="24"/>
      <c r="F6" s="25"/>
      <c r="G6" s="25"/>
      <c r="H6" s="26"/>
    </row>
    <row r="7" spans="2:8">
      <c r="B7" s="27" t="s">
        <v>114</v>
      </c>
      <c r="C7" s="23" t="s">
        <v>115</v>
      </c>
      <c r="D7" s="23" t="s">
        <v>116</v>
      </c>
      <c r="E7" s="28">
        <v>1739142</v>
      </c>
      <c r="F7" s="25">
        <v>28008.880000000001</v>
      </c>
      <c r="G7" s="25">
        <v>7.59</v>
      </c>
      <c r="H7" s="26"/>
    </row>
    <row r="8" spans="2:8">
      <c r="B8" s="27" t="s">
        <v>117</v>
      </c>
      <c r="C8" s="23" t="s">
        <v>118</v>
      </c>
      <c r="D8" s="23" t="s">
        <v>37</v>
      </c>
      <c r="E8" s="28">
        <v>1939700</v>
      </c>
      <c r="F8" s="25">
        <v>27668.85</v>
      </c>
      <c r="G8" s="25">
        <v>7.5</v>
      </c>
      <c r="H8" s="26"/>
    </row>
    <row r="9" spans="2:8">
      <c r="B9" s="27" t="s">
        <v>35</v>
      </c>
      <c r="C9" s="23" t="s">
        <v>36</v>
      </c>
      <c r="D9" s="23" t="s">
        <v>37</v>
      </c>
      <c r="E9" s="28">
        <v>3865600</v>
      </c>
      <c r="F9" s="25">
        <v>26382.720000000001</v>
      </c>
      <c r="G9" s="25">
        <v>7.15</v>
      </c>
      <c r="H9" s="26"/>
    </row>
    <row r="10" spans="2:8">
      <c r="B10" s="27" t="s">
        <v>121</v>
      </c>
      <c r="C10" s="23" t="s">
        <v>122</v>
      </c>
      <c r="D10" s="23" t="s">
        <v>90</v>
      </c>
      <c r="E10" s="28">
        <v>963250</v>
      </c>
      <c r="F10" s="25">
        <v>19605.03</v>
      </c>
      <c r="G10" s="25">
        <v>5.31</v>
      </c>
      <c r="H10" s="26"/>
    </row>
    <row r="11" spans="2:8">
      <c r="B11" s="27" t="s">
        <v>119</v>
      </c>
      <c r="C11" s="23" t="s">
        <v>120</v>
      </c>
      <c r="D11" s="23" t="s">
        <v>116</v>
      </c>
      <c r="E11" s="28">
        <v>503461</v>
      </c>
      <c r="F11" s="25">
        <v>15946.88</v>
      </c>
      <c r="G11" s="25">
        <v>4.32</v>
      </c>
      <c r="H11" s="26"/>
    </row>
    <row r="12" spans="2:8">
      <c r="B12" s="27" t="s">
        <v>32</v>
      </c>
      <c r="C12" s="23" t="s">
        <v>33</v>
      </c>
      <c r="D12" s="23" t="s">
        <v>34</v>
      </c>
      <c r="E12" s="28">
        <v>900685</v>
      </c>
      <c r="F12" s="25">
        <v>14424.02</v>
      </c>
      <c r="G12" s="25">
        <v>3.91</v>
      </c>
      <c r="H12" s="26"/>
    </row>
    <row r="13" spans="2:8">
      <c r="B13" s="27" t="s">
        <v>128</v>
      </c>
      <c r="C13" s="23" t="s">
        <v>129</v>
      </c>
      <c r="D13" s="23" t="s">
        <v>125</v>
      </c>
      <c r="E13" s="28">
        <v>565450</v>
      </c>
      <c r="F13" s="25">
        <v>13803.48</v>
      </c>
      <c r="G13" s="25">
        <v>3.74</v>
      </c>
      <c r="H13" s="26"/>
    </row>
    <row r="14" spans="2:8">
      <c r="B14" s="27" t="s">
        <v>56</v>
      </c>
      <c r="C14" s="23" t="s">
        <v>57</v>
      </c>
      <c r="D14" s="23" t="s">
        <v>37</v>
      </c>
      <c r="E14" s="28">
        <v>2905000</v>
      </c>
      <c r="F14" s="25">
        <v>12543.79</v>
      </c>
      <c r="G14" s="25">
        <v>3.4</v>
      </c>
      <c r="H14" s="26"/>
    </row>
    <row r="15" spans="2:8">
      <c r="B15" s="27" t="s">
        <v>123</v>
      </c>
      <c r="C15" s="23" t="s">
        <v>124</v>
      </c>
      <c r="D15" s="23" t="s">
        <v>125</v>
      </c>
      <c r="E15" s="28">
        <v>185934</v>
      </c>
      <c r="F15" s="25">
        <v>11580.16</v>
      </c>
      <c r="G15" s="25">
        <v>3.14</v>
      </c>
      <c r="H15" s="26"/>
    </row>
    <row r="16" spans="2:8">
      <c r="B16" s="27" t="s">
        <v>126</v>
      </c>
      <c r="C16" s="23" t="s">
        <v>127</v>
      </c>
      <c r="D16" s="23" t="s">
        <v>37</v>
      </c>
      <c r="E16" s="28">
        <v>1584200</v>
      </c>
      <c r="F16" s="25">
        <v>11230.39</v>
      </c>
      <c r="G16" s="25">
        <v>3.04</v>
      </c>
      <c r="H16" s="26"/>
    </row>
    <row r="17" spans="2:8">
      <c r="B17" s="27" t="s">
        <v>150</v>
      </c>
      <c r="C17" s="23" t="s">
        <v>151</v>
      </c>
      <c r="D17" s="23" t="s">
        <v>152</v>
      </c>
      <c r="E17" s="28">
        <v>1558316</v>
      </c>
      <c r="F17" s="25">
        <v>8752.2800000000007</v>
      </c>
      <c r="G17" s="25">
        <v>2.37</v>
      </c>
      <c r="H17" s="26"/>
    </row>
    <row r="18" spans="2:8">
      <c r="B18" s="27" t="s">
        <v>130</v>
      </c>
      <c r="C18" s="23" t="s">
        <v>131</v>
      </c>
      <c r="D18" s="23" t="s">
        <v>132</v>
      </c>
      <c r="E18" s="28">
        <v>372800</v>
      </c>
      <c r="F18" s="25">
        <v>8698.5400000000009</v>
      </c>
      <c r="G18" s="25">
        <v>2.36</v>
      </c>
      <c r="H18" s="26"/>
    </row>
    <row r="19" spans="2:8">
      <c r="B19" s="27" t="s">
        <v>144</v>
      </c>
      <c r="C19" s="23" t="s">
        <v>145</v>
      </c>
      <c r="D19" s="23" t="s">
        <v>37</v>
      </c>
      <c r="E19" s="28">
        <v>453750</v>
      </c>
      <c r="F19" s="25">
        <v>7508.66</v>
      </c>
      <c r="G19" s="25">
        <v>2.0299999999999998</v>
      </c>
      <c r="H19" s="26"/>
    </row>
    <row r="20" spans="2:8">
      <c r="B20" s="27" t="s">
        <v>61</v>
      </c>
      <c r="C20" s="23" t="s">
        <v>62</v>
      </c>
      <c r="D20" s="23" t="s">
        <v>63</v>
      </c>
      <c r="E20" s="28">
        <v>96652</v>
      </c>
      <c r="F20" s="25">
        <v>7364.11</v>
      </c>
      <c r="G20" s="25">
        <v>2</v>
      </c>
      <c r="H20" s="26"/>
    </row>
    <row r="21" spans="2:8">
      <c r="B21" s="27" t="s">
        <v>146</v>
      </c>
      <c r="C21" s="23" t="s">
        <v>147</v>
      </c>
      <c r="D21" s="23" t="s">
        <v>116</v>
      </c>
      <c r="E21" s="28">
        <v>677000</v>
      </c>
      <c r="F21" s="25">
        <v>6938.91</v>
      </c>
      <c r="G21" s="25">
        <v>1.88</v>
      </c>
      <c r="H21" s="26"/>
    </row>
    <row r="22" spans="2:8">
      <c r="B22" s="27" t="s">
        <v>133</v>
      </c>
      <c r="C22" s="23" t="s">
        <v>134</v>
      </c>
      <c r="D22" s="23" t="s">
        <v>116</v>
      </c>
      <c r="E22" s="28">
        <v>225000</v>
      </c>
      <c r="F22" s="25">
        <v>5849.44</v>
      </c>
      <c r="G22" s="25">
        <v>1.58</v>
      </c>
      <c r="H22" s="26"/>
    </row>
    <row r="23" spans="2:8">
      <c r="B23" s="27" t="s">
        <v>138</v>
      </c>
      <c r="C23" s="23" t="s">
        <v>139</v>
      </c>
      <c r="D23" s="23" t="s">
        <v>140</v>
      </c>
      <c r="E23" s="28">
        <v>150300</v>
      </c>
      <c r="F23" s="25">
        <v>5261.7</v>
      </c>
      <c r="G23" s="25">
        <v>1.43</v>
      </c>
      <c r="H23" s="26"/>
    </row>
    <row r="24" spans="2:8">
      <c r="B24" s="27" t="s">
        <v>228</v>
      </c>
      <c r="C24" s="23" t="s">
        <v>229</v>
      </c>
      <c r="D24" s="23" t="s">
        <v>108</v>
      </c>
      <c r="E24" s="28">
        <v>2225000</v>
      </c>
      <c r="F24" s="25">
        <v>5214.29</v>
      </c>
      <c r="G24" s="25">
        <v>1.41</v>
      </c>
      <c r="H24" s="26"/>
    </row>
    <row r="25" spans="2:8">
      <c r="B25" s="27" t="s">
        <v>91</v>
      </c>
      <c r="C25" s="23" t="s">
        <v>92</v>
      </c>
      <c r="D25" s="23" t="s">
        <v>93</v>
      </c>
      <c r="E25" s="28">
        <v>1120000</v>
      </c>
      <c r="F25" s="25">
        <v>4981.76</v>
      </c>
      <c r="G25" s="25">
        <v>1.35</v>
      </c>
      <c r="H25" s="26"/>
    </row>
    <row r="26" spans="2:8">
      <c r="B26" s="27" t="s">
        <v>86</v>
      </c>
      <c r="C26" s="23" t="s">
        <v>87</v>
      </c>
      <c r="D26" s="23" t="s">
        <v>63</v>
      </c>
      <c r="E26" s="28">
        <v>1200000</v>
      </c>
      <c r="F26" s="25">
        <v>4933.8</v>
      </c>
      <c r="G26" s="25">
        <v>1.34</v>
      </c>
      <c r="H26" s="26"/>
    </row>
    <row r="27" spans="2:8">
      <c r="B27" s="27" t="s">
        <v>194</v>
      </c>
      <c r="C27" s="23" t="s">
        <v>195</v>
      </c>
      <c r="D27" s="23" t="s">
        <v>143</v>
      </c>
      <c r="E27" s="28">
        <v>629500</v>
      </c>
      <c r="F27" s="25">
        <v>4872.0200000000004</v>
      </c>
      <c r="G27" s="25">
        <v>1.32</v>
      </c>
      <c r="H27" s="26"/>
    </row>
    <row r="28" spans="2:8">
      <c r="B28" s="27" t="s">
        <v>180</v>
      </c>
      <c r="C28" s="23" t="s">
        <v>181</v>
      </c>
      <c r="D28" s="23" t="s">
        <v>132</v>
      </c>
      <c r="E28" s="28">
        <v>636324</v>
      </c>
      <c r="F28" s="25">
        <v>4812.2</v>
      </c>
      <c r="G28" s="25">
        <v>1.3</v>
      </c>
      <c r="H28" s="26"/>
    </row>
    <row r="29" spans="2:8">
      <c r="B29" s="27" t="s">
        <v>141</v>
      </c>
      <c r="C29" s="23" t="s">
        <v>142</v>
      </c>
      <c r="D29" s="23" t="s">
        <v>143</v>
      </c>
      <c r="E29" s="28">
        <v>95981</v>
      </c>
      <c r="F29" s="25">
        <v>4708.92</v>
      </c>
      <c r="G29" s="25">
        <v>1.28</v>
      </c>
      <c r="H29" s="26"/>
    </row>
    <row r="30" spans="2:8">
      <c r="B30" s="27" t="s">
        <v>171</v>
      </c>
      <c r="C30" s="23" t="s">
        <v>172</v>
      </c>
      <c r="D30" s="23" t="s">
        <v>173</v>
      </c>
      <c r="E30" s="28">
        <v>124500</v>
      </c>
      <c r="F30" s="25">
        <v>4700.0600000000004</v>
      </c>
      <c r="G30" s="25">
        <v>1.27</v>
      </c>
      <c r="H30" s="26"/>
    </row>
    <row r="31" spans="2:8">
      <c r="B31" s="27" t="s">
        <v>135</v>
      </c>
      <c r="C31" s="23" t="s">
        <v>136</v>
      </c>
      <c r="D31" s="23" t="s">
        <v>137</v>
      </c>
      <c r="E31" s="28">
        <v>410000</v>
      </c>
      <c r="F31" s="25">
        <v>4600.6099999999997</v>
      </c>
      <c r="G31" s="25">
        <v>1.25</v>
      </c>
      <c r="H31" s="26"/>
    </row>
    <row r="32" spans="2:8">
      <c r="B32" s="27" t="s">
        <v>155</v>
      </c>
      <c r="C32" s="23" t="s">
        <v>156</v>
      </c>
      <c r="D32" s="23" t="s">
        <v>70</v>
      </c>
      <c r="E32" s="28">
        <v>820000</v>
      </c>
      <c r="F32" s="25">
        <v>4573.55</v>
      </c>
      <c r="G32" s="25">
        <v>1.24</v>
      </c>
      <c r="H32" s="26"/>
    </row>
    <row r="33" spans="2:8">
      <c r="B33" s="27" t="s">
        <v>162</v>
      </c>
      <c r="C33" s="23" t="s">
        <v>163</v>
      </c>
      <c r="D33" s="23" t="s">
        <v>132</v>
      </c>
      <c r="E33" s="28">
        <v>144600</v>
      </c>
      <c r="F33" s="25">
        <v>4277.92</v>
      </c>
      <c r="G33" s="25">
        <v>1.1599999999999999</v>
      </c>
      <c r="H33" s="26"/>
    </row>
    <row r="34" spans="2:8">
      <c r="B34" s="27" t="s">
        <v>73</v>
      </c>
      <c r="C34" s="23" t="s">
        <v>74</v>
      </c>
      <c r="D34" s="23" t="s">
        <v>75</v>
      </c>
      <c r="E34" s="28">
        <v>290000</v>
      </c>
      <c r="F34" s="25">
        <v>4159.47</v>
      </c>
      <c r="G34" s="25">
        <v>1.1299999999999999</v>
      </c>
      <c r="H34" s="26"/>
    </row>
    <row r="35" spans="2:8">
      <c r="B35" s="27" t="s">
        <v>232</v>
      </c>
      <c r="C35" s="23" t="s">
        <v>233</v>
      </c>
      <c r="D35" s="23" t="s">
        <v>98</v>
      </c>
      <c r="E35" s="28">
        <v>845000</v>
      </c>
      <c r="F35" s="25">
        <v>4116</v>
      </c>
      <c r="G35" s="25">
        <v>1.1200000000000001</v>
      </c>
      <c r="H35" s="26"/>
    </row>
    <row r="36" spans="2:8">
      <c r="B36" s="27" t="s">
        <v>166</v>
      </c>
      <c r="C36" s="23" t="s">
        <v>167</v>
      </c>
      <c r="D36" s="23" t="s">
        <v>98</v>
      </c>
      <c r="E36" s="28">
        <v>376200</v>
      </c>
      <c r="F36" s="25">
        <v>3984.71</v>
      </c>
      <c r="G36" s="25">
        <v>1.08</v>
      </c>
      <c r="H36" s="26"/>
    </row>
    <row r="37" spans="2:8">
      <c r="B37" s="27" t="s">
        <v>285</v>
      </c>
      <c r="C37" s="23" t="s">
        <v>286</v>
      </c>
      <c r="D37" s="23" t="s">
        <v>176</v>
      </c>
      <c r="E37" s="28">
        <v>104000</v>
      </c>
      <c r="F37" s="25">
        <v>3982.78</v>
      </c>
      <c r="G37" s="25">
        <v>1.08</v>
      </c>
      <c r="H37" s="26"/>
    </row>
    <row r="38" spans="2:8">
      <c r="B38" s="27" t="s">
        <v>168</v>
      </c>
      <c r="C38" s="23" t="s">
        <v>169</v>
      </c>
      <c r="D38" s="23" t="s">
        <v>170</v>
      </c>
      <c r="E38" s="28">
        <v>132055</v>
      </c>
      <c r="F38" s="25">
        <v>3895.89</v>
      </c>
      <c r="G38" s="25">
        <v>1.06</v>
      </c>
      <c r="H38" s="26"/>
    </row>
    <row r="39" spans="2:8">
      <c r="B39" s="27" t="s">
        <v>68</v>
      </c>
      <c r="C39" s="23" t="s">
        <v>69</v>
      </c>
      <c r="D39" s="23" t="s">
        <v>70</v>
      </c>
      <c r="E39" s="28">
        <v>540994</v>
      </c>
      <c r="F39" s="25">
        <v>3867.84</v>
      </c>
      <c r="G39" s="25">
        <v>1.05</v>
      </c>
      <c r="H39" s="26"/>
    </row>
    <row r="40" spans="2:8">
      <c r="B40" s="27" t="s">
        <v>274</v>
      </c>
      <c r="C40" s="23" t="s">
        <v>275</v>
      </c>
      <c r="D40" s="23" t="s">
        <v>276</v>
      </c>
      <c r="E40" s="28">
        <v>11750</v>
      </c>
      <c r="F40" s="25">
        <v>3701.5</v>
      </c>
      <c r="G40" s="25">
        <v>1</v>
      </c>
      <c r="H40" s="26"/>
    </row>
    <row r="41" spans="2:8">
      <c r="B41" s="27" t="s">
        <v>202</v>
      </c>
      <c r="C41" s="23" t="s">
        <v>203</v>
      </c>
      <c r="D41" s="23" t="s">
        <v>137</v>
      </c>
      <c r="E41" s="28">
        <v>555000</v>
      </c>
      <c r="F41" s="25">
        <v>3685.48</v>
      </c>
      <c r="G41" s="25">
        <v>1</v>
      </c>
      <c r="H41" s="26"/>
    </row>
    <row r="42" spans="2:8">
      <c r="B42" s="27" t="s">
        <v>99</v>
      </c>
      <c r="C42" s="23" t="s">
        <v>100</v>
      </c>
      <c r="D42" s="23" t="s">
        <v>60</v>
      </c>
      <c r="E42" s="28">
        <v>425000</v>
      </c>
      <c r="F42" s="25">
        <v>3622.7</v>
      </c>
      <c r="G42" s="25">
        <v>0.98</v>
      </c>
      <c r="H42" s="26"/>
    </row>
    <row r="43" spans="2:8">
      <c r="B43" s="27" t="s">
        <v>190</v>
      </c>
      <c r="C43" s="23" t="s">
        <v>191</v>
      </c>
      <c r="D43" s="23" t="s">
        <v>143</v>
      </c>
      <c r="E43" s="28">
        <v>19035</v>
      </c>
      <c r="F43" s="25">
        <v>3619.08</v>
      </c>
      <c r="G43" s="25">
        <v>0.98</v>
      </c>
      <c r="H43" s="26"/>
    </row>
    <row r="44" spans="2:8">
      <c r="B44" s="27" t="s">
        <v>266</v>
      </c>
      <c r="C44" s="23" t="s">
        <v>267</v>
      </c>
      <c r="D44" s="23" t="s">
        <v>125</v>
      </c>
      <c r="E44" s="28">
        <v>230000</v>
      </c>
      <c r="F44" s="25">
        <v>3575.93</v>
      </c>
      <c r="G44" s="25">
        <v>0.97</v>
      </c>
      <c r="H44" s="26"/>
    </row>
    <row r="45" spans="2:8">
      <c r="B45" s="27" t="s">
        <v>243</v>
      </c>
      <c r="C45" s="23" t="s">
        <v>244</v>
      </c>
      <c r="D45" s="23" t="s">
        <v>143</v>
      </c>
      <c r="E45" s="28">
        <v>75900</v>
      </c>
      <c r="F45" s="25">
        <v>3575.8</v>
      </c>
      <c r="G45" s="25">
        <v>0.97</v>
      </c>
      <c r="H45" s="26"/>
    </row>
    <row r="46" spans="2:8">
      <c r="B46" s="27" t="s">
        <v>208</v>
      </c>
      <c r="C46" s="23" t="s">
        <v>209</v>
      </c>
      <c r="D46" s="23" t="s">
        <v>176</v>
      </c>
      <c r="E46" s="28">
        <v>50400</v>
      </c>
      <c r="F46" s="25">
        <v>3516.76</v>
      </c>
      <c r="G46" s="25">
        <v>0.95</v>
      </c>
      <c r="H46" s="26"/>
    </row>
    <row r="47" spans="2:8">
      <c r="B47" s="27" t="s">
        <v>293</v>
      </c>
      <c r="C47" s="23" t="s">
        <v>294</v>
      </c>
      <c r="D47" s="23" t="s">
        <v>63</v>
      </c>
      <c r="E47" s="28">
        <v>215000</v>
      </c>
      <c r="F47" s="25">
        <v>3335.4</v>
      </c>
      <c r="G47" s="25">
        <v>0.9</v>
      </c>
      <c r="H47" s="26"/>
    </row>
    <row r="48" spans="2:8">
      <c r="B48" s="27" t="s">
        <v>200</v>
      </c>
      <c r="C48" s="23" t="s">
        <v>201</v>
      </c>
      <c r="D48" s="23" t="s">
        <v>125</v>
      </c>
      <c r="E48" s="28">
        <v>700000</v>
      </c>
      <c r="F48" s="25">
        <v>3330.25</v>
      </c>
      <c r="G48" s="25">
        <v>0.9</v>
      </c>
      <c r="H48" s="26"/>
    </row>
    <row r="49" spans="2:10">
      <c r="B49" s="27" t="s">
        <v>196</v>
      </c>
      <c r="C49" s="23" t="s">
        <v>197</v>
      </c>
      <c r="D49" s="23" t="s">
        <v>98</v>
      </c>
      <c r="E49" s="28">
        <v>192200</v>
      </c>
      <c r="F49" s="25">
        <v>3295.37</v>
      </c>
      <c r="G49" s="25">
        <v>0.89</v>
      </c>
      <c r="H49" s="26"/>
    </row>
    <row r="50" spans="2:10">
      <c r="B50" s="27" t="s">
        <v>210</v>
      </c>
      <c r="C50" s="23" t="s">
        <v>211</v>
      </c>
      <c r="D50" s="23" t="s">
        <v>143</v>
      </c>
      <c r="E50" s="28">
        <v>357000</v>
      </c>
      <c r="F50" s="25">
        <v>3284.58</v>
      </c>
      <c r="G50" s="25">
        <v>0.89</v>
      </c>
      <c r="H50" s="26"/>
    </row>
    <row r="51" spans="2:10">
      <c r="B51" s="27" t="s">
        <v>234</v>
      </c>
      <c r="C51" s="23" t="s">
        <v>235</v>
      </c>
      <c r="D51" s="23" t="s">
        <v>143</v>
      </c>
      <c r="E51" s="28">
        <v>74500</v>
      </c>
      <c r="F51" s="25">
        <v>2928.19</v>
      </c>
      <c r="G51" s="25">
        <v>0.79</v>
      </c>
      <c r="H51" s="26"/>
    </row>
    <row r="52" spans="2:10">
      <c r="B52" s="27" t="s">
        <v>214</v>
      </c>
      <c r="C52" s="23" t="s">
        <v>215</v>
      </c>
      <c r="D52" s="23" t="s">
        <v>176</v>
      </c>
      <c r="E52" s="28">
        <v>825000</v>
      </c>
      <c r="F52" s="25">
        <v>2425.09</v>
      </c>
      <c r="G52" s="25">
        <v>0.66</v>
      </c>
      <c r="H52" s="26"/>
    </row>
    <row r="53" spans="2:10">
      <c r="B53" s="27" t="s">
        <v>295</v>
      </c>
      <c r="C53" s="23" t="s">
        <v>296</v>
      </c>
      <c r="D53" s="23" t="s">
        <v>137</v>
      </c>
      <c r="E53" s="28">
        <v>154786</v>
      </c>
      <c r="F53" s="25">
        <v>2284.25</v>
      </c>
      <c r="G53" s="25">
        <v>0.62</v>
      </c>
      <c r="H53" s="26"/>
    </row>
    <row r="54" spans="2:10">
      <c r="B54" s="27" t="s">
        <v>218</v>
      </c>
      <c r="C54" s="23" t="s">
        <v>219</v>
      </c>
      <c r="D54" s="23" t="s">
        <v>132</v>
      </c>
      <c r="E54" s="28">
        <v>64094</v>
      </c>
      <c r="F54" s="25">
        <v>2194.19</v>
      </c>
      <c r="G54" s="25">
        <v>0.59</v>
      </c>
      <c r="H54" s="26"/>
    </row>
    <row r="55" spans="2:10">
      <c r="B55" s="29" t="s">
        <v>109</v>
      </c>
      <c r="C55" s="30"/>
      <c r="D55" s="30"/>
      <c r="E55" s="31"/>
      <c r="F55" s="32">
        <f>SUM(F7:F54)</f>
        <v>351624.23000000016</v>
      </c>
      <c r="G55" s="32">
        <f>SUM(G7:G54)</f>
        <v>95.28</v>
      </c>
      <c r="H55" s="33"/>
      <c r="I55" s="14"/>
      <c r="J55" s="14"/>
    </row>
    <row r="56" spans="2:10">
      <c r="B56" s="37" t="s">
        <v>110</v>
      </c>
      <c r="C56" s="37"/>
      <c r="D56" s="37"/>
      <c r="E56" s="38"/>
      <c r="F56" s="39">
        <f>F55</f>
        <v>351624.23000000016</v>
      </c>
      <c r="G56" s="39">
        <f>G55</f>
        <v>95.28</v>
      </c>
      <c r="H56" s="15"/>
      <c r="I56" s="14"/>
      <c r="J56" s="14"/>
    </row>
    <row r="57" spans="2:10">
      <c r="B57" s="46" t="s">
        <v>224</v>
      </c>
      <c r="C57" s="41"/>
      <c r="D57" s="41"/>
      <c r="E57" s="42"/>
      <c r="F57" s="43"/>
      <c r="G57" s="43"/>
      <c r="H57" s="43"/>
    </row>
    <row r="58" spans="2:10">
      <c r="B58" s="47" t="s">
        <v>31</v>
      </c>
      <c r="C58" s="23"/>
      <c r="D58" s="23"/>
      <c r="E58" s="24"/>
      <c r="F58" s="25"/>
      <c r="G58" s="25"/>
      <c r="H58" s="25"/>
    </row>
    <row r="59" spans="2:10">
      <c r="B59" s="23" t="s">
        <v>225</v>
      </c>
      <c r="C59" s="23" t="s">
        <v>226</v>
      </c>
      <c r="D59" s="23" t="s">
        <v>227</v>
      </c>
      <c r="E59" s="28">
        <v>64094</v>
      </c>
      <c r="F59" s="25">
        <v>18.63</v>
      </c>
      <c r="G59" s="25">
        <v>0.01</v>
      </c>
      <c r="H59" s="25">
        <v>5.4</v>
      </c>
    </row>
    <row r="60" spans="2:10">
      <c r="B60" s="30" t="s">
        <v>109</v>
      </c>
      <c r="C60" s="30"/>
      <c r="D60" s="30"/>
      <c r="E60" s="31"/>
      <c r="F60" s="32">
        <f>SUM(F58:F59)</f>
        <v>18.63</v>
      </c>
      <c r="G60" s="32">
        <f>SUM(G58:G59)</f>
        <v>0.01</v>
      </c>
      <c r="H60" s="48"/>
      <c r="I60" s="14"/>
      <c r="J60" s="14"/>
    </row>
    <row r="61" spans="2:10">
      <c r="B61" s="49" t="s">
        <v>110</v>
      </c>
      <c r="C61" s="49"/>
      <c r="D61" s="49"/>
      <c r="E61" s="50"/>
      <c r="F61" s="51">
        <f>F60</f>
        <v>18.63</v>
      </c>
      <c r="G61" s="51">
        <f>G60</f>
        <v>0.01</v>
      </c>
      <c r="H61" s="51"/>
      <c r="I61" s="14"/>
      <c r="J61" s="14"/>
    </row>
    <row r="62" spans="2:10">
      <c r="B62" s="47" t="s">
        <v>111</v>
      </c>
      <c r="C62" s="23"/>
      <c r="D62" s="23"/>
      <c r="E62" s="24"/>
      <c r="F62" s="25"/>
      <c r="G62" s="25"/>
      <c r="H62" s="25"/>
    </row>
    <row r="63" spans="2:10">
      <c r="B63" s="23" t="s">
        <v>111</v>
      </c>
      <c r="C63" s="23"/>
      <c r="D63" s="23"/>
      <c r="E63" s="24"/>
      <c r="F63" s="25">
        <v>20111.82</v>
      </c>
      <c r="G63" s="25">
        <v>5.47</v>
      </c>
      <c r="H63" s="25"/>
    </row>
    <row r="64" spans="2:10">
      <c r="B64" s="30" t="s">
        <v>109</v>
      </c>
      <c r="C64" s="30"/>
      <c r="D64" s="30"/>
      <c r="E64" s="31"/>
      <c r="F64" s="32">
        <f>SUM(F62:F63)</f>
        <v>20111.82</v>
      </c>
      <c r="G64" s="32">
        <f>SUM(G62:G63)</f>
        <v>5.47</v>
      </c>
      <c r="H64" s="48"/>
      <c r="I64" s="14"/>
      <c r="J64" s="14"/>
    </row>
    <row r="65" spans="2:10">
      <c r="B65" s="34" t="s">
        <v>110</v>
      </c>
      <c r="C65" s="34"/>
      <c r="D65" s="34"/>
      <c r="E65" s="35"/>
      <c r="F65" s="36">
        <f>F64</f>
        <v>20111.82</v>
      </c>
      <c r="G65" s="36">
        <f>G64</f>
        <v>5.47</v>
      </c>
      <c r="H65" s="36"/>
      <c r="I65" s="14"/>
      <c r="J65" s="14"/>
    </row>
    <row r="66" spans="2:10">
      <c r="B66" s="44" t="s">
        <v>113</v>
      </c>
      <c r="C66" s="44"/>
      <c r="D66" s="44"/>
      <c r="E66" s="45"/>
      <c r="F66" s="16">
        <f>F67-(+F56+F61+F65)</f>
        <v>-2629.6300000001793</v>
      </c>
      <c r="G66" s="16">
        <f>G67-(+G56+G61+G65)</f>
        <v>-0.76000000000000512</v>
      </c>
      <c r="H66" s="16"/>
      <c r="I66" s="14"/>
      <c r="J66" s="14"/>
    </row>
    <row r="67" spans="2:10">
      <c r="B67" s="44" t="s">
        <v>112</v>
      </c>
      <c r="C67" s="44"/>
      <c r="D67" s="44"/>
      <c r="E67" s="45"/>
      <c r="F67" s="16">
        <v>369125.05</v>
      </c>
      <c r="G67" s="16">
        <v>100</v>
      </c>
      <c r="H67" s="16"/>
      <c r="I67" s="14"/>
      <c r="J67" s="14"/>
    </row>
    <row r="69" spans="2:10">
      <c r="B69" s="14" t="s">
        <v>747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70"/>
  <sheetViews>
    <sheetView workbookViewId="0">
      <selection activeCell="D6" sqref="D6"/>
    </sheetView>
  </sheetViews>
  <sheetFormatPr defaultRowHeight="12"/>
  <cols>
    <col min="1" max="1" width="9.140625" style="1"/>
    <col min="2" max="2" width="54" style="1" bestFit="1" customWidth="1"/>
    <col min="3" max="3" width="13.28515625" style="1" bestFit="1" customWidth="1"/>
    <col min="4" max="4" width="21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7" ht="21" customHeight="1">
      <c r="B1" s="82" t="s">
        <v>14</v>
      </c>
      <c r="C1" s="83"/>
      <c r="D1" s="83"/>
      <c r="E1" s="83"/>
      <c r="F1" s="83"/>
      <c r="G1" s="83"/>
    </row>
    <row r="3" spans="2:7" ht="16.5" thickBot="1">
      <c r="B3" s="2" t="s">
        <v>7</v>
      </c>
      <c r="C3" s="3"/>
      <c r="D3" s="4"/>
      <c r="E3" s="5"/>
      <c r="F3" s="6"/>
      <c r="G3" s="6"/>
    </row>
    <row r="4" spans="2:7" ht="24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7">
      <c r="B5" s="17" t="s">
        <v>30</v>
      </c>
      <c r="C5" s="18"/>
      <c r="D5" s="18"/>
      <c r="E5" s="19"/>
      <c r="F5" s="20"/>
      <c r="G5" s="20"/>
    </row>
    <row r="6" spans="2:7">
      <c r="B6" s="22" t="s">
        <v>31</v>
      </c>
      <c r="C6" s="23"/>
      <c r="D6" s="23"/>
      <c r="E6" s="24"/>
      <c r="F6" s="25"/>
      <c r="G6" s="25"/>
    </row>
    <row r="7" spans="2:7">
      <c r="B7" s="27" t="s">
        <v>58</v>
      </c>
      <c r="C7" s="23" t="s">
        <v>59</v>
      </c>
      <c r="D7" s="23" t="s">
        <v>60</v>
      </c>
      <c r="E7" s="28">
        <v>67520</v>
      </c>
      <c r="F7" s="25">
        <v>4634.1000000000004</v>
      </c>
      <c r="G7" s="25">
        <v>3.24</v>
      </c>
    </row>
    <row r="8" spans="2:7">
      <c r="B8" s="27" t="s">
        <v>38</v>
      </c>
      <c r="C8" s="23" t="s">
        <v>39</v>
      </c>
      <c r="D8" s="23" t="s">
        <v>40</v>
      </c>
      <c r="E8" s="28">
        <v>1574310</v>
      </c>
      <c r="F8" s="25">
        <v>4264.0200000000004</v>
      </c>
      <c r="G8" s="25">
        <v>2.98</v>
      </c>
    </row>
    <row r="9" spans="2:7">
      <c r="B9" s="27" t="s">
        <v>297</v>
      </c>
      <c r="C9" s="23" t="s">
        <v>298</v>
      </c>
      <c r="D9" s="23" t="s">
        <v>276</v>
      </c>
      <c r="E9" s="28">
        <v>219716</v>
      </c>
      <c r="F9" s="25">
        <v>4137.25</v>
      </c>
      <c r="G9" s="25">
        <v>2.89</v>
      </c>
    </row>
    <row r="10" spans="2:7">
      <c r="B10" s="27" t="s">
        <v>299</v>
      </c>
      <c r="C10" s="23" t="s">
        <v>300</v>
      </c>
      <c r="D10" s="23" t="s">
        <v>125</v>
      </c>
      <c r="E10" s="28">
        <v>3138793</v>
      </c>
      <c r="F10" s="25">
        <v>4044.33</v>
      </c>
      <c r="G10" s="25">
        <v>2.83</v>
      </c>
    </row>
    <row r="11" spans="2:7">
      <c r="B11" s="27" t="s">
        <v>76</v>
      </c>
      <c r="C11" s="23" t="s">
        <v>77</v>
      </c>
      <c r="D11" s="23" t="s">
        <v>60</v>
      </c>
      <c r="E11" s="28">
        <v>322736</v>
      </c>
      <c r="F11" s="25">
        <v>4040.98</v>
      </c>
      <c r="G11" s="25">
        <v>2.82</v>
      </c>
    </row>
    <row r="12" spans="2:7">
      <c r="B12" s="27" t="s">
        <v>289</v>
      </c>
      <c r="C12" s="23" t="s">
        <v>290</v>
      </c>
      <c r="D12" s="23" t="s">
        <v>272</v>
      </c>
      <c r="E12" s="28">
        <v>119496</v>
      </c>
      <c r="F12" s="25">
        <v>3992.06</v>
      </c>
      <c r="G12" s="25">
        <v>2.79</v>
      </c>
    </row>
    <row r="13" spans="2:7">
      <c r="B13" s="27" t="s">
        <v>281</v>
      </c>
      <c r="C13" s="23" t="s">
        <v>282</v>
      </c>
      <c r="D13" s="23" t="s">
        <v>272</v>
      </c>
      <c r="E13" s="28">
        <v>382881</v>
      </c>
      <c r="F13" s="25">
        <v>3988.66</v>
      </c>
      <c r="G13" s="25">
        <v>2.79</v>
      </c>
    </row>
    <row r="14" spans="2:7">
      <c r="B14" s="27" t="s">
        <v>301</v>
      </c>
      <c r="C14" s="23" t="s">
        <v>302</v>
      </c>
      <c r="D14" s="23" t="s">
        <v>93</v>
      </c>
      <c r="E14" s="28">
        <v>4110000</v>
      </c>
      <c r="F14" s="25">
        <v>3842.85</v>
      </c>
      <c r="G14" s="25">
        <v>2.69</v>
      </c>
    </row>
    <row r="15" spans="2:7">
      <c r="B15" s="27" t="s">
        <v>47</v>
      </c>
      <c r="C15" s="23" t="s">
        <v>48</v>
      </c>
      <c r="D15" s="23" t="s">
        <v>40</v>
      </c>
      <c r="E15" s="28">
        <v>1210200</v>
      </c>
      <c r="F15" s="25">
        <v>3810.92</v>
      </c>
      <c r="G15" s="25">
        <v>2.66</v>
      </c>
    </row>
    <row r="16" spans="2:7">
      <c r="B16" s="27" t="s">
        <v>303</v>
      </c>
      <c r="C16" s="23" t="s">
        <v>304</v>
      </c>
      <c r="D16" s="23" t="s">
        <v>98</v>
      </c>
      <c r="E16" s="28">
        <v>84783</v>
      </c>
      <c r="F16" s="25">
        <v>3775.39</v>
      </c>
      <c r="G16" s="25">
        <v>2.64</v>
      </c>
    </row>
    <row r="17" spans="2:7">
      <c r="B17" s="27" t="s">
        <v>305</v>
      </c>
      <c r="C17" s="23" t="s">
        <v>306</v>
      </c>
      <c r="D17" s="23" t="s">
        <v>272</v>
      </c>
      <c r="E17" s="28">
        <v>304897</v>
      </c>
      <c r="F17" s="25">
        <v>3619.89</v>
      </c>
      <c r="G17" s="25">
        <v>2.5299999999999998</v>
      </c>
    </row>
    <row r="18" spans="2:7">
      <c r="B18" s="27" t="s">
        <v>230</v>
      </c>
      <c r="C18" s="23" t="s">
        <v>231</v>
      </c>
      <c r="D18" s="23" t="s">
        <v>116</v>
      </c>
      <c r="E18" s="28">
        <v>111530</v>
      </c>
      <c r="F18" s="25">
        <v>3505.61</v>
      </c>
      <c r="G18" s="25">
        <v>2.4500000000000002</v>
      </c>
    </row>
    <row r="19" spans="2:7">
      <c r="B19" s="27" t="s">
        <v>307</v>
      </c>
      <c r="C19" s="23" t="s">
        <v>308</v>
      </c>
      <c r="D19" s="23" t="s">
        <v>272</v>
      </c>
      <c r="E19" s="28">
        <v>263016</v>
      </c>
      <c r="F19" s="25">
        <v>3501.93</v>
      </c>
      <c r="G19" s="25">
        <v>2.4500000000000002</v>
      </c>
    </row>
    <row r="20" spans="2:7">
      <c r="B20" s="27" t="s">
        <v>309</v>
      </c>
      <c r="C20" s="23" t="s">
        <v>310</v>
      </c>
      <c r="D20" s="23" t="s">
        <v>60</v>
      </c>
      <c r="E20" s="28">
        <v>1279685</v>
      </c>
      <c r="F20" s="25">
        <v>3155.06</v>
      </c>
      <c r="G20" s="25">
        <v>2.21</v>
      </c>
    </row>
    <row r="21" spans="2:7">
      <c r="B21" s="27" t="s">
        <v>186</v>
      </c>
      <c r="C21" s="23" t="s">
        <v>187</v>
      </c>
      <c r="D21" s="23" t="s">
        <v>125</v>
      </c>
      <c r="E21" s="28">
        <v>551000</v>
      </c>
      <c r="F21" s="25">
        <v>2974.3</v>
      </c>
      <c r="G21" s="25">
        <v>2.08</v>
      </c>
    </row>
    <row r="22" spans="2:7">
      <c r="B22" s="27" t="s">
        <v>311</v>
      </c>
      <c r="C22" s="23" t="s">
        <v>312</v>
      </c>
      <c r="D22" s="23" t="s">
        <v>60</v>
      </c>
      <c r="E22" s="28">
        <v>833505</v>
      </c>
      <c r="F22" s="25">
        <v>2926.85</v>
      </c>
      <c r="G22" s="25">
        <v>2.0499999999999998</v>
      </c>
    </row>
    <row r="23" spans="2:7">
      <c r="B23" s="27" t="s">
        <v>313</v>
      </c>
      <c r="C23" s="23" t="s">
        <v>314</v>
      </c>
      <c r="D23" s="23" t="s">
        <v>272</v>
      </c>
      <c r="E23" s="28">
        <v>233142</v>
      </c>
      <c r="F23" s="25">
        <v>2911.48</v>
      </c>
      <c r="G23" s="25">
        <v>2.04</v>
      </c>
    </row>
    <row r="24" spans="2:7">
      <c r="B24" s="27" t="s">
        <v>315</v>
      </c>
      <c r="C24" s="23" t="s">
        <v>316</v>
      </c>
      <c r="D24" s="23" t="s">
        <v>51</v>
      </c>
      <c r="E24" s="28">
        <v>953817</v>
      </c>
      <c r="F24" s="25">
        <v>2901.03</v>
      </c>
      <c r="G24" s="25">
        <v>2.0299999999999998</v>
      </c>
    </row>
    <row r="25" spans="2:7">
      <c r="B25" s="27" t="s">
        <v>317</v>
      </c>
      <c r="C25" s="23" t="s">
        <v>318</v>
      </c>
      <c r="D25" s="23" t="s">
        <v>51</v>
      </c>
      <c r="E25" s="28">
        <v>847528</v>
      </c>
      <c r="F25" s="25">
        <v>2881.6</v>
      </c>
      <c r="G25" s="25">
        <v>2.0099999999999998</v>
      </c>
    </row>
    <row r="26" spans="2:7">
      <c r="B26" s="27" t="s">
        <v>261</v>
      </c>
      <c r="C26" s="23" t="s">
        <v>262</v>
      </c>
      <c r="D26" s="23" t="s">
        <v>263</v>
      </c>
      <c r="E26" s="28">
        <v>355000</v>
      </c>
      <c r="F26" s="25">
        <v>2824.91</v>
      </c>
      <c r="G26" s="25">
        <v>1.97</v>
      </c>
    </row>
    <row r="27" spans="2:7">
      <c r="B27" s="27" t="s">
        <v>319</v>
      </c>
      <c r="C27" s="23" t="s">
        <v>320</v>
      </c>
      <c r="D27" s="23" t="s">
        <v>170</v>
      </c>
      <c r="E27" s="28">
        <v>864559</v>
      </c>
      <c r="F27" s="25">
        <v>2804.2</v>
      </c>
      <c r="G27" s="25">
        <v>1.96</v>
      </c>
    </row>
    <row r="28" spans="2:7">
      <c r="B28" s="27" t="s">
        <v>321</v>
      </c>
      <c r="C28" s="23" t="s">
        <v>322</v>
      </c>
      <c r="D28" s="23" t="s">
        <v>98</v>
      </c>
      <c r="E28" s="28">
        <v>1431976</v>
      </c>
      <c r="F28" s="25">
        <v>2739.37</v>
      </c>
      <c r="G28" s="25">
        <v>1.92</v>
      </c>
    </row>
    <row r="29" spans="2:7">
      <c r="B29" s="27" t="s">
        <v>323</v>
      </c>
      <c r="C29" s="23" t="s">
        <v>324</v>
      </c>
      <c r="D29" s="23" t="s">
        <v>140</v>
      </c>
      <c r="E29" s="28">
        <v>66922</v>
      </c>
      <c r="F29" s="25">
        <v>2596.41</v>
      </c>
      <c r="G29" s="25">
        <v>1.82</v>
      </c>
    </row>
    <row r="30" spans="2:7">
      <c r="B30" s="27" t="s">
        <v>78</v>
      </c>
      <c r="C30" s="23" t="s">
        <v>79</v>
      </c>
      <c r="D30" s="23" t="s">
        <v>40</v>
      </c>
      <c r="E30" s="28">
        <v>328150</v>
      </c>
      <c r="F30" s="25">
        <v>2502.64</v>
      </c>
      <c r="G30" s="25">
        <v>1.75</v>
      </c>
    </row>
    <row r="31" spans="2:7">
      <c r="B31" s="27" t="s">
        <v>325</v>
      </c>
      <c r="C31" s="23" t="s">
        <v>326</v>
      </c>
      <c r="D31" s="23" t="s">
        <v>37</v>
      </c>
      <c r="E31" s="28">
        <v>1768743</v>
      </c>
      <c r="F31" s="25">
        <v>2458.5500000000002</v>
      </c>
      <c r="G31" s="25">
        <v>1.72</v>
      </c>
    </row>
    <row r="32" spans="2:7">
      <c r="B32" s="27" t="s">
        <v>327</v>
      </c>
      <c r="C32" s="23" t="s">
        <v>328</v>
      </c>
      <c r="D32" s="23" t="s">
        <v>103</v>
      </c>
      <c r="E32" s="28">
        <v>558178</v>
      </c>
      <c r="F32" s="25">
        <v>2382.58</v>
      </c>
      <c r="G32" s="25">
        <v>1.67</v>
      </c>
    </row>
    <row r="33" spans="2:7">
      <c r="B33" s="27" t="s">
        <v>329</v>
      </c>
      <c r="C33" s="23" t="s">
        <v>330</v>
      </c>
      <c r="D33" s="23" t="s">
        <v>179</v>
      </c>
      <c r="E33" s="28">
        <v>74351</v>
      </c>
      <c r="F33" s="25">
        <v>2319.08</v>
      </c>
      <c r="G33" s="25">
        <v>1.62</v>
      </c>
    </row>
    <row r="34" spans="2:7">
      <c r="B34" s="27" t="s">
        <v>54</v>
      </c>
      <c r="C34" s="23" t="s">
        <v>55</v>
      </c>
      <c r="D34" s="23" t="s">
        <v>46</v>
      </c>
      <c r="E34" s="28">
        <v>5425</v>
      </c>
      <c r="F34" s="25">
        <v>2318.04</v>
      </c>
      <c r="G34" s="25">
        <v>1.62</v>
      </c>
    </row>
    <row r="35" spans="2:7">
      <c r="B35" s="27" t="s">
        <v>331</v>
      </c>
      <c r="C35" s="23" t="s">
        <v>332</v>
      </c>
      <c r="D35" s="23" t="s">
        <v>179</v>
      </c>
      <c r="E35" s="28">
        <v>879870</v>
      </c>
      <c r="F35" s="25">
        <v>2299.98</v>
      </c>
      <c r="G35" s="25">
        <v>1.61</v>
      </c>
    </row>
    <row r="36" spans="2:7">
      <c r="B36" s="27" t="s">
        <v>333</v>
      </c>
      <c r="C36" s="23" t="s">
        <v>334</v>
      </c>
      <c r="D36" s="23" t="s">
        <v>132</v>
      </c>
      <c r="E36" s="28">
        <v>590000</v>
      </c>
      <c r="F36" s="25">
        <v>2249.38</v>
      </c>
      <c r="G36" s="25">
        <v>1.57</v>
      </c>
    </row>
    <row r="37" spans="2:7">
      <c r="B37" s="27" t="s">
        <v>80</v>
      </c>
      <c r="C37" s="23" t="s">
        <v>81</v>
      </c>
      <c r="D37" s="23" t="s">
        <v>60</v>
      </c>
      <c r="E37" s="28">
        <v>140771</v>
      </c>
      <c r="F37" s="25">
        <v>2204.9</v>
      </c>
      <c r="G37" s="25">
        <v>1.54</v>
      </c>
    </row>
    <row r="38" spans="2:7">
      <c r="B38" s="27" t="s">
        <v>335</v>
      </c>
      <c r="C38" s="23" t="s">
        <v>336</v>
      </c>
      <c r="D38" s="23" t="s">
        <v>337</v>
      </c>
      <c r="E38" s="28">
        <v>51700</v>
      </c>
      <c r="F38" s="25">
        <v>2202.58</v>
      </c>
      <c r="G38" s="25">
        <v>1.54</v>
      </c>
    </row>
    <row r="39" spans="2:7">
      <c r="B39" s="27" t="s">
        <v>49</v>
      </c>
      <c r="C39" s="23" t="s">
        <v>50</v>
      </c>
      <c r="D39" s="23" t="s">
        <v>51</v>
      </c>
      <c r="E39" s="28">
        <v>143353</v>
      </c>
      <c r="F39" s="25">
        <v>2192.58</v>
      </c>
      <c r="G39" s="25">
        <v>1.53</v>
      </c>
    </row>
    <row r="40" spans="2:7">
      <c r="B40" s="27" t="s">
        <v>96</v>
      </c>
      <c r="C40" s="23" t="s">
        <v>97</v>
      </c>
      <c r="D40" s="23" t="s">
        <v>98</v>
      </c>
      <c r="E40" s="28">
        <v>50720</v>
      </c>
      <c r="F40" s="25">
        <v>2183.29</v>
      </c>
      <c r="G40" s="25">
        <v>1.53</v>
      </c>
    </row>
    <row r="41" spans="2:7">
      <c r="B41" s="27" t="s">
        <v>52</v>
      </c>
      <c r="C41" s="23" t="s">
        <v>53</v>
      </c>
      <c r="D41" s="23" t="s">
        <v>40</v>
      </c>
      <c r="E41" s="28">
        <v>362124</v>
      </c>
      <c r="F41" s="25">
        <v>2159.16</v>
      </c>
      <c r="G41" s="25">
        <v>1.51</v>
      </c>
    </row>
    <row r="42" spans="2:7">
      <c r="B42" s="27" t="s">
        <v>338</v>
      </c>
      <c r="C42" s="23" t="s">
        <v>339</v>
      </c>
      <c r="D42" s="23" t="s">
        <v>272</v>
      </c>
      <c r="E42" s="28">
        <v>500489</v>
      </c>
      <c r="F42" s="25">
        <v>2157.11</v>
      </c>
      <c r="G42" s="25">
        <v>1.51</v>
      </c>
    </row>
    <row r="43" spans="2:7">
      <c r="B43" s="27" t="s">
        <v>340</v>
      </c>
      <c r="C43" s="23" t="s">
        <v>341</v>
      </c>
      <c r="D43" s="23" t="s">
        <v>108</v>
      </c>
      <c r="E43" s="28">
        <v>648968</v>
      </c>
      <c r="F43" s="25">
        <v>2121.48</v>
      </c>
      <c r="G43" s="25">
        <v>1.48</v>
      </c>
    </row>
    <row r="44" spans="2:7">
      <c r="B44" s="27" t="s">
        <v>342</v>
      </c>
      <c r="C44" s="23" t="s">
        <v>343</v>
      </c>
      <c r="D44" s="23" t="s">
        <v>132</v>
      </c>
      <c r="E44" s="28">
        <v>478000</v>
      </c>
      <c r="F44" s="25">
        <v>2088.86</v>
      </c>
      <c r="G44" s="25">
        <v>1.46</v>
      </c>
    </row>
    <row r="45" spans="2:7">
      <c r="B45" s="27" t="s">
        <v>344</v>
      </c>
      <c r="C45" s="23" t="s">
        <v>345</v>
      </c>
      <c r="D45" s="23" t="s">
        <v>60</v>
      </c>
      <c r="E45" s="28">
        <v>395621</v>
      </c>
      <c r="F45" s="25">
        <v>2086.11</v>
      </c>
      <c r="G45" s="25">
        <v>1.46</v>
      </c>
    </row>
    <row r="46" spans="2:7">
      <c r="B46" s="27" t="s">
        <v>346</v>
      </c>
      <c r="C46" s="23" t="s">
        <v>347</v>
      </c>
      <c r="D46" s="23" t="s">
        <v>125</v>
      </c>
      <c r="E46" s="28">
        <v>305411</v>
      </c>
      <c r="F46" s="25">
        <v>2030.68</v>
      </c>
      <c r="G46" s="25">
        <v>1.42</v>
      </c>
    </row>
    <row r="47" spans="2:7">
      <c r="B47" s="27" t="s">
        <v>257</v>
      </c>
      <c r="C47" s="23" t="s">
        <v>258</v>
      </c>
      <c r="D47" s="23" t="s">
        <v>125</v>
      </c>
      <c r="E47" s="28">
        <v>471000</v>
      </c>
      <c r="F47" s="25">
        <v>1933.22</v>
      </c>
      <c r="G47" s="25">
        <v>1.35</v>
      </c>
    </row>
    <row r="48" spans="2:7">
      <c r="B48" s="27" t="s">
        <v>348</v>
      </c>
      <c r="C48" s="23" t="s">
        <v>349</v>
      </c>
      <c r="D48" s="23" t="s">
        <v>98</v>
      </c>
      <c r="E48" s="28">
        <v>748046</v>
      </c>
      <c r="F48" s="25">
        <v>1889.56</v>
      </c>
      <c r="G48" s="25">
        <v>1.32</v>
      </c>
    </row>
    <row r="49" spans="2:9">
      <c r="B49" s="27" t="s">
        <v>350</v>
      </c>
      <c r="C49" s="23" t="s">
        <v>351</v>
      </c>
      <c r="D49" s="23" t="s">
        <v>37</v>
      </c>
      <c r="E49" s="28">
        <v>1786283</v>
      </c>
      <c r="F49" s="25">
        <v>1875.6</v>
      </c>
      <c r="G49" s="25">
        <v>1.31</v>
      </c>
    </row>
    <row r="50" spans="2:9">
      <c r="B50" s="27" t="s">
        <v>352</v>
      </c>
      <c r="C50" s="23" t="s">
        <v>353</v>
      </c>
      <c r="D50" s="23" t="s">
        <v>98</v>
      </c>
      <c r="E50" s="28">
        <v>454682</v>
      </c>
      <c r="F50" s="25">
        <v>1846.01</v>
      </c>
      <c r="G50" s="25">
        <v>1.29</v>
      </c>
    </row>
    <row r="51" spans="2:9">
      <c r="B51" s="27" t="s">
        <v>354</v>
      </c>
      <c r="C51" s="23" t="s">
        <v>355</v>
      </c>
      <c r="D51" s="23" t="s">
        <v>179</v>
      </c>
      <c r="E51" s="28">
        <v>87175</v>
      </c>
      <c r="F51" s="25">
        <v>1777.67</v>
      </c>
      <c r="G51" s="25">
        <v>1.24</v>
      </c>
    </row>
    <row r="52" spans="2:9">
      <c r="B52" s="27" t="s">
        <v>356</v>
      </c>
      <c r="C52" s="23" t="s">
        <v>357</v>
      </c>
      <c r="D52" s="23" t="s">
        <v>179</v>
      </c>
      <c r="E52" s="28">
        <v>53712</v>
      </c>
      <c r="F52" s="25">
        <v>1611.47</v>
      </c>
      <c r="G52" s="25">
        <v>1.1299999999999999</v>
      </c>
    </row>
    <row r="53" spans="2:9">
      <c r="B53" s="27" t="s">
        <v>253</v>
      </c>
      <c r="C53" s="23" t="s">
        <v>254</v>
      </c>
      <c r="D53" s="23" t="s">
        <v>140</v>
      </c>
      <c r="E53" s="28">
        <v>705000</v>
      </c>
      <c r="F53" s="25">
        <v>1580.96</v>
      </c>
      <c r="G53" s="25">
        <v>1.1100000000000001</v>
      </c>
    </row>
    <row r="54" spans="2:9">
      <c r="B54" s="27" t="s">
        <v>64</v>
      </c>
      <c r="C54" s="23" t="s">
        <v>65</v>
      </c>
      <c r="D54" s="23" t="s">
        <v>40</v>
      </c>
      <c r="E54" s="28">
        <v>393000</v>
      </c>
      <c r="F54" s="25">
        <v>1537.81</v>
      </c>
      <c r="G54" s="25">
        <v>1.08</v>
      </c>
    </row>
    <row r="55" spans="2:9">
      <c r="B55" s="27" t="s">
        <v>358</v>
      </c>
      <c r="C55" s="23" t="s">
        <v>359</v>
      </c>
      <c r="D55" s="23" t="s">
        <v>272</v>
      </c>
      <c r="E55" s="28">
        <v>39077</v>
      </c>
      <c r="F55" s="25">
        <v>1466.79</v>
      </c>
      <c r="G55" s="25">
        <v>1.03</v>
      </c>
    </row>
    <row r="56" spans="2:9">
      <c r="B56" s="27" t="s">
        <v>360</v>
      </c>
      <c r="C56" s="23" t="s">
        <v>361</v>
      </c>
      <c r="D56" s="23" t="s">
        <v>125</v>
      </c>
      <c r="E56" s="28">
        <v>78780</v>
      </c>
      <c r="F56" s="25">
        <v>1464.64</v>
      </c>
      <c r="G56" s="25">
        <v>1.02</v>
      </c>
    </row>
    <row r="57" spans="2:9">
      <c r="B57" s="27" t="s">
        <v>362</v>
      </c>
      <c r="C57" s="23" t="s">
        <v>363</v>
      </c>
      <c r="D57" s="23" t="s">
        <v>98</v>
      </c>
      <c r="E57" s="28">
        <v>106297</v>
      </c>
      <c r="F57" s="25">
        <v>1443.94</v>
      </c>
      <c r="G57" s="25">
        <v>1.01</v>
      </c>
    </row>
    <row r="58" spans="2:9">
      <c r="B58" s="27" t="s">
        <v>364</v>
      </c>
      <c r="C58" s="23" t="s">
        <v>365</v>
      </c>
      <c r="D58" s="23" t="s">
        <v>51</v>
      </c>
      <c r="E58" s="28">
        <v>26296</v>
      </c>
      <c r="F58" s="25">
        <v>1437.92</v>
      </c>
      <c r="G58" s="25">
        <v>1.01</v>
      </c>
    </row>
    <row r="59" spans="2:9">
      <c r="B59" s="27" t="s">
        <v>82</v>
      </c>
      <c r="C59" s="23" t="s">
        <v>83</v>
      </c>
      <c r="D59" s="23" t="s">
        <v>46</v>
      </c>
      <c r="E59" s="28">
        <v>73669</v>
      </c>
      <c r="F59" s="25">
        <v>1044.92</v>
      </c>
      <c r="G59" s="25">
        <v>0.73</v>
      </c>
    </row>
    <row r="60" spans="2:9">
      <c r="B60" s="27" t="s">
        <v>366</v>
      </c>
      <c r="C60" s="23" t="s">
        <v>367</v>
      </c>
      <c r="D60" s="23" t="s">
        <v>90</v>
      </c>
      <c r="E60" s="28">
        <v>75494</v>
      </c>
      <c r="F60" s="25">
        <v>490.14</v>
      </c>
      <c r="G60" s="25">
        <v>0.34</v>
      </c>
    </row>
    <row r="61" spans="2:9">
      <c r="B61" s="29" t="s">
        <v>109</v>
      </c>
      <c r="C61" s="30"/>
      <c r="D61" s="30"/>
      <c r="E61" s="31"/>
      <c r="F61" s="32">
        <f>SUM(F7:F60)</f>
        <v>139230.85000000006</v>
      </c>
      <c r="G61" s="32">
        <f>SUM(G7:G60)</f>
        <v>97.360000000000014</v>
      </c>
      <c r="H61" s="14"/>
      <c r="I61" s="14"/>
    </row>
    <row r="62" spans="2:9">
      <c r="B62" s="37" t="s">
        <v>110</v>
      </c>
      <c r="C62" s="37"/>
      <c r="D62" s="37"/>
      <c r="E62" s="38"/>
      <c r="F62" s="39">
        <f>F61</f>
        <v>139230.85000000006</v>
      </c>
      <c r="G62" s="39">
        <f>G61</f>
        <v>97.360000000000014</v>
      </c>
      <c r="H62" s="14"/>
      <c r="I62" s="14"/>
    </row>
    <row r="63" spans="2:9">
      <c r="B63" s="40" t="s">
        <v>111</v>
      </c>
      <c r="C63" s="41"/>
      <c r="D63" s="41"/>
      <c r="E63" s="42"/>
      <c r="F63" s="43"/>
      <c r="G63" s="43"/>
    </row>
    <row r="64" spans="2:9">
      <c r="B64" s="27" t="s">
        <v>111</v>
      </c>
      <c r="C64" s="23"/>
      <c r="D64" s="23"/>
      <c r="E64" s="24"/>
      <c r="F64" s="25">
        <v>3788.64</v>
      </c>
      <c r="G64" s="25">
        <v>2.65</v>
      </c>
    </row>
    <row r="65" spans="2:9">
      <c r="B65" s="29" t="s">
        <v>109</v>
      </c>
      <c r="C65" s="30"/>
      <c r="D65" s="30"/>
      <c r="E65" s="31"/>
      <c r="F65" s="32">
        <f>SUM(F63:F64)</f>
        <v>3788.64</v>
      </c>
      <c r="G65" s="32">
        <f>SUM(G63:G64)</f>
        <v>2.65</v>
      </c>
      <c r="H65" s="14"/>
      <c r="I65" s="14"/>
    </row>
    <row r="66" spans="2:9">
      <c r="B66" s="34" t="s">
        <v>110</v>
      </c>
      <c r="C66" s="34"/>
      <c r="D66" s="34"/>
      <c r="E66" s="35"/>
      <c r="F66" s="36">
        <f>F65</f>
        <v>3788.64</v>
      </c>
      <c r="G66" s="36">
        <f>G65</f>
        <v>2.65</v>
      </c>
      <c r="H66" s="14"/>
      <c r="I66" s="14"/>
    </row>
    <row r="67" spans="2:9">
      <c r="B67" s="44" t="s">
        <v>113</v>
      </c>
      <c r="C67" s="44"/>
      <c r="D67" s="44"/>
      <c r="E67" s="45"/>
      <c r="F67" s="16">
        <f>F68-(+F62+F66)</f>
        <v>26.019999999931315</v>
      </c>
      <c r="G67" s="16">
        <f>G68-(+G62+G66)</f>
        <v>-1.0000000000019327E-2</v>
      </c>
      <c r="H67" s="14"/>
      <c r="I67" s="14"/>
    </row>
    <row r="68" spans="2:9">
      <c r="B68" s="44" t="s">
        <v>112</v>
      </c>
      <c r="C68" s="44"/>
      <c r="D68" s="44"/>
      <c r="E68" s="45"/>
      <c r="F68" s="16">
        <v>143045.51</v>
      </c>
      <c r="G68" s="16">
        <v>100</v>
      </c>
      <c r="H68" s="14"/>
      <c r="I68" s="14"/>
    </row>
    <row r="70" spans="2:9">
      <c r="B70" s="14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5"/>
  <sheetViews>
    <sheetView workbookViewId="0">
      <selection activeCell="E16" sqref="E16"/>
    </sheetView>
  </sheetViews>
  <sheetFormatPr defaultRowHeight="12"/>
  <cols>
    <col min="1" max="1" width="9.140625" style="1"/>
    <col min="2" max="2" width="54" style="1" bestFit="1" customWidth="1"/>
    <col min="3" max="3" width="13.5703125" style="1" bestFit="1" customWidth="1"/>
    <col min="4" max="4" width="23.425781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7" ht="21" customHeight="1">
      <c r="B1" s="82" t="s">
        <v>15</v>
      </c>
      <c r="C1" s="83"/>
      <c r="D1" s="83"/>
      <c r="E1" s="83"/>
      <c r="F1" s="83"/>
      <c r="G1" s="83"/>
    </row>
    <row r="3" spans="2:7" ht="16.5" thickBot="1">
      <c r="B3" s="2" t="s">
        <v>7</v>
      </c>
      <c r="C3" s="3"/>
      <c r="D3" s="4"/>
      <c r="E3" s="5"/>
      <c r="F3" s="6"/>
      <c r="G3" s="6"/>
    </row>
    <row r="4" spans="2:7" ht="24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7">
      <c r="B5" s="17" t="s">
        <v>30</v>
      </c>
      <c r="C5" s="18"/>
      <c r="D5" s="18"/>
      <c r="E5" s="19"/>
      <c r="F5" s="20"/>
      <c r="G5" s="20"/>
    </row>
    <row r="6" spans="2:7">
      <c r="B6" s="22" t="s">
        <v>31</v>
      </c>
      <c r="C6" s="23"/>
      <c r="D6" s="23"/>
      <c r="E6" s="24"/>
      <c r="F6" s="25"/>
      <c r="G6" s="25"/>
    </row>
    <row r="7" spans="2:7">
      <c r="B7" s="27" t="s">
        <v>117</v>
      </c>
      <c r="C7" s="23" t="s">
        <v>118</v>
      </c>
      <c r="D7" s="23" t="s">
        <v>37</v>
      </c>
      <c r="E7" s="28">
        <v>525000</v>
      </c>
      <c r="F7" s="25">
        <v>7488.86</v>
      </c>
      <c r="G7" s="25">
        <v>7.75</v>
      </c>
    </row>
    <row r="8" spans="2:7">
      <c r="B8" s="27" t="s">
        <v>114</v>
      </c>
      <c r="C8" s="23" t="s">
        <v>115</v>
      </c>
      <c r="D8" s="23" t="s">
        <v>116</v>
      </c>
      <c r="E8" s="28">
        <v>447000</v>
      </c>
      <c r="F8" s="25">
        <v>7198.94</v>
      </c>
      <c r="G8" s="25">
        <v>7.45</v>
      </c>
    </row>
    <row r="9" spans="2:7">
      <c r="B9" s="27" t="s">
        <v>35</v>
      </c>
      <c r="C9" s="23" t="s">
        <v>36</v>
      </c>
      <c r="D9" s="23" t="s">
        <v>37</v>
      </c>
      <c r="E9" s="28">
        <v>1040000</v>
      </c>
      <c r="F9" s="25">
        <v>7098</v>
      </c>
      <c r="G9" s="25">
        <v>7.34</v>
      </c>
    </row>
    <row r="10" spans="2:7">
      <c r="B10" s="27" t="s">
        <v>123</v>
      </c>
      <c r="C10" s="23" t="s">
        <v>124</v>
      </c>
      <c r="D10" s="23" t="s">
        <v>125</v>
      </c>
      <c r="E10" s="28">
        <v>68500</v>
      </c>
      <c r="F10" s="25">
        <v>4266.25</v>
      </c>
      <c r="G10" s="25">
        <v>4.41</v>
      </c>
    </row>
    <row r="11" spans="2:7">
      <c r="B11" s="27" t="s">
        <v>126</v>
      </c>
      <c r="C11" s="23" t="s">
        <v>127</v>
      </c>
      <c r="D11" s="23" t="s">
        <v>37</v>
      </c>
      <c r="E11" s="28">
        <v>570000</v>
      </c>
      <c r="F11" s="25">
        <v>4040.73</v>
      </c>
      <c r="G11" s="25">
        <v>4.18</v>
      </c>
    </row>
    <row r="12" spans="2:7">
      <c r="B12" s="27" t="s">
        <v>56</v>
      </c>
      <c r="C12" s="23" t="s">
        <v>57</v>
      </c>
      <c r="D12" s="23" t="s">
        <v>37</v>
      </c>
      <c r="E12" s="28">
        <v>930000</v>
      </c>
      <c r="F12" s="25">
        <v>4015.74</v>
      </c>
      <c r="G12" s="25">
        <v>4.1500000000000004</v>
      </c>
    </row>
    <row r="13" spans="2:7">
      <c r="B13" s="27" t="s">
        <v>32</v>
      </c>
      <c r="C13" s="23" t="s">
        <v>33</v>
      </c>
      <c r="D13" s="23" t="s">
        <v>34</v>
      </c>
      <c r="E13" s="28">
        <v>250000</v>
      </c>
      <c r="F13" s="25">
        <v>4003.63</v>
      </c>
      <c r="G13" s="25">
        <v>4.1399999999999997</v>
      </c>
    </row>
    <row r="14" spans="2:7">
      <c r="B14" s="27" t="s">
        <v>119</v>
      </c>
      <c r="C14" s="23" t="s">
        <v>120</v>
      </c>
      <c r="D14" s="23" t="s">
        <v>116</v>
      </c>
      <c r="E14" s="28">
        <v>125000</v>
      </c>
      <c r="F14" s="25">
        <v>3959.31</v>
      </c>
      <c r="G14" s="25">
        <v>4.0999999999999996</v>
      </c>
    </row>
    <row r="15" spans="2:7">
      <c r="B15" s="27" t="s">
        <v>138</v>
      </c>
      <c r="C15" s="23" t="s">
        <v>139</v>
      </c>
      <c r="D15" s="23" t="s">
        <v>140</v>
      </c>
      <c r="E15" s="28">
        <v>112500</v>
      </c>
      <c r="F15" s="25">
        <v>3938.4</v>
      </c>
      <c r="G15" s="25">
        <v>4.07</v>
      </c>
    </row>
    <row r="16" spans="2:7">
      <c r="B16" s="27" t="s">
        <v>61</v>
      </c>
      <c r="C16" s="23" t="s">
        <v>62</v>
      </c>
      <c r="D16" s="23" t="s">
        <v>63</v>
      </c>
      <c r="E16" s="28">
        <v>44000</v>
      </c>
      <c r="F16" s="25">
        <v>3352.45</v>
      </c>
      <c r="G16" s="25">
        <v>3.47</v>
      </c>
    </row>
    <row r="17" spans="2:7">
      <c r="B17" s="27" t="s">
        <v>247</v>
      </c>
      <c r="C17" s="23" t="s">
        <v>248</v>
      </c>
      <c r="D17" s="23" t="s">
        <v>137</v>
      </c>
      <c r="E17" s="28">
        <v>270000</v>
      </c>
      <c r="F17" s="25">
        <v>2966.22</v>
      </c>
      <c r="G17" s="25">
        <v>3.07</v>
      </c>
    </row>
    <row r="18" spans="2:7">
      <c r="B18" s="27" t="s">
        <v>180</v>
      </c>
      <c r="C18" s="23" t="s">
        <v>181</v>
      </c>
      <c r="D18" s="23" t="s">
        <v>132</v>
      </c>
      <c r="E18" s="28">
        <v>355000</v>
      </c>
      <c r="F18" s="25">
        <v>2684.69</v>
      </c>
      <c r="G18" s="25">
        <v>2.78</v>
      </c>
    </row>
    <row r="19" spans="2:7">
      <c r="B19" s="27" t="s">
        <v>148</v>
      </c>
      <c r="C19" s="23" t="s">
        <v>149</v>
      </c>
      <c r="D19" s="23" t="s">
        <v>98</v>
      </c>
      <c r="E19" s="28">
        <v>210000</v>
      </c>
      <c r="F19" s="25">
        <v>2464.67</v>
      </c>
      <c r="G19" s="25">
        <v>2.5499999999999998</v>
      </c>
    </row>
    <row r="20" spans="2:7">
      <c r="B20" s="27" t="s">
        <v>319</v>
      </c>
      <c r="C20" s="23" t="s">
        <v>320</v>
      </c>
      <c r="D20" s="23" t="s">
        <v>170</v>
      </c>
      <c r="E20" s="28">
        <v>735000</v>
      </c>
      <c r="F20" s="25">
        <v>2383.9699999999998</v>
      </c>
      <c r="G20" s="25">
        <v>2.4700000000000002</v>
      </c>
    </row>
    <row r="21" spans="2:7">
      <c r="B21" s="27" t="s">
        <v>160</v>
      </c>
      <c r="C21" s="23" t="s">
        <v>161</v>
      </c>
      <c r="D21" s="23" t="s">
        <v>60</v>
      </c>
      <c r="E21" s="28">
        <v>127500</v>
      </c>
      <c r="F21" s="25">
        <v>2359.58</v>
      </c>
      <c r="G21" s="25">
        <v>2.44</v>
      </c>
    </row>
    <row r="22" spans="2:7">
      <c r="B22" s="27" t="s">
        <v>171</v>
      </c>
      <c r="C22" s="23" t="s">
        <v>172</v>
      </c>
      <c r="D22" s="23" t="s">
        <v>173</v>
      </c>
      <c r="E22" s="28">
        <v>62000</v>
      </c>
      <c r="F22" s="25">
        <v>2340.59</v>
      </c>
      <c r="G22" s="25">
        <v>2.42</v>
      </c>
    </row>
    <row r="23" spans="2:7">
      <c r="B23" s="27" t="s">
        <v>157</v>
      </c>
      <c r="C23" s="23" t="s">
        <v>158</v>
      </c>
      <c r="D23" s="23" t="s">
        <v>159</v>
      </c>
      <c r="E23" s="28">
        <v>760000</v>
      </c>
      <c r="F23" s="25">
        <v>2253.02</v>
      </c>
      <c r="G23" s="25">
        <v>2.33</v>
      </c>
    </row>
    <row r="24" spans="2:7">
      <c r="B24" s="27" t="s">
        <v>164</v>
      </c>
      <c r="C24" s="23" t="s">
        <v>165</v>
      </c>
      <c r="D24" s="23" t="s">
        <v>108</v>
      </c>
      <c r="E24" s="28">
        <v>301499</v>
      </c>
      <c r="F24" s="25">
        <v>2245.56</v>
      </c>
      <c r="G24" s="25">
        <v>2.3199999999999998</v>
      </c>
    </row>
    <row r="25" spans="2:7">
      <c r="B25" s="27" t="s">
        <v>190</v>
      </c>
      <c r="C25" s="23" t="s">
        <v>191</v>
      </c>
      <c r="D25" s="23" t="s">
        <v>143</v>
      </c>
      <c r="E25" s="28">
        <v>11500</v>
      </c>
      <c r="F25" s="25">
        <v>2186.4699999999998</v>
      </c>
      <c r="G25" s="25">
        <v>2.2599999999999998</v>
      </c>
    </row>
    <row r="26" spans="2:7">
      <c r="B26" s="27" t="s">
        <v>234</v>
      </c>
      <c r="C26" s="23" t="s">
        <v>235</v>
      </c>
      <c r="D26" s="23" t="s">
        <v>143</v>
      </c>
      <c r="E26" s="28">
        <v>55000</v>
      </c>
      <c r="F26" s="25">
        <v>2161.75</v>
      </c>
      <c r="G26" s="25">
        <v>2.2400000000000002</v>
      </c>
    </row>
    <row r="27" spans="2:7">
      <c r="B27" s="27" t="s">
        <v>68</v>
      </c>
      <c r="C27" s="23" t="s">
        <v>69</v>
      </c>
      <c r="D27" s="23" t="s">
        <v>70</v>
      </c>
      <c r="E27" s="28">
        <v>285000</v>
      </c>
      <c r="F27" s="25">
        <v>2037.61</v>
      </c>
      <c r="G27" s="25">
        <v>2.11</v>
      </c>
    </row>
    <row r="28" spans="2:7">
      <c r="B28" s="27" t="s">
        <v>141</v>
      </c>
      <c r="C28" s="23" t="s">
        <v>142</v>
      </c>
      <c r="D28" s="23" t="s">
        <v>143</v>
      </c>
      <c r="E28" s="28">
        <v>40500</v>
      </c>
      <c r="F28" s="25">
        <v>1986.97</v>
      </c>
      <c r="G28" s="25">
        <v>2.06</v>
      </c>
    </row>
    <row r="29" spans="2:7">
      <c r="B29" s="27" t="s">
        <v>54</v>
      </c>
      <c r="C29" s="23" t="s">
        <v>55</v>
      </c>
      <c r="D29" s="23" t="s">
        <v>46</v>
      </c>
      <c r="E29" s="28">
        <v>4650</v>
      </c>
      <c r="F29" s="25">
        <v>1986.89</v>
      </c>
      <c r="G29" s="25">
        <v>2.06</v>
      </c>
    </row>
    <row r="30" spans="2:7">
      <c r="B30" s="27" t="s">
        <v>238</v>
      </c>
      <c r="C30" s="23" t="s">
        <v>239</v>
      </c>
      <c r="D30" s="23" t="s">
        <v>108</v>
      </c>
      <c r="E30" s="28">
        <v>27184</v>
      </c>
      <c r="F30" s="25">
        <v>1978.26</v>
      </c>
      <c r="G30" s="25">
        <v>2.0499999999999998</v>
      </c>
    </row>
    <row r="31" spans="2:7">
      <c r="B31" s="27" t="s">
        <v>192</v>
      </c>
      <c r="C31" s="23" t="s">
        <v>193</v>
      </c>
      <c r="D31" s="23" t="s">
        <v>179</v>
      </c>
      <c r="E31" s="28">
        <v>52600</v>
      </c>
      <c r="F31" s="25">
        <v>1923.71</v>
      </c>
      <c r="G31" s="25">
        <v>1.99</v>
      </c>
    </row>
    <row r="32" spans="2:7">
      <c r="B32" s="27" t="s">
        <v>200</v>
      </c>
      <c r="C32" s="23" t="s">
        <v>201</v>
      </c>
      <c r="D32" s="23" t="s">
        <v>125</v>
      </c>
      <c r="E32" s="28">
        <v>395000</v>
      </c>
      <c r="F32" s="25">
        <v>1879.21</v>
      </c>
      <c r="G32" s="25">
        <v>1.94</v>
      </c>
    </row>
    <row r="33" spans="2:9">
      <c r="B33" s="27" t="s">
        <v>196</v>
      </c>
      <c r="C33" s="23" t="s">
        <v>197</v>
      </c>
      <c r="D33" s="23" t="s">
        <v>98</v>
      </c>
      <c r="E33" s="28">
        <v>95000</v>
      </c>
      <c r="F33" s="25">
        <v>1628.82</v>
      </c>
      <c r="G33" s="25">
        <v>1.68</v>
      </c>
    </row>
    <row r="34" spans="2:9">
      <c r="B34" s="27" t="s">
        <v>168</v>
      </c>
      <c r="C34" s="23" t="s">
        <v>169</v>
      </c>
      <c r="D34" s="23" t="s">
        <v>170</v>
      </c>
      <c r="E34" s="28">
        <v>55000</v>
      </c>
      <c r="F34" s="25">
        <v>1622.61</v>
      </c>
      <c r="G34" s="25">
        <v>1.68</v>
      </c>
    </row>
    <row r="35" spans="2:9">
      <c r="B35" s="27" t="s">
        <v>49</v>
      </c>
      <c r="C35" s="23" t="s">
        <v>50</v>
      </c>
      <c r="D35" s="23" t="s">
        <v>51</v>
      </c>
      <c r="E35" s="28">
        <v>90499</v>
      </c>
      <c r="F35" s="25">
        <v>1384.18</v>
      </c>
      <c r="G35" s="25">
        <v>1.43</v>
      </c>
    </row>
    <row r="36" spans="2:9">
      <c r="B36" s="29" t="s">
        <v>109</v>
      </c>
      <c r="C36" s="30"/>
      <c r="D36" s="30"/>
      <c r="E36" s="31"/>
      <c r="F36" s="32">
        <f>SUM(F7:F35)</f>
        <v>89837.090000000011</v>
      </c>
      <c r="G36" s="32">
        <f>SUM(G7:G35)</f>
        <v>92.940000000000012</v>
      </c>
      <c r="H36" s="14"/>
      <c r="I36" s="14"/>
    </row>
    <row r="37" spans="2:9">
      <c r="B37" s="37" t="s">
        <v>110</v>
      </c>
      <c r="C37" s="37"/>
      <c r="D37" s="37"/>
      <c r="E37" s="38"/>
      <c r="F37" s="39">
        <f>F36</f>
        <v>89837.090000000011</v>
      </c>
      <c r="G37" s="39">
        <f>G36</f>
        <v>92.940000000000012</v>
      </c>
      <c r="H37" s="14"/>
      <c r="I37" s="14"/>
    </row>
    <row r="38" spans="2:9">
      <c r="B38" s="40" t="s">
        <v>111</v>
      </c>
      <c r="C38" s="41"/>
      <c r="D38" s="41"/>
      <c r="E38" s="42"/>
      <c r="F38" s="43"/>
      <c r="G38" s="43"/>
    </row>
    <row r="39" spans="2:9">
      <c r="B39" s="27" t="s">
        <v>111</v>
      </c>
      <c r="C39" s="23"/>
      <c r="D39" s="23"/>
      <c r="E39" s="24"/>
      <c r="F39" s="25">
        <v>6903.62</v>
      </c>
      <c r="G39" s="25">
        <v>7.16</v>
      </c>
    </row>
    <row r="40" spans="2:9">
      <c r="B40" s="29" t="s">
        <v>109</v>
      </c>
      <c r="C40" s="30"/>
      <c r="D40" s="30"/>
      <c r="E40" s="31"/>
      <c r="F40" s="32">
        <f>SUM(F38:F39)</f>
        <v>6903.62</v>
      </c>
      <c r="G40" s="32">
        <f>SUM(G38:G39)</f>
        <v>7.16</v>
      </c>
      <c r="H40" s="14"/>
      <c r="I40" s="14"/>
    </row>
    <row r="41" spans="2:9">
      <c r="B41" s="34" t="s">
        <v>110</v>
      </c>
      <c r="C41" s="34"/>
      <c r="D41" s="34"/>
      <c r="E41" s="35"/>
      <c r="F41" s="36">
        <f>F40</f>
        <v>6903.62</v>
      </c>
      <c r="G41" s="36">
        <f>G40</f>
        <v>7.16</v>
      </c>
      <c r="H41" s="14"/>
      <c r="I41" s="14"/>
    </row>
    <row r="42" spans="2:9">
      <c r="B42" s="44" t="s">
        <v>113</v>
      </c>
      <c r="C42" s="44"/>
      <c r="D42" s="44"/>
      <c r="E42" s="45"/>
      <c r="F42" s="16">
        <f>F43-(+F37+F41)</f>
        <v>-68.360000000000582</v>
      </c>
      <c r="G42" s="16">
        <f>G43-(+G37+G41)</f>
        <v>-0.10000000000000853</v>
      </c>
      <c r="H42" s="14"/>
      <c r="I42" s="14"/>
    </row>
    <row r="43" spans="2:9">
      <c r="B43" s="44" t="s">
        <v>112</v>
      </c>
      <c r="C43" s="44"/>
      <c r="D43" s="44"/>
      <c r="E43" s="45"/>
      <c r="F43" s="16">
        <v>96672.35</v>
      </c>
      <c r="G43" s="16">
        <v>100</v>
      </c>
      <c r="H43" s="14"/>
      <c r="I43" s="14"/>
    </row>
    <row r="45" spans="2:9">
      <c r="B45" s="14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28"/>
  <sheetViews>
    <sheetView workbookViewId="0">
      <selection activeCell="B1" sqref="B1:H1"/>
    </sheetView>
  </sheetViews>
  <sheetFormatPr defaultRowHeight="12"/>
  <cols>
    <col min="1" max="1" width="9.140625" style="1"/>
    <col min="2" max="2" width="60.28515625" style="1" bestFit="1" customWidth="1"/>
    <col min="3" max="3" width="13.85546875" style="1" bestFit="1" customWidth="1"/>
    <col min="4" max="4" width="23.42578125" style="1" bestFit="1" customWidth="1"/>
    <col min="5" max="5" width="9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>
      <c r="B1" s="82" t="s">
        <v>16</v>
      </c>
      <c r="C1" s="83"/>
      <c r="D1" s="83"/>
      <c r="E1" s="83"/>
      <c r="F1" s="83"/>
      <c r="G1" s="83"/>
      <c r="H1" s="83"/>
    </row>
    <row r="3" spans="2:8" ht="16.5" thickBot="1">
      <c r="B3" s="2" t="s">
        <v>7</v>
      </c>
      <c r="C3" s="3"/>
      <c r="D3" s="4"/>
      <c r="E3" s="5"/>
      <c r="F3" s="6"/>
      <c r="G3" s="6"/>
    </row>
    <row r="4" spans="2:8" ht="24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>
      <c r="B5" s="17" t="s">
        <v>30</v>
      </c>
      <c r="C5" s="18"/>
      <c r="D5" s="18"/>
      <c r="E5" s="19"/>
      <c r="F5" s="20"/>
      <c r="G5" s="20"/>
      <c r="H5" s="21"/>
    </row>
    <row r="6" spans="2:8">
      <c r="B6" s="22" t="s">
        <v>31</v>
      </c>
      <c r="C6" s="23"/>
      <c r="D6" s="23"/>
      <c r="E6" s="24"/>
      <c r="F6" s="25"/>
      <c r="G6" s="25"/>
      <c r="H6" s="26"/>
    </row>
    <row r="7" spans="2:8">
      <c r="B7" s="27" t="s">
        <v>114</v>
      </c>
      <c r="C7" s="23" t="s">
        <v>115</v>
      </c>
      <c r="D7" s="23" t="s">
        <v>116</v>
      </c>
      <c r="E7" s="28">
        <v>2065472</v>
      </c>
      <c r="F7" s="25">
        <v>33264.43</v>
      </c>
      <c r="G7" s="25">
        <v>5.55</v>
      </c>
      <c r="H7" s="26"/>
    </row>
    <row r="8" spans="2:8">
      <c r="B8" s="27" t="s">
        <v>35</v>
      </c>
      <c r="C8" s="23" t="s">
        <v>36</v>
      </c>
      <c r="D8" s="23" t="s">
        <v>37</v>
      </c>
      <c r="E8" s="28">
        <v>4732600</v>
      </c>
      <c r="F8" s="25">
        <v>32300</v>
      </c>
      <c r="G8" s="25">
        <v>5.39</v>
      </c>
      <c r="H8" s="26"/>
    </row>
    <row r="9" spans="2:8">
      <c r="B9" s="27" t="s">
        <v>117</v>
      </c>
      <c r="C9" s="23" t="s">
        <v>118</v>
      </c>
      <c r="D9" s="23" t="s">
        <v>37</v>
      </c>
      <c r="E9" s="28">
        <v>2154950</v>
      </c>
      <c r="F9" s="25">
        <v>30739.279999999999</v>
      </c>
      <c r="G9" s="25">
        <v>5.13</v>
      </c>
      <c r="H9" s="26"/>
    </row>
    <row r="10" spans="2:8">
      <c r="B10" s="27" t="s">
        <v>121</v>
      </c>
      <c r="C10" s="23" t="s">
        <v>122</v>
      </c>
      <c r="D10" s="23" t="s">
        <v>90</v>
      </c>
      <c r="E10" s="28">
        <v>823900</v>
      </c>
      <c r="F10" s="25">
        <v>16768.84</v>
      </c>
      <c r="G10" s="25">
        <v>2.8</v>
      </c>
      <c r="H10" s="26"/>
    </row>
    <row r="11" spans="2:8">
      <c r="B11" s="27" t="s">
        <v>123</v>
      </c>
      <c r="C11" s="23" t="s">
        <v>124</v>
      </c>
      <c r="D11" s="23" t="s">
        <v>125</v>
      </c>
      <c r="E11" s="28">
        <v>258908</v>
      </c>
      <c r="F11" s="25">
        <v>16125.05</v>
      </c>
      <c r="G11" s="25">
        <v>2.69</v>
      </c>
      <c r="H11" s="26"/>
    </row>
    <row r="12" spans="2:8">
      <c r="B12" s="27" t="s">
        <v>119</v>
      </c>
      <c r="C12" s="23" t="s">
        <v>120</v>
      </c>
      <c r="D12" s="23" t="s">
        <v>116</v>
      </c>
      <c r="E12" s="28">
        <v>502165</v>
      </c>
      <c r="F12" s="25">
        <v>15905.83</v>
      </c>
      <c r="G12" s="25">
        <v>2.65</v>
      </c>
      <c r="H12" s="26"/>
    </row>
    <row r="13" spans="2:8">
      <c r="B13" s="27" t="s">
        <v>56</v>
      </c>
      <c r="C13" s="23" t="s">
        <v>57</v>
      </c>
      <c r="D13" s="23" t="s">
        <v>37</v>
      </c>
      <c r="E13" s="28">
        <v>3600000</v>
      </c>
      <c r="F13" s="25">
        <v>15544.8</v>
      </c>
      <c r="G13" s="25">
        <v>2.59</v>
      </c>
      <c r="H13" s="26"/>
    </row>
    <row r="14" spans="2:8">
      <c r="B14" s="27" t="s">
        <v>126</v>
      </c>
      <c r="C14" s="23" t="s">
        <v>127</v>
      </c>
      <c r="D14" s="23" t="s">
        <v>37</v>
      </c>
      <c r="E14" s="28">
        <v>2148100</v>
      </c>
      <c r="F14" s="25">
        <v>15227.88</v>
      </c>
      <c r="G14" s="25">
        <v>2.54</v>
      </c>
      <c r="H14" s="26"/>
    </row>
    <row r="15" spans="2:8">
      <c r="B15" s="27" t="s">
        <v>32</v>
      </c>
      <c r="C15" s="23" t="s">
        <v>33</v>
      </c>
      <c r="D15" s="23" t="s">
        <v>34</v>
      </c>
      <c r="E15" s="28">
        <v>926418</v>
      </c>
      <c r="F15" s="25">
        <v>14836.12</v>
      </c>
      <c r="G15" s="25">
        <v>2.4700000000000002</v>
      </c>
      <c r="H15" s="26"/>
    </row>
    <row r="16" spans="2:8">
      <c r="B16" s="27" t="s">
        <v>128</v>
      </c>
      <c r="C16" s="23" t="s">
        <v>129</v>
      </c>
      <c r="D16" s="23" t="s">
        <v>125</v>
      </c>
      <c r="E16" s="28">
        <v>563000</v>
      </c>
      <c r="F16" s="25">
        <v>13743.67</v>
      </c>
      <c r="G16" s="25">
        <v>2.29</v>
      </c>
      <c r="H16" s="26"/>
    </row>
    <row r="17" spans="2:8">
      <c r="B17" s="27" t="s">
        <v>146</v>
      </c>
      <c r="C17" s="23" t="s">
        <v>147</v>
      </c>
      <c r="D17" s="23" t="s">
        <v>116</v>
      </c>
      <c r="E17" s="28">
        <v>815000</v>
      </c>
      <c r="F17" s="25">
        <v>8353.34</v>
      </c>
      <c r="G17" s="25">
        <v>1.39</v>
      </c>
      <c r="H17" s="26"/>
    </row>
    <row r="18" spans="2:8">
      <c r="B18" s="27" t="s">
        <v>130</v>
      </c>
      <c r="C18" s="23" t="s">
        <v>131</v>
      </c>
      <c r="D18" s="23" t="s">
        <v>132</v>
      </c>
      <c r="E18" s="28">
        <v>356800</v>
      </c>
      <c r="F18" s="25">
        <v>8325.2099999999991</v>
      </c>
      <c r="G18" s="25">
        <v>1.39</v>
      </c>
      <c r="H18" s="26"/>
    </row>
    <row r="19" spans="2:8">
      <c r="B19" s="27" t="s">
        <v>234</v>
      </c>
      <c r="C19" s="23" t="s">
        <v>235</v>
      </c>
      <c r="D19" s="23" t="s">
        <v>143</v>
      </c>
      <c r="E19" s="28">
        <v>199610</v>
      </c>
      <c r="F19" s="25">
        <v>7845.57</v>
      </c>
      <c r="G19" s="25">
        <v>1.31</v>
      </c>
      <c r="H19" s="26"/>
    </row>
    <row r="20" spans="2:8">
      <c r="B20" s="27" t="s">
        <v>61</v>
      </c>
      <c r="C20" s="23" t="s">
        <v>62</v>
      </c>
      <c r="D20" s="23" t="s">
        <v>63</v>
      </c>
      <c r="E20" s="28">
        <v>97621</v>
      </c>
      <c r="F20" s="25">
        <v>7437.94</v>
      </c>
      <c r="G20" s="25">
        <v>1.24</v>
      </c>
      <c r="H20" s="26"/>
    </row>
    <row r="21" spans="2:8">
      <c r="B21" s="27" t="s">
        <v>144</v>
      </c>
      <c r="C21" s="23" t="s">
        <v>145</v>
      </c>
      <c r="D21" s="23" t="s">
        <v>37</v>
      </c>
      <c r="E21" s="28">
        <v>437829</v>
      </c>
      <c r="F21" s="25">
        <v>7245.19</v>
      </c>
      <c r="G21" s="25">
        <v>1.21</v>
      </c>
      <c r="H21" s="26"/>
    </row>
    <row r="22" spans="2:8">
      <c r="B22" s="27" t="s">
        <v>166</v>
      </c>
      <c r="C22" s="23" t="s">
        <v>167</v>
      </c>
      <c r="D22" s="23" t="s">
        <v>98</v>
      </c>
      <c r="E22" s="28">
        <v>672573</v>
      </c>
      <c r="F22" s="25">
        <v>7123.89</v>
      </c>
      <c r="G22" s="25">
        <v>1.19</v>
      </c>
      <c r="H22" s="26"/>
    </row>
    <row r="23" spans="2:8">
      <c r="B23" s="27" t="s">
        <v>160</v>
      </c>
      <c r="C23" s="23" t="s">
        <v>161</v>
      </c>
      <c r="D23" s="23" t="s">
        <v>60</v>
      </c>
      <c r="E23" s="28">
        <v>372305</v>
      </c>
      <c r="F23" s="25">
        <v>6890.06</v>
      </c>
      <c r="G23" s="25">
        <v>1.1499999999999999</v>
      </c>
      <c r="H23" s="26"/>
    </row>
    <row r="24" spans="2:8">
      <c r="B24" s="27" t="s">
        <v>157</v>
      </c>
      <c r="C24" s="23" t="s">
        <v>158</v>
      </c>
      <c r="D24" s="23" t="s">
        <v>159</v>
      </c>
      <c r="E24" s="28">
        <v>2300000</v>
      </c>
      <c r="F24" s="25">
        <v>6818.35</v>
      </c>
      <c r="G24" s="25">
        <v>1.1399999999999999</v>
      </c>
      <c r="H24" s="26"/>
    </row>
    <row r="25" spans="2:8">
      <c r="B25" s="27" t="s">
        <v>138</v>
      </c>
      <c r="C25" s="23" t="s">
        <v>139</v>
      </c>
      <c r="D25" s="23" t="s">
        <v>140</v>
      </c>
      <c r="E25" s="28">
        <v>190840</v>
      </c>
      <c r="F25" s="25">
        <v>6680.93</v>
      </c>
      <c r="G25" s="25">
        <v>1.1100000000000001</v>
      </c>
      <c r="H25" s="26"/>
    </row>
    <row r="26" spans="2:8">
      <c r="B26" s="27" t="s">
        <v>135</v>
      </c>
      <c r="C26" s="23" t="s">
        <v>136</v>
      </c>
      <c r="D26" s="23" t="s">
        <v>137</v>
      </c>
      <c r="E26" s="28">
        <v>580000</v>
      </c>
      <c r="F26" s="25">
        <v>6508.18</v>
      </c>
      <c r="G26" s="25">
        <v>1.0900000000000001</v>
      </c>
      <c r="H26" s="26"/>
    </row>
    <row r="27" spans="2:8">
      <c r="B27" s="27" t="s">
        <v>177</v>
      </c>
      <c r="C27" s="23" t="s">
        <v>178</v>
      </c>
      <c r="D27" s="23" t="s">
        <v>179</v>
      </c>
      <c r="E27" s="28">
        <v>71709</v>
      </c>
      <c r="F27" s="25">
        <v>6492.07</v>
      </c>
      <c r="G27" s="25">
        <v>1.08</v>
      </c>
      <c r="H27" s="26"/>
    </row>
    <row r="28" spans="2:8">
      <c r="B28" s="27" t="s">
        <v>150</v>
      </c>
      <c r="C28" s="23" t="s">
        <v>151</v>
      </c>
      <c r="D28" s="23" t="s">
        <v>152</v>
      </c>
      <c r="E28" s="28">
        <v>1121515</v>
      </c>
      <c r="F28" s="25">
        <v>6298.99</v>
      </c>
      <c r="G28" s="25">
        <v>1.05</v>
      </c>
      <c r="H28" s="26"/>
    </row>
    <row r="29" spans="2:8">
      <c r="B29" s="27" t="s">
        <v>164</v>
      </c>
      <c r="C29" s="23" t="s">
        <v>165</v>
      </c>
      <c r="D29" s="23" t="s">
        <v>108</v>
      </c>
      <c r="E29" s="28">
        <v>840281</v>
      </c>
      <c r="F29" s="25">
        <v>6258.41</v>
      </c>
      <c r="G29" s="25">
        <v>1.04</v>
      </c>
      <c r="H29" s="26"/>
    </row>
    <row r="30" spans="2:8">
      <c r="B30" s="27" t="s">
        <v>68</v>
      </c>
      <c r="C30" s="23" t="s">
        <v>69</v>
      </c>
      <c r="D30" s="23" t="s">
        <v>70</v>
      </c>
      <c r="E30" s="28">
        <v>854914</v>
      </c>
      <c r="F30" s="25">
        <v>6112.21</v>
      </c>
      <c r="G30" s="25">
        <v>1.02</v>
      </c>
      <c r="H30" s="26"/>
    </row>
    <row r="31" spans="2:8">
      <c r="B31" s="27" t="s">
        <v>91</v>
      </c>
      <c r="C31" s="23" t="s">
        <v>92</v>
      </c>
      <c r="D31" s="23" t="s">
        <v>93</v>
      </c>
      <c r="E31" s="28">
        <v>1350000</v>
      </c>
      <c r="F31" s="25">
        <v>6004.8</v>
      </c>
      <c r="G31" s="25">
        <v>1</v>
      </c>
      <c r="H31" s="26"/>
    </row>
    <row r="32" spans="2:8">
      <c r="B32" s="27" t="s">
        <v>155</v>
      </c>
      <c r="C32" s="23" t="s">
        <v>156</v>
      </c>
      <c r="D32" s="23" t="s">
        <v>70</v>
      </c>
      <c r="E32" s="28">
        <v>1065000</v>
      </c>
      <c r="F32" s="25">
        <v>5940.04</v>
      </c>
      <c r="G32" s="25">
        <v>0.99</v>
      </c>
      <c r="H32" s="26"/>
    </row>
    <row r="33" spans="2:8">
      <c r="B33" s="27" t="s">
        <v>141</v>
      </c>
      <c r="C33" s="23" t="s">
        <v>142</v>
      </c>
      <c r="D33" s="23" t="s">
        <v>143</v>
      </c>
      <c r="E33" s="28">
        <v>119608</v>
      </c>
      <c r="F33" s="25">
        <v>5868.09</v>
      </c>
      <c r="G33" s="25">
        <v>0.98</v>
      </c>
      <c r="H33" s="26"/>
    </row>
    <row r="34" spans="2:8">
      <c r="B34" s="27" t="s">
        <v>247</v>
      </c>
      <c r="C34" s="23" t="s">
        <v>248</v>
      </c>
      <c r="D34" s="23" t="s">
        <v>137</v>
      </c>
      <c r="E34" s="28">
        <v>510000</v>
      </c>
      <c r="F34" s="25">
        <v>5602.86</v>
      </c>
      <c r="G34" s="25">
        <v>0.93</v>
      </c>
      <c r="H34" s="26"/>
    </row>
    <row r="35" spans="2:8">
      <c r="B35" s="27" t="s">
        <v>171</v>
      </c>
      <c r="C35" s="23" t="s">
        <v>172</v>
      </c>
      <c r="D35" s="23" t="s">
        <v>173</v>
      </c>
      <c r="E35" s="28">
        <v>146117</v>
      </c>
      <c r="F35" s="25">
        <v>5516.14</v>
      </c>
      <c r="G35" s="25">
        <v>0.92</v>
      </c>
      <c r="H35" s="26"/>
    </row>
    <row r="36" spans="2:8">
      <c r="B36" s="27" t="s">
        <v>180</v>
      </c>
      <c r="C36" s="23" t="s">
        <v>181</v>
      </c>
      <c r="D36" s="23" t="s">
        <v>132</v>
      </c>
      <c r="E36" s="28">
        <v>705000</v>
      </c>
      <c r="F36" s="25">
        <v>5331.56</v>
      </c>
      <c r="G36" s="25">
        <v>0.89</v>
      </c>
      <c r="H36" s="26"/>
    </row>
    <row r="37" spans="2:8">
      <c r="B37" s="27" t="s">
        <v>196</v>
      </c>
      <c r="C37" s="23" t="s">
        <v>197</v>
      </c>
      <c r="D37" s="23" t="s">
        <v>98</v>
      </c>
      <c r="E37" s="28">
        <v>301700</v>
      </c>
      <c r="F37" s="25">
        <v>5172.8</v>
      </c>
      <c r="G37" s="25">
        <v>0.86</v>
      </c>
      <c r="H37" s="26"/>
    </row>
    <row r="38" spans="2:8">
      <c r="B38" s="27" t="s">
        <v>162</v>
      </c>
      <c r="C38" s="23" t="s">
        <v>163</v>
      </c>
      <c r="D38" s="23" t="s">
        <v>132</v>
      </c>
      <c r="E38" s="28">
        <v>170100</v>
      </c>
      <c r="F38" s="25">
        <v>5032.32</v>
      </c>
      <c r="G38" s="25">
        <v>0.84</v>
      </c>
      <c r="H38" s="26"/>
    </row>
    <row r="39" spans="2:8">
      <c r="B39" s="27" t="s">
        <v>168</v>
      </c>
      <c r="C39" s="23" t="s">
        <v>169</v>
      </c>
      <c r="D39" s="23" t="s">
        <v>170</v>
      </c>
      <c r="E39" s="28">
        <v>170564</v>
      </c>
      <c r="F39" s="25">
        <v>5031.9799999999996</v>
      </c>
      <c r="G39" s="25">
        <v>0.84</v>
      </c>
      <c r="H39" s="26"/>
    </row>
    <row r="40" spans="2:8">
      <c r="B40" s="27" t="s">
        <v>66</v>
      </c>
      <c r="C40" s="23" t="s">
        <v>67</v>
      </c>
      <c r="D40" s="23" t="s">
        <v>63</v>
      </c>
      <c r="E40" s="28">
        <v>234768</v>
      </c>
      <c r="F40" s="25">
        <v>5021.92</v>
      </c>
      <c r="G40" s="25">
        <v>0.84</v>
      </c>
      <c r="H40" s="26"/>
    </row>
    <row r="41" spans="2:8">
      <c r="B41" s="27" t="s">
        <v>73</v>
      </c>
      <c r="C41" s="23" t="s">
        <v>74</v>
      </c>
      <c r="D41" s="23" t="s">
        <v>75</v>
      </c>
      <c r="E41" s="28">
        <v>350000</v>
      </c>
      <c r="F41" s="25">
        <v>5020.05</v>
      </c>
      <c r="G41" s="25">
        <v>0.84</v>
      </c>
      <c r="H41" s="26"/>
    </row>
    <row r="42" spans="2:8">
      <c r="B42" s="27" t="s">
        <v>208</v>
      </c>
      <c r="C42" s="23" t="s">
        <v>209</v>
      </c>
      <c r="D42" s="23" t="s">
        <v>176</v>
      </c>
      <c r="E42" s="28">
        <v>71348</v>
      </c>
      <c r="F42" s="25">
        <v>4978.45</v>
      </c>
      <c r="G42" s="25">
        <v>0.83</v>
      </c>
      <c r="H42" s="26"/>
    </row>
    <row r="43" spans="2:8">
      <c r="B43" s="27" t="s">
        <v>245</v>
      </c>
      <c r="C43" s="23" t="s">
        <v>246</v>
      </c>
      <c r="D43" s="23" t="s">
        <v>140</v>
      </c>
      <c r="E43" s="28">
        <v>3692000</v>
      </c>
      <c r="F43" s="25">
        <v>4928.82</v>
      </c>
      <c r="G43" s="25">
        <v>0.82</v>
      </c>
      <c r="H43" s="26"/>
    </row>
    <row r="44" spans="2:8">
      <c r="B44" s="27" t="s">
        <v>188</v>
      </c>
      <c r="C44" s="23" t="s">
        <v>189</v>
      </c>
      <c r="D44" s="23" t="s">
        <v>176</v>
      </c>
      <c r="E44" s="28">
        <v>3700000</v>
      </c>
      <c r="F44" s="25">
        <v>4913.6000000000004</v>
      </c>
      <c r="G44" s="25">
        <v>0.82</v>
      </c>
      <c r="H44" s="26"/>
    </row>
    <row r="45" spans="2:8">
      <c r="B45" s="27" t="s">
        <v>190</v>
      </c>
      <c r="C45" s="23" t="s">
        <v>191</v>
      </c>
      <c r="D45" s="23" t="s">
        <v>143</v>
      </c>
      <c r="E45" s="28">
        <v>25696</v>
      </c>
      <c r="F45" s="25">
        <v>4885.5200000000004</v>
      </c>
      <c r="G45" s="25">
        <v>0.81</v>
      </c>
      <c r="H45" s="26"/>
    </row>
    <row r="46" spans="2:8">
      <c r="B46" s="27" t="s">
        <v>232</v>
      </c>
      <c r="C46" s="23" t="s">
        <v>233</v>
      </c>
      <c r="D46" s="23" t="s">
        <v>98</v>
      </c>
      <c r="E46" s="28">
        <v>997707</v>
      </c>
      <c r="F46" s="25">
        <v>4859.83</v>
      </c>
      <c r="G46" s="25">
        <v>0.81</v>
      </c>
      <c r="H46" s="26"/>
    </row>
    <row r="47" spans="2:8">
      <c r="B47" s="27" t="s">
        <v>192</v>
      </c>
      <c r="C47" s="23" t="s">
        <v>193</v>
      </c>
      <c r="D47" s="23" t="s">
        <v>179</v>
      </c>
      <c r="E47" s="28">
        <v>131968</v>
      </c>
      <c r="F47" s="25">
        <v>4826.3999999999996</v>
      </c>
      <c r="G47" s="25">
        <v>0.81</v>
      </c>
      <c r="H47" s="26"/>
    </row>
    <row r="48" spans="2:8">
      <c r="B48" s="27" t="s">
        <v>184</v>
      </c>
      <c r="C48" s="23" t="s">
        <v>185</v>
      </c>
      <c r="D48" s="23" t="s">
        <v>108</v>
      </c>
      <c r="E48" s="28">
        <v>202946</v>
      </c>
      <c r="F48" s="25">
        <v>4817.63</v>
      </c>
      <c r="G48" s="25">
        <v>0.8</v>
      </c>
      <c r="H48" s="26"/>
    </row>
    <row r="49" spans="2:10">
      <c r="B49" s="27" t="s">
        <v>285</v>
      </c>
      <c r="C49" s="23" t="s">
        <v>286</v>
      </c>
      <c r="D49" s="23" t="s">
        <v>176</v>
      </c>
      <c r="E49" s="28">
        <v>125000</v>
      </c>
      <c r="F49" s="25">
        <v>4787</v>
      </c>
      <c r="G49" s="25">
        <v>0.8</v>
      </c>
      <c r="H49" s="26"/>
    </row>
    <row r="50" spans="2:10">
      <c r="B50" s="27" t="s">
        <v>194</v>
      </c>
      <c r="C50" s="23" t="s">
        <v>195</v>
      </c>
      <c r="D50" s="23" t="s">
        <v>143</v>
      </c>
      <c r="E50" s="28">
        <v>580000</v>
      </c>
      <c r="F50" s="25">
        <v>4488.91</v>
      </c>
      <c r="G50" s="25">
        <v>0.75</v>
      </c>
      <c r="H50" s="26"/>
    </row>
    <row r="51" spans="2:10">
      <c r="B51" s="27" t="s">
        <v>198</v>
      </c>
      <c r="C51" s="23" t="s">
        <v>199</v>
      </c>
      <c r="D51" s="23" t="s">
        <v>60</v>
      </c>
      <c r="E51" s="28">
        <v>555000</v>
      </c>
      <c r="F51" s="25">
        <v>4282.66</v>
      </c>
      <c r="G51" s="25">
        <v>0.71</v>
      </c>
      <c r="H51" s="26"/>
    </row>
    <row r="52" spans="2:10">
      <c r="B52" s="27" t="s">
        <v>200</v>
      </c>
      <c r="C52" s="23" t="s">
        <v>201</v>
      </c>
      <c r="D52" s="23" t="s">
        <v>125</v>
      </c>
      <c r="E52" s="28">
        <v>900000</v>
      </c>
      <c r="F52" s="25">
        <v>4281.75</v>
      </c>
      <c r="G52" s="25">
        <v>0.71</v>
      </c>
      <c r="H52" s="26"/>
    </row>
    <row r="53" spans="2:10">
      <c r="B53" s="27" t="s">
        <v>210</v>
      </c>
      <c r="C53" s="23" t="s">
        <v>211</v>
      </c>
      <c r="D53" s="23" t="s">
        <v>143</v>
      </c>
      <c r="E53" s="28">
        <v>455000</v>
      </c>
      <c r="F53" s="25">
        <v>4186.2299999999996</v>
      </c>
      <c r="G53" s="25">
        <v>0.7</v>
      </c>
      <c r="H53" s="26"/>
    </row>
    <row r="54" spans="2:10">
      <c r="B54" s="27" t="s">
        <v>255</v>
      </c>
      <c r="C54" s="23" t="s">
        <v>256</v>
      </c>
      <c r="D54" s="23" t="s">
        <v>63</v>
      </c>
      <c r="E54" s="28">
        <v>375000</v>
      </c>
      <c r="F54" s="25">
        <v>4099.5</v>
      </c>
      <c r="G54" s="25">
        <v>0.68</v>
      </c>
      <c r="H54" s="26"/>
    </row>
    <row r="55" spans="2:10">
      <c r="B55" s="27" t="s">
        <v>238</v>
      </c>
      <c r="C55" s="23" t="s">
        <v>239</v>
      </c>
      <c r="D55" s="23" t="s">
        <v>108</v>
      </c>
      <c r="E55" s="28">
        <v>54907</v>
      </c>
      <c r="F55" s="25">
        <v>3995.75</v>
      </c>
      <c r="G55" s="25">
        <v>0.67</v>
      </c>
      <c r="H55" s="26"/>
    </row>
    <row r="56" spans="2:10">
      <c r="B56" s="27" t="s">
        <v>253</v>
      </c>
      <c r="C56" s="23" t="s">
        <v>254</v>
      </c>
      <c r="D56" s="23" t="s">
        <v>140</v>
      </c>
      <c r="E56" s="28">
        <v>1685947</v>
      </c>
      <c r="F56" s="25">
        <v>3780.74</v>
      </c>
      <c r="G56" s="25">
        <v>0.63</v>
      </c>
      <c r="H56" s="26"/>
    </row>
    <row r="57" spans="2:10">
      <c r="B57" s="27" t="s">
        <v>54</v>
      </c>
      <c r="C57" s="23" t="s">
        <v>55</v>
      </c>
      <c r="D57" s="23" t="s">
        <v>46</v>
      </c>
      <c r="E57" s="28">
        <v>6904</v>
      </c>
      <c r="F57" s="25">
        <v>2950</v>
      </c>
      <c r="G57" s="25">
        <v>0.49</v>
      </c>
      <c r="H57" s="26"/>
    </row>
    <row r="58" spans="2:10">
      <c r="B58" s="27" t="s">
        <v>212</v>
      </c>
      <c r="C58" s="23" t="s">
        <v>213</v>
      </c>
      <c r="D58" s="23" t="s">
        <v>159</v>
      </c>
      <c r="E58" s="28">
        <v>80721</v>
      </c>
      <c r="F58" s="25">
        <v>2870.72</v>
      </c>
      <c r="G58" s="25">
        <v>0.48</v>
      </c>
      <c r="H58" s="26"/>
    </row>
    <row r="59" spans="2:10">
      <c r="B59" s="27" t="s">
        <v>220</v>
      </c>
      <c r="C59" s="23" t="s">
        <v>221</v>
      </c>
      <c r="D59" s="23" t="s">
        <v>98</v>
      </c>
      <c r="E59" s="28">
        <v>120256</v>
      </c>
      <c r="F59" s="25">
        <v>2649.18</v>
      </c>
      <c r="G59" s="25">
        <v>0.44</v>
      </c>
      <c r="H59" s="26"/>
    </row>
    <row r="60" spans="2:10">
      <c r="B60" s="27" t="s">
        <v>216</v>
      </c>
      <c r="C60" s="23" t="s">
        <v>217</v>
      </c>
      <c r="D60" s="23" t="s">
        <v>143</v>
      </c>
      <c r="E60" s="28">
        <v>120637</v>
      </c>
      <c r="F60" s="25">
        <v>2538.69</v>
      </c>
      <c r="G60" s="25">
        <v>0.42</v>
      </c>
      <c r="H60" s="26"/>
    </row>
    <row r="61" spans="2:10">
      <c r="B61" s="27" t="s">
        <v>218</v>
      </c>
      <c r="C61" s="23" t="s">
        <v>219</v>
      </c>
      <c r="D61" s="23" t="s">
        <v>132</v>
      </c>
      <c r="E61" s="28">
        <v>62266</v>
      </c>
      <c r="F61" s="25">
        <v>2131.61</v>
      </c>
      <c r="G61" s="25">
        <v>0.36</v>
      </c>
      <c r="H61" s="26"/>
    </row>
    <row r="62" spans="2:10">
      <c r="B62" s="27" t="s">
        <v>222</v>
      </c>
      <c r="C62" s="23" t="s">
        <v>223</v>
      </c>
      <c r="D62" s="23" t="s">
        <v>63</v>
      </c>
      <c r="E62" s="28">
        <v>3920</v>
      </c>
      <c r="F62" s="25">
        <v>1108.02</v>
      </c>
      <c r="G62" s="25">
        <v>0.18</v>
      </c>
      <c r="H62" s="26"/>
    </row>
    <row r="63" spans="2:10">
      <c r="B63" s="27" t="s">
        <v>270</v>
      </c>
      <c r="C63" s="23" t="s">
        <v>271</v>
      </c>
      <c r="D63" s="23" t="s">
        <v>272</v>
      </c>
      <c r="E63" s="28">
        <v>21500</v>
      </c>
      <c r="F63" s="25">
        <v>344.7</v>
      </c>
      <c r="G63" s="25">
        <v>0.06</v>
      </c>
      <c r="H63" s="26"/>
    </row>
    <row r="64" spans="2:10">
      <c r="B64" s="29" t="s">
        <v>109</v>
      </c>
      <c r="C64" s="30"/>
      <c r="D64" s="30"/>
      <c r="E64" s="31"/>
      <c r="F64" s="32">
        <f>SUM(F7:F63)</f>
        <v>445094.50999999989</v>
      </c>
      <c r="G64" s="32">
        <f>SUM(G7:G63)</f>
        <v>74.220000000000013</v>
      </c>
      <c r="H64" s="33"/>
      <c r="I64" s="14"/>
      <c r="J64" s="14"/>
    </row>
    <row r="65" spans="2:10">
      <c r="B65" s="37" t="s">
        <v>110</v>
      </c>
      <c r="C65" s="37"/>
      <c r="D65" s="37"/>
      <c r="E65" s="38"/>
      <c r="F65" s="39">
        <f>F64</f>
        <v>445094.50999999989</v>
      </c>
      <c r="G65" s="39">
        <f>G64</f>
        <v>74.220000000000013</v>
      </c>
      <c r="H65" s="15"/>
      <c r="I65" s="14"/>
      <c r="J65" s="14"/>
    </row>
    <row r="66" spans="2:10">
      <c r="B66" s="46" t="s">
        <v>224</v>
      </c>
      <c r="C66" s="41"/>
      <c r="D66" s="41"/>
      <c r="E66" s="42"/>
      <c r="F66" s="43"/>
      <c r="G66" s="43"/>
      <c r="H66" s="43"/>
    </row>
    <row r="67" spans="2:10">
      <c r="B67" s="47" t="s">
        <v>31</v>
      </c>
      <c r="C67" s="23"/>
      <c r="D67" s="23"/>
      <c r="E67" s="24"/>
      <c r="F67" s="25"/>
      <c r="G67" s="25"/>
      <c r="H67" s="25"/>
    </row>
    <row r="68" spans="2:10">
      <c r="B68" s="23" t="s">
        <v>368</v>
      </c>
      <c r="C68" s="23" t="s">
        <v>369</v>
      </c>
      <c r="D68" s="23" t="s">
        <v>370</v>
      </c>
      <c r="E68" s="28">
        <v>500</v>
      </c>
      <c r="F68" s="25">
        <v>5006.1899999999996</v>
      </c>
      <c r="G68" s="25">
        <v>0.84</v>
      </c>
      <c r="H68" s="25">
        <v>4.9000000000000004</v>
      </c>
    </row>
    <row r="69" spans="2:10">
      <c r="B69" s="23" t="s">
        <v>371</v>
      </c>
      <c r="C69" s="23" t="s">
        <v>372</v>
      </c>
      <c r="D69" s="23" t="s">
        <v>227</v>
      </c>
      <c r="E69" s="28">
        <v>450</v>
      </c>
      <c r="F69" s="25">
        <v>4649.6499999999996</v>
      </c>
      <c r="G69" s="25">
        <v>0.78</v>
      </c>
      <c r="H69" s="25">
        <v>4.2699999999999996</v>
      </c>
    </row>
    <row r="70" spans="2:10">
      <c r="B70" s="23" t="s">
        <v>373</v>
      </c>
      <c r="C70" s="23" t="s">
        <v>374</v>
      </c>
      <c r="D70" s="23" t="s">
        <v>227</v>
      </c>
      <c r="E70" s="28">
        <v>350</v>
      </c>
      <c r="F70" s="25">
        <v>3521.38</v>
      </c>
      <c r="G70" s="25">
        <v>0.59</v>
      </c>
      <c r="H70" s="25">
        <v>3.51</v>
      </c>
    </row>
    <row r="71" spans="2:10">
      <c r="B71" s="23" t="s">
        <v>375</v>
      </c>
      <c r="C71" s="23" t="s">
        <v>376</v>
      </c>
      <c r="D71" s="23" t="s">
        <v>227</v>
      </c>
      <c r="E71" s="28">
        <v>310</v>
      </c>
      <c r="F71" s="25">
        <v>3179.83</v>
      </c>
      <c r="G71" s="25">
        <v>0.53</v>
      </c>
      <c r="H71" s="25">
        <v>3.8</v>
      </c>
    </row>
    <row r="72" spans="2:10">
      <c r="B72" s="23" t="s">
        <v>377</v>
      </c>
      <c r="C72" s="23" t="s">
        <v>378</v>
      </c>
      <c r="D72" s="23" t="s">
        <v>227</v>
      </c>
      <c r="E72" s="28">
        <v>300</v>
      </c>
      <c r="F72" s="25">
        <v>3089.17</v>
      </c>
      <c r="G72" s="25">
        <v>0.52</v>
      </c>
      <c r="H72" s="25">
        <v>4.13</v>
      </c>
    </row>
    <row r="73" spans="2:10">
      <c r="B73" s="23" t="s">
        <v>379</v>
      </c>
      <c r="C73" s="23" t="s">
        <v>380</v>
      </c>
      <c r="D73" s="23" t="s">
        <v>227</v>
      </c>
      <c r="E73" s="28">
        <v>250</v>
      </c>
      <c r="F73" s="25">
        <v>2591.7800000000002</v>
      </c>
      <c r="G73" s="25">
        <v>0.43</v>
      </c>
      <c r="H73" s="25">
        <v>4.45</v>
      </c>
    </row>
    <row r="74" spans="2:10">
      <c r="B74" s="23" t="s">
        <v>381</v>
      </c>
      <c r="C74" s="23" t="s">
        <v>382</v>
      </c>
      <c r="D74" s="23" t="s">
        <v>227</v>
      </c>
      <c r="E74" s="28">
        <v>250</v>
      </c>
      <c r="F74" s="25">
        <v>2584.9499999999998</v>
      </c>
      <c r="G74" s="25">
        <v>0.43</v>
      </c>
      <c r="H74" s="25">
        <v>4.34</v>
      </c>
    </row>
    <row r="75" spans="2:10">
      <c r="B75" s="23" t="s">
        <v>383</v>
      </c>
      <c r="C75" s="23" t="s">
        <v>384</v>
      </c>
      <c r="D75" s="23" t="s">
        <v>370</v>
      </c>
      <c r="E75" s="28">
        <v>250</v>
      </c>
      <c r="F75" s="25">
        <v>2527.38</v>
      </c>
      <c r="G75" s="25">
        <v>0.42</v>
      </c>
      <c r="H75" s="25">
        <v>4.62</v>
      </c>
    </row>
    <row r="76" spans="2:10">
      <c r="B76" s="23" t="s">
        <v>385</v>
      </c>
      <c r="C76" s="23" t="s">
        <v>386</v>
      </c>
      <c r="D76" s="23" t="s">
        <v>370</v>
      </c>
      <c r="E76" s="28">
        <v>250</v>
      </c>
      <c r="F76" s="25">
        <v>2525.08</v>
      </c>
      <c r="G76" s="25">
        <v>0.42</v>
      </c>
      <c r="H76" s="25">
        <v>3.7</v>
      </c>
    </row>
    <row r="77" spans="2:10">
      <c r="B77" s="23" t="s">
        <v>387</v>
      </c>
      <c r="C77" s="23" t="s">
        <v>388</v>
      </c>
      <c r="D77" s="23" t="s">
        <v>227</v>
      </c>
      <c r="E77" s="28">
        <v>250</v>
      </c>
      <c r="F77" s="25">
        <v>2521.15</v>
      </c>
      <c r="G77" s="25">
        <v>0.42</v>
      </c>
      <c r="H77" s="25">
        <v>3.7</v>
      </c>
    </row>
    <row r="78" spans="2:10">
      <c r="B78" s="23" t="s">
        <v>389</v>
      </c>
      <c r="C78" s="23" t="s">
        <v>390</v>
      </c>
      <c r="D78" s="23" t="s">
        <v>227</v>
      </c>
      <c r="E78" s="28">
        <v>250</v>
      </c>
      <c r="F78" s="25">
        <v>2510.7600000000002</v>
      </c>
      <c r="G78" s="25">
        <v>0.42</v>
      </c>
      <c r="H78" s="25">
        <v>3.57</v>
      </c>
    </row>
    <row r="79" spans="2:10">
      <c r="B79" s="23" t="s">
        <v>391</v>
      </c>
      <c r="C79" s="23" t="s">
        <v>392</v>
      </c>
      <c r="D79" s="23" t="s">
        <v>227</v>
      </c>
      <c r="E79" s="28">
        <v>200</v>
      </c>
      <c r="F79" s="25">
        <v>2132.86</v>
      </c>
      <c r="G79" s="25">
        <v>0.36</v>
      </c>
      <c r="H79" s="25">
        <v>5.48</v>
      </c>
    </row>
    <row r="80" spans="2:10">
      <c r="B80" s="23" t="s">
        <v>393</v>
      </c>
      <c r="C80" s="23" t="s">
        <v>394</v>
      </c>
      <c r="D80" s="23" t="s">
        <v>227</v>
      </c>
      <c r="E80" s="28">
        <v>200</v>
      </c>
      <c r="F80" s="25">
        <v>2061.4899999999998</v>
      </c>
      <c r="G80" s="25">
        <v>0.34</v>
      </c>
      <c r="H80" s="25">
        <v>4.4000000000000004</v>
      </c>
    </row>
    <row r="81" spans="2:8">
      <c r="B81" s="23" t="s">
        <v>395</v>
      </c>
      <c r="C81" s="23" t="s">
        <v>396</v>
      </c>
      <c r="D81" s="23" t="s">
        <v>227</v>
      </c>
      <c r="E81" s="28">
        <v>150</v>
      </c>
      <c r="F81" s="25">
        <v>1630.94</v>
      </c>
      <c r="G81" s="25">
        <v>0.27</v>
      </c>
      <c r="H81" s="25">
        <v>6.86</v>
      </c>
    </row>
    <row r="82" spans="2:8">
      <c r="B82" s="23" t="s">
        <v>397</v>
      </c>
      <c r="C82" s="23" t="s">
        <v>398</v>
      </c>
      <c r="D82" s="23" t="s">
        <v>227</v>
      </c>
      <c r="E82" s="28">
        <v>150</v>
      </c>
      <c r="F82" s="25">
        <v>1595</v>
      </c>
      <c r="G82" s="25">
        <v>0.27</v>
      </c>
      <c r="H82" s="25">
        <v>5.21</v>
      </c>
    </row>
    <row r="83" spans="2:8">
      <c r="B83" s="23" t="s">
        <v>399</v>
      </c>
      <c r="C83" s="23" t="s">
        <v>400</v>
      </c>
      <c r="D83" s="23" t="s">
        <v>227</v>
      </c>
      <c r="E83" s="28">
        <v>150</v>
      </c>
      <c r="F83" s="25">
        <v>1558.19</v>
      </c>
      <c r="G83" s="25">
        <v>0.26</v>
      </c>
      <c r="H83" s="25">
        <v>4.3600000000000003</v>
      </c>
    </row>
    <row r="84" spans="2:8">
      <c r="B84" s="23" t="s">
        <v>401</v>
      </c>
      <c r="C84" s="23" t="s">
        <v>402</v>
      </c>
      <c r="D84" s="23" t="s">
        <v>227</v>
      </c>
      <c r="E84" s="28">
        <v>150</v>
      </c>
      <c r="F84" s="25">
        <v>1538.99</v>
      </c>
      <c r="G84" s="25">
        <v>0.26</v>
      </c>
      <c r="H84" s="25">
        <v>3.86</v>
      </c>
    </row>
    <row r="85" spans="2:8">
      <c r="B85" s="23" t="s">
        <v>403</v>
      </c>
      <c r="C85" s="23" t="s">
        <v>404</v>
      </c>
      <c r="D85" s="23" t="s">
        <v>227</v>
      </c>
      <c r="E85" s="28">
        <v>150</v>
      </c>
      <c r="F85" s="25">
        <v>1502.35</v>
      </c>
      <c r="G85" s="25">
        <v>0.25</v>
      </c>
      <c r="H85" s="25">
        <v>3.66</v>
      </c>
    </row>
    <row r="86" spans="2:8">
      <c r="B86" s="23" t="s">
        <v>405</v>
      </c>
      <c r="C86" s="23" t="s">
        <v>406</v>
      </c>
      <c r="D86" s="23" t="s">
        <v>370</v>
      </c>
      <c r="E86" s="28">
        <v>150</v>
      </c>
      <c r="F86" s="25">
        <v>1501.77</v>
      </c>
      <c r="G86" s="25">
        <v>0.25</v>
      </c>
      <c r="H86" s="25">
        <v>3.78</v>
      </c>
    </row>
    <row r="87" spans="2:8">
      <c r="B87" s="23" t="s">
        <v>407</v>
      </c>
      <c r="C87" s="23" t="s">
        <v>408</v>
      </c>
      <c r="D87" s="23" t="s">
        <v>227</v>
      </c>
      <c r="E87" s="28">
        <v>112</v>
      </c>
      <c r="F87" s="25">
        <v>1218.71</v>
      </c>
      <c r="G87" s="25">
        <v>0.2</v>
      </c>
      <c r="H87" s="25">
        <v>6.79</v>
      </c>
    </row>
    <row r="88" spans="2:8">
      <c r="B88" s="23" t="s">
        <v>409</v>
      </c>
      <c r="C88" s="23" t="s">
        <v>410</v>
      </c>
      <c r="D88" s="23" t="s">
        <v>227</v>
      </c>
      <c r="E88" s="28">
        <v>100</v>
      </c>
      <c r="F88" s="25">
        <v>1072.98</v>
      </c>
      <c r="G88" s="25">
        <v>0.18</v>
      </c>
      <c r="H88" s="25">
        <v>5.47</v>
      </c>
    </row>
    <row r="89" spans="2:8">
      <c r="B89" s="23" t="s">
        <v>411</v>
      </c>
      <c r="C89" s="23" t="s">
        <v>412</v>
      </c>
      <c r="D89" s="23" t="s">
        <v>227</v>
      </c>
      <c r="E89" s="28">
        <v>100</v>
      </c>
      <c r="F89" s="25">
        <v>1057.3800000000001</v>
      </c>
      <c r="G89" s="25">
        <v>0.18</v>
      </c>
      <c r="H89" s="25">
        <v>5.77</v>
      </c>
    </row>
    <row r="90" spans="2:8">
      <c r="B90" s="23" t="s">
        <v>413</v>
      </c>
      <c r="C90" s="23" t="s">
        <v>414</v>
      </c>
      <c r="D90" s="23" t="s">
        <v>227</v>
      </c>
      <c r="E90" s="28">
        <v>100</v>
      </c>
      <c r="F90" s="25">
        <v>1035.1300000000001</v>
      </c>
      <c r="G90" s="25">
        <v>0.17</v>
      </c>
      <c r="H90" s="25">
        <v>4.3600000000000003</v>
      </c>
    </row>
    <row r="91" spans="2:8">
      <c r="B91" s="23" t="s">
        <v>415</v>
      </c>
      <c r="C91" s="23" t="s">
        <v>416</v>
      </c>
      <c r="D91" s="23" t="s">
        <v>417</v>
      </c>
      <c r="E91" s="28">
        <v>100</v>
      </c>
      <c r="F91" s="25">
        <v>1027.7</v>
      </c>
      <c r="G91" s="25">
        <v>0.17</v>
      </c>
      <c r="H91" s="25">
        <v>4.3899999999999997</v>
      </c>
    </row>
    <row r="92" spans="2:8">
      <c r="B92" s="23" t="s">
        <v>418</v>
      </c>
      <c r="C92" s="23" t="s">
        <v>419</v>
      </c>
      <c r="D92" s="23" t="s">
        <v>227</v>
      </c>
      <c r="E92" s="28">
        <v>69</v>
      </c>
      <c r="F92" s="25">
        <v>693.3</v>
      </c>
      <c r="G92" s="25">
        <v>0.12</v>
      </c>
      <c r="H92" s="25">
        <v>3.52</v>
      </c>
    </row>
    <row r="93" spans="2:8">
      <c r="B93" s="23" t="s">
        <v>420</v>
      </c>
      <c r="C93" s="23" t="s">
        <v>421</v>
      </c>
      <c r="D93" s="23" t="s">
        <v>227</v>
      </c>
      <c r="E93" s="28">
        <v>50</v>
      </c>
      <c r="F93" s="25">
        <v>537.28</v>
      </c>
      <c r="G93" s="25">
        <v>0.09</v>
      </c>
      <c r="H93" s="25">
        <v>5.12</v>
      </c>
    </row>
    <row r="94" spans="2:8">
      <c r="B94" s="23" t="s">
        <v>422</v>
      </c>
      <c r="C94" s="23" t="s">
        <v>423</v>
      </c>
      <c r="D94" s="23" t="s">
        <v>227</v>
      </c>
      <c r="E94" s="28">
        <v>50</v>
      </c>
      <c r="F94" s="25">
        <v>529.47</v>
      </c>
      <c r="G94" s="25">
        <v>0.09</v>
      </c>
      <c r="H94" s="25">
        <v>5.55</v>
      </c>
    </row>
    <row r="95" spans="2:8">
      <c r="B95" s="23" t="s">
        <v>424</v>
      </c>
      <c r="C95" s="23" t="s">
        <v>425</v>
      </c>
      <c r="D95" s="23" t="s">
        <v>227</v>
      </c>
      <c r="E95" s="28">
        <v>50</v>
      </c>
      <c r="F95" s="25">
        <v>529.29</v>
      </c>
      <c r="G95" s="25">
        <v>0.09</v>
      </c>
      <c r="H95" s="25">
        <v>6.85</v>
      </c>
    </row>
    <row r="96" spans="2:8">
      <c r="B96" s="23" t="s">
        <v>426</v>
      </c>
      <c r="C96" s="23" t="s">
        <v>427</v>
      </c>
      <c r="D96" s="23" t="s">
        <v>227</v>
      </c>
      <c r="E96" s="28">
        <v>10</v>
      </c>
      <c r="F96" s="25">
        <v>102.33</v>
      </c>
      <c r="G96" s="25">
        <v>0.02</v>
      </c>
      <c r="H96" s="25">
        <v>3.73</v>
      </c>
    </row>
    <row r="97" spans="2:10">
      <c r="B97" s="23" t="s">
        <v>225</v>
      </c>
      <c r="C97" s="23" t="s">
        <v>226</v>
      </c>
      <c r="D97" s="23" t="s">
        <v>227</v>
      </c>
      <c r="E97" s="28">
        <v>62266</v>
      </c>
      <c r="F97" s="25">
        <v>18.100000000000001</v>
      </c>
      <c r="G97" s="25">
        <v>0</v>
      </c>
      <c r="H97" s="25">
        <v>5.4</v>
      </c>
    </row>
    <row r="98" spans="2:10">
      <c r="B98" s="30" t="s">
        <v>109</v>
      </c>
      <c r="C98" s="30"/>
      <c r="D98" s="30"/>
      <c r="E98" s="31"/>
      <c r="F98" s="32">
        <f>SUM(F67:F97)</f>
        <v>56050.58</v>
      </c>
      <c r="G98" s="32">
        <f>SUM(G67:G97)</f>
        <v>9.3699999999999957</v>
      </c>
      <c r="H98" s="48"/>
      <c r="I98" s="14"/>
      <c r="J98" s="14"/>
    </row>
    <row r="99" spans="2:10">
      <c r="B99" s="49" t="s">
        <v>110</v>
      </c>
      <c r="C99" s="49"/>
      <c r="D99" s="49"/>
      <c r="E99" s="50"/>
      <c r="F99" s="51">
        <f>F98</f>
        <v>56050.58</v>
      </c>
      <c r="G99" s="51">
        <f>G98</f>
        <v>9.3699999999999957</v>
      </c>
      <c r="H99" s="51"/>
      <c r="I99" s="14"/>
      <c r="J99" s="14"/>
    </row>
    <row r="100" spans="2:10">
      <c r="B100" s="47" t="s">
        <v>428</v>
      </c>
      <c r="C100" s="23"/>
      <c r="D100" s="23"/>
      <c r="E100" s="24"/>
      <c r="F100" s="25"/>
      <c r="G100" s="25"/>
      <c r="H100" s="25"/>
    </row>
    <row r="101" spans="2:10">
      <c r="B101" s="23" t="s">
        <v>429</v>
      </c>
      <c r="C101" s="23" t="s">
        <v>430</v>
      </c>
      <c r="D101" s="23" t="s">
        <v>431</v>
      </c>
      <c r="E101" s="28">
        <v>15150000</v>
      </c>
      <c r="F101" s="25">
        <v>15153.98</v>
      </c>
      <c r="G101" s="25">
        <v>2.5299999999999998</v>
      </c>
      <c r="H101" s="25">
        <v>4.46</v>
      </c>
    </row>
    <row r="102" spans="2:10">
      <c r="B102" s="23" t="s">
        <v>432</v>
      </c>
      <c r="C102" s="23" t="s">
        <v>433</v>
      </c>
      <c r="D102" s="23" t="s">
        <v>431</v>
      </c>
      <c r="E102" s="28">
        <v>7500000</v>
      </c>
      <c r="F102" s="25">
        <v>7503.73</v>
      </c>
      <c r="G102" s="25">
        <v>1.25</v>
      </c>
      <c r="H102" s="25">
        <v>4.2300000000000004</v>
      </c>
    </row>
    <row r="103" spans="2:10">
      <c r="B103" s="23" t="s">
        <v>434</v>
      </c>
      <c r="C103" s="23" t="s">
        <v>435</v>
      </c>
      <c r="D103" s="23" t="s">
        <v>431</v>
      </c>
      <c r="E103" s="28">
        <v>6000000</v>
      </c>
      <c r="F103" s="25">
        <v>5954.29</v>
      </c>
      <c r="G103" s="25">
        <v>0.99</v>
      </c>
      <c r="H103" s="25">
        <v>5.44</v>
      </c>
    </row>
    <row r="104" spans="2:10">
      <c r="B104" s="23" t="s">
        <v>436</v>
      </c>
      <c r="C104" s="23" t="s">
        <v>437</v>
      </c>
      <c r="D104" s="23" t="s">
        <v>431</v>
      </c>
      <c r="E104" s="28">
        <v>5000000</v>
      </c>
      <c r="F104" s="25">
        <v>5202.08</v>
      </c>
      <c r="G104" s="25">
        <v>0.87</v>
      </c>
      <c r="H104" s="25">
        <v>3.94</v>
      </c>
    </row>
    <row r="105" spans="2:10">
      <c r="B105" s="23" t="s">
        <v>438</v>
      </c>
      <c r="C105" s="23" t="s">
        <v>439</v>
      </c>
      <c r="D105" s="23" t="s">
        <v>431</v>
      </c>
      <c r="E105" s="28">
        <v>5000000</v>
      </c>
      <c r="F105" s="25">
        <v>5179.67</v>
      </c>
      <c r="G105" s="25">
        <v>0.86</v>
      </c>
      <c r="H105" s="25">
        <v>3.87</v>
      </c>
    </row>
    <row r="106" spans="2:10">
      <c r="B106" s="23" t="s">
        <v>440</v>
      </c>
      <c r="C106" s="23" t="s">
        <v>441</v>
      </c>
      <c r="D106" s="23" t="s">
        <v>431</v>
      </c>
      <c r="E106" s="28">
        <v>5000000</v>
      </c>
      <c r="F106" s="25">
        <v>5069.74</v>
      </c>
      <c r="G106" s="25">
        <v>0.85</v>
      </c>
      <c r="H106" s="25">
        <v>3.54</v>
      </c>
    </row>
    <row r="107" spans="2:10">
      <c r="B107" s="23" t="s">
        <v>442</v>
      </c>
      <c r="C107" s="23" t="s">
        <v>443</v>
      </c>
      <c r="D107" s="23" t="s">
        <v>431</v>
      </c>
      <c r="E107" s="28">
        <v>5000000</v>
      </c>
      <c r="F107" s="25">
        <v>5001.38</v>
      </c>
      <c r="G107" s="25">
        <v>0.83</v>
      </c>
      <c r="H107" s="25">
        <v>3.93</v>
      </c>
    </row>
    <row r="108" spans="2:10">
      <c r="B108" s="23" t="s">
        <v>444</v>
      </c>
      <c r="C108" s="23" t="s">
        <v>445</v>
      </c>
      <c r="D108" s="23" t="s">
        <v>431</v>
      </c>
      <c r="E108" s="28">
        <v>5000000</v>
      </c>
      <c r="F108" s="25">
        <v>4962.12</v>
      </c>
      <c r="G108" s="25">
        <v>0.83</v>
      </c>
      <c r="H108" s="25">
        <v>6.2</v>
      </c>
    </row>
    <row r="109" spans="2:10">
      <c r="B109" s="23" t="s">
        <v>446</v>
      </c>
      <c r="C109" s="23" t="s">
        <v>447</v>
      </c>
      <c r="D109" s="23" t="s">
        <v>431</v>
      </c>
      <c r="E109" s="28">
        <v>3000000</v>
      </c>
      <c r="F109" s="25">
        <v>3103.58</v>
      </c>
      <c r="G109" s="25">
        <v>0.52</v>
      </c>
      <c r="H109" s="25">
        <v>5.0199999999999996</v>
      </c>
    </row>
    <row r="110" spans="2:10">
      <c r="B110" s="23" t="s">
        <v>448</v>
      </c>
      <c r="C110" s="23" t="s">
        <v>449</v>
      </c>
      <c r="D110" s="23" t="s">
        <v>431</v>
      </c>
      <c r="E110" s="28">
        <v>3000000</v>
      </c>
      <c r="F110" s="25">
        <v>3072.6</v>
      </c>
      <c r="G110" s="25">
        <v>0.51</v>
      </c>
      <c r="H110" s="25">
        <v>3.64</v>
      </c>
    </row>
    <row r="111" spans="2:10">
      <c r="B111" s="23" t="s">
        <v>450</v>
      </c>
      <c r="C111" s="23" t="s">
        <v>451</v>
      </c>
      <c r="D111" s="23" t="s">
        <v>431</v>
      </c>
      <c r="E111" s="28">
        <v>2500000</v>
      </c>
      <c r="F111" s="25">
        <v>2522.46</v>
      </c>
      <c r="G111" s="25">
        <v>0.42</v>
      </c>
      <c r="H111" s="25">
        <v>3.77</v>
      </c>
    </row>
    <row r="112" spans="2:10">
      <c r="B112" s="23" t="s">
        <v>452</v>
      </c>
      <c r="C112" s="23" t="s">
        <v>453</v>
      </c>
      <c r="D112" s="23" t="s">
        <v>431</v>
      </c>
      <c r="E112" s="28">
        <v>1500000</v>
      </c>
      <c r="F112" s="25">
        <v>1606.32</v>
      </c>
      <c r="G112" s="25">
        <v>0.27</v>
      </c>
      <c r="H112" s="25">
        <v>6.27</v>
      </c>
    </row>
    <row r="113" spans="2:10">
      <c r="B113" s="23" t="s">
        <v>454</v>
      </c>
      <c r="C113" s="23" t="s">
        <v>455</v>
      </c>
      <c r="D113" s="23" t="s">
        <v>431</v>
      </c>
      <c r="E113" s="28">
        <v>1500000</v>
      </c>
      <c r="F113" s="25">
        <v>1566.87</v>
      </c>
      <c r="G113" s="25">
        <v>0.26</v>
      </c>
      <c r="H113" s="25">
        <v>5.94</v>
      </c>
    </row>
    <row r="114" spans="2:10">
      <c r="B114" s="23" t="s">
        <v>456</v>
      </c>
      <c r="C114" s="23" t="s">
        <v>457</v>
      </c>
      <c r="D114" s="23" t="s">
        <v>431</v>
      </c>
      <c r="E114" s="28">
        <v>1000000</v>
      </c>
      <c r="F114" s="25">
        <v>1065.52</v>
      </c>
      <c r="G114" s="25">
        <v>0.18</v>
      </c>
      <c r="H114" s="25">
        <v>4.8899999999999997</v>
      </c>
    </row>
    <row r="115" spans="2:10">
      <c r="B115" s="23" t="s">
        <v>458</v>
      </c>
      <c r="C115" s="23" t="s">
        <v>459</v>
      </c>
      <c r="D115" s="23" t="s">
        <v>431</v>
      </c>
      <c r="E115" s="28">
        <v>1000000</v>
      </c>
      <c r="F115" s="25">
        <v>1049.47</v>
      </c>
      <c r="G115" s="25">
        <v>0.18</v>
      </c>
      <c r="H115" s="25">
        <v>4.28</v>
      </c>
    </row>
    <row r="116" spans="2:10">
      <c r="B116" s="23" t="s">
        <v>460</v>
      </c>
      <c r="C116" s="23" t="s">
        <v>461</v>
      </c>
      <c r="D116" s="23" t="s">
        <v>431</v>
      </c>
      <c r="E116" s="28">
        <v>600000</v>
      </c>
      <c r="F116" s="25">
        <v>627.35</v>
      </c>
      <c r="G116" s="25">
        <v>0.1</v>
      </c>
      <c r="H116" s="25">
        <v>6.31</v>
      </c>
    </row>
    <row r="117" spans="2:10">
      <c r="B117" s="23" t="s">
        <v>462</v>
      </c>
      <c r="C117" s="23" t="s">
        <v>463</v>
      </c>
      <c r="D117" s="23" t="s">
        <v>431</v>
      </c>
      <c r="E117" s="28">
        <v>500000</v>
      </c>
      <c r="F117" s="25">
        <v>550.4</v>
      </c>
      <c r="G117" s="25">
        <v>0.09</v>
      </c>
      <c r="H117" s="25">
        <v>6.07</v>
      </c>
    </row>
    <row r="118" spans="2:10">
      <c r="B118" s="23" t="s">
        <v>464</v>
      </c>
      <c r="C118" s="23" t="s">
        <v>465</v>
      </c>
      <c r="D118" s="23" t="s">
        <v>431</v>
      </c>
      <c r="E118" s="28">
        <v>500000</v>
      </c>
      <c r="F118" s="25">
        <v>548.21</v>
      </c>
      <c r="G118" s="25">
        <v>0.09</v>
      </c>
      <c r="H118" s="25">
        <v>6</v>
      </c>
    </row>
    <row r="119" spans="2:10">
      <c r="B119" s="52" t="s">
        <v>466</v>
      </c>
      <c r="C119" s="52" t="s">
        <v>467</v>
      </c>
      <c r="D119" s="52" t="s">
        <v>431</v>
      </c>
      <c r="E119" s="53">
        <v>191700</v>
      </c>
      <c r="F119" s="54">
        <v>196.8</v>
      </c>
      <c r="G119" s="54">
        <v>0.03</v>
      </c>
      <c r="H119" s="54">
        <v>3.91</v>
      </c>
    </row>
    <row r="120" spans="2:10">
      <c r="B120" s="55" t="s">
        <v>110</v>
      </c>
      <c r="C120" s="55"/>
      <c r="D120" s="55"/>
      <c r="E120" s="56"/>
      <c r="F120" s="57">
        <f>SUM(F101:F119)</f>
        <v>69936.570000000007</v>
      </c>
      <c r="G120" s="57">
        <f>SUM(G101:G119)</f>
        <v>11.659999999999997</v>
      </c>
      <c r="H120" s="57"/>
      <c r="I120" s="14"/>
      <c r="J120" s="14"/>
    </row>
    <row r="121" spans="2:10">
      <c r="B121" s="47" t="s">
        <v>111</v>
      </c>
      <c r="C121" s="23"/>
      <c r="D121" s="23"/>
      <c r="E121" s="24"/>
      <c r="F121" s="25"/>
      <c r="G121" s="25"/>
      <c r="H121" s="25"/>
    </row>
    <row r="122" spans="2:10">
      <c r="B122" s="23" t="s">
        <v>111</v>
      </c>
      <c r="C122" s="23"/>
      <c r="D122" s="23"/>
      <c r="E122" s="24"/>
      <c r="F122" s="25">
        <v>26894.43</v>
      </c>
      <c r="G122" s="25">
        <v>4.4800000000000004</v>
      </c>
      <c r="H122" s="25"/>
    </row>
    <row r="123" spans="2:10">
      <c r="B123" s="30" t="s">
        <v>109</v>
      </c>
      <c r="C123" s="30"/>
      <c r="D123" s="30"/>
      <c r="E123" s="31"/>
      <c r="F123" s="32">
        <f>SUM(F121:F122)</f>
        <v>26894.43</v>
      </c>
      <c r="G123" s="32">
        <f>SUM(G121:G122)</f>
        <v>4.4800000000000004</v>
      </c>
      <c r="H123" s="48"/>
      <c r="I123" s="14"/>
      <c r="J123" s="14"/>
    </row>
    <row r="124" spans="2:10">
      <c r="B124" s="34" t="s">
        <v>110</v>
      </c>
      <c r="C124" s="34"/>
      <c r="D124" s="34"/>
      <c r="E124" s="35"/>
      <c r="F124" s="36">
        <f>F123</f>
        <v>26894.43</v>
      </c>
      <c r="G124" s="36">
        <f>G123</f>
        <v>4.4800000000000004</v>
      </c>
      <c r="H124" s="36"/>
      <c r="I124" s="14"/>
      <c r="J124" s="14"/>
    </row>
    <row r="125" spans="2:10">
      <c r="B125" s="44" t="s">
        <v>113</v>
      </c>
      <c r="C125" s="44"/>
      <c r="D125" s="44"/>
      <c r="E125" s="45"/>
      <c r="F125" s="16">
        <f>F126-(+F65+F99+F120+F124)</f>
        <v>1533.8400000000838</v>
      </c>
      <c r="G125" s="16">
        <f>G126-(+G65+G99+G120+G124)</f>
        <v>0.26999999999999602</v>
      </c>
      <c r="H125" s="16"/>
      <c r="I125" s="14"/>
      <c r="J125" s="14"/>
    </row>
    <row r="126" spans="2:10">
      <c r="B126" s="44" t="s">
        <v>112</v>
      </c>
      <c r="C126" s="44"/>
      <c r="D126" s="44"/>
      <c r="E126" s="45"/>
      <c r="F126" s="16">
        <v>599509.93000000005</v>
      </c>
      <c r="G126" s="16">
        <v>100</v>
      </c>
      <c r="H126" s="16"/>
      <c r="I126" s="14"/>
      <c r="J126" s="14"/>
    </row>
    <row r="128" spans="2:10">
      <c r="B128" s="14" t="s">
        <v>747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32"/>
  <sheetViews>
    <sheetView workbookViewId="0"/>
  </sheetViews>
  <sheetFormatPr defaultRowHeight="12"/>
  <cols>
    <col min="1" max="1" width="9.140625" style="1"/>
    <col min="2" max="2" width="57.140625" style="1" bestFit="1" customWidth="1"/>
    <col min="3" max="3" width="13.42578125" style="1" bestFit="1" customWidth="1"/>
    <col min="4" max="4" width="14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10" ht="21" customHeight="1">
      <c r="B1" s="82" t="s">
        <v>17</v>
      </c>
      <c r="C1" s="83"/>
      <c r="D1" s="83"/>
      <c r="E1" s="83"/>
      <c r="F1" s="83"/>
      <c r="G1" s="83"/>
      <c r="H1" s="83"/>
    </row>
    <row r="3" spans="2:10" ht="16.5" thickBot="1">
      <c r="B3" s="2" t="s">
        <v>7</v>
      </c>
      <c r="C3" s="3"/>
      <c r="D3" s="4"/>
      <c r="E3" s="5"/>
      <c r="F3" s="6"/>
      <c r="G3" s="6"/>
    </row>
    <row r="4" spans="2:10" ht="24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10">
      <c r="B5" s="58" t="s">
        <v>224</v>
      </c>
      <c r="C5" s="18"/>
      <c r="D5" s="18"/>
      <c r="E5" s="19"/>
      <c r="F5" s="20"/>
      <c r="G5" s="20"/>
      <c r="H5" s="20"/>
    </row>
    <row r="6" spans="2:10">
      <c r="B6" s="47" t="s">
        <v>31</v>
      </c>
      <c r="C6" s="23"/>
      <c r="D6" s="23"/>
      <c r="E6" s="24"/>
      <c r="F6" s="25"/>
      <c r="G6" s="25"/>
      <c r="H6" s="25"/>
    </row>
    <row r="7" spans="2:10">
      <c r="B7" s="23" t="s">
        <v>379</v>
      </c>
      <c r="C7" s="23" t="s">
        <v>380</v>
      </c>
      <c r="D7" s="23" t="s">
        <v>227</v>
      </c>
      <c r="E7" s="28">
        <v>50</v>
      </c>
      <c r="F7" s="25">
        <v>518.36</v>
      </c>
      <c r="G7" s="25">
        <v>4.42</v>
      </c>
      <c r="H7" s="25">
        <v>4.45</v>
      </c>
    </row>
    <row r="8" spans="2:10">
      <c r="B8" s="23" t="s">
        <v>468</v>
      </c>
      <c r="C8" s="23" t="s">
        <v>469</v>
      </c>
      <c r="D8" s="23" t="s">
        <v>370</v>
      </c>
      <c r="E8" s="28">
        <v>50</v>
      </c>
      <c r="F8" s="25">
        <v>511.8</v>
      </c>
      <c r="G8" s="25">
        <v>4.3600000000000003</v>
      </c>
      <c r="H8" s="25">
        <v>3.72</v>
      </c>
    </row>
    <row r="9" spans="2:10">
      <c r="B9" s="30" t="s">
        <v>109</v>
      </c>
      <c r="C9" s="30"/>
      <c r="D9" s="30"/>
      <c r="E9" s="31"/>
      <c r="F9" s="32">
        <f>SUM(F6:F8)</f>
        <v>1030.1600000000001</v>
      </c>
      <c r="G9" s="32">
        <f>SUM(G6:G8)</f>
        <v>8.7800000000000011</v>
      </c>
      <c r="H9" s="48"/>
      <c r="I9" s="14"/>
      <c r="J9" s="14"/>
    </row>
    <row r="10" spans="2:10">
      <c r="B10" s="49" t="s">
        <v>110</v>
      </c>
      <c r="C10" s="49"/>
      <c r="D10" s="49"/>
      <c r="E10" s="50"/>
      <c r="F10" s="51">
        <f>F9</f>
        <v>1030.1600000000001</v>
      </c>
      <c r="G10" s="51">
        <f>G9</f>
        <v>8.7800000000000011</v>
      </c>
      <c r="H10" s="51"/>
      <c r="I10" s="14"/>
      <c r="J10" s="14"/>
    </row>
    <row r="11" spans="2:10">
      <c r="B11" s="47" t="s">
        <v>470</v>
      </c>
      <c r="C11" s="23"/>
      <c r="D11" s="23"/>
      <c r="E11" s="24"/>
      <c r="F11" s="25"/>
      <c r="G11" s="25"/>
      <c r="H11" s="25"/>
    </row>
    <row r="12" spans="2:10">
      <c r="B12" s="47" t="s">
        <v>471</v>
      </c>
      <c r="C12" s="23"/>
      <c r="D12" s="23"/>
      <c r="E12" s="24"/>
      <c r="F12" s="25"/>
      <c r="G12" s="25"/>
      <c r="H12" s="25"/>
    </row>
    <row r="13" spans="2:10">
      <c r="B13" s="23" t="s">
        <v>472</v>
      </c>
      <c r="C13" s="23" t="s">
        <v>473</v>
      </c>
      <c r="D13" s="23" t="s">
        <v>474</v>
      </c>
      <c r="E13" s="28">
        <v>5000000</v>
      </c>
      <c r="F13" s="25">
        <v>4979.29</v>
      </c>
      <c r="G13" s="25">
        <v>42.44</v>
      </c>
      <c r="H13" s="25">
        <v>3.3</v>
      </c>
    </row>
    <row r="14" spans="2:10">
      <c r="B14" s="30" t="s">
        <v>109</v>
      </c>
      <c r="C14" s="30"/>
      <c r="D14" s="30"/>
      <c r="E14" s="31"/>
      <c r="F14" s="32">
        <f>SUM(F12:F13)</f>
        <v>4979.29</v>
      </c>
      <c r="G14" s="32">
        <f>SUM(G12:G13)</f>
        <v>42.44</v>
      </c>
      <c r="H14" s="48"/>
      <c r="I14" s="14"/>
      <c r="J14" s="14"/>
    </row>
    <row r="15" spans="2:10">
      <c r="B15" s="49" t="s">
        <v>110</v>
      </c>
      <c r="C15" s="49"/>
      <c r="D15" s="49"/>
      <c r="E15" s="50"/>
      <c r="F15" s="51">
        <f>+F14</f>
        <v>4979.29</v>
      </c>
      <c r="G15" s="51">
        <f>+G14</f>
        <v>42.44</v>
      </c>
      <c r="H15" s="51"/>
      <c r="I15" s="14"/>
      <c r="J15" s="14"/>
    </row>
    <row r="16" spans="2:10">
      <c r="B16" s="47" t="s">
        <v>428</v>
      </c>
      <c r="C16" s="23"/>
      <c r="D16" s="23"/>
      <c r="E16" s="24"/>
      <c r="F16" s="25"/>
      <c r="G16" s="25"/>
      <c r="H16" s="25"/>
    </row>
    <row r="17" spans="2:10">
      <c r="B17" s="23" t="s">
        <v>475</v>
      </c>
      <c r="C17" s="23" t="s">
        <v>476</v>
      </c>
      <c r="D17" s="23" t="s">
        <v>431</v>
      </c>
      <c r="E17" s="28">
        <v>1000000</v>
      </c>
      <c r="F17" s="25">
        <v>1057.3900000000001</v>
      </c>
      <c r="G17" s="25">
        <v>9.01</v>
      </c>
      <c r="H17" s="25">
        <v>5.85</v>
      </c>
    </row>
    <row r="18" spans="2:10">
      <c r="B18" s="23" t="s">
        <v>477</v>
      </c>
      <c r="C18" s="23" t="s">
        <v>478</v>
      </c>
      <c r="D18" s="23" t="s">
        <v>431</v>
      </c>
      <c r="E18" s="28">
        <v>600000</v>
      </c>
      <c r="F18" s="25">
        <v>638.14</v>
      </c>
      <c r="G18" s="25">
        <v>5.44</v>
      </c>
      <c r="H18" s="25">
        <v>6.78</v>
      </c>
    </row>
    <row r="19" spans="2:10">
      <c r="B19" s="23" t="s">
        <v>479</v>
      </c>
      <c r="C19" s="23" t="s">
        <v>480</v>
      </c>
      <c r="D19" s="23" t="s">
        <v>431</v>
      </c>
      <c r="E19" s="28">
        <v>600000</v>
      </c>
      <c r="F19" s="25">
        <v>628.41999999999996</v>
      </c>
      <c r="G19" s="25">
        <v>5.36</v>
      </c>
      <c r="H19" s="25">
        <v>6.26</v>
      </c>
    </row>
    <row r="20" spans="2:10">
      <c r="B20" s="23" t="s">
        <v>460</v>
      </c>
      <c r="C20" s="23" t="s">
        <v>461</v>
      </c>
      <c r="D20" s="23" t="s">
        <v>431</v>
      </c>
      <c r="E20" s="28">
        <v>600000</v>
      </c>
      <c r="F20" s="25">
        <v>627.35</v>
      </c>
      <c r="G20" s="25">
        <v>5.35</v>
      </c>
      <c r="H20" s="25">
        <v>6.31</v>
      </c>
    </row>
    <row r="21" spans="2:10">
      <c r="B21" s="23" t="s">
        <v>481</v>
      </c>
      <c r="C21" s="23" t="s">
        <v>482</v>
      </c>
      <c r="D21" s="23" t="s">
        <v>431</v>
      </c>
      <c r="E21" s="28">
        <v>523200</v>
      </c>
      <c r="F21" s="25">
        <v>528.55999999999995</v>
      </c>
      <c r="G21" s="25">
        <v>4.51</v>
      </c>
      <c r="H21" s="25">
        <v>6.54</v>
      </c>
    </row>
    <row r="22" spans="2:10">
      <c r="B22" s="23" t="s">
        <v>483</v>
      </c>
      <c r="C22" s="23" t="s">
        <v>484</v>
      </c>
      <c r="D22" s="23" t="s">
        <v>431</v>
      </c>
      <c r="E22" s="28">
        <v>500000</v>
      </c>
      <c r="F22" s="25">
        <v>500.31</v>
      </c>
      <c r="G22" s="25">
        <v>4.26</v>
      </c>
      <c r="H22" s="25">
        <v>6.96</v>
      </c>
    </row>
    <row r="23" spans="2:10">
      <c r="B23" s="52" t="s">
        <v>485</v>
      </c>
      <c r="C23" s="52" t="s">
        <v>486</v>
      </c>
      <c r="D23" s="52" t="s">
        <v>431</v>
      </c>
      <c r="E23" s="53">
        <v>500000</v>
      </c>
      <c r="F23" s="54">
        <v>492.85</v>
      </c>
      <c r="G23" s="54">
        <v>4.2</v>
      </c>
      <c r="H23" s="54">
        <v>5.53</v>
      </c>
    </row>
    <row r="24" spans="2:10">
      <c r="B24" s="55" t="s">
        <v>110</v>
      </c>
      <c r="C24" s="55"/>
      <c r="D24" s="55"/>
      <c r="E24" s="56"/>
      <c r="F24" s="57">
        <f>SUM(F17:F23)</f>
        <v>4473.0200000000004</v>
      </c>
      <c r="G24" s="57">
        <f>SUM(G17:G23)</f>
        <v>38.129999999999995</v>
      </c>
      <c r="H24" s="57"/>
      <c r="I24" s="14"/>
      <c r="J24" s="14"/>
    </row>
    <row r="25" spans="2:10">
      <c r="B25" s="47" t="s">
        <v>111</v>
      </c>
      <c r="C25" s="23"/>
      <c r="D25" s="23"/>
      <c r="E25" s="24"/>
      <c r="F25" s="25"/>
      <c r="G25" s="25"/>
      <c r="H25" s="25"/>
    </row>
    <row r="26" spans="2:10">
      <c r="B26" s="23" t="s">
        <v>111</v>
      </c>
      <c r="C26" s="23"/>
      <c r="D26" s="23"/>
      <c r="E26" s="24"/>
      <c r="F26" s="25">
        <v>1120.96</v>
      </c>
      <c r="G26" s="25">
        <v>9.56</v>
      </c>
      <c r="H26" s="25"/>
    </row>
    <row r="27" spans="2:10">
      <c r="B27" s="30" t="s">
        <v>109</v>
      </c>
      <c r="C27" s="30"/>
      <c r="D27" s="30"/>
      <c r="E27" s="31"/>
      <c r="F27" s="32">
        <f>SUM(F25:F26)</f>
        <v>1120.96</v>
      </c>
      <c r="G27" s="32">
        <f>SUM(G25:G26)</f>
        <v>9.56</v>
      </c>
      <c r="H27" s="48"/>
      <c r="I27" s="14"/>
      <c r="J27" s="14"/>
    </row>
    <row r="28" spans="2:10">
      <c r="B28" s="34" t="s">
        <v>110</v>
      </c>
      <c r="C28" s="34"/>
      <c r="D28" s="34"/>
      <c r="E28" s="35"/>
      <c r="F28" s="36">
        <f>F27</f>
        <v>1120.96</v>
      </c>
      <c r="G28" s="36">
        <f>G27</f>
        <v>9.56</v>
      </c>
      <c r="H28" s="36"/>
      <c r="I28" s="14"/>
      <c r="J28" s="14"/>
    </row>
    <row r="29" spans="2:10">
      <c r="B29" s="44" t="s">
        <v>113</v>
      </c>
      <c r="C29" s="44"/>
      <c r="D29" s="44"/>
      <c r="E29" s="45"/>
      <c r="F29" s="16">
        <f>F30-(+F10+F15+F24+F28)</f>
        <v>128.3799999999992</v>
      </c>
      <c r="G29" s="16">
        <f>G30-(+G10+G15+G24+G28)</f>
        <v>1.0900000000000034</v>
      </c>
      <c r="H29" s="16"/>
      <c r="I29" s="14"/>
      <c r="J29" s="14"/>
    </row>
    <row r="30" spans="2:10">
      <c r="B30" s="44" t="s">
        <v>112</v>
      </c>
      <c r="C30" s="44"/>
      <c r="D30" s="44"/>
      <c r="E30" s="45"/>
      <c r="F30" s="16">
        <v>11731.81</v>
      </c>
      <c r="G30" s="16">
        <v>100</v>
      </c>
      <c r="H30" s="16"/>
      <c r="I30" s="14"/>
      <c r="J30" s="14"/>
    </row>
    <row r="32" spans="2:10">
      <c r="B32" s="14" t="s">
        <v>747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3"/>
  <sheetViews>
    <sheetView workbookViewId="0"/>
  </sheetViews>
  <sheetFormatPr defaultRowHeight="12"/>
  <cols>
    <col min="1" max="1" width="9.140625" style="1"/>
    <col min="2" max="2" width="54" style="1" bestFit="1" customWidth="1"/>
    <col min="3" max="3" width="12.7109375" style="1" bestFit="1" customWidth="1"/>
    <col min="4" max="4" width="14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10" ht="21" customHeight="1">
      <c r="B1" s="82" t="s">
        <v>18</v>
      </c>
      <c r="C1" s="83"/>
      <c r="D1" s="83"/>
      <c r="E1" s="83"/>
      <c r="F1" s="83"/>
      <c r="G1" s="83"/>
      <c r="H1" s="83"/>
    </row>
    <row r="3" spans="2:10" ht="16.5" thickBot="1">
      <c r="B3" s="2" t="s">
        <v>7</v>
      </c>
      <c r="C3" s="3"/>
      <c r="D3" s="4"/>
      <c r="E3" s="5"/>
      <c r="F3" s="6"/>
      <c r="G3" s="6"/>
    </row>
    <row r="4" spans="2:10" ht="24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10">
      <c r="B5" s="58" t="s">
        <v>428</v>
      </c>
      <c r="C5" s="18"/>
      <c r="D5" s="18"/>
      <c r="E5" s="19"/>
      <c r="F5" s="20"/>
      <c r="G5" s="20"/>
      <c r="H5" s="20"/>
    </row>
    <row r="6" spans="2:10">
      <c r="B6" s="23" t="s">
        <v>440</v>
      </c>
      <c r="C6" s="23" t="s">
        <v>441</v>
      </c>
      <c r="D6" s="23" t="s">
        <v>431</v>
      </c>
      <c r="E6" s="28">
        <v>4000000</v>
      </c>
      <c r="F6" s="25">
        <v>4055.79</v>
      </c>
      <c r="G6" s="25">
        <v>44.99</v>
      </c>
      <c r="H6" s="25">
        <v>3.54</v>
      </c>
    </row>
    <row r="7" spans="2:10">
      <c r="B7" s="23" t="s">
        <v>475</v>
      </c>
      <c r="C7" s="23" t="s">
        <v>476</v>
      </c>
      <c r="D7" s="23" t="s">
        <v>431</v>
      </c>
      <c r="E7" s="28">
        <v>1000000</v>
      </c>
      <c r="F7" s="25">
        <v>1057.3900000000001</v>
      </c>
      <c r="G7" s="25">
        <v>11.73</v>
      </c>
      <c r="H7" s="25">
        <v>5.85</v>
      </c>
    </row>
    <row r="8" spans="2:10">
      <c r="B8" s="23" t="s">
        <v>460</v>
      </c>
      <c r="C8" s="23" t="s">
        <v>461</v>
      </c>
      <c r="D8" s="23" t="s">
        <v>431</v>
      </c>
      <c r="E8" s="28">
        <v>600000</v>
      </c>
      <c r="F8" s="25">
        <v>627.35</v>
      </c>
      <c r="G8" s="25">
        <v>6.96</v>
      </c>
      <c r="H8" s="25">
        <v>6.31</v>
      </c>
    </row>
    <row r="9" spans="2:10">
      <c r="B9" s="23" t="s">
        <v>454</v>
      </c>
      <c r="C9" s="23" t="s">
        <v>455</v>
      </c>
      <c r="D9" s="23" t="s">
        <v>431</v>
      </c>
      <c r="E9" s="28">
        <v>500000</v>
      </c>
      <c r="F9" s="25">
        <v>522.29</v>
      </c>
      <c r="G9" s="25">
        <v>5.79</v>
      </c>
      <c r="H9" s="25">
        <v>5.94</v>
      </c>
    </row>
    <row r="10" spans="2:10">
      <c r="B10" s="23" t="s">
        <v>487</v>
      </c>
      <c r="C10" s="23" t="s">
        <v>488</v>
      </c>
      <c r="D10" s="23" t="s">
        <v>431</v>
      </c>
      <c r="E10" s="28">
        <v>500000</v>
      </c>
      <c r="F10" s="25">
        <v>469.78</v>
      </c>
      <c r="G10" s="25">
        <v>5.21</v>
      </c>
      <c r="H10" s="25">
        <v>7.16</v>
      </c>
    </row>
    <row r="11" spans="2:10">
      <c r="B11" s="23" t="s">
        <v>477</v>
      </c>
      <c r="C11" s="23" t="s">
        <v>478</v>
      </c>
      <c r="D11" s="23" t="s">
        <v>431</v>
      </c>
      <c r="E11" s="28">
        <v>400000</v>
      </c>
      <c r="F11" s="25">
        <v>425.42</v>
      </c>
      <c r="G11" s="25">
        <v>4.72</v>
      </c>
      <c r="H11" s="25">
        <v>6.78</v>
      </c>
    </row>
    <row r="12" spans="2:10">
      <c r="B12" s="23" t="s">
        <v>489</v>
      </c>
      <c r="C12" s="23" t="s">
        <v>490</v>
      </c>
      <c r="D12" s="23" t="s">
        <v>431</v>
      </c>
      <c r="E12" s="28">
        <v>420100</v>
      </c>
      <c r="F12" s="25">
        <v>397.83</v>
      </c>
      <c r="G12" s="25">
        <v>4.41</v>
      </c>
      <c r="H12" s="25">
        <v>6.82</v>
      </c>
    </row>
    <row r="13" spans="2:10">
      <c r="B13" s="23" t="s">
        <v>479</v>
      </c>
      <c r="C13" s="23" t="s">
        <v>480</v>
      </c>
      <c r="D13" s="23" t="s">
        <v>431</v>
      </c>
      <c r="E13" s="28">
        <v>73300</v>
      </c>
      <c r="F13" s="25">
        <v>76.77</v>
      </c>
      <c r="G13" s="25">
        <v>0.85</v>
      </c>
      <c r="H13" s="25">
        <v>6.26</v>
      </c>
    </row>
    <row r="14" spans="2:10">
      <c r="B14" s="52" t="s">
        <v>491</v>
      </c>
      <c r="C14" s="52" t="s">
        <v>492</v>
      </c>
      <c r="D14" s="52" t="s">
        <v>431</v>
      </c>
      <c r="E14" s="53">
        <v>10000</v>
      </c>
      <c r="F14" s="54">
        <v>11.16</v>
      </c>
      <c r="G14" s="54">
        <v>0.12</v>
      </c>
      <c r="H14" s="54">
        <v>7.11</v>
      </c>
    </row>
    <row r="15" spans="2:10">
      <c r="B15" s="55" t="s">
        <v>110</v>
      </c>
      <c r="C15" s="55"/>
      <c r="D15" s="55"/>
      <c r="E15" s="56"/>
      <c r="F15" s="57">
        <f>SUM(F6:F14)</f>
        <v>7643.7800000000007</v>
      </c>
      <c r="G15" s="57">
        <f>SUM(G6:G14)</f>
        <v>84.779999999999987</v>
      </c>
      <c r="H15" s="57"/>
      <c r="I15" s="14"/>
      <c r="J15" s="14"/>
    </row>
    <row r="16" spans="2:10">
      <c r="B16" s="47" t="s">
        <v>111</v>
      </c>
      <c r="C16" s="23"/>
      <c r="D16" s="23"/>
      <c r="E16" s="24"/>
      <c r="F16" s="25"/>
      <c r="G16" s="25"/>
      <c r="H16" s="25"/>
    </row>
    <row r="17" spans="2:10">
      <c r="B17" s="23" t="s">
        <v>111</v>
      </c>
      <c r="C17" s="23"/>
      <c r="D17" s="23"/>
      <c r="E17" s="24"/>
      <c r="F17" s="25">
        <v>1202.28</v>
      </c>
      <c r="G17" s="25">
        <v>13.33</v>
      </c>
      <c r="H17" s="25"/>
    </row>
    <row r="18" spans="2:10">
      <c r="B18" s="30" t="s">
        <v>109</v>
      </c>
      <c r="C18" s="30"/>
      <c r="D18" s="30"/>
      <c r="E18" s="31"/>
      <c r="F18" s="32">
        <f>SUM(F16:F17)</f>
        <v>1202.28</v>
      </c>
      <c r="G18" s="32">
        <f>SUM(G16:G17)</f>
        <v>13.33</v>
      </c>
      <c r="H18" s="48"/>
      <c r="I18" s="14"/>
      <c r="J18" s="14"/>
    </row>
    <row r="19" spans="2:10">
      <c r="B19" s="34" t="s">
        <v>110</v>
      </c>
      <c r="C19" s="34"/>
      <c r="D19" s="34"/>
      <c r="E19" s="35"/>
      <c r="F19" s="36">
        <f>F18</f>
        <v>1202.28</v>
      </c>
      <c r="G19" s="36">
        <f>G18</f>
        <v>13.33</v>
      </c>
      <c r="H19" s="36"/>
      <c r="I19" s="14"/>
      <c r="J19" s="14"/>
    </row>
    <row r="20" spans="2:10">
      <c r="B20" s="44" t="s">
        <v>113</v>
      </c>
      <c r="C20" s="44"/>
      <c r="D20" s="44"/>
      <c r="E20" s="45"/>
      <c r="F20" s="16">
        <f>F21-(+F15+F19)</f>
        <v>169.7599999999984</v>
      </c>
      <c r="G20" s="16">
        <f>G21-(+G15+G19)</f>
        <v>1.8900000000000148</v>
      </c>
      <c r="H20" s="16"/>
      <c r="I20" s="14"/>
      <c r="J20" s="14"/>
    </row>
    <row r="21" spans="2:10">
      <c r="B21" s="44" t="s">
        <v>112</v>
      </c>
      <c r="C21" s="44"/>
      <c r="D21" s="44"/>
      <c r="E21" s="45"/>
      <c r="F21" s="16">
        <v>9015.82</v>
      </c>
      <c r="G21" s="16">
        <v>100</v>
      </c>
      <c r="H21" s="16"/>
      <c r="I21" s="14"/>
      <c r="J21" s="14"/>
    </row>
    <row r="23" spans="2:10">
      <c r="B23" s="14"/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38"/>
  <sheetViews>
    <sheetView workbookViewId="0"/>
  </sheetViews>
  <sheetFormatPr defaultRowHeight="12"/>
  <cols>
    <col min="1" max="1" width="9.140625" style="1"/>
    <col min="2" max="2" width="57.140625" style="1" bestFit="1" customWidth="1"/>
    <col min="3" max="3" width="13.5703125" style="1" bestFit="1" customWidth="1"/>
    <col min="4" max="4" width="14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10" ht="21" customHeight="1">
      <c r="B1" s="82" t="s">
        <v>19</v>
      </c>
      <c r="C1" s="83"/>
      <c r="D1" s="83"/>
      <c r="E1" s="83"/>
      <c r="F1" s="83"/>
      <c r="G1" s="83"/>
      <c r="H1" s="83"/>
    </row>
    <row r="3" spans="2:10" ht="16.5" thickBot="1">
      <c r="B3" s="2" t="s">
        <v>7</v>
      </c>
      <c r="C3" s="3"/>
      <c r="D3" s="4"/>
      <c r="E3" s="5"/>
      <c r="F3" s="6"/>
      <c r="G3" s="6"/>
    </row>
    <row r="4" spans="2:10" ht="24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10">
      <c r="B5" s="58" t="s">
        <v>224</v>
      </c>
      <c r="C5" s="18"/>
      <c r="D5" s="18"/>
      <c r="E5" s="19"/>
      <c r="F5" s="20"/>
      <c r="G5" s="20"/>
      <c r="H5" s="20"/>
    </row>
    <row r="6" spans="2:10">
      <c r="B6" s="47" t="s">
        <v>31</v>
      </c>
      <c r="C6" s="23"/>
      <c r="D6" s="23"/>
      <c r="E6" s="24"/>
      <c r="F6" s="25"/>
      <c r="G6" s="25"/>
      <c r="H6" s="25"/>
    </row>
    <row r="7" spans="2:10">
      <c r="B7" s="23" t="s">
        <v>493</v>
      </c>
      <c r="C7" s="23" t="s">
        <v>494</v>
      </c>
      <c r="D7" s="23" t="s">
        <v>227</v>
      </c>
      <c r="E7" s="28">
        <v>50</v>
      </c>
      <c r="F7" s="25">
        <v>546.66999999999996</v>
      </c>
      <c r="G7" s="25">
        <v>3.73</v>
      </c>
      <c r="H7" s="25">
        <v>5.87</v>
      </c>
    </row>
    <row r="8" spans="2:10">
      <c r="B8" s="23" t="s">
        <v>495</v>
      </c>
      <c r="C8" s="23" t="s">
        <v>496</v>
      </c>
      <c r="D8" s="23" t="s">
        <v>227</v>
      </c>
      <c r="E8" s="28">
        <v>50</v>
      </c>
      <c r="F8" s="25">
        <v>541.1</v>
      </c>
      <c r="G8" s="25">
        <v>3.69</v>
      </c>
      <c r="H8" s="25">
        <v>5.29</v>
      </c>
    </row>
    <row r="9" spans="2:10">
      <c r="B9" s="23" t="s">
        <v>391</v>
      </c>
      <c r="C9" s="23" t="s">
        <v>392</v>
      </c>
      <c r="D9" s="23" t="s">
        <v>227</v>
      </c>
      <c r="E9" s="28">
        <v>50</v>
      </c>
      <c r="F9" s="25">
        <v>533.22</v>
      </c>
      <c r="G9" s="25">
        <v>3.64</v>
      </c>
      <c r="H9" s="25">
        <v>5.48</v>
      </c>
    </row>
    <row r="10" spans="2:10">
      <c r="B10" s="23" t="s">
        <v>497</v>
      </c>
      <c r="C10" s="23" t="s">
        <v>498</v>
      </c>
      <c r="D10" s="23" t="s">
        <v>227</v>
      </c>
      <c r="E10" s="28">
        <v>50</v>
      </c>
      <c r="F10" s="25">
        <v>529.64</v>
      </c>
      <c r="G10" s="25">
        <v>3.61</v>
      </c>
      <c r="H10" s="25">
        <v>4.47</v>
      </c>
    </row>
    <row r="11" spans="2:10">
      <c r="B11" s="23" t="s">
        <v>499</v>
      </c>
      <c r="C11" s="23" t="s">
        <v>500</v>
      </c>
      <c r="D11" s="23" t="s">
        <v>227</v>
      </c>
      <c r="E11" s="28">
        <v>50</v>
      </c>
      <c r="F11" s="25">
        <v>525.16999999999996</v>
      </c>
      <c r="G11" s="25">
        <v>3.58</v>
      </c>
      <c r="H11" s="25">
        <v>5.83</v>
      </c>
    </row>
    <row r="12" spans="2:10">
      <c r="B12" s="23" t="s">
        <v>381</v>
      </c>
      <c r="C12" s="23" t="s">
        <v>382</v>
      </c>
      <c r="D12" s="23" t="s">
        <v>227</v>
      </c>
      <c r="E12" s="28">
        <v>50</v>
      </c>
      <c r="F12" s="25">
        <v>516.99</v>
      </c>
      <c r="G12" s="25">
        <v>3.52</v>
      </c>
      <c r="H12" s="25">
        <v>4.34</v>
      </c>
    </row>
    <row r="13" spans="2:10">
      <c r="B13" s="30" t="s">
        <v>109</v>
      </c>
      <c r="C13" s="30"/>
      <c r="D13" s="30"/>
      <c r="E13" s="31"/>
      <c r="F13" s="32">
        <f>SUM(F6:F12)</f>
        <v>3192.79</v>
      </c>
      <c r="G13" s="32">
        <f>SUM(G6:G12)</f>
        <v>21.77</v>
      </c>
      <c r="H13" s="48"/>
      <c r="I13" s="14"/>
      <c r="J13" s="14"/>
    </row>
    <row r="14" spans="2:10">
      <c r="B14" s="49" t="s">
        <v>110</v>
      </c>
      <c r="C14" s="49"/>
      <c r="D14" s="49"/>
      <c r="E14" s="50"/>
      <c r="F14" s="51">
        <f>F13</f>
        <v>3192.79</v>
      </c>
      <c r="G14" s="51">
        <f>G13</f>
        <v>21.77</v>
      </c>
      <c r="H14" s="51"/>
      <c r="I14" s="14"/>
      <c r="J14" s="14"/>
    </row>
    <row r="15" spans="2:10">
      <c r="B15" s="47" t="s">
        <v>428</v>
      </c>
      <c r="C15" s="23"/>
      <c r="D15" s="23"/>
      <c r="E15" s="24"/>
      <c r="F15" s="25"/>
      <c r="G15" s="25"/>
      <c r="H15" s="25"/>
    </row>
    <row r="16" spans="2:10">
      <c r="B16" s="23" t="s">
        <v>432</v>
      </c>
      <c r="C16" s="23" t="s">
        <v>433</v>
      </c>
      <c r="D16" s="23" t="s">
        <v>431</v>
      </c>
      <c r="E16" s="28">
        <v>1500000</v>
      </c>
      <c r="F16" s="25">
        <v>1500.75</v>
      </c>
      <c r="G16" s="25">
        <v>10.23</v>
      </c>
      <c r="H16" s="25">
        <v>4.2300000000000004</v>
      </c>
    </row>
    <row r="17" spans="2:10">
      <c r="B17" s="23" t="s">
        <v>444</v>
      </c>
      <c r="C17" s="23" t="s">
        <v>445</v>
      </c>
      <c r="D17" s="23" t="s">
        <v>431</v>
      </c>
      <c r="E17" s="28">
        <v>1500100</v>
      </c>
      <c r="F17" s="25">
        <v>1488.74</v>
      </c>
      <c r="G17" s="25">
        <v>10.15</v>
      </c>
      <c r="H17" s="25">
        <v>6.2</v>
      </c>
    </row>
    <row r="18" spans="2:10">
      <c r="B18" s="23" t="s">
        <v>434</v>
      </c>
      <c r="C18" s="23" t="s">
        <v>435</v>
      </c>
      <c r="D18" s="23" t="s">
        <v>431</v>
      </c>
      <c r="E18" s="28">
        <v>1500000</v>
      </c>
      <c r="F18" s="25">
        <v>1488.57</v>
      </c>
      <c r="G18" s="25">
        <v>10.15</v>
      </c>
      <c r="H18" s="25">
        <v>5.44</v>
      </c>
    </row>
    <row r="19" spans="2:10">
      <c r="B19" s="23" t="s">
        <v>501</v>
      </c>
      <c r="C19" s="23" t="s">
        <v>502</v>
      </c>
      <c r="D19" s="23" t="s">
        <v>431</v>
      </c>
      <c r="E19" s="28">
        <v>1000000</v>
      </c>
      <c r="F19" s="25">
        <v>995.46</v>
      </c>
      <c r="G19" s="25">
        <v>6.79</v>
      </c>
      <c r="H19" s="25">
        <v>5.74</v>
      </c>
    </row>
    <row r="20" spans="2:10">
      <c r="B20" s="23" t="s">
        <v>487</v>
      </c>
      <c r="C20" s="23" t="s">
        <v>488</v>
      </c>
      <c r="D20" s="23" t="s">
        <v>431</v>
      </c>
      <c r="E20" s="28">
        <v>867200</v>
      </c>
      <c r="F20" s="25">
        <v>814.78</v>
      </c>
      <c r="G20" s="25">
        <v>5.55</v>
      </c>
      <c r="H20" s="25">
        <v>7.16</v>
      </c>
    </row>
    <row r="21" spans="2:10">
      <c r="B21" s="23" t="s">
        <v>503</v>
      </c>
      <c r="C21" s="23" t="s">
        <v>504</v>
      </c>
      <c r="D21" s="23" t="s">
        <v>431</v>
      </c>
      <c r="E21" s="28">
        <v>500000</v>
      </c>
      <c r="F21" s="25">
        <v>523.38</v>
      </c>
      <c r="G21" s="25">
        <v>3.57</v>
      </c>
      <c r="H21" s="25">
        <v>6.33</v>
      </c>
    </row>
    <row r="22" spans="2:10">
      <c r="B22" s="23" t="s">
        <v>505</v>
      </c>
      <c r="C22" s="23" t="s">
        <v>506</v>
      </c>
      <c r="D22" s="23" t="s">
        <v>431</v>
      </c>
      <c r="E22" s="28">
        <v>500000</v>
      </c>
      <c r="F22" s="25">
        <v>523</v>
      </c>
      <c r="G22" s="25">
        <v>3.57</v>
      </c>
      <c r="H22" s="25">
        <v>6.35</v>
      </c>
    </row>
    <row r="23" spans="2:10">
      <c r="B23" s="23" t="s">
        <v>454</v>
      </c>
      <c r="C23" s="23" t="s">
        <v>455</v>
      </c>
      <c r="D23" s="23" t="s">
        <v>431</v>
      </c>
      <c r="E23" s="28">
        <v>500000</v>
      </c>
      <c r="F23" s="25">
        <v>522.29</v>
      </c>
      <c r="G23" s="25">
        <v>3.56</v>
      </c>
      <c r="H23" s="25">
        <v>5.94</v>
      </c>
    </row>
    <row r="24" spans="2:10">
      <c r="B24" s="23" t="s">
        <v>507</v>
      </c>
      <c r="C24" s="23" t="s">
        <v>508</v>
      </c>
      <c r="D24" s="23" t="s">
        <v>431</v>
      </c>
      <c r="E24" s="28">
        <v>500000</v>
      </c>
      <c r="F24" s="25">
        <v>515.22</v>
      </c>
      <c r="G24" s="25">
        <v>3.51</v>
      </c>
      <c r="H24" s="25">
        <v>6.49</v>
      </c>
    </row>
    <row r="25" spans="2:10">
      <c r="B25" s="23" t="s">
        <v>481</v>
      </c>
      <c r="C25" s="23" t="s">
        <v>482</v>
      </c>
      <c r="D25" s="23" t="s">
        <v>431</v>
      </c>
      <c r="E25" s="28">
        <v>500000</v>
      </c>
      <c r="F25" s="25">
        <v>505.13</v>
      </c>
      <c r="G25" s="25">
        <v>3.44</v>
      </c>
      <c r="H25" s="25">
        <v>6.54</v>
      </c>
    </row>
    <row r="26" spans="2:10">
      <c r="B26" s="23" t="s">
        <v>483</v>
      </c>
      <c r="C26" s="23" t="s">
        <v>484</v>
      </c>
      <c r="D26" s="23" t="s">
        <v>431</v>
      </c>
      <c r="E26" s="28">
        <v>500000</v>
      </c>
      <c r="F26" s="25">
        <v>500.31</v>
      </c>
      <c r="G26" s="25">
        <v>3.41</v>
      </c>
      <c r="H26" s="25">
        <v>6.96</v>
      </c>
    </row>
    <row r="27" spans="2:10">
      <c r="B27" s="23" t="s">
        <v>509</v>
      </c>
      <c r="C27" s="23" t="s">
        <v>510</v>
      </c>
      <c r="D27" s="23" t="s">
        <v>431</v>
      </c>
      <c r="E27" s="28">
        <v>500000</v>
      </c>
      <c r="F27" s="25">
        <v>491.61</v>
      </c>
      <c r="G27" s="25">
        <v>3.35</v>
      </c>
      <c r="H27" s="25">
        <v>6.83</v>
      </c>
    </row>
    <row r="28" spans="2:10">
      <c r="B28" s="23" t="s">
        <v>460</v>
      </c>
      <c r="C28" s="23" t="s">
        <v>461</v>
      </c>
      <c r="D28" s="23" t="s">
        <v>431</v>
      </c>
      <c r="E28" s="28">
        <v>300000</v>
      </c>
      <c r="F28" s="25">
        <v>313.68</v>
      </c>
      <c r="G28" s="25">
        <v>2.14</v>
      </c>
      <c r="H28" s="25">
        <v>6.31</v>
      </c>
    </row>
    <row r="29" spans="2:10">
      <c r="B29" s="52" t="s">
        <v>511</v>
      </c>
      <c r="C29" s="52" t="s">
        <v>512</v>
      </c>
      <c r="D29" s="52" t="s">
        <v>431</v>
      </c>
      <c r="E29" s="53">
        <v>28000</v>
      </c>
      <c r="F29" s="54">
        <v>30.55</v>
      </c>
      <c r="G29" s="54">
        <v>0.21</v>
      </c>
      <c r="H29" s="54">
        <v>6.14</v>
      </c>
    </row>
    <row r="30" spans="2:10">
      <c r="B30" s="55" t="s">
        <v>110</v>
      </c>
      <c r="C30" s="55"/>
      <c r="D30" s="55"/>
      <c r="E30" s="56"/>
      <c r="F30" s="57">
        <f>SUM(F16:F29)</f>
        <v>10213.469999999998</v>
      </c>
      <c r="G30" s="57">
        <f>SUM(G16:G29)</f>
        <v>69.629999999999981</v>
      </c>
      <c r="H30" s="57"/>
      <c r="I30" s="14"/>
      <c r="J30" s="14"/>
    </row>
    <row r="31" spans="2:10">
      <c r="B31" s="47" t="s">
        <v>111</v>
      </c>
      <c r="C31" s="23"/>
      <c r="D31" s="23"/>
      <c r="E31" s="24"/>
      <c r="F31" s="25"/>
      <c r="G31" s="25"/>
      <c r="H31" s="25"/>
    </row>
    <row r="32" spans="2:10">
      <c r="B32" s="23" t="s">
        <v>111</v>
      </c>
      <c r="C32" s="23"/>
      <c r="D32" s="23"/>
      <c r="E32" s="24"/>
      <c r="F32" s="25">
        <v>1052.67</v>
      </c>
      <c r="G32" s="25">
        <v>7.18</v>
      </c>
      <c r="H32" s="25"/>
    </row>
    <row r="33" spans="2:10">
      <c r="B33" s="30" t="s">
        <v>109</v>
      </c>
      <c r="C33" s="30"/>
      <c r="D33" s="30"/>
      <c r="E33" s="31"/>
      <c r="F33" s="32">
        <f>SUM(F31:F32)</f>
        <v>1052.67</v>
      </c>
      <c r="G33" s="32">
        <f>SUM(G31:G32)</f>
        <v>7.18</v>
      </c>
      <c r="H33" s="48"/>
      <c r="I33" s="14"/>
      <c r="J33" s="14"/>
    </row>
    <row r="34" spans="2:10">
      <c r="B34" s="34" t="s">
        <v>110</v>
      </c>
      <c r="C34" s="34"/>
      <c r="D34" s="34"/>
      <c r="E34" s="35"/>
      <c r="F34" s="36">
        <f>F33</f>
        <v>1052.67</v>
      </c>
      <c r="G34" s="36">
        <f>G33</f>
        <v>7.18</v>
      </c>
      <c r="H34" s="36"/>
      <c r="I34" s="14"/>
      <c r="J34" s="14"/>
    </row>
    <row r="35" spans="2:10">
      <c r="B35" s="44" t="s">
        <v>113</v>
      </c>
      <c r="C35" s="44"/>
      <c r="D35" s="44"/>
      <c r="E35" s="45"/>
      <c r="F35" s="16">
        <f>F36-(+F14+F30+F34)</f>
        <v>208.66000000000167</v>
      </c>
      <c r="G35" s="16">
        <f>G36-(+G14+G30+G34)</f>
        <v>1.4200000000000159</v>
      </c>
      <c r="H35" s="16"/>
      <c r="I35" s="14"/>
      <c r="J35" s="14"/>
    </row>
    <row r="36" spans="2:10">
      <c r="B36" s="44" t="s">
        <v>112</v>
      </c>
      <c r="C36" s="44"/>
      <c r="D36" s="44"/>
      <c r="E36" s="45"/>
      <c r="F36" s="16">
        <v>14667.59</v>
      </c>
      <c r="G36" s="16">
        <v>100</v>
      </c>
      <c r="H36" s="16"/>
      <c r="I36" s="14"/>
      <c r="J36" s="14"/>
    </row>
    <row r="38" spans="2:10">
      <c r="B38" s="14" t="s">
        <v>747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68"/>
  <sheetViews>
    <sheetView workbookViewId="0"/>
  </sheetViews>
  <sheetFormatPr defaultRowHeight="12"/>
  <cols>
    <col min="1" max="1" width="9.140625" style="1"/>
    <col min="2" max="2" width="58.28515625" style="1" bestFit="1" customWidth="1"/>
    <col min="3" max="3" width="13.85546875" style="1" bestFit="1" customWidth="1"/>
    <col min="4" max="4" width="14.140625" style="1" bestFit="1" customWidth="1"/>
    <col min="5" max="5" width="9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>
      <c r="B1" s="82" t="s">
        <v>20</v>
      </c>
      <c r="C1" s="83"/>
      <c r="D1" s="83"/>
      <c r="E1" s="83"/>
      <c r="F1" s="83"/>
      <c r="G1" s="83"/>
      <c r="H1" s="83"/>
    </row>
    <row r="3" spans="2:8" ht="16.5" thickBot="1">
      <c r="B3" s="2" t="s">
        <v>7</v>
      </c>
      <c r="C3" s="3"/>
      <c r="D3" s="4"/>
      <c r="E3" s="5"/>
      <c r="F3" s="6"/>
      <c r="G3" s="6"/>
    </row>
    <row r="4" spans="2:8" ht="24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>
      <c r="B5" s="58" t="s">
        <v>224</v>
      </c>
      <c r="C5" s="18"/>
      <c r="D5" s="18"/>
      <c r="E5" s="19"/>
      <c r="F5" s="20"/>
      <c r="G5" s="20"/>
      <c r="H5" s="20"/>
    </row>
    <row r="6" spans="2:8">
      <c r="B6" s="47" t="s">
        <v>31</v>
      </c>
      <c r="C6" s="23"/>
      <c r="D6" s="23"/>
      <c r="E6" s="24"/>
      <c r="F6" s="25"/>
      <c r="G6" s="25"/>
      <c r="H6" s="25"/>
    </row>
    <row r="7" spans="2:8">
      <c r="B7" s="23" t="s">
        <v>377</v>
      </c>
      <c r="C7" s="23" t="s">
        <v>378</v>
      </c>
      <c r="D7" s="23" t="s">
        <v>227</v>
      </c>
      <c r="E7" s="28">
        <v>500</v>
      </c>
      <c r="F7" s="25">
        <v>5148.62</v>
      </c>
      <c r="G7" s="25">
        <v>3.52</v>
      </c>
      <c r="H7" s="25">
        <v>4.13</v>
      </c>
    </row>
    <row r="8" spans="2:8">
      <c r="B8" s="23" t="s">
        <v>399</v>
      </c>
      <c r="C8" s="23" t="s">
        <v>400</v>
      </c>
      <c r="D8" s="23" t="s">
        <v>227</v>
      </c>
      <c r="E8" s="28">
        <v>300</v>
      </c>
      <c r="F8" s="25">
        <v>3116.39</v>
      </c>
      <c r="G8" s="25">
        <v>2.13</v>
      </c>
      <c r="H8" s="25">
        <v>4.3600000000000003</v>
      </c>
    </row>
    <row r="9" spans="2:8">
      <c r="B9" s="23" t="s">
        <v>513</v>
      </c>
      <c r="C9" s="23" t="s">
        <v>514</v>
      </c>
      <c r="D9" s="23" t="s">
        <v>227</v>
      </c>
      <c r="E9" s="28">
        <v>300</v>
      </c>
      <c r="F9" s="25">
        <v>3103.82</v>
      </c>
      <c r="G9" s="25">
        <v>2.12</v>
      </c>
      <c r="H9" s="25">
        <v>4.32</v>
      </c>
    </row>
    <row r="10" spans="2:8">
      <c r="B10" s="23" t="s">
        <v>401</v>
      </c>
      <c r="C10" s="23" t="s">
        <v>402</v>
      </c>
      <c r="D10" s="23" t="s">
        <v>227</v>
      </c>
      <c r="E10" s="28">
        <v>250</v>
      </c>
      <c r="F10" s="25">
        <v>2564.98</v>
      </c>
      <c r="G10" s="25">
        <v>1.75</v>
      </c>
      <c r="H10" s="25">
        <v>3.86</v>
      </c>
    </row>
    <row r="11" spans="2:8">
      <c r="B11" s="23" t="s">
        <v>515</v>
      </c>
      <c r="C11" s="23" t="s">
        <v>516</v>
      </c>
      <c r="D11" s="23" t="s">
        <v>227</v>
      </c>
      <c r="E11" s="28">
        <v>250</v>
      </c>
      <c r="F11" s="25">
        <v>2553.42</v>
      </c>
      <c r="G11" s="25">
        <v>1.75</v>
      </c>
      <c r="H11" s="25">
        <v>3.93</v>
      </c>
    </row>
    <row r="12" spans="2:8">
      <c r="B12" s="23" t="s">
        <v>517</v>
      </c>
      <c r="C12" s="23" t="s">
        <v>518</v>
      </c>
      <c r="D12" s="23" t="s">
        <v>227</v>
      </c>
      <c r="E12" s="28">
        <v>250</v>
      </c>
      <c r="F12" s="25">
        <v>2541.38</v>
      </c>
      <c r="G12" s="25">
        <v>1.74</v>
      </c>
      <c r="H12" s="25">
        <v>3.85</v>
      </c>
    </row>
    <row r="13" spans="2:8">
      <c r="B13" s="23" t="s">
        <v>519</v>
      </c>
      <c r="C13" s="23" t="s">
        <v>520</v>
      </c>
      <c r="D13" s="23" t="s">
        <v>227</v>
      </c>
      <c r="E13" s="28">
        <v>250</v>
      </c>
      <c r="F13" s="25">
        <v>2526.2800000000002</v>
      </c>
      <c r="G13" s="25">
        <v>1.73</v>
      </c>
      <c r="H13" s="25">
        <v>3.68</v>
      </c>
    </row>
    <row r="14" spans="2:8">
      <c r="B14" s="23" t="s">
        <v>387</v>
      </c>
      <c r="C14" s="23" t="s">
        <v>388</v>
      </c>
      <c r="D14" s="23" t="s">
        <v>227</v>
      </c>
      <c r="E14" s="28">
        <v>250</v>
      </c>
      <c r="F14" s="25">
        <v>2521.15</v>
      </c>
      <c r="G14" s="25">
        <v>1.72</v>
      </c>
      <c r="H14" s="25">
        <v>3.7</v>
      </c>
    </row>
    <row r="15" spans="2:8">
      <c r="B15" s="23" t="s">
        <v>521</v>
      </c>
      <c r="C15" s="23" t="s">
        <v>522</v>
      </c>
      <c r="D15" s="23" t="s">
        <v>370</v>
      </c>
      <c r="E15" s="28">
        <v>250</v>
      </c>
      <c r="F15" s="25">
        <v>2521.08</v>
      </c>
      <c r="G15" s="25">
        <v>1.72</v>
      </c>
      <c r="H15" s="25">
        <v>3.66</v>
      </c>
    </row>
    <row r="16" spans="2:8">
      <c r="B16" s="23" t="s">
        <v>523</v>
      </c>
      <c r="C16" s="23" t="s">
        <v>524</v>
      </c>
      <c r="D16" s="23" t="s">
        <v>227</v>
      </c>
      <c r="E16" s="28">
        <v>250</v>
      </c>
      <c r="F16" s="25">
        <v>2515.62</v>
      </c>
      <c r="G16" s="25">
        <v>1.72</v>
      </c>
      <c r="H16" s="25">
        <v>4.3499999999999996</v>
      </c>
    </row>
    <row r="17" spans="2:10">
      <c r="B17" s="23" t="s">
        <v>381</v>
      </c>
      <c r="C17" s="23" t="s">
        <v>382</v>
      </c>
      <c r="D17" s="23" t="s">
        <v>227</v>
      </c>
      <c r="E17" s="28">
        <v>200</v>
      </c>
      <c r="F17" s="25">
        <v>2067.96</v>
      </c>
      <c r="G17" s="25">
        <v>1.41</v>
      </c>
      <c r="H17" s="25">
        <v>4.34</v>
      </c>
    </row>
    <row r="18" spans="2:10">
      <c r="B18" s="23" t="s">
        <v>525</v>
      </c>
      <c r="C18" s="23" t="s">
        <v>526</v>
      </c>
      <c r="D18" s="23" t="s">
        <v>227</v>
      </c>
      <c r="E18" s="28">
        <v>200</v>
      </c>
      <c r="F18" s="25">
        <v>2019.76</v>
      </c>
      <c r="G18" s="25">
        <v>1.38</v>
      </c>
      <c r="H18" s="25">
        <v>3.7</v>
      </c>
    </row>
    <row r="19" spans="2:10">
      <c r="B19" s="23" t="s">
        <v>371</v>
      </c>
      <c r="C19" s="23" t="s">
        <v>372</v>
      </c>
      <c r="D19" s="23" t="s">
        <v>227</v>
      </c>
      <c r="E19" s="28">
        <v>150</v>
      </c>
      <c r="F19" s="25">
        <v>1549.88</v>
      </c>
      <c r="G19" s="25">
        <v>1.06</v>
      </c>
      <c r="H19" s="25">
        <v>4.2699999999999996</v>
      </c>
    </row>
    <row r="20" spans="2:10">
      <c r="B20" s="23" t="s">
        <v>527</v>
      </c>
      <c r="C20" s="23" t="s">
        <v>528</v>
      </c>
      <c r="D20" s="23" t="s">
        <v>417</v>
      </c>
      <c r="E20" s="28">
        <v>150</v>
      </c>
      <c r="F20" s="25">
        <v>1495.49</v>
      </c>
      <c r="G20" s="25">
        <v>1.02</v>
      </c>
      <c r="H20" s="25">
        <v>4.71</v>
      </c>
    </row>
    <row r="21" spans="2:10">
      <c r="B21" s="23" t="s">
        <v>529</v>
      </c>
      <c r="C21" s="23" t="s">
        <v>530</v>
      </c>
      <c r="D21" s="23" t="s">
        <v>227</v>
      </c>
      <c r="E21" s="28">
        <v>400</v>
      </c>
      <c r="F21" s="25">
        <v>1277.6500000000001</v>
      </c>
      <c r="G21" s="25">
        <v>0.87</v>
      </c>
      <c r="H21" s="25">
        <v>5.25</v>
      </c>
    </row>
    <row r="22" spans="2:10">
      <c r="B22" s="23" t="s">
        <v>531</v>
      </c>
      <c r="C22" s="23" t="s">
        <v>532</v>
      </c>
      <c r="D22" s="23" t="s">
        <v>227</v>
      </c>
      <c r="E22" s="28">
        <v>100</v>
      </c>
      <c r="F22" s="25">
        <v>1034.9100000000001</v>
      </c>
      <c r="G22" s="25">
        <v>0.71</v>
      </c>
      <c r="H22" s="25">
        <v>4.68</v>
      </c>
    </row>
    <row r="23" spans="2:10">
      <c r="B23" s="23" t="s">
        <v>533</v>
      </c>
      <c r="C23" s="23" t="s">
        <v>534</v>
      </c>
      <c r="D23" s="23" t="s">
        <v>227</v>
      </c>
      <c r="E23" s="28">
        <v>100</v>
      </c>
      <c r="F23" s="25">
        <v>1031.54</v>
      </c>
      <c r="G23" s="25">
        <v>0.71</v>
      </c>
      <c r="H23" s="25">
        <v>3.93</v>
      </c>
    </row>
    <row r="24" spans="2:10">
      <c r="B24" s="23" t="s">
        <v>535</v>
      </c>
      <c r="C24" s="23" t="s">
        <v>536</v>
      </c>
      <c r="D24" s="23" t="s">
        <v>227</v>
      </c>
      <c r="E24" s="28">
        <v>50</v>
      </c>
      <c r="F24" s="25">
        <v>519.19000000000005</v>
      </c>
      <c r="G24" s="25">
        <v>0.35</v>
      </c>
      <c r="H24" s="25">
        <v>4.3600000000000003</v>
      </c>
    </row>
    <row r="25" spans="2:10">
      <c r="B25" s="23" t="s">
        <v>537</v>
      </c>
      <c r="C25" s="23" t="s">
        <v>538</v>
      </c>
      <c r="D25" s="23" t="s">
        <v>227</v>
      </c>
      <c r="E25" s="28">
        <v>50</v>
      </c>
      <c r="F25" s="25">
        <v>515.36</v>
      </c>
      <c r="G25" s="25">
        <v>0.35</v>
      </c>
      <c r="H25" s="25">
        <v>4.1399999999999997</v>
      </c>
    </row>
    <row r="26" spans="2:10">
      <c r="B26" s="23" t="s">
        <v>539</v>
      </c>
      <c r="C26" s="23" t="s">
        <v>540</v>
      </c>
      <c r="D26" s="23" t="s">
        <v>227</v>
      </c>
      <c r="E26" s="28">
        <v>50</v>
      </c>
      <c r="F26" s="25">
        <v>514.63</v>
      </c>
      <c r="G26" s="25">
        <v>0.35</v>
      </c>
      <c r="H26" s="25">
        <v>3.94</v>
      </c>
    </row>
    <row r="27" spans="2:10">
      <c r="B27" s="23" t="s">
        <v>541</v>
      </c>
      <c r="C27" s="23" t="s">
        <v>542</v>
      </c>
      <c r="D27" s="23" t="s">
        <v>370</v>
      </c>
      <c r="E27" s="28">
        <v>50</v>
      </c>
      <c r="F27" s="25">
        <v>514.20000000000005</v>
      </c>
      <c r="G27" s="25">
        <v>0.35</v>
      </c>
      <c r="H27" s="25">
        <v>4.09</v>
      </c>
    </row>
    <row r="28" spans="2:10">
      <c r="B28" s="23" t="s">
        <v>543</v>
      </c>
      <c r="C28" s="23" t="s">
        <v>544</v>
      </c>
      <c r="D28" s="23" t="s">
        <v>227</v>
      </c>
      <c r="E28" s="28">
        <v>50</v>
      </c>
      <c r="F28" s="25">
        <v>501.05</v>
      </c>
      <c r="G28" s="25">
        <v>0.34</v>
      </c>
      <c r="H28" s="25">
        <v>3.64</v>
      </c>
    </row>
    <row r="29" spans="2:10">
      <c r="B29" s="23" t="s">
        <v>545</v>
      </c>
      <c r="C29" s="23" t="s">
        <v>546</v>
      </c>
      <c r="D29" s="23" t="s">
        <v>227</v>
      </c>
      <c r="E29" s="28">
        <v>20</v>
      </c>
      <c r="F29" s="25">
        <v>203.19</v>
      </c>
      <c r="G29" s="25">
        <v>0.14000000000000001</v>
      </c>
      <c r="H29" s="25">
        <v>3.7</v>
      </c>
    </row>
    <row r="30" spans="2:10">
      <c r="B30" s="30" t="s">
        <v>109</v>
      </c>
      <c r="C30" s="30"/>
      <c r="D30" s="30"/>
      <c r="E30" s="31"/>
      <c r="F30" s="32">
        <f>SUM(F6:F29)</f>
        <v>42357.55</v>
      </c>
      <c r="G30" s="32">
        <f>SUM(G6:G29)</f>
        <v>28.940000000000005</v>
      </c>
      <c r="H30" s="48"/>
      <c r="I30" s="14"/>
      <c r="J30" s="14"/>
    </row>
    <row r="31" spans="2:10">
      <c r="B31" s="49" t="s">
        <v>110</v>
      </c>
      <c r="C31" s="49"/>
      <c r="D31" s="49"/>
      <c r="E31" s="50"/>
      <c r="F31" s="51">
        <f>F30</f>
        <v>42357.55</v>
      </c>
      <c r="G31" s="51">
        <f>G30</f>
        <v>28.940000000000005</v>
      </c>
      <c r="H31" s="51"/>
      <c r="I31" s="14"/>
      <c r="J31" s="14"/>
    </row>
    <row r="32" spans="2:10">
      <c r="B32" s="47" t="s">
        <v>470</v>
      </c>
      <c r="C32" s="23"/>
      <c r="D32" s="23"/>
      <c r="E32" s="24"/>
      <c r="F32" s="25"/>
      <c r="G32" s="25"/>
      <c r="H32" s="25"/>
    </row>
    <row r="33" spans="2:10">
      <c r="B33" s="47" t="s">
        <v>547</v>
      </c>
      <c r="C33" s="23"/>
      <c r="D33" s="23"/>
      <c r="E33" s="24"/>
      <c r="F33" s="25"/>
      <c r="G33" s="25"/>
      <c r="H33" s="25"/>
    </row>
    <row r="34" spans="2:10">
      <c r="B34" s="23" t="s">
        <v>548</v>
      </c>
      <c r="C34" s="23" t="s">
        <v>549</v>
      </c>
      <c r="D34" s="23" t="s">
        <v>550</v>
      </c>
      <c r="E34" s="28">
        <v>7500</v>
      </c>
      <c r="F34" s="25">
        <v>7442.98</v>
      </c>
      <c r="G34" s="25">
        <v>5.09</v>
      </c>
      <c r="H34" s="25">
        <v>3.41</v>
      </c>
    </row>
    <row r="35" spans="2:10">
      <c r="B35" s="23" t="s">
        <v>551</v>
      </c>
      <c r="C35" s="23" t="s">
        <v>552</v>
      </c>
      <c r="D35" s="23" t="s">
        <v>553</v>
      </c>
      <c r="E35" s="28">
        <v>5000</v>
      </c>
      <c r="F35" s="25">
        <v>4887.47</v>
      </c>
      <c r="G35" s="25">
        <v>3.34</v>
      </c>
      <c r="H35" s="25">
        <v>3.67</v>
      </c>
    </row>
    <row r="36" spans="2:10">
      <c r="B36" s="23" t="s">
        <v>554</v>
      </c>
      <c r="C36" s="23" t="s">
        <v>555</v>
      </c>
      <c r="D36" s="23" t="s">
        <v>550</v>
      </c>
      <c r="E36" s="28">
        <v>500</v>
      </c>
      <c r="F36" s="25">
        <v>2429.9</v>
      </c>
      <c r="G36" s="25">
        <v>1.66</v>
      </c>
      <c r="H36" s="25">
        <v>3.9</v>
      </c>
    </row>
    <row r="37" spans="2:10">
      <c r="B37" s="23" t="s">
        <v>556</v>
      </c>
      <c r="C37" s="23" t="s">
        <v>557</v>
      </c>
      <c r="D37" s="23" t="s">
        <v>553</v>
      </c>
      <c r="E37" s="28">
        <v>2500</v>
      </c>
      <c r="F37" s="25">
        <v>2421.4899999999998</v>
      </c>
      <c r="G37" s="25">
        <v>1.66</v>
      </c>
      <c r="H37" s="25">
        <v>3.88</v>
      </c>
    </row>
    <row r="38" spans="2:10">
      <c r="B38" s="47" t="s">
        <v>109</v>
      </c>
      <c r="C38" s="47"/>
      <c r="D38" s="47"/>
      <c r="E38" s="59"/>
      <c r="F38" s="57">
        <f>SUM(F33:F37)</f>
        <v>17181.84</v>
      </c>
      <c r="G38" s="57">
        <f>SUM(G33:G37)</f>
        <v>11.75</v>
      </c>
      <c r="H38" s="60"/>
      <c r="I38" s="14"/>
      <c r="J38" s="14"/>
    </row>
    <row r="39" spans="2:10">
      <c r="B39" s="47" t="s">
        <v>558</v>
      </c>
      <c r="C39" s="23"/>
      <c r="D39" s="23"/>
      <c r="E39" s="24"/>
      <c r="F39" s="25"/>
      <c r="G39" s="25"/>
      <c r="H39" s="25"/>
    </row>
    <row r="40" spans="2:10">
      <c r="B40" s="23" t="s">
        <v>757</v>
      </c>
      <c r="C40" s="23" t="s">
        <v>559</v>
      </c>
      <c r="D40" s="23" t="s">
        <v>550</v>
      </c>
      <c r="E40" s="28">
        <v>1000</v>
      </c>
      <c r="F40" s="25">
        <v>4933.67</v>
      </c>
      <c r="G40" s="25">
        <v>3.37</v>
      </c>
      <c r="H40" s="25">
        <v>3.63</v>
      </c>
    </row>
    <row r="41" spans="2:10">
      <c r="B41" s="23" t="s">
        <v>756</v>
      </c>
      <c r="C41" s="23" t="s">
        <v>560</v>
      </c>
      <c r="D41" s="23" t="s">
        <v>550</v>
      </c>
      <c r="E41" s="28">
        <v>500</v>
      </c>
      <c r="F41" s="25">
        <v>2404.5300000000002</v>
      </c>
      <c r="G41" s="25">
        <v>1.64</v>
      </c>
      <c r="H41" s="25">
        <v>4.26</v>
      </c>
    </row>
    <row r="42" spans="2:10">
      <c r="B42" s="47" t="s">
        <v>109</v>
      </c>
      <c r="C42" s="47"/>
      <c r="D42" s="47"/>
      <c r="E42" s="59"/>
      <c r="F42" s="57">
        <f>SUM(F39:F41)</f>
        <v>7338.2000000000007</v>
      </c>
      <c r="G42" s="57">
        <f>SUM(G39:G41)</f>
        <v>5.01</v>
      </c>
      <c r="H42" s="60"/>
      <c r="I42" s="14"/>
      <c r="J42" s="14"/>
    </row>
    <row r="43" spans="2:10">
      <c r="B43" s="47" t="s">
        <v>471</v>
      </c>
      <c r="C43" s="23"/>
      <c r="D43" s="23"/>
      <c r="E43" s="24"/>
      <c r="F43" s="25"/>
      <c r="G43" s="25"/>
      <c r="H43" s="25"/>
    </row>
    <row r="44" spans="2:10">
      <c r="B44" s="23" t="s">
        <v>561</v>
      </c>
      <c r="C44" s="23" t="s">
        <v>562</v>
      </c>
      <c r="D44" s="23" t="s">
        <v>474</v>
      </c>
      <c r="E44" s="28">
        <v>10000000</v>
      </c>
      <c r="F44" s="25">
        <v>9869.9699999999993</v>
      </c>
      <c r="G44" s="25">
        <v>6.75</v>
      </c>
      <c r="H44" s="25">
        <v>3.51</v>
      </c>
    </row>
    <row r="45" spans="2:10">
      <c r="B45" s="23" t="s">
        <v>563</v>
      </c>
      <c r="C45" s="23" t="s">
        <v>564</v>
      </c>
      <c r="D45" s="23" t="s">
        <v>474</v>
      </c>
      <c r="E45" s="28">
        <v>10000000</v>
      </c>
      <c r="F45" s="25">
        <v>9863.0300000000007</v>
      </c>
      <c r="G45" s="25">
        <v>6.74</v>
      </c>
      <c r="H45" s="25">
        <v>3.52</v>
      </c>
    </row>
    <row r="46" spans="2:10">
      <c r="B46" s="23" t="s">
        <v>565</v>
      </c>
      <c r="C46" s="23" t="s">
        <v>566</v>
      </c>
      <c r="D46" s="23" t="s">
        <v>474</v>
      </c>
      <c r="E46" s="28">
        <v>10000000</v>
      </c>
      <c r="F46" s="25">
        <v>9732.6200000000008</v>
      </c>
      <c r="G46" s="25">
        <v>6.65</v>
      </c>
      <c r="H46" s="25">
        <v>3.62</v>
      </c>
    </row>
    <row r="47" spans="2:10">
      <c r="B47" s="23" t="s">
        <v>567</v>
      </c>
      <c r="C47" s="23" t="s">
        <v>568</v>
      </c>
      <c r="D47" s="23" t="s">
        <v>474</v>
      </c>
      <c r="E47" s="28">
        <v>8000000</v>
      </c>
      <c r="F47" s="25">
        <v>7814.26</v>
      </c>
      <c r="G47" s="25">
        <v>5.34</v>
      </c>
      <c r="H47" s="25">
        <v>3.6</v>
      </c>
    </row>
    <row r="48" spans="2:10">
      <c r="B48" s="23" t="s">
        <v>569</v>
      </c>
      <c r="C48" s="23" t="s">
        <v>570</v>
      </c>
      <c r="D48" s="23" t="s">
        <v>474</v>
      </c>
      <c r="E48" s="28">
        <v>5000000</v>
      </c>
      <c r="F48" s="25">
        <v>4982.43</v>
      </c>
      <c r="G48" s="25">
        <v>3.41</v>
      </c>
      <c r="H48" s="25">
        <v>3.3</v>
      </c>
    </row>
    <row r="49" spans="2:10">
      <c r="B49" s="30" t="s">
        <v>109</v>
      </c>
      <c r="C49" s="30"/>
      <c r="D49" s="30"/>
      <c r="E49" s="31"/>
      <c r="F49" s="32">
        <f>SUM(F43:F48)</f>
        <v>42262.310000000005</v>
      </c>
      <c r="G49" s="32">
        <f>SUM(G43:G48)</f>
        <v>28.89</v>
      </c>
      <c r="H49" s="48"/>
      <c r="I49" s="14"/>
      <c r="J49" s="14"/>
    </row>
    <row r="50" spans="2:10">
      <c r="B50" s="49" t="s">
        <v>110</v>
      </c>
      <c r="C50" s="49"/>
      <c r="D50" s="49"/>
      <c r="E50" s="50"/>
      <c r="F50" s="51">
        <f>F38+F42+F49</f>
        <v>66782.350000000006</v>
      </c>
      <c r="G50" s="51">
        <f>G38+G42+G49</f>
        <v>45.65</v>
      </c>
      <c r="H50" s="51"/>
      <c r="I50" s="14"/>
      <c r="J50" s="14"/>
    </row>
    <row r="51" spans="2:10">
      <c r="B51" s="47" t="s">
        <v>428</v>
      </c>
      <c r="C51" s="23"/>
      <c r="D51" s="23"/>
      <c r="E51" s="24"/>
      <c r="F51" s="25"/>
      <c r="G51" s="25"/>
      <c r="H51" s="25"/>
    </row>
    <row r="52" spans="2:10">
      <c r="B52" s="23" t="s">
        <v>571</v>
      </c>
      <c r="C52" s="23" t="s">
        <v>572</v>
      </c>
      <c r="D52" s="23" t="s">
        <v>431</v>
      </c>
      <c r="E52" s="28">
        <v>6500000</v>
      </c>
      <c r="F52" s="25">
        <v>6525.06</v>
      </c>
      <c r="G52" s="25">
        <v>4.46</v>
      </c>
      <c r="H52" s="25">
        <v>3.61</v>
      </c>
    </row>
    <row r="53" spans="2:10">
      <c r="B53" s="23" t="s">
        <v>436</v>
      </c>
      <c r="C53" s="23" t="s">
        <v>437</v>
      </c>
      <c r="D53" s="23" t="s">
        <v>431</v>
      </c>
      <c r="E53" s="28">
        <v>5000000</v>
      </c>
      <c r="F53" s="25">
        <v>5202.08</v>
      </c>
      <c r="G53" s="25">
        <v>3.56</v>
      </c>
      <c r="H53" s="25">
        <v>3.94</v>
      </c>
    </row>
    <row r="54" spans="2:10">
      <c r="B54" s="23" t="s">
        <v>442</v>
      </c>
      <c r="C54" s="23" t="s">
        <v>443</v>
      </c>
      <c r="D54" s="23" t="s">
        <v>431</v>
      </c>
      <c r="E54" s="28">
        <v>5000000</v>
      </c>
      <c r="F54" s="25">
        <v>5001.38</v>
      </c>
      <c r="G54" s="25">
        <v>3.42</v>
      </c>
      <c r="H54" s="25">
        <v>3.93</v>
      </c>
    </row>
    <row r="55" spans="2:10">
      <c r="B55" s="23" t="s">
        <v>573</v>
      </c>
      <c r="C55" s="23" t="s">
        <v>574</v>
      </c>
      <c r="D55" s="23" t="s">
        <v>431</v>
      </c>
      <c r="E55" s="28">
        <v>3500000</v>
      </c>
      <c r="F55" s="25">
        <v>3633.48</v>
      </c>
      <c r="G55" s="25">
        <v>2.48</v>
      </c>
      <c r="H55" s="25">
        <v>3.98</v>
      </c>
    </row>
    <row r="56" spans="2:10">
      <c r="B56" s="23" t="s">
        <v>575</v>
      </c>
      <c r="C56" s="23" t="s">
        <v>576</v>
      </c>
      <c r="D56" s="23" t="s">
        <v>431</v>
      </c>
      <c r="E56" s="28">
        <v>2500000</v>
      </c>
      <c r="F56" s="25">
        <v>2585.9899999999998</v>
      </c>
      <c r="G56" s="25">
        <v>1.77</v>
      </c>
      <c r="H56" s="25">
        <v>3.86</v>
      </c>
    </row>
    <row r="57" spans="2:10">
      <c r="B57" s="23" t="s">
        <v>440</v>
      </c>
      <c r="C57" s="23" t="s">
        <v>441</v>
      </c>
      <c r="D57" s="23" t="s">
        <v>431</v>
      </c>
      <c r="E57" s="28">
        <v>2500000</v>
      </c>
      <c r="F57" s="25">
        <v>2534.87</v>
      </c>
      <c r="G57" s="25">
        <v>1.73</v>
      </c>
      <c r="H57" s="25">
        <v>3.54</v>
      </c>
    </row>
    <row r="58" spans="2:10">
      <c r="B58" s="52" t="s">
        <v>577</v>
      </c>
      <c r="C58" s="52" t="s">
        <v>578</v>
      </c>
      <c r="D58" s="52" t="s">
        <v>431</v>
      </c>
      <c r="E58" s="53">
        <v>700000</v>
      </c>
      <c r="F58" s="54">
        <v>711.77</v>
      </c>
      <c r="G58" s="54">
        <v>0.49</v>
      </c>
      <c r="H58" s="54">
        <v>3.72</v>
      </c>
    </row>
    <row r="59" spans="2:10">
      <c r="B59" s="55" t="s">
        <v>110</v>
      </c>
      <c r="C59" s="55"/>
      <c r="D59" s="55"/>
      <c r="E59" s="56"/>
      <c r="F59" s="57">
        <f>SUM(F52:F58)</f>
        <v>26194.629999999997</v>
      </c>
      <c r="G59" s="57">
        <f>SUM(G52:G58)</f>
        <v>17.909999999999997</v>
      </c>
      <c r="H59" s="57"/>
      <c r="I59" s="14"/>
      <c r="J59" s="14"/>
    </row>
    <row r="60" spans="2:10">
      <c r="B60" s="47" t="s">
        <v>111</v>
      </c>
      <c r="C60" s="23"/>
      <c r="D60" s="23"/>
      <c r="E60" s="24"/>
      <c r="F60" s="25"/>
      <c r="G60" s="25"/>
      <c r="H60" s="25"/>
    </row>
    <row r="61" spans="2:10">
      <c r="B61" s="23" t="s">
        <v>111</v>
      </c>
      <c r="C61" s="23"/>
      <c r="D61" s="23"/>
      <c r="E61" s="24"/>
      <c r="F61" s="25">
        <v>8366.99</v>
      </c>
      <c r="G61" s="25">
        <v>5.74</v>
      </c>
      <c r="H61" s="25"/>
    </row>
    <row r="62" spans="2:10">
      <c r="B62" s="30" t="s">
        <v>109</v>
      </c>
      <c r="C62" s="30"/>
      <c r="D62" s="30"/>
      <c r="E62" s="31"/>
      <c r="F62" s="32">
        <f>SUM(F60:F61)</f>
        <v>8366.99</v>
      </c>
      <c r="G62" s="32">
        <f>SUM(G60:G61)</f>
        <v>5.74</v>
      </c>
      <c r="H62" s="48"/>
      <c r="I62" s="14"/>
      <c r="J62" s="14"/>
    </row>
    <row r="63" spans="2:10">
      <c r="B63" s="34" t="s">
        <v>110</v>
      </c>
      <c r="C63" s="34"/>
      <c r="D63" s="34"/>
      <c r="E63" s="35"/>
      <c r="F63" s="36">
        <f>F62</f>
        <v>8366.99</v>
      </c>
      <c r="G63" s="36">
        <f>G62</f>
        <v>5.74</v>
      </c>
      <c r="H63" s="36"/>
      <c r="I63" s="14"/>
      <c r="J63" s="14"/>
    </row>
    <row r="64" spans="2:10">
      <c r="B64" s="44" t="s">
        <v>113</v>
      </c>
      <c r="C64" s="44"/>
      <c r="D64" s="44"/>
      <c r="E64" s="45"/>
      <c r="F64" s="16">
        <f>F65-(+F31+F50+F59+F63)</f>
        <v>2581.1800000000221</v>
      </c>
      <c r="G64" s="16">
        <f>G65-(+G31+G50+G59+G63)</f>
        <v>1.7600000000000051</v>
      </c>
      <c r="H64" s="16"/>
      <c r="I64" s="14"/>
      <c r="J64" s="14"/>
    </row>
    <row r="65" spans="2:10">
      <c r="B65" s="44" t="s">
        <v>112</v>
      </c>
      <c r="C65" s="44"/>
      <c r="D65" s="44"/>
      <c r="E65" s="45"/>
      <c r="F65" s="16">
        <v>146282.70000000001</v>
      </c>
      <c r="G65" s="16">
        <v>100</v>
      </c>
      <c r="H65" s="16"/>
      <c r="I65" s="14"/>
      <c r="J65" s="14"/>
    </row>
    <row r="67" spans="2:10">
      <c r="B67" s="14" t="s">
        <v>747</v>
      </c>
    </row>
    <row r="68" spans="2:10">
      <c r="B68" s="14" t="s">
        <v>579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91"/>
  <sheetViews>
    <sheetView workbookViewId="0">
      <selection activeCell="B1" sqref="B1:H1"/>
    </sheetView>
  </sheetViews>
  <sheetFormatPr defaultRowHeight="12"/>
  <cols>
    <col min="1" max="1" width="9.140625" style="1"/>
    <col min="2" max="2" width="60.28515625" style="1" bestFit="1" customWidth="1"/>
    <col min="3" max="3" width="13.5703125" style="1" bestFit="1" customWidth="1"/>
    <col min="4" max="4" width="21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>
      <c r="B1" s="82" t="s">
        <v>21</v>
      </c>
      <c r="C1" s="83"/>
      <c r="D1" s="83"/>
      <c r="E1" s="83"/>
      <c r="F1" s="83"/>
      <c r="G1" s="83"/>
      <c r="H1" s="83"/>
    </row>
    <row r="3" spans="2:8" ht="16.5" thickBot="1">
      <c r="B3" s="2" t="s">
        <v>7</v>
      </c>
      <c r="C3" s="3"/>
      <c r="D3" s="4"/>
      <c r="E3" s="5"/>
      <c r="F3" s="6"/>
      <c r="G3" s="6"/>
    </row>
    <row r="4" spans="2:8" ht="24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>
      <c r="B5" s="17" t="s">
        <v>30</v>
      </c>
      <c r="C5" s="18"/>
      <c r="D5" s="18"/>
      <c r="E5" s="19"/>
      <c r="F5" s="20"/>
      <c r="G5" s="20"/>
      <c r="H5" s="21"/>
    </row>
    <row r="6" spans="2:8">
      <c r="B6" s="22" t="s">
        <v>31</v>
      </c>
      <c r="C6" s="23"/>
      <c r="D6" s="23"/>
      <c r="E6" s="24"/>
      <c r="F6" s="25"/>
      <c r="G6" s="25"/>
      <c r="H6" s="26"/>
    </row>
    <row r="7" spans="2:8">
      <c r="B7" s="27" t="s">
        <v>117</v>
      </c>
      <c r="C7" s="23" t="s">
        <v>118</v>
      </c>
      <c r="D7" s="23" t="s">
        <v>37</v>
      </c>
      <c r="E7" s="28">
        <v>65032</v>
      </c>
      <c r="F7" s="25">
        <v>927.65</v>
      </c>
      <c r="G7" s="25">
        <v>1.26</v>
      </c>
      <c r="H7" s="26"/>
    </row>
    <row r="8" spans="2:8">
      <c r="B8" s="27" t="s">
        <v>35</v>
      </c>
      <c r="C8" s="23" t="s">
        <v>36</v>
      </c>
      <c r="D8" s="23" t="s">
        <v>37</v>
      </c>
      <c r="E8" s="28">
        <v>112914</v>
      </c>
      <c r="F8" s="25">
        <v>770.64</v>
      </c>
      <c r="G8" s="25">
        <v>1.04</v>
      </c>
      <c r="H8" s="26"/>
    </row>
    <row r="9" spans="2:8">
      <c r="B9" s="27" t="s">
        <v>114</v>
      </c>
      <c r="C9" s="23" t="s">
        <v>115</v>
      </c>
      <c r="D9" s="23" t="s">
        <v>116</v>
      </c>
      <c r="E9" s="28">
        <v>46920</v>
      </c>
      <c r="F9" s="25">
        <v>755.65</v>
      </c>
      <c r="G9" s="25">
        <v>1.02</v>
      </c>
      <c r="H9" s="26"/>
    </row>
    <row r="10" spans="2:8">
      <c r="B10" s="27" t="s">
        <v>123</v>
      </c>
      <c r="C10" s="23" t="s">
        <v>124</v>
      </c>
      <c r="D10" s="23" t="s">
        <v>125</v>
      </c>
      <c r="E10" s="28">
        <v>11000</v>
      </c>
      <c r="F10" s="25">
        <v>685.09</v>
      </c>
      <c r="G10" s="25">
        <v>0.93</v>
      </c>
      <c r="H10" s="26"/>
    </row>
    <row r="11" spans="2:8">
      <c r="B11" s="27" t="s">
        <v>126</v>
      </c>
      <c r="C11" s="23" t="s">
        <v>127</v>
      </c>
      <c r="D11" s="23" t="s">
        <v>37</v>
      </c>
      <c r="E11" s="28">
        <v>91062</v>
      </c>
      <c r="F11" s="25">
        <v>645.54</v>
      </c>
      <c r="G11" s="25">
        <v>0.87</v>
      </c>
      <c r="H11" s="26"/>
    </row>
    <row r="12" spans="2:8">
      <c r="B12" s="27" t="s">
        <v>155</v>
      </c>
      <c r="C12" s="23" t="s">
        <v>156</v>
      </c>
      <c r="D12" s="23" t="s">
        <v>70</v>
      </c>
      <c r="E12" s="28">
        <v>115000</v>
      </c>
      <c r="F12" s="25">
        <v>641.41</v>
      </c>
      <c r="G12" s="25">
        <v>0.87</v>
      </c>
      <c r="H12" s="26"/>
    </row>
    <row r="13" spans="2:8">
      <c r="B13" s="27" t="s">
        <v>182</v>
      </c>
      <c r="C13" s="23" t="s">
        <v>183</v>
      </c>
      <c r="D13" s="23" t="s">
        <v>179</v>
      </c>
      <c r="E13" s="28">
        <v>30000</v>
      </c>
      <c r="F13" s="25">
        <v>593.80999999999995</v>
      </c>
      <c r="G13" s="25">
        <v>0.8</v>
      </c>
      <c r="H13" s="26"/>
    </row>
    <row r="14" spans="2:8">
      <c r="B14" s="27" t="s">
        <v>157</v>
      </c>
      <c r="C14" s="23" t="s">
        <v>158</v>
      </c>
      <c r="D14" s="23" t="s">
        <v>159</v>
      </c>
      <c r="E14" s="28">
        <v>200000</v>
      </c>
      <c r="F14" s="25">
        <v>592.9</v>
      </c>
      <c r="G14" s="25">
        <v>0.8</v>
      </c>
      <c r="H14" s="26"/>
    </row>
    <row r="15" spans="2:8">
      <c r="B15" s="27" t="s">
        <v>164</v>
      </c>
      <c r="C15" s="23" t="s">
        <v>165</v>
      </c>
      <c r="D15" s="23" t="s">
        <v>108</v>
      </c>
      <c r="E15" s="28">
        <v>79500</v>
      </c>
      <c r="F15" s="25">
        <v>592.12</v>
      </c>
      <c r="G15" s="25">
        <v>0.8</v>
      </c>
      <c r="H15" s="26"/>
    </row>
    <row r="16" spans="2:8">
      <c r="B16" s="27" t="s">
        <v>174</v>
      </c>
      <c r="C16" s="23" t="s">
        <v>175</v>
      </c>
      <c r="D16" s="23" t="s">
        <v>176</v>
      </c>
      <c r="E16" s="28">
        <v>100000</v>
      </c>
      <c r="F16" s="25">
        <v>579.29999999999995</v>
      </c>
      <c r="G16" s="25">
        <v>0.79</v>
      </c>
      <c r="H16" s="26"/>
    </row>
    <row r="17" spans="2:8">
      <c r="B17" s="27" t="s">
        <v>206</v>
      </c>
      <c r="C17" s="23" t="s">
        <v>207</v>
      </c>
      <c r="D17" s="23" t="s">
        <v>125</v>
      </c>
      <c r="E17" s="28">
        <v>54736</v>
      </c>
      <c r="F17" s="25">
        <v>567.48</v>
      </c>
      <c r="G17" s="25">
        <v>0.77</v>
      </c>
      <c r="H17" s="26"/>
    </row>
    <row r="18" spans="2:8">
      <c r="B18" s="27" t="s">
        <v>121</v>
      </c>
      <c r="C18" s="23" t="s">
        <v>122</v>
      </c>
      <c r="D18" s="23" t="s">
        <v>90</v>
      </c>
      <c r="E18" s="28">
        <v>26154</v>
      </c>
      <c r="F18" s="25">
        <v>532.30999999999995</v>
      </c>
      <c r="G18" s="25">
        <v>0.72</v>
      </c>
      <c r="H18" s="26"/>
    </row>
    <row r="19" spans="2:8">
      <c r="B19" s="27" t="s">
        <v>138</v>
      </c>
      <c r="C19" s="23" t="s">
        <v>139</v>
      </c>
      <c r="D19" s="23" t="s">
        <v>140</v>
      </c>
      <c r="E19" s="28">
        <v>15000</v>
      </c>
      <c r="F19" s="25">
        <v>525.12</v>
      </c>
      <c r="G19" s="25">
        <v>0.71</v>
      </c>
      <c r="H19" s="26"/>
    </row>
    <row r="20" spans="2:8">
      <c r="B20" s="27" t="s">
        <v>234</v>
      </c>
      <c r="C20" s="23" t="s">
        <v>235</v>
      </c>
      <c r="D20" s="23" t="s">
        <v>143</v>
      </c>
      <c r="E20" s="28">
        <v>12870</v>
      </c>
      <c r="F20" s="25">
        <v>505.85</v>
      </c>
      <c r="G20" s="25">
        <v>0.69</v>
      </c>
      <c r="H20" s="26"/>
    </row>
    <row r="21" spans="2:8">
      <c r="B21" s="27" t="s">
        <v>200</v>
      </c>
      <c r="C21" s="23" t="s">
        <v>201</v>
      </c>
      <c r="D21" s="23" t="s">
        <v>125</v>
      </c>
      <c r="E21" s="28">
        <v>100000</v>
      </c>
      <c r="F21" s="25">
        <v>475.75</v>
      </c>
      <c r="G21" s="25">
        <v>0.64</v>
      </c>
      <c r="H21" s="26"/>
    </row>
    <row r="22" spans="2:8">
      <c r="B22" s="27" t="s">
        <v>266</v>
      </c>
      <c r="C22" s="23" t="s">
        <v>267</v>
      </c>
      <c r="D22" s="23" t="s">
        <v>125</v>
      </c>
      <c r="E22" s="28">
        <v>30000</v>
      </c>
      <c r="F22" s="25">
        <v>466.43</v>
      </c>
      <c r="G22" s="25">
        <v>0.63</v>
      </c>
      <c r="H22" s="26"/>
    </row>
    <row r="23" spans="2:8">
      <c r="B23" s="27" t="s">
        <v>153</v>
      </c>
      <c r="C23" s="23" t="s">
        <v>154</v>
      </c>
      <c r="D23" s="23" t="s">
        <v>108</v>
      </c>
      <c r="E23" s="28">
        <v>105588</v>
      </c>
      <c r="F23" s="25">
        <v>463.8</v>
      </c>
      <c r="G23" s="25">
        <v>0.63</v>
      </c>
      <c r="H23" s="26"/>
    </row>
    <row r="24" spans="2:8">
      <c r="B24" s="27" t="s">
        <v>119</v>
      </c>
      <c r="C24" s="23" t="s">
        <v>120</v>
      </c>
      <c r="D24" s="23" t="s">
        <v>116</v>
      </c>
      <c r="E24" s="28">
        <v>14130</v>
      </c>
      <c r="F24" s="25">
        <v>447.56</v>
      </c>
      <c r="G24" s="25">
        <v>0.61</v>
      </c>
      <c r="H24" s="26"/>
    </row>
    <row r="25" spans="2:8">
      <c r="B25" s="27" t="s">
        <v>160</v>
      </c>
      <c r="C25" s="23" t="s">
        <v>161</v>
      </c>
      <c r="D25" s="23" t="s">
        <v>60</v>
      </c>
      <c r="E25" s="28">
        <v>24000</v>
      </c>
      <c r="F25" s="25">
        <v>444.16</v>
      </c>
      <c r="G25" s="25">
        <v>0.6</v>
      </c>
      <c r="H25" s="26"/>
    </row>
    <row r="26" spans="2:8">
      <c r="B26" s="27" t="s">
        <v>141</v>
      </c>
      <c r="C26" s="23" t="s">
        <v>142</v>
      </c>
      <c r="D26" s="23" t="s">
        <v>143</v>
      </c>
      <c r="E26" s="28">
        <v>9000</v>
      </c>
      <c r="F26" s="25">
        <v>441.55</v>
      </c>
      <c r="G26" s="25">
        <v>0.6</v>
      </c>
      <c r="H26" s="26"/>
    </row>
    <row r="27" spans="2:8">
      <c r="B27" s="27" t="s">
        <v>49</v>
      </c>
      <c r="C27" s="23" t="s">
        <v>50</v>
      </c>
      <c r="D27" s="23" t="s">
        <v>51</v>
      </c>
      <c r="E27" s="28">
        <v>27966</v>
      </c>
      <c r="F27" s="25">
        <v>427.74</v>
      </c>
      <c r="G27" s="25">
        <v>0.57999999999999996</v>
      </c>
      <c r="H27" s="26"/>
    </row>
    <row r="28" spans="2:8">
      <c r="B28" s="27" t="s">
        <v>325</v>
      </c>
      <c r="C28" s="23" t="s">
        <v>326</v>
      </c>
      <c r="D28" s="23" t="s">
        <v>37</v>
      </c>
      <c r="E28" s="28">
        <v>300000</v>
      </c>
      <c r="F28" s="25">
        <v>417</v>
      </c>
      <c r="G28" s="25">
        <v>0.56999999999999995</v>
      </c>
      <c r="H28" s="26"/>
    </row>
    <row r="29" spans="2:8">
      <c r="B29" s="27" t="s">
        <v>261</v>
      </c>
      <c r="C29" s="23" t="s">
        <v>262</v>
      </c>
      <c r="D29" s="23" t="s">
        <v>263</v>
      </c>
      <c r="E29" s="28">
        <v>50000</v>
      </c>
      <c r="F29" s="25">
        <v>397.88</v>
      </c>
      <c r="G29" s="25">
        <v>0.54</v>
      </c>
      <c r="H29" s="26"/>
    </row>
    <row r="30" spans="2:8">
      <c r="B30" s="27" t="s">
        <v>251</v>
      </c>
      <c r="C30" s="23" t="s">
        <v>252</v>
      </c>
      <c r="D30" s="23" t="s">
        <v>51</v>
      </c>
      <c r="E30" s="28">
        <v>15000</v>
      </c>
      <c r="F30" s="25">
        <v>349.7</v>
      </c>
      <c r="G30" s="25">
        <v>0.47</v>
      </c>
      <c r="H30" s="26"/>
    </row>
    <row r="31" spans="2:8">
      <c r="B31" s="27" t="s">
        <v>135</v>
      </c>
      <c r="C31" s="23" t="s">
        <v>136</v>
      </c>
      <c r="D31" s="23" t="s">
        <v>137</v>
      </c>
      <c r="E31" s="28">
        <v>30000</v>
      </c>
      <c r="F31" s="25">
        <v>336.63</v>
      </c>
      <c r="G31" s="25">
        <v>0.46</v>
      </c>
      <c r="H31" s="26"/>
    </row>
    <row r="32" spans="2:8">
      <c r="B32" s="27" t="s">
        <v>180</v>
      </c>
      <c r="C32" s="23" t="s">
        <v>181</v>
      </c>
      <c r="D32" s="23" t="s">
        <v>132</v>
      </c>
      <c r="E32" s="28">
        <v>40000</v>
      </c>
      <c r="F32" s="25">
        <v>302.5</v>
      </c>
      <c r="G32" s="25">
        <v>0.41</v>
      </c>
      <c r="H32" s="26"/>
    </row>
    <row r="33" spans="2:10">
      <c r="B33" s="27" t="s">
        <v>144</v>
      </c>
      <c r="C33" s="23" t="s">
        <v>145</v>
      </c>
      <c r="D33" s="23" t="s">
        <v>37</v>
      </c>
      <c r="E33" s="28">
        <v>17450</v>
      </c>
      <c r="F33" s="25">
        <v>288.76</v>
      </c>
      <c r="G33" s="25">
        <v>0.39</v>
      </c>
      <c r="H33" s="26"/>
    </row>
    <row r="34" spans="2:10">
      <c r="B34" s="27" t="s">
        <v>184</v>
      </c>
      <c r="C34" s="23" t="s">
        <v>185</v>
      </c>
      <c r="D34" s="23" t="s">
        <v>108</v>
      </c>
      <c r="E34" s="28">
        <v>11400</v>
      </c>
      <c r="F34" s="25">
        <v>270.62</v>
      </c>
      <c r="G34" s="25">
        <v>0.37</v>
      </c>
      <c r="H34" s="26"/>
    </row>
    <row r="35" spans="2:10">
      <c r="B35" s="27" t="s">
        <v>130</v>
      </c>
      <c r="C35" s="23" t="s">
        <v>131</v>
      </c>
      <c r="D35" s="23" t="s">
        <v>132</v>
      </c>
      <c r="E35" s="28">
        <v>9597</v>
      </c>
      <c r="F35" s="25">
        <v>223.93</v>
      </c>
      <c r="G35" s="25">
        <v>0.3</v>
      </c>
      <c r="H35" s="26"/>
    </row>
    <row r="36" spans="2:10">
      <c r="B36" s="27" t="s">
        <v>218</v>
      </c>
      <c r="C36" s="23" t="s">
        <v>219</v>
      </c>
      <c r="D36" s="23" t="s">
        <v>132</v>
      </c>
      <c r="E36" s="28">
        <v>6500</v>
      </c>
      <c r="F36" s="25">
        <v>222.52</v>
      </c>
      <c r="G36" s="25">
        <v>0.3</v>
      </c>
      <c r="H36" s="26"/>
    </row>
    <row r="37" spans="2:10">
      <c r="B37" s="27" t="s">
        <v>220</v>
      </c>
      <c r="C37" s="23" t="s">
        <v>221</v>
      </c>
      <c r="D37" s="23" t="s">
        <v>98</v>
      </c>
      <c r="E37" s="28">
        <v>10000</v>
      </c>
      <c r="F37" s="25">
        <v>220.3</v>
      </c>
      <c r="G37" s="25">
        <v>0.3</v>
      </c>
      <c r="H37" s="26"/>
    </row>
    <row r="38" spans="2:10">
      <c r="B38" s="27" t="s">
        <v>216</v>
      </c>
      <c r="C38" s="23" t="s">
        <v>217</v>
      </c>
      <c r="D38" s="23" t="s">
        <v>143</v>
      </c>
      <c r="E38" s="28">
        <v>10000</v>
      </c>
      <c r="F38" s="25">
        <v>210.44</v>
      </c>
      <c r="G38" s="25">
        <v>0.28999999999999998</v>
      </c>
      <c r="H38" s="26"/>
    </row>
    <row r="39" spans="2:10">
      <c r="B39" s="27" t="s">
        <v>171</v>
      </c>
      <c r="C39" s="23" t="s">
        <v>172</v>
      </c>
      <c r="D39" s="23" t="s">
        <v>173</v>
      </c>
      <c r="E39" s="28">
        <v>4500</v>
      </c>
      <c r="F39" s="25">
        <v>169.88</v>
      </c>
      <c r="G39" s="25">
        <v>0.23</v>
      </c>
      <c r="H39" s="26"/>
    </row>
    <row r="40" spans="2:10">
      <c r="B40" s="27" t="s">
        <v>177</v>
      </c>
      <c r="C40" s="23" t="s">
        <v>178</v>
      </c>
      <c r="D40" s="23" t="s">
        <v>179</v>
      </c>
      <c r="E40" s="28">
        <v>1715</v>
      </c>
      <c r="F40" s="25">
        <v>155.26</v>
      </c>
      <c r="G40" s="25">
        <v>0.21</v>
      </c>
      <c r="H40" s="26"/>
    </row>
    <row r="41" spans="2:10">
      <c r="B41" s="27" t="s">
        <v>196</v>
      </c>
      <c r="C41" s="23" t="s">
        <v>197</v>
      </c>
      <c r="D41" s="23" t="s">
        <v>98</v>
      </c>
      <c r="E41" s="28">
        <v>8700</v>
      </c>
      <c r="F41" s="25">
        <v>149.16999999999999</v>
      </c>
      <c r="G41" s="25">
        <v>0.2</v>
      </c>
      <c r="H41" s="26"/>
    </row>
    <row r="42" spans="2:10">
      <c r="B42" s="29" t="s">
        <v>109</v>
      </c>
      <c r="C42" s="30"/>
      <c r="D42" s="30"/>
      <c r="E42" s="31"/>
      <c r="F42" s="32">
        <f>SUM(F7:F41)</f>
        <v>15796.449999999999</v>
      </c>
      <c r="G42" s="32">
        <f>SUM(G7:G41)</f>
        <v>21.400000000000002</v>
      </c>
      <c r="H42" s="33"/>
      <c r="I42" s="14"/>
      <c r="J42" s="14"/>
    </row>
    <row r="43" spans="2:10">
      <c r="B43" s="37" t="s">
        <v>110</v>
      </c>
      <c r="C43" s="37"/>
      <c r="D43" s="37"/>
      <c r="E43" s="38"/>
      <c r="F43" s="39">
        <f>F42</f>
        <v>15796.449999999999</v>
      </c>
      <c r="G43" s="39">
        <f>G42</f>
        <v>21.400000000000002</v>
      </c>
      <c r="H43" s="15"/>
      <c r="I43" s="14"/>
      <c r="J43" s="14"/>
    </row>
    <row r="44" spans="2:10">
      <c r="B44" s="46" t="s">
        <v>224</v>
      </c>
      <c r="C44" s="41"/>
      <c r="D44" s="41"/>
      <c r="E44" s="42"/>
      <c r="F44" s="43"/>
      <c r="G44" s="43"/>
      <c r="H44" s="43"/>
    </row>
    <row r="45" spans="2:10">
      <c r="B45" s="47" t="s">
        <v>31</v>
      </c>
      <c r="C45" s="23"/>
      <c r="D45" s="23"/>
      <c r="E45" s="24"/>
      <c r="F45" s="25"/>
      <c r="G45" s="25"/>
      <c r="H45" s="25"/>
    </row>
    <row r="46" spans="2:10">
      <c r="B46" s="23" t="s">
        <v>580</v>
      </c>
      <c r="C46" s="23" t="s">
        <v>581</v>
      </c>
      <c r="D46" s="23" t="s">
        <v>227</v>
      </c>
      <c r="E46" s="28">
        <v>150</v>
      </c>
      <c r="F46" s="25">
        <v>1517.55</v>
      </c>
      <c r="G46" s="25">
        <v>2.06</v>
      </c>
      <c r="H46" s="25">
        <v>3.68</v>
      </c>
    </row>
    <row r="47" spans="2:10">
      <c r="B47" s="23" t="s">
        <v>391</v>
      </c>
      <c r="C47" s="23" t="s">
        <v>392</v>
      </c>
      <c r="D47" s="23" t="s">
        <v>227</v>
      </c>
      <c r="E47" s="28">
        <v>100</v>
      </c>
      <c r="F47" s="25">
        <v>1066.43</v>
      </c>
      <c r="G47" s="25">
        <v>1.45</v>
      </c>
      <c r="H47" s="25">
        <v>5.48</v>
      </c>
    </row>
    <row r="48" spans="2:10">
      <c r="B48" s="23" t="s">
        <v>582</v>
      </c>
      <c r="C48" s="23" t="s">
        <v>583</v>
      </c>
      <c r="D48" s="23" t="s">
        <v>227</v>
      </c>
      <c r="E48" s="28">
        <v>100</v>
      </c>
      <c r="F48" s="25">
        <v>1051.3399999999999</v>
      </c>
      <c r="G48" s="25">
        <v>1.42</v>
      </c>
      <c r="H48" s="25">
        <v>5.55</v>
      </c>
    </row>
    <row r="49" spans="2:10">
      <c r="B49" s="23" t="s">
        <v>499</v>
      </c>
      <c r="C49" s="23" t="s">
        <v>500</v>
      </c>
      <c r="D49" s="23" t="s">
        <v>227</v>
      </c>
      <c r="E49" s="28">
        <v>100</v>
      </c>
      <c r="F49" s="25">
        <v>1050.3399999999999</v>
      </c>
      <c r="G49" s="25">
        <v>1.42</v>
      </c>
      <c r="H49" s="25">
        <v>5.83</v>
      </c>
    </row>
    <row r="50" spans="2:10">
      <c r="B50" s="23" t="s">
        <v>399</v>
      </c>
      <c r="C50" s="23" t="s">
        <v>400</v>
      </c>
      <c r="D50" s="23" t="s">
        <v>227</v>
      </c>
      <c r="E50" s="28">
        <v>100</v>
      </c>
      <c r="F50" s="25">
        <v>1038.8</v>
      </c>
      <c r="G50" s="25">
        <v>1.41</v>
      </c>
      <c r="H50" s="25">
        <v>4.3600000000000003</v>
      </c>
    </row>
    <row r="51" spans="2:10">
      <c r="B51" s="23" t="s">
        <v>377</v>
      </c>
      <c r="C51" s="23" t="s">
        <v>378</v>
      </c>
      <c r="D51" s="23" t="s">
        <v>227</v>
      </c>
      <c r="E51" s="28">
        <v>100</v>
      </c>
      <c r="F51" s="25">
        <v>1029.72</v>
      </c>
      <c r="G51" s="25">
        <v>1.4</v>
      </c>
      <c r="H51" s="25">
        <v>4.13</v>
      </c>
    </row>
    <row r="52" spans="2:10">
      <c r="B52" s="23" t="s">
        <v>401</v>
      </c>
      <c r="C52" s="23" t="s">
        <v>402</v>
      </c>
      <c r="D52" s="23" t="s">
        <v>227</v>
      </c>
      <c r="E52" s="28">
        <v>100</v>
      </c>
      <c r="F52" s="25">
        <v>1025.99</v>
      </c>
      <c r="G52" s="25">
        <v>1.39</v>
      </c>
      <c r="H52" s="25">
        <v>3.86</v>
      </c>
    </row>
    <row r="53" spans="2:10">
      <c r="B53" s="23" t="s">
        <v>403</v>
      </c>
      <c r="C53" s="23" t="s">
        <v>404</v>
      </c>
      <c r="D53" s="23" t="s">
        <v>227</v>
      </c>
      <c r="E53" s="28">
        <v>100</v>
      </c>
      <c r="F53" s="25">
        <v>1001.57</v>
      </c>
      <c r="G53" s="25">
        <v>1.36</v>
      </c>
      <c r="H53" s="25">
        <v>3.66</v>
      </c>
    </row>
    <row r="54" spans="2:10">
      <c r="B54" s="23" t="s">
        <v>495</v>
      </c>
      <c r="C54" s="23" t="s">
        <v>496</v>
      </c>
      <c r="D54" s="23" t="s">
        <v>227</v>
      </c>
      <c r="E54" s="28">
        <v>50</v>
      </c>
      <c r="F54" s="25">
        <v>541.1</v>
      </c>
      <c r="G54" s="25">
        <v>0.73</v>
      </c>
      <c r="H54" s="25">
        <v>5.29</v>
      </c>
    </row>
    <row r="55" spans="2:10">
      <c r="B55" s="23" t="s">
        <v>397</v>
      </c>
      <c r="C55" s="23" t="s">
        <v>398</v>
      </c>
      <c r="D55" s="23" t="s">
        <v>227</v>
      </c>
      <c r="E55" s="28">
        <v>50</v>
      </c>
      <c r="F55" s="25">
        <v>531.66999999999996</v>
      </c>
      <c r="G55" s="25">
        <v>0.72</v>
      </c>
      <c r="H55" s="25">
        <v>5.21</v>
      </c>
    </row>
    <row r="56" spans="2:10">
      <c r="B56" s="23" t="s">
        <v>373</v>
      </c>
      <c r="C56" s="23" t="s">
        <v>374</v>
      </c>
      <c r="D56" s="23" t="s">
        <v>227</v>
      </c>
      <c r="E56" s="28">
        <v>50</v>
      </c>
      <c r="F56" s="25">
        <v>503.05</v>
      </c>
      <c r="G56" s="25">
        <v>0.68</v>
      </c>
      <c r="H56" s="25">
        <v>3.51</v>
      </c>
    </row>
    <row r="57" spans="2:10">
      <c r="B57" s="23" t="s">
        <v>225</v>
      </c>
      <c r="C57" s="23" t="s">
        <v>226</v>
      </c>
      <c r="D57" s="23" t="s">
        <v>227</v>
      </c>
      <c r="E57" s="28">
        <v>6500</v>
      </c>
      <c r="F57" s="25">
        <v>1.89</v>
      </c>
      <c r="G57" s="25">
        <v>0</v>
      </c>
      <c r="H57" s="25">
        <v>5.4</v>
      </c>
    </row>
    <row r="58" spans="2:10">
      <c r="B58" s="30" t="s">
        <v>109</v>
      </c>
      <c r="C58" s="30"/>
      <c r="D58" s="30"/>
      <c r="E58" s="31"/>
      <c r="F58" s="32">
        <f>SUM(F45:F57)</f>
        <v>10359.449999999999</v>
      </c>
      <c r="G58" s="32">
        <f>SUM(G45:G57)</f>
        <v>14.040000000000001</v>
      </c>
      <c r="H58" s="48"/>
      <c r="I58" s="14"/>
      <c r="J58" s="14"/>
    </row>
    <row r="59" spans="2:10">
      <c r="B59" s="49" t="s">
        <v>110</v>
      </c>
      <c r="C59" s="49"/>
      <c r="D59" s="49"/>
      <c r="E59" s="50"/>
      <c r="F59" s="51">
        <f>F58</f>
        <v>10359.449999999999</v>
      </c>
      <c r="G59" s="51">
        <f>G58</f>
        <v>14.040000000000001</v>
      </c>
      <c r="H59" s="51"/>
      <c r="I59" s="14"/>
      <c r="J59" s="14"/>
    </row>
    <row r="60" spans="2:10">
      <c r="B60" s="47" t="s">
        <v>470</v>
      </c>
      <c r="C60" s="23"/>
      <c r="D60" s="23"/>
      <c r="E60" s="24"/>
      <c r="F60" s="25"/>
      <c r="G60" s="25"/>
      <c r="H60" s="25"/>
    </row>
    <row r="61" spans="2:10">
      <c r="B61" s="47" t="s">
        <v>471</v>
      </c>
      <c r="C61" s="23"/>
      <c r="D61" s="23"/>
      <c r="E61" s="24"/>
      <c r="F61" s="25"/>
      <c r="G61" s="25"/>
      <c r="H61" s="25"/>
    </row>
    <row r="62" spans="2:10">
      <c r="B62" s="23" t="s">
        <v>584</v>
      </c>
      <c r="C62" s="23" t="s">
        <v>585</v>
      </c>
      <c r="D62" s="23" t="s">
        <v>474</v>
      </c>
      <c r="E62" s="28">
        <v>750000</v>
      </c>
      <c r="F62" s="25">
        <v>746.41</v>
      </c>
      <c r="G62" s="25">
        <v>1.01</v>
      </c>
      <c r="H62" s="25">
        <v>3.31</v>
      </c>
    </row>
    <row r="63" spans="2:10">
      <c r="B63" s="30" t="s">
        <v>109</v>
      </c>
      <c r="C63" s="30"/>
      <c r="D63" s="30"/>
      <c r="E63" s="31"/>
      <c r="F63" s="32">
        <f>SUM(F61:F62)</f>
        <v>746.41</v>
      </c>
      <c r="G63" s="32">
        <f>SUM(G61:G62)</f>
        <v>1.01</v>
      </c>
      <c r="H63" s="48"/>
      <c r="I63" s="14"/>
      <c r="J63" s="14"/>
    </row>
    <row r="64" spans="2:10">
      <c r="B64" s="49" t="s">
        <v>110</v>
      </c>
      <c r="C64" s="49"/>
      <c r="D64" s="49"/>
      <c r="E64" s="50"/>
      <c r="F64" s="51">
        <f>+F63</f>
        <v>746.41</v>
      </c>
      <c r="G64" s="51">
        <f>+G63</f>
        <v>1.01</v>
      </c>
      <c r="H64" s="51"/>
      <c r="I64" s="14"/>
      <c r="J64" s="14"/>
    </row>
    <row r="65" spans="2:8">
      <c r="B65" s="47" t="s">
        <v>428</v>
      </c>
      <c r="C65" s="23"/>
      <c r="D65" s="23"/>
      <c r="E65" s="24"/>
      <c r="F65" s="25"/>
      <c r="G65" s="25"/>
      <c r="H65" s="25"/>
    </row>
    <row r="66" spans="2:8">
      <c r="B66" s="23" t="s">
        <v>432</v>
      </c>
      <c r="C66" s="23" t="s">
        <v>433</v>
      </c>
      <c r="D66" s="23" t="s">
        <v>431</v>
      </c>
      <c r="E66" s="28">
        <v>7500000</v>
      </c>
      <c r="F66" s="25">
        <v>7503.73</v>
      </c>
      <c r="G66" s="25">
        <v>10.17</v>
      </c>
      <c r="H66" s="25">
        <v>4.2300000000000004</v>
      </c>
    </row>
    <row r="67" spans="2:8">
      <c r="B67" s="23" t="s">
        <v>429</v>
      </c>
      <c r="C67" s="23" t="s">
        <v>430</v>
      </c>
      <c r="D67" s="23" t="s">
        <v>431</v>
      </c>
      <c r="E67" s="28">
        <v>7100000</v>
      </c>
      <c r="F67" s="25">
        <v>7101.87</v>
      </c>
      <c r="G67" s="25">
        <v>9.6199999999999992</v>
      </c>
      <c r="H67" s="25">
        <v>4.46</v>
      </c>
    </row>
    <row r="68" spans="2:8">
      <c r="B68" s="23" t="s">
        <v>444</v>
      </c>
      <c r="C68" s="23" t="s">
        <v>445</v>
      </c>
      <c r="D68" s="23" t="s">
        <v>431</v>
      </c>
      <c r="E68" s="28">
        <v>4499900</v>
      </c>
      <c r="F68" s="25">
        <v>4465.8100000000004</v>
      </c>
      <c r="G68" s="25">
        <v>6.05</v>
      </c>
      <c r="H68" s="25">
        <v>6.2</v>
      </c>
    </row>
    <row r="69" spans="2:8">
      <c r="B69" s="23" t="s">
        <v>434</v>
      </c>
      <c r="C69" s="23" t="s">
        <v>435</v>
      </c>
      <c r="D69" s="23" t="s">
        <v>431</v>
      </c>
      <c r="E69" s="28">
        <v>3500000</v>
      </c>
      <c r="F69" s="25">
        <v>3473.34</v>
      </c>
      <c r="G69" s="25">
        <v>4.71</v>
      </c>
      <c r="H69" s="25">
        <v>5.44</v>
      </c>
    </row>
    <row r="70" spans="2:8">
      <c r="B70" s="23" t="s">
        <v>442</v>
      </c>
      <c r="C70" s="23" t="s">
        <v>443</v>
      </c>
      <c r="D70" s="23" t="s">
        <v>431</v>
      </c>
      <c r="E70" s="28">
        <v>2500000</v>
      </c>
      <c r="F70" s="25">
        <v>2500.69</v>
      </c>
      <c r="G70" s="25">
        <v>3.39</v>
      </c>
      <c r="H70" s="25">
        <v>3.93</v>
      </c>
    </row>
    <row r="71" spans="2:8">
      <c r="B71" s="23" t="s">
        <v>448</v>
      </c>
      <c r="C71" s="23" t="s">
        <v>449</v>
      </c>
      <c r="D71" s="23" t="s">
        <v>431</v>
      </c>
      <c r="E71" s="28">
        <v>1500000</v>
      </c>
      <c r="F71" s="25">
        <v>1536.3</v>
      </c>
      <c r="G71" s="25">
        <v>2.08</v>
      </c>
      <c r="H71" s="25">
        <v>3.64</v>
      </c>
    </row>
    <row r="72" spans="2:8">
      <c r="B72" s="23" t="s">
        <v>440</v>
      </c>
      <c r="C72" s="23" t="s">
        <v>441</v>
      </c>
      <c r="D72" s="23" t="s">
        <v>431</v>
      </c>
      <c r="E72" s="28">
        <v>1500000</v>
      </c>
      <c r="F72" s="25">
        <v>1520.92</v>
      </c>
      <c r="G72" s="25">
        <v>2.06</v>
      </c>
      <c r="H72" s="25">
        <v>3.54</v>
      </c>
    </row>
    <row r="73" spans="2:8">
      <c r="B73" s="23" t="s">
        <v>452</v>
      </c>
      <c r="C73" s="23" t="s">
        <v>453</v>
      </c>
      <c r="D73" s="23" t="s">
        <v>431</v>
      </c>
      <c r="E73" s="28">
        <v>1000000</v>
      </c>
      <c r="F73" s="25">
        <v>1070.8800000000001</v>
      </c>
      <c r="G73" s="25">
        <v>1.45</v>
      </c>
      <c r="H73" s="25">
        <v>6.27</v>
      </c>
    </row>
    <row r="74" spans="2:8">
      <c r="B74" s="23" t="s">
        <v>454</v>
      </c>
      <c r="C74" s="23" t="s">
        <v>455</v>
      </c>
      <c r="D74" s="23" t="s">
        <v>431</v>
      </c>
      <c r="E74" s="28">
        <v>1000000</v>
      </c>
      <c r="F74" s="25">
        <v>1044.58</v>
      </c>
      <c r="G74" s="25">
        <v>1.42</v>
      </c>
      <c r="H74" s="25">
        <v>5.94</v>
      </c>
    </row>
    <row r="75" spans="2:8">
      <c r="B75" s="23" t="s">
        <v>446</v>
      </c>
      <c r="C75" s="23" t="s">
        <v>447</v>
      </c>
      <c r="D75" s="23" t="s">
        <v>431</v>
      </c>
      <c r="E75" s="28">
        <v>1000000</v>
      </c>
      <c r="F75" s="25">
        <v>1034.53</v>
      </c>
      <c r="G75" s="25">
        <v>1.4</v>
      </c>
      <c r="H75" s="25">
        <v>5.0199999999999996</v>
      </c>
    </row>
    <row r="76" spans="2:8">
      <c r="B76" s="23" t="s">
        <v>483</v>
      </c>
      <c r="C76" s="23" t="s">
        <v>484</v>
      </c>
      <c r="D76" s="23" t="s">
        <v>431</v>
      </c>
      <c r="E76" s="28">
        <v>1000000</v>
      </c>
      <c r="F76" s="25">
        <v>1000.62</v>
      </c>
      <c r="G76" s="25">
        <v>1.36</v>
      </c>
      <c r="H76" s="25">
        <v>6.96</v>
      </c>
    </row>
    <row r="77" spans="2:8">
      <c r="B77" s="23" t="s">
        <v>586</v>
      </c>
      <c r="C77" s="23" t="s">
        <v>587</v>
      </c>
      <c r="D77" s="23" t="s">
        <v>431</v>
      </c>
      <c r="E77" s="28">
        <v>800000</v>
      </c>
      <c r="F77" s="25">
        <v>824.26</v>
      </c>
      <c r="G77" s="25">
        <v>1.1200000000000001</v>
      </c>
      <c r="H77" s="25">
        <v>3.83</v>
      </c>
    </row>
    <row r="78" spans="2:8">
      <c r="B78" s="23" t="s">
        <v>460</v>
      </c>
      <c r="C78" s="23" t="s">
        <v>461</v>
      </c>
      <c r="D78" s="23" t="s">
        <v>431</v>
      </c>
      <c r="E78" s="28">
        <v>600000</v>
      </c>
      <c r="F78" s="25">
        <v>627.35</v>
      </c>
      <c r="G78" s="25">
        <v>0.85</v>
      </c>
      <c r="H78" s="25">
        <v>6.31</v>
      </c>
    </row>
    <row r="79" spans="2:8">
      <c r="B79" s="23" t="s">
        <v>588</v>
      </c>
      <c r="C79" s="23" t="s">
        <v>589</v>
      </c>
      <c r="D79" s="23" t="s">
        <v>431</v>
      </c>
      <c r="E79" s="28">
        <v>500000</v>
      </c>
      <c r="F79" s="25">
        <v>546.6</v>
      </c>
      <c r="G79" s="25">
        <v>0.74</v>
      </c>
      <c r="H79" s="25">
        <v>4.72</v>
      </c>
    </row>
    <row r="80" spans="2:8">
      <c r="B80" s="23" t="s">
        <v>456</v>
      </c>
      <c r="C80" s="23" t="s">
        <v>457</v>
      </c>
      <c r="D80" s="23" t="s">
        <v>431</v>
      </c>
      <c r="E80" s="28">
        <v>500000</v>
      </c>
      <c r="F80" s="25">
        <v>532.76</v>
      </c>
      <c r="G80" s="25">
        <v>0.72</v>
      </c>
      <c r="H80" s="25">
        <v>4.8899999999999997</v>
      </c>
    </row>
    <row r="81" spans="2:10">
      <c r="B81" s="23" t="s">
        <v>487</v>
      </c>
      <c r="C81" s="23" t="s">
        <v>488</v>
      </c>
      <c r="D81" s="23" t="s">
        <v>431</v>
      </c>
      <c r="E81" s="28">
        <v>417200</v>
      </c>
      <c r="F81" s="25">
        <v>391.98</v>
      </c>
      <c r="G81" s="25">
        <v>0.53</v>
      </c>
      <c r="H81" s="25">
        <v>7.16</v>
      </c>
    </row>
    <row r="82" spans="2:10">
      <c r="B82" s="52" t="s">
        <v>590</v>
      </c>
      <c r="C82" s="52" t="s">
        <v>591</v>
      </c>
      <c r="D82" s="52" t="s">
        <v>431</v>
      </c>
      <c r="E82" s="53">
        <v>800</v>
      </c>
      <c r="F82" s="54">
        <v>0.86</v>
      </c>
      <c r="G82" s="54">
        <v>0</v>
      </c>
      <c r="H82" s="54">
        <v>7.15</v>
      </c>
    </row>
    <row r="83" spans="2:10">
      <c r="B83" s="55" t="s">
        <v>110</v>
      </c>
      <c r="C83" s="55"/>
      <c r="D83" s="55"/>
      <c r="E83" s="56"/>
      <c r="F83" s="57">
        <f>SUM(F66:F82)</f>
        <v>35177.079999999994</v>
      </c>
      <c r="G83" s="57">
        <f>SUM(G66:G82)</f>
        <v>47.67</v>
      </c>
      <c r="H83" s="57"/>
      <c r="I83" s="14"/>
      <c r="J83" s="14"/>
    </row>
    <row r="84" spans="2:10">
      <c r="B84" s="47" t="s">
        <v>111</v>
      </c>
      <c r="C84" s="23"/>
      <c r="D84" s="23"/>
      <c r="E84" s="24"/>
      <c r="F84" s="25"/>
      <c r="G84" s="25"/>
      <c r="H84" s="25"/>
    </row>
    <row r="85" spans="2:10">
      <c r="B85" s="23" t="s">
        <v>111</v>
      </c>
      <c r="C85" s="23"/>
      <c r="D85" s="23"/>
      <c r="E85" s="24"/>
      <c r="F85" s="25">
        <v>6763.06</v>
      </c>
      <c r="G85" s="25">
        <v>9.19</v>
      </c>
      <c r="H85" s="25"/>
    </row>
    <row r="86" spans="2:10">
      <c r="B86" s="30" t="s">
        <v>109</v>
      </c>
      <c r="C86" s="30"/>
      <c r="D86" s="30"/>
      <c r="E86" s="31"/>
      <c r="F86" s="32">
        <f>SUM(F84:F85)</f>
        <v>6763.06</v>
      </c>
      <c r="G86" s="32">
        <f>SUM(G84:G85)</f>
        <v>9.19</v>
      </c>
      <c r="H86" s="48"/>
      <c r="I86" s="14"/>
      <c r="J86" s="14"/>
    </row>
    <row r="87" spans="2:10">
      <c r="B87" s="34" t="s">
        <v>110</v>
      </c>
      <c r="C87" s="34"/>
      <c r="D87" s="34"/>
      <c r="E87" s="35"/>
      <c r="F87" s="36">
        <f>F86</f>
        <v>6763.06</v>
      </c>
      <c r="G87" s="36">
        <f>G86</f>
        <v>9.19</v>
      </c>
      <c r="H87" s="36"/>
      <c r="I87" s="14"/>
      <c r="J87" s="14"/>
    </row>
    <row r="88" spans="2:10">
      <c r="B88" s="44" t="s">
        <v>113</v>
      </c>
      <c r="C88" s="44"/>
      <c r="D88" s="44"/>
      <c r="E88" s="45"/>
      <c r="F88" s="16">
        <f>F89-(+F43+F59+F64+F83+F87)</f>
        <v>4944.820000000007</v>
      </c>
      <c r="G88" s="16">
        <f>G89-(+G43+G59+G64+G83+G87)</f>
        <v>6.6899999999999977</v>
      </c>
      <c r="H88" s="16"/>
      <c r="I88" s="14"/>
      <c r="J88" s="14"/>
    </row>
    <row r="89" spans="2:10">
      <c r="B89" s="44" t="s">
        <v>112</v>
      </c>
      <c r="C89" s="44"/>
      <c r="D89" s="44"/>
      <c r="E89" s="45"/>
      <c r="F89" s="16">
        <v>73787.27</v>
      </c>
      <c r="G89" s="16">
        <v>100</v>
      </c>
      <c r="H89" s="16"/>
      <c r="I89" s="14"/>
      <c r="J89" s="14"/>
    </row>
    <row r="91" spans="2:10">
      <c r="B91" s="14" t="s">
        <v>747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6"/>
  <sheetViews>
    <sheetView workbookViewId="0"/>
  </sheetViews>
  <sheetFormatPr defaultRowHeight="12"/>
  <cols>
    <col min="1" max="1" width="9.140625" style="1"/>
    <col min="2" max="2" width="54" style="1" bestFit="1" customWidth="1"/>
    <col min="3" max="3" width="12.7109375" style="1" bestFit="1" customWidth="1"/>
    <col min="4" max="4" width="14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10" ht="21" customHeight="1">
      <c r="B1" s="82" t="s">
        <v>22</v>
      </c>
      <c r="C1" s="83"/>
      <c r="D1" s="83"/>
      <c r="E1" s="83"/>
      <c r="F1" s="83"/>
      <c r="G1" s="83"/>
      <c r="H1" s="83"/>
    </row>
    <row r="3" spans="2:10" ht="16.5" thickBot="1">
      <c r="B3" s="2" t="s">
        <v>7</v>
      </c>
      <c r="C3" s="3"/>
      <c r="D3" s="4"/>
      <c r="E3" s="5"/>
      <c r="F3" s="6"/>
      <c r="G3" s="6"/>
    </row>
    <row r="4" spans="2:10" ht="24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10">
      <c r="B5" s="58" t="s">
        <v>428</v>
      </c>
      <c r="C5" s="18"/>
      <c r="D5" s="18"/>
      <c r="E5" s="19"/>
      <c r="F5" s="20"/>
      <c r="G5" s="20"/>
      <c r="H5" s="20"/>
    </row>
    <row r="6" spans="2:10">
      <c r="B6" s="23" t="s">
        <v>592</v>
      </c>
      <c r="C6" s="23" t="s">
        <v>593</v>
      </c>
      <c r="D6" s="23" t="s">
        <v>431</v>
      </c>
      <c r="E6" s="28">
        <v>1500000</v>
      </c>
      <c r="F6" s="25">
        <v>1550.06</v>
      </c>
      <c r="G6" s="25">
        <v>48.58</v>
      </c>
      <c r="H6" s="25">
        <v>6.09</v>
      </c>
    </row>
    <row r="7" spans="2:10">
      <c r="B7" s="52" t="s">
        <v>594</v>
      </c>
      <c r="C7" s="52" t="s">
        <v>595</v>
      </c>
      <c r="D7" s="52" t="s">
        <v>431</v>
      </c>
      <c r="E7" s="53">
        <v>1000000</v>
      </c>
      <c r="F7" s="54">
        <v>1069.8800000000001</v>
      </c>
      <c r="G7" s="54">
        <v>33.53</v>
      </c>
      <c r="H7" s="54">
        <v>5.78</v>
      </c>
    </row>
    <row r="8" spans="2:10">
      <c r="B8" s="55" t="s">
        <v>110</v>
      </c>
      <c r="C8" s="55"/>
      <c r="D8" s="55"/>
      <c r="E8" s="56"/>
      <c r="F8" s="57">
        <f>SUM(F6:F7)</f>
        <v>2619.94</v>
      </c>
      <c r="G8" s="57">
        <f>SUM(G6:G7)</f>
        <v>82.11</v>
      </c>
      <c r="H8" s="57"/>
      <c r="I8" s="14"/>
      <c r="J8" s="14"/>
    </row>
    <row r="9" spans="2:10">
      <c r="B9" s="47" t="s">
        <v>111</v>
      </c>
      <c r="C9" s="23"/>
      <c r="D9" s="23"/>
      <c r="E9" s="24"/>
      <c r="F9" s="25"/>
      <c r="G9" s="25"/>
      <c r="H9" s="25"/>
    </row>
    <row r="10" spans="2:10">
      <c r="B10" s="23" t="s">
        <v>111</v>
      </c>
      <c r="C10" s="23"/>
      <c r="D10" s="23"/>
      <c r="E10" s="24"/>
      <c r="F10" s="25">
        <v>539.86</v>
      </c>
      <c r="G10" s="25">
        <v>16.920000000000002</v>
      </c>
      <c r="H10" s="25"/>
    </row>
    <row r="11" spans="2:10">
      <c r="B11" s="30" t="s">
        <v>109</v>
      </c>
      <c r="C11" s="30"/>
      <c r="D11" s="30"/>
      <c r="E11" s="31"/>
      <c r="F11" s="32">
        <f>SUM(F9:F10)</f>
        <v>539.86</v>
      </c>
      <c r="G11" s="32">
        <f>SUM(G9:G10)</f>
        <v>16.920000000000002</v>
      </c>
      <c r="H11" s="48"/>
      <c r="I11" s="14"/>
      <c r="J11" s="14"/>
    </row>
    <row r="12" spans="2:10">
      <c r="B12" s="34" t="s">
        <v>110</v>
      </c>
      <c r="C12" s="34"/>
      <c r="D12" s="34"/>
      <c r="E12" s="35"/>
      <c r="F12" s="36">
        <f>F11</f>
        <v>539.86</v>
      </c>
      <c r="G12" s="36">
        <f>G11</f>
        <v>16.920000000000002</v>
      </c>
      <c r="H12" s="36"/>
      <c r="I12" s="14"/>
      <c r="J12" s="14"/>
    </row>
    <row r="13" spans="2:10">
      <c r="B13" s="44" t="s">
        <v>113</v>
      </c>
      <c r="C13" s="44"/>
      <c r="D13" s="44"/>
      <c r="E13" s="45"/>
      <c r="F13" s="16">
        <f>F14-(+F8+F12)</f>
        <v>30.669999999999618</v>
      </c>
      <c r="G13" s="16">
        <f>G14-(+G8+G12)</f>
        <v>0.96999999999999886</v>
      </c>
      <c r="H13" s="16"/>
      <c r="I13" s="14"/>
      <c r="J13" s="14"/>
    </row>
    <row r="14" spans="2:10">
      <c r="B14" s="44" t="s">
        <v>112</v>
      </c>
      <c r="C14" s="44"/>
      <c r="D14" s="44"/>
      <c r="E14" s="45"/>
      <c r="F14" s="16">
        <v>3190.47</v>
      </c>
      <c r="G14" s="16">
        <v>100</v>
      </c>
      <c r="H14" s="16"/>
      <c r="I14" s="14"/>
      <c r="J14" s="14"/>
    </row>
    <row r="16" spans="2:10">
      <c r="B16" s="14"/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41"/>
  <sheetViews>
    <sheetView workbookViewId="0"/>
  </sheetViews>
  <sheetFormatPr defaultRowHeight="12"/>
  <cols>
    <col min="1" max="1" width="9.140625" style="1"/>
    <col min="2" max="2" width="54.140625" style="1" bestFit="1" customWidth="1"/>
    <col min="3" max="3" width="13.7109375" style="1" bestFit="1" customWidth="1"/>
    <col min="4" max="4" width="14.140625" style="1" bestFit="1" customWidth="1"/>
    <col min="5" max="5" width="9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10" ht="21" customHeight="1">
      <c r="B1" s="82" t="s">
        <v>23</v>
      </c>
      <c r="C1" s="83"/>
      <c r="D1" s="83"/>
      <c r="E1" s="83"/>
      <c r="F1" s="83"/>
      <c r="G1" s="83"/>
      <c r="H1" s="83"/>
    </row>
    <row r="3" spans="2:10" ht="16.5" thickBot="1">
      <c r="B3" s="2" t="s">
        <v>7</v>
      </c>
      <c r="C3" s="3"/>
      <c r="D3" s="4"/>
      <c r="E3" s="5"/>
      <c r="F3" s="6"/>
      <c r="G3" s="6"/>
    </row>
    <row r="4" spans="2:10" ht="24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10">
      <c r="B5" s="58" t="s">
        <v>224</v>
      </c>
      <c r="C5" s="18"/>
      <c r="D5" s="18"/>
      <c r="E5" s="19"/>
      <c r="F5" s="20"/>
      <c r="G5" s="20"/>
      <c r="H5" s="20"/>
    </row>
    <row r="6" spans="2:10">
      <c r="B6" s="47" t="s">
        <v>31</v>
      </c>
      <c r="C6" s="23"/>
      <c r="D6" s="23"/>
      <c r="E6" s="24"/>
      <c r="F6" s="25"/>
      <c r="G6" s="25"/>
      <c r="H6" s="25"/>
    </row>
    <row r="7" spans="2:10">
      <c r="B7" s="23" t="s">
        <v>543</v>
      </c>
      <c r="C7" s="23" t="s">
        <v>544</v>
      </c>
      <c r="D7" s="23" t="s">
        <v>227</v>
      </c>
      <c r="E7" s="28">
        <v>450</v>
      </c>
      <c r="F7" s="25">
        <v>4509.49</v>
      </c>
      <c r="G7" s="25">
        <v>2.35</v>
      </c>
      <c r="H7" s="25">
        <v>3.64</v>
      </c>
    </row>
    <row r="8" spans="2:10">
      <c r="B8" s="30" t="s">
        <v>109</v>
      </c>
      <c r="C8" s="30"/>
      <c r="D8" s="30"/>
      <c r="E8" s="31"/>
      <c r="F8" s="32">
        <f>SUM(F6:F7)</f>
        <v>4509.49</v>
      </c>
      <c r="G8" s="32">
        <f>SUM(G6:G7)</f>
        <v>2.35</v>
      </c>
      <c r="H8" s="48"/>
      <c r="I8" s="14"/>
      <c r="J8" s="14"/>
    </row>
    <row r="9" spans="2:10">
      <c r="B9" s="49" t="s">
        <v>110</v>
      </c>
      <c r="C9" s="49"/>
      <c r="D9" s="49"/>
      <c r="E9" s="50"/>
      <c r="F9" s="51">
        <f>F8</f>
        <v>4509.49</v>
      </c>
      <c r="G9" s="51">
        <f>G8</f>
        <v>2.35</v>
      </c>
      <c r="H9" s="51"/>
      <c r="I9" s="14"/>
      <c r="J9" s="14"/>
    </row>
    <row r="10" spans="2:10">
      <c r="B10" s="47" t="s">
        <v>470</v>
      </c>
      <c r="C10" s="23"/>
      <c r="D10" s="23"/>
      <c r="E10" s="24"/>
      <c r="F10" s="25"/>
      <c r="G10" s="25"/>
      <c r="H10" s="25"/>
    </row>
    <row r="11" spans="2:10">
      <c r="B11" s="47" t="s">
        <v>547</v>
      </c>
      <c r="C11" s="23"/>
      <c r="D11" s="23"/>
      <c r="E11" s="24"/>
      <c r="F11" s="25"/>
      <c r="G11" s="25"/>
      <c r="H11" s="25"/>
    </row>
    <row r="12" spans="2:10">
      <c r="B12" s="23" t="s">
        <v>596</v>
      </c>
      <c r="C12" s="23" t="s">
        <v>597</v>
      </c>
      <c r="D12" s="23" t="s">
        <v>550</v>
      </c>
      <c r="E12" s="28">
        <v>10000</v>
      </c>
      <c r="F12" s="25">
        <v>9980.0300000000007</v>
      </c>
      <c r="G12" s="25">
        <v>5.2</v>
      </c>
      <c r="H12" s="25">
        <v>3.32</v>
      </c>
    </row>
    <row r="13" spans="2:10">
      <c r="B13" s="47" t="s">
        <v>109</v>
      </c>
      <c r="C13" s="47"/>
      <c r="D13" s="47"/>
      <c r="E13" s="59"/>
      <c r="F13" s="57">
        <f>SUM(F11:F12)</f>
        <v>9980.0300000000007</v>
      </c>
      <c r="G13" s="57">
        <f>SUM(G11:G12)</f>
        <v>5.2</v>
      </c>
      <c r="H13" s="60"/>
      <c r="I13" s="14"/>
      <c r="J13" s="14"/>
    </row>
    <row r="14" spans="2:10">
      <c r="B14" s="47" t="s">
        <v>558</v>
      </c>
      <c r="C14" s="23"/>
      <c r="D14" s="23"/>
      <c r="E14" s="24"/>
      <c r="F14" s="25"/>
      <c r="G14" s="25"/>
      <c r="H14" s="25"/>
    </row>
    <row r="15" spans="2:10">
      <c r="B15" s="23" t="s">
        <v>749</v>
      </c>
      <c r="C15" s="23" t="s">
        <v>598</v>
      </c>
      <c r="D15" s="23" t="s">
        <v>550</v>
      </c>
      <c r="E15" s="28">
        <v>3000</v>
      </c>
      <c r="F15" s="25">
        <v>14988.9</v>
      </c>
      <c r="G15" s="25">
        <v>7.82</v>
      </c>
      <c r="H15" s="25">
        <v>3.38</v>
      </c>
    </row>
    <row r="16" spans="2:10">
      <c r="B16" s="23" t="s">
        <v>750</v>
      </c>
      <c r="C16" s="23" t="s">
        <v>599</v>
      </c>
      <c r="D16" s="23" t="s">
        <v>553</v>
      </c>
      <c r="E16" s="28">
        <v>3000</v>
      </c>
      <c r="F16" s="25">
        <v>14984.73</v>
      </c>
      <c r="G16" s="25">
        <v>7.81</v>
      </c>
      <c r="H16" s="25">
        <v>3.38</v>
      </c>
    </row>
    <row r="17" spans="2:10">
      <c r="B17" s="23" t="s">
        <v>751</v>
      </c>
      <c r="C17" s="23" t="s">
        <v>600</v>
      </c>
      <c r="D17" s="23" t="s">
        <v>550</v>
      </c>
      <c r="E17" s="28">
        <v>3000</v>
      </c>
      <c r="F17" s="25">
        <v>14965.16</v>
      </c>
      <c r="G17" s="25">
        <v>7.8</v>
      </c>
      <c r="H17" s="25">
        <v>3.4</v>
      </c>
    </row>
    <row r="18" spans="2:10">
      <c r="B18" s="23" t="s">
        <v>752</v>
      </c>
      <c r="C18" s="23" t="s">
        <v>601</v>
      </c>
      <c r="D18" s="23" t="s">
        <v>550</v>
      </c>
      <c r="E18" s="28">
        <v>2500</v>
      </c>
      <c r="F18" s="25">
        <v>12490.83</v>
      </c>
      <c r="G18" s="25">
        <v>6.51</v>
      </c>
      <c r="H18" s="25">
        <v>3.35</v>
      </c>
    </row>
    <row r="19" spans="2:10">
      <c r="B19" s="23" t="s">
        <v>753</v>
      </c>
      <c r="C19" s="23" t="s">
        <v>602</v>
      </c>
      <c r="D19" s="23" t="s">
        <v>603</v>
      </c>
      <c r="E19" s="28">
        <v>2000</v>
      </c>
      <c r="F19" s="25">
        <v>9999.1</v>
      </c>
      <c r="G19" s="25">
        <v>5.21</v>
      </c>
      <c r="H19" s="25">
        <v>3.29</v>
      </c>
    </row>
    <row r="20" spans="2:10">
      <c r="B20" s="23" t="s">
        <v>754</v>
      </c>
      <c r="C20" s="23" t="s">
        <v>604</v>
      </c>
      <c r="D20" s="23" t="s">
        <v>553</v>
      </c>
      <c r="E20" s="28">
        <v>2000</v>
      </c>
      <c r="F20" s="25">
        <v>9990.75</v>
      </c>
      <c r="G20" s="25">
        <v>5.21</v>
      </c>
      <c r="H20" s="25">
        <v>3.38</v>
      </c>
    </row>
    <row r="21" spans="2:10">
      <c r="B21" s="23" t="s">
        <v>755</v>
      </c>
      <c r="C21" s="23" t="s">
        <v>605</v>
      </c>
      <c r="D21" s="23" t="s">
        <v>550</v>
      </c>
      <c r="E21" s="28">
        <v>1000</v>
      </c>
      <c r="F21" s="25">
        <v>4973.51</v>
      </c>
      <c r="G21" s="25">
        <v>2.59</v>
      </c>
      <c r="H21" s="25">
        <v>3.6</v>
      </c>
    </row>
    <row r="22" spans="2:10">
      <c r="B22" s="47" t="s">
        <v>109</v>
      </c>
      <c r="C22" s="47"/>
      <c r="D22" s="47"/>
      <c r="E22" s="59"/>
      <c r="F22" s="57">
        <f>SUM(F14:F21)</f>
        <v>82392.98</v>
      </c>
      <c r="G22" s="57">
        <f>SUM(G14:G21)</f>
        <v>42.95</v>
      </c>
      <c r="H22" s="60"/>
      <c r="I22" s="14"/>
      <c r="J22" s="14"/>
    </row>
    <row r="23" spans="2:10">
      <c r="B23" s="47" t="s">
        <v>471</v>
      </c>
      <c r="C23" s="23"/>
      <c r="D23" s="23"/>
      <c r="E23" s="24"/>
      <c r="F23" s="25"/>
      <c r="G23" s="25"/>
      <c r="H23" s="25"/>
    </row>
    <row r="24" spans="2:10">
      <c r="B24" s="23" t="s">
        <v>606</v>
      </c>
      <c r="C24" s="23" t="s">
        <v>607</v>
      </c>
      <c r="D24" s="23" t="s">
        <v>474</v>
      </c>
      <c r="E24" s="28">
        <v>20000000</v>
      </c>
      <c r="F24" s="25">
        <v>19992.7</v>
      </c>
      <c r="G24" s="25">
        <v>10.43</v>
      </c>
      <c r="H24" s="25">
        <v>3.33</v>
      </c>
    </row>
    <row r="25" spans="2:10">
      <c r="B25" s="23" t="s">
        <v>608</v>
      </c>
      <c r="C25" s="23" t="s">
        <v>609</v>
      </c>
      <c r="D25" s="23" t="s">
        <v>474</v>
      </c>
      <c r="E25" s="28">
        <v>20000000</v>
      </c>
      <c r="F25" s="25">
        <v>19942.12</v>
      </c>
      <c r="G25" s="25">
        <v>10.4</v>
      </c>
      <c r="H25" s="25">
        <v>3.31</v>
      </c>
    </row>
    <row r="26" spans="2:10">
      <c r="B26" s="23" t="s">
        <v>610</v>
      </c>
      <c r="C26" s="23" t="s">
        <v>611</v>
      </c>
      <c r="D26" s="23" t="s">
        <v>474</v>
      </c>
      <c r="E26" s="28">
        <v>13000000</v>
      </c>
      <c r="F26" s="25">
        <v>12986.88</v>
      </c>
      <c r="G26" s="25">
        <v>6.77</v>
      </c>
      <c r="H26" s="25">
        <v>3.35</v>
      </c>
    </row>
    <row r="27" spans="2:10">
      <c r="B27" s="23" t="s">
        <v>612</v>
      </c>
      <c r="C27" s="23" t="s">
        <v>613</v>
      </c>
      <c r="D27" s="23" t="s">
        <v>474</v>
      </c>
      <c r="E27" s="28">
        <v>10000000</v>
      </c>
      <c r="F27" s="25">
        <v>9996.33</v>
      </c>
      <c r="G27" s="25">
        <v>5.21</v>
      </c>
      <c r="H27" s="25">
        <v>3.35</v>
      </c>
    </row>
    <row r="28" spans="2:10">
      <c r="B28" s="23" t="s">
        <v>614</v>
      </c>
      <c r="C28" s="23" t="s">
        <v>615</v>
      </c>
      <c r="D28" s="23" t="s">
        <v>474</v>
      </c>
      <c r="E28" s="28">
        <v>10000000</v>
      </c>
      <c r="F28" s="25">
        <v>9977.5499999999993</v>
      </c>
      <c r="G28" s="25">
        <v>5.2</v>
      </c>
      <c r="H28" s="25">
        <v>3.29</v>
      </c>
    </row>
    <row r="29" spans="2:10">
      <c r="B29" s="23" t="s">
        <v>472</v>
      </c>
      <c r="C29" s="23" t="s">
        <v>473</v>
      </c>
      <c r="D29" s="23" t="s">
        <v>474</v>
      </c>
      <c r="E29" s="28">
        <v>5000000</v>
      </c>
      <c r="F29" s="25">
        <v>4979.29</v>
      </c>
      <c r="G29" s="25">
        <v>2.6</v>
      </c>
      <c r="H29" s="25">
        <v>3.3</v>
      </c>
    </row>
    <row r="30" spans="2:10">
      <c r="B30" s="23" t="s">
        <v>616</v>
      </c>
      <c r="C30" s="23" t="s">
        <v>617</v>
      </c>
      <c r="D30" s="23" t="s">
        <v>474</v>
      </c>
      <c r="E30" s="28">
        <v>4500000</v>
      </c>
      <c r="F30" s="25">
        <v>4484.09</v>
      </c>
      <c r="G30" s="25">
        <v>2.34</v>
      </c>
      <c r="H30" s="25">
        <v>3.32</v>
      </c>
    </row>
    <row r="31" spans="2:10">
      <c r="B31" s="30" t="s">
        <v>109</v>
      </c>
      <c r="C31" s="30"/>
      <c r="D31" s="30"/>
      <c r="E31" s="31"/>
      <c r="F31" s="32">
        <f>SUM(F23:F30)</f>
        <v>82358.959999999992</v>
      </c>
      <c r="G31" s="32">
        <f>SUM(G23:G30)</f>
        <v>42.95</v>
      </c>
      <c r="H31" s="48"/>
      <c r="I31" s="14"/>
      <c r="J31" s="14"/>
    </row>
    <row r="32" spans="2:10">
      <c r="B32" s="49" t="s">
        <v>110</v>
      </c>
      <c r="C32" s="49"/>
      <c r="D32" s="49"/>
      <c r="E32" s="50"/>
      <c r="F32" s="51">
        <f>F13+F22+F31</f>
        <v>174731.96999999997</v>
      </c>
      <c r="G32" s="51">
        <f>G13+G22+G31</f>
        <v>91.100000000000009</v>
      </c>
      <c r="H32" s="51"/>
      <c r="I32" s="14"/>
      <c r="J32" s="14"/>
    </row>
    <row r="33" spans="2:10">
      <c r="B33" s="47" t="s">
        <v>111</v>
      </c>
      <c r="C33" s="23"/>
      <c r="D33" s="23"/>
      <c r="E33" s="24"/>
      <c r="F33" s="25"/>
      <c r="G33" s="25"/>
      <c r="H33" s="25"/>
    </row>
    <row r="34" spans="2:10">
      <c r="B34" s="23" t="s">
        <v>111</v>
      </c>
      <c r="C34" s="23"/>
      <c r="D34" s="23"/>
      <c r="E34" s="24"/>
      <c r="F34" s="25">
        <v>11813.35</v>
      </c>
      <c r="G34" s="25">
        <v>6.16</v>
      </c>
      <c r="H34" s="25"/>
    </row>
    <row r="35" spans="2:10">
      <c r="B35" s="30" t="s">
        <v>109</v>
      </c>
      <c r="C35" s="30"/>
      <c r="D35" s="30"/>
      <c r="E35" s="31"/>
      <c r="F35" s="32">
        <f>SUM(F33:F34)</f>
        <v>11813.35</v>
      </c>
      <c r="G35" s="32">
        <f>SUM(G33:G34)</f>
        <v>6.16</v>
      </c>
      <c r="H35" s="48"/>
      <c r="I35" s="14"/>
      <c r="J35" s="14"/>
    </row>
    <row r="36" spans="2:10">
      <c r="B36" s="34" t="s">
        <v>110</v>
      </c>
      <c r="C36" s="34"/>
      <c r="D36" s="34"/>
      <c r="E36" s="35"/>
      <c r="F36" s="36">
        <f>F35</f>
        <v>11813.35</v>
      </c>
      <c r="G36" s="36">
        <f>G35</f>
        <v>6.16</v>
      </c>
      <c r="H36" s="36"/>
      <c r="I36" s="14"/>
      <c r="J36" s="14"/>
    </row>
    <row r="37" spans="2:10">
      <c r="B37" s="44" t="s">
        <v>113</v>
      </c>
      <c r="C37" s="44"/>
      <c r="D37" s="44"/>
      <c r="E37" s="45"/>
      <c r="F37" s="16">
        <f>F38-(+F9+F32+F36)</f>
        <v>714.23000000003958</v>
      </c>
      <c r="G37" s="16">
        <f>G38-(+G9+G32+G36)</f>
        <v>0.39000000000000057</v>
      </c>
      <c r="H37" s="16"/>
      <c r="I37" s="14"/>
      <c r="J37" s="14"/>
    </row>
    <row r="38" spans="2:10">
      <c r="B38" s="44" t="s">
        <v>112</v>
      </c>
      <c r="C38" s="44"/>
      <c r="D38" s="44"/>
      <c r="E38" s="45"/>
      <c r="F38" s="16">
        <v>191769.04</v>
      </c>
      <c r="G38" s="16">
        <v>100</v>
      </c>
      <c r="H38" s="16"/>
      <c r="I38" s="14"/>
      <c r="J38" s="14"/>
    </row>
    <row r="40" spans="2:10">
      <c r="B40" s="14" t="s">
        <v>747</v>
      </c>
    </row>
    <row r="41" spans="2:10">
      <c r="B41" s="14" t="s">
        <v>579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50"/>
  <sheetViews>
    <sheetView workbookViewId="0"/>
  </sheetViews>
  <sheetFormatPr defaultRowHeight="12"/>
  <cols>
    <col min="1" max="1" width="9.140625" style="1"/>
    <col min="2" max="2" width="57.140625" style="1" bestFit="1" customWidth="1"/>
    <col min="3" max="3" width="13.7109375" style="1" bestFit="1" customWidth="1"/>
    <col min="4" max="4" width="14.140625" style="1" bestFit="1" customWidth="1"/>
    <col min="5" max="5" width="9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10" ht="21" customHeight="1">
      <c r="B1" s="82" t="s">
        <v>24</v>
      </c>
      <c r="C1" s="83"/>
      <c r="D1" s="83"/>
      <c r="E1" s="83"/>
      <c r="F1" s="83"/>
      <c r="G1" s="83"/>
      <c r="H1" s="83"/>
    </row>
    <row r="3" spans="2:10" ht="16.5" thickBot="1">
      <c r="B3" s="2" t="s">
        <v>7</v>
      </c>
      <c r="C3" s="3"/>
      <c r="D3" s="4"/>
      <c r="E3" s="5"/>
      <c r="F3" s="6"/>
      <c r="G3" s="6"/>
    </row>
    <row r="4" spans="2:10" ht="24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10">
      <c r="B5" s="58" t="s">
        <v>224</v>
      </c>
      <c r="C5" s="18"/>
      <c r="D5" s="18"/>
      <c r="E5" s="19"/>
      <c r="F5" s="20"/>
      <c r="G5" s="20"/>
      <c r="H5" s="20"/>
    </row>
    <row r="6" spans="2:10">
      <c r="B6" s="47" t="s">
        <v>31</v>
      </c>
      <c r="C6" s="23"/>
      <c r="D6" s="23"/>
      <c r="E6" s="24"/>
      <c r="F6" s="25"/>
      <c r="G6" s="25"/>
      <c r="H6" s="25"/>
    </row>
    <row r="7" spans="2:10">
      <c r="B7" s="23" t="s">
        <v>519</v>
      </c>
      <c r="C7" s="23" t="s">
        <v>520</v>
      </c>
      <c r="D7" s="23" t="s">
        <v>227</v>
      </c>
      <c r="E7" s="28">
        <v>450</v>
      </c>
      <c r="F7" s="25">
        <v>4547.3</v>
      </c>
      <c r="G7" s="25">
        <v>6.82</v>
      </c>
      <c r="H7" s="25">
        <v>3.68</v>
      </c>
    </row>
    <row r="8" spans="2:10">
      <c r="B8" s="23" t="s">
        <v>403</v>
      </c>
      <c r="C8" s="23" t="s">
        <v>404</v>
      </c>
      <c r="D8" s="23" t="s">
        <v>227</v>
      </c>
      <c r="E8" s="28">
        <v>300</v>
      </c>
      <c r="F8" s="25">
        <v>3004.7</v>
      </c>
      <c r="G8" s="25">
        <v>4.51</v>
      </c>
      <c r="H8" s="25">
        <v>3.66</v>
      </c>
    </row>
    <row r="9" spans="2:10">
      <c r="B9" s="23" t="s">
        <v>387</v>
      </c>
      <c r="C9" s="23" t="s">
        <v>388</v>
      </c>
      <c r="D9" s="23" t="s">
        <v>227</v>
      </c>
      <c r="E9" s="28">
        <v>250</v>
      </c>
      <c r="F9" s="25">
        <v>2521.15</v>
      </c>
      <c r="G9" s="25">
        <v>3.78</v>
      </c>
      <c r="H9" s="25">
        <v>3.7</v>
      </c>
    </row>
    <row r="10" spans="2:10">
      <c r="B10" s="23" t="s">
        <v>618</v>
      </c>
      <c r="C10" s="23" t="s">
        <v>619</v>
      </c>
      <c r="D10" s="23" t="s">
        <v>227</v>
      </c>
      <c r="E10" s="28">
        <v>100</v>
      </c>
      <c r="F10" s="25">
        <v>1013.35</v>
      </c>
      <c r="G10" s="25">
        <v>1.52</v>
      </c>
      <c r="H10" s="25">
        <v>3.59</v>
      </c>
    </row>
    <row r="11" spans="2:10">
      <c r="B11" s="23" t="s">
        <v>620</v>
      </c>
      <c r="C11" s="23" t="s">
        <v>621</v>
      </c>
      <c r="D11" s="23" t="s">
        <v>227</v>
      </c>
      <c r="E11" s="28">
        <v>100</v>
      </c>
      <c r="F11" s="25">
        <v>1011.63</v>
      </c>
      <c r="G11" s="25">
        <v>1.52</v>
      </c>
      <c r="H11" s="25">
        <v>3.71</v>
      </c>
    </row>
    <row r="12" spans="2:10">
      <c r="B12" s="23" t="s">
        <v>622</v>
      </c>
      <c r="C12" s="23" t="s">
        <v>623</v>
      </c>
      <c r="D12" s="23" t="s">
        <v>227</v>
      </c>
      <c r="E12" s="28">
        <v>50</v>
      </c>
      <c r="F12" s="25">
        <v>514.05999999999995</v>
      </c>
      <c r="G12" s="25">
        <v>0.77</v>
      </c>
      <c r="H12" s="25">
        <v>4.22</v>
      </c>
    </row>
    <row r="13" spans="2:10">
      <c r="B13" s="23" t="s">
        <v>525</v>
      </c>
      <c r="C13" s="23" t="s">
        <v>526</v>
      </c>
      <c r="D13" s="23" t="s">
        <v>227</v>
      </c>
      <c r="E13" s="28">
        <v>50</v>
      </c>
      <c r="F13" s="25">
        <v>504.94</v>
      </c>
      <c r="G13" s="25">
        <v>0.76</v>
      </c>
      <c r="H13" s="25">
        <v>3.7</v>
      </c>
    </row>
    <row r="14" spans="2:10">
      <c r="B14" s="23" t="s">
        <v>373</v>
      </c>
      <c r="C14" s="23" t="s">
        <v>374</v>
      </c>
      <c r="D14" s="23" t="s">
        <v>227</v>
      </c>
      <c r="E14" s="28">
        <v>50</v>
      </c>
      <c r="F14" s="25">
        <v>503.05</v>
      </c>
      <c r="G14" s="25">
        <v>0.75</v>
      </c>
      <c r="H14" s="25">
        <v>3.51</v>
      </c>
    </row>
    <row r="15" spans="2:10">
      <c r="B15" s="23" t="s">
        <v>624</v>
      </c>
      <c r="C15" s="23" t="s">
        <v>625</v>
      </c>
      <c r="D15" s="23" t="s">
        <v>417</v>
      </c>
      <c r="E15" s="28">
        <v>20</v>
      </c>
      <c r="F15" s="25">
        <v>202.35</v>
      </c>
      <c r="G15" s="25">
        <v>0.3</v>
      </c>
      <c r="H15" s="25">
        <v>2.7</v>
      </c>
    </row>
    <row r="16" spans="2:10">
      <c r="B16" s="30" t="s">
        <v>109</v>
      </c>
      <c r="C16" s="30"/>
      <c r="D16" s="30"/>
      <c r="E16" s="31"/>
      <c r="F16" s="32">
        <f>SUM(F6:F15)</f>
        <v>13822.529999999999</v>
      </c>
      <c r="G16" s="32">
        <f>SUM(G6:G15)</f>
        <v>20.73</v>
      </c>
      <c r="H16" s="48"/>
      <c r="I16" s="14"/>
      <c r="J16" s="14"/>
    </row>
    <row r="17" spans="2:10">
      <c r="B17" s="49" t="s">
        <v>110</v>
      </c>
      <c r="C17" s="49"/>
      <c r="D17" s="49"/>
      <c r="E17" s="50"/>
      <c r="F17" s="51">
        <f>F16</f>
        <v>13822.529999999999</v>
      </c>
      <c r="G17" s="51">
        <f>G16</f>
        <v>20.73</v>
      </c>
      <c r="H17" s="51"/>
      <c r="I17" s="14"/>
      <c r="J17" s="14"/>
    </row>
    <row r="18" spans="2:10">
      <c r="B18" s="47" t="s">
        <v>470</v>
      </c>
      <c r="C18" s="23"/>
      <c r="D18" s="23"/>
      <c r="E18" s="24"/>
      <c r="F18" s="25"/>
      <c r="G18" s="25"/>
      <c r="H18" s="25"/>
    </row>
    <row r="19" spans="2:10">
      <c r="B19" s="47" t="s">
        <v>547</v>
      </c>
      <c r="C19" s="23"/>
      <c r="D19" s="23"/>
      <c r="E19" s="24"/>
      <c r="F19" s="25"/>
      <c r="G19" s="25"/>
      <c r="H19" s="25"/>
    </row>
    <row r="20" spans="2:10">
      <c r="B20" s="23" t="s">
        <v>626</v>
      </c>
      <c r="C20" s="23" t="s">
        <v>627</v>
      </c>
      <c r="D20" s="23" t="s">
        <v>550</v>
      </c>
      <c r="E20" s="28">
        <v>2500</v>
      </c>
      <c r="F20" s="25">
        <v>2489.3000000000002</v>
      </c>
      <c r="G20" s="25">
        <v>3.73</v>
      </c>
      <c r="H20" s="25">
        <v>3.34</v>
      </c>
    </row>
    <row r="21" spans="2:10">
      <c r="B21" s="23" t="s">
        <v>548</v>
      </c>
      <c r="C21" s="23" t="s">
        <v>549</v>
      </c>
      <c r="D21" s="23" t="s">
        <v>550</v>
      </c>
      <c r="E21" s="28">
        <v>2500</v>
      </c>
      <c r="F21" s="25">
        <v>2480.9899999999998</v>
      </c>
      <c r="G21" s="25">
        <v>3.72</v>
      </c>
      <c r="H21" s="25">
        <v>3.41</v>
      </c>
    </row>
    <row r="22" spans="2:10">
      <c r="B22" s="23" t="s">
        <v>556</v>
      </c>
      <c r="C22" s="23" t="s">
        <v>557</v>
      </c>
      <c r="D22" s="23" t="s">
        <v>553</v>
      </c>
      <c r="E22" s="28">
        <v>2500</v>
      </c>
      <c r="F22" s="25">
        <v>2421.4899999999998</v>
      </c>
      <c r="G22" s="25">
        <v>3.63</v>
      </c>
      <c r="H22" s="25">
        <v>3.88</v>
      </c>
    </row>
    <row r="23" spans="2:10">
      <c r="B23" s="47" t="s">
        <v>109</v>
      </c>
      <c r="C23" s="47"/>
      <c r="D23" s="47"/>
      <c r="E23" s="59"/>
      <c r="F23" s="57">
        <f>SUM(F19:F22)</f>
        <v>7391.78</v>
      </c>
      <c r="G23" s="57">
        <f>SUM(G19:G22)</f>
        <v>11.08</v>
      </c>
      <c r="H23" s="60"/>
      <c r="I23" s="14"/>
      <c r="J23" s="14"/>
    </row>
    <row r="24" spans="2:10">
      <c r="B24" s="47" t="s">
        <v>558</v>
      </c>
      <c r="C24" s="23"/>
      <c r="D24" s="23"/>
      <c r="E24" s="24"/>
      <c r="F24" s="25"/>
      <c r="G24" s="25"/>
      <c r="H24" s="25"/>
    </row>
    <row r="25" spans="2:10">
      <c r="B25" s="23" t="s">
        <v>748</v>
      </c>
      <c r="C25" s="23" t="s">
        <v>628</v>
      </c>
      <c r="D25" s="23" t="s">
        <v>550</v>
      </c>
      <c r="E25" s="28">
        <v>500</v>
      </c>
      <c r="F25" s="25">
        <v>2498.17</v>
      </c>
      <c r="G25" s="25">
        <v>3.75</v>
      </c>
      <c r="H25" s="25">
        <v>3.35</v>
      </c>
    </row>
    <row r="26" spans="2:10">
      <c r="B26" s="23" t="s">
        <v>756</v>
      </c>
      <c r="C26" s="23" t="s">
        <v>560</v>
      </c>
      <c r="D26" s="23" t="s">
        <v>550</v>
      </c>
      <c r="E26" s="28">
        <v>500</v>
      </c>
      <c r="F26" s="25">
        <v>2404.5300000000002</v>
      </c>
      <c r="G26" s="25">
        <v>3.61</v>
      </c>
      <c r="H26" s="25">
        <v>4.26</v>
      </c>
    </row>
    <row r="27" spans="2:10">
      <c r="B27" s="47" t="s">
        <v>109</v>
      </c>
      <c r="C27" s="47"/>
      <c r="D27" s="47"/>
      <c r="E27" s="59"/>
      <c r="F27" s="57">
        <f>SUM(F24:F26)</f>
        <v>4902.7000000000007</v>
      </c>
      <c r="G27" s="57">
        <f>SUM(G24:G26)</f>
        <v>7.3599999999999994</v>
      </c>
      <c r="H27" s="60"/>
      <c r="I27" s="14"/>
      <c r="J27" s="14"/>
    </row>
    <row r="28" spans="2:10">
      <c r="B28" s="47" t="s">
        <v>471</v>
      </c>
      <c r="C28" s="23"/>
      <c r="D28" s="23"/>
      <c r="E28" s="24"/>
      <c r="F28" s="25"/>
      <c r="G28" s="25"/>
      <c r="H28" s="25"/>
    </row>
    <row r="29" spans="2:10">
      <c r="B29" s="23" t="s">
        <v>629</v>
      </c>
      <c r="C29" s="23" t="s">
        <v>630</v>
      </c>
      <c r="D29" s="23" t="s">
        <v>474</v>
      </c>
      <c r="E29" s="28">
        <v>10000000</v>
      </c>
      <c r="F29" s="25">
        <v>9931.74</v>
      </c>
      <c r="G29" s="25">
        <v>14.9</v>
      </c>
      <c r="H29" s="25">
        <v>3.39</v>
      </c>
    </row>
    <row r="30" spans="2:10">
      <c r="B30" s="23" t="s">
        <v>631</v>
      </c>
      <c r="C30" s="23" t="s">
        <v>632</v>
      </c>
      <c r="D30" s="23" t="s">
        <v>474</v>
      </c>
      <c r="E30" s="28">
        <v>5000000</v>
      </c>
      <c r="F30" s="25">
        <v>4991.91</v>
      </c>
      <c r="G30" s="25">
        <v>7.49</v>
      </c>
      <c r="H30" s="25">
        <v>3.29</v>
      </c>
    </row>
    <row r="31" spans="2:10">
      <c r="B31" s="23" t="s">
        <v>563</v>
      </c>
      <c r="C31" s="23" t="s">
        <v>564</v>
      </c>
      <c r="D31" s="23" t="s">
        <v>474</v>
      </c>
      <c r="E31" s="28">
        <v>5000000</v>
      </c>
      <c r="F31" s="25">
        <v>4931.5200000000004</v>
      </c>
      <c r="G31" s="25">
        <v>7.4</v>
      </c>
      <c r="H31" s="25">
        <v>3.52</v>
      </c>
    </row>
    <row r="32" spans="2:10">
      <c r="B32" s="23" t="s">
        <v>633</v>
      </c>
      <c r="C32" s="23" t="s">
        <v>634</v>
      </c>
      <c r="D32" s="23" t="s">
        <v>474</v>
      </c>
      <c r="E32" s="28">
        <v>5000000</v>
      </c>
      <c r="F32" s="25">
        <v>4893.74</v>
      </c>
      <c r="G32" s="25">
        <v>7.34</v>
      </c>
      <c r="H32" s="25">
        <v>3.57</v>
      </c>
    </row>
    <row r="33" spans="2:10">
      <c r="B33" s="23" t="s">
        <v>612</v>
      </c>
      <c r="C33" s="23" t="s">
        <v>613</v>
      </c>
      <c r="D33" s="23" t="s">
        <v>474</v>
      </c>
      <c r="E33" s="28">
        <v>2500000</v>
      </c>
      <c r="F33" s="25">
        <v>2499.08</v>
      </c>
      <c r="G33" s="25">
        <v>3.75</v>
      </c>
      <c r="H33" s="25">
        <v>3.35</v>
      </c>
    </row>
    <row r="34" spans="2:10">
      <c r="B34" s="23" t="s">
        <v>635</v>
      </c>
      <c r="C34" s="23" t="s">
        <v>636</v>
      </c>
      <c r="D34" s="23" t="s">
        <v>474</v>
      </c>
      <c r="E34" s="28">
        <v>2500000</v>
      </c>
      <c r="F34" s="25">
        <v>2472.79</v>
      </c>
      <c r="G34" s="25">
        <v>3.71</v>
      </c>
      <c r="H34" s="25">
        <v>3.46</v>
      </c>
    </row>
    <row r="35" spans="2:10">
      <c r="B35" s="23" t="s">
        <v>637</v>
      </c>
      <c r="C35" s="23" t="s">
        <v>638</v>
      </c>
      <c r="D35" s="23" t="s">
        <v>474</v>
      </c>
      <c r="E35" s="28">
        <v>500000</v>
      </c>
      <c r="F35" s="25">
        <v>498.88</v>
      </c>
      <c r="G35" s="25">
        <v>0.75</v>
      </c>
      <c r="H35" s="25">
        <v>3.28</v>
      </c>
    </row>
    <row r="36" spans="2:10">
      <c r="B36" s="30" t="s">
        <v>109</v>
      </c>
      <c r="C36" s="30"/>
      <c r="D36" s="30"/>
      <c r="E36" s="31"/>
      <c r="F36" s="32">
        <f>SUM(F28:F35)</f>
        <v>30219.66</v>
      </c>
      <c r="G36" s="32">
        <f>SUM(G28:G35)</f>
        <v>45.339999999999996</v>
      </c>
      <c r="H36" s="48"/>
      <c r="I36" s="14"/>
      <c r="J36" s="14"/>
    </row>
    <row r="37" spans="2:10">
      <c r="B37" s="49" t="s">
        <v>110</v>
      </c>
      <c r="C37" s="49"/>
      <c r="D37" s="49"/>
      <c r="E37" s="50"/>
      <c r="F37" s="51">
        <f>F23+F27+F36</f>
        <v>42514.14</v>
      </c>
      <c r="G37" s="51">
        <f>G23+G27+G36</f>
        <v>63.779999999999994</v>
      </c>
      <c r="H37" s="51"/>
      <c r="I37" s="14"/>
      <c r="J37" s="14"/>
    </row>
    <row r="38" spans="2:10">
      <c r="B38" s="47" t="s">
        <v>428</v>
      </c>
      <c r="C38" s="23"/>
      <c r="D38" s="23"/>
      <c r="E38" s="24"/>
      <c r="F38" s="25"/>
      <c r="G38" s="25"/>
      <c r="H38" s="25"/>
    </row>
    <row r="39" spans="2:10">
      <c r="B39" s="23" t="s">
        <v>440</v>
      </c>
      <c r="C39" s="23" t="s">
        <v>441</v>
      </c>
      <c r="D39" s="23" t="s">
        <v>431</v>
      </c>
      <c r="E39" s="28">
        <v>2500000</v>
      </c>
      <c r="F39" s="25">
        <v>2534.87</v>
      </c>
      <c r="G39" s="25">
        <v>3.8</v>
      </c>
      <c r="H39" s="25">
        <v>3.54</v>
      </c>
    </row>
    <row r="40" spans="2:10">
      <c r="B40" s="52" t="s">
        <v>573</v>
      </c>
      <c r="C40" s="52" t="s">
        <v>574</v>
      </c>
      <c r="D40" s="52" t="s">
        <v>431</v>
      </c>
      <c r="E40" s="53">
        <v>1500000</v>
      </c>
      <c r="F40" s="54">
        <v>1557.2</v>
      </c>
      <c r="G40" s="54">
        <v>2.34</v>
      </c>
      <c r="H40" s="54">
        <v>3.98</v>
      </c>
    </row>
    <row r="41" spans="2:10">
      <c r="B41" s="55" t="s">
        <v>110</v>
      </c>
      <c r="C41" s="55"/>
      <c r="D41" s="55"/>
      <c r="E41" s="56"/>
      <c r="F41" s="57">
        <f>SUM(F39:F40)</f>
        <v>4092.0699999999997</v>
      </c>
      <c r="G41" s="57">
        <f>SUM(G39:G40)</f>
        <v>6.14</v>
      </c>
      <c r="H41" s="57"/>
      <c r="I41" s="14"/>
      <c r="J41" s="14"/>
    </row>
    <row r="42" spans="2:10">
      <c r="B42" s="47" t="s">
        <v>111</v>
      </c>
      <c r="C42" s="23"/>
      <c r="D42" s="23"/>
      <c r="E42" s="24"/>
      <c r="F42" s="25"/>
      <c r="G42" s="25"/>
      <c r="H42" s="25"/>
    </row>
    <row r="43" spans="2:10">
      <c r="B43" s="23" t="s">
        <v>111</v>
      </c>
      <c r="C43" s="23"/>
      <c r="D43" s="23"/>
      <c r="E43" s="24"/>
      <c r="F43" s="25">
        <v>5260.9</v>
      </c>
      <c r="G43" s="25">
        <v>7.8910027958769806</v>
      </c>
      <c r="H43" s="25"/>
    </row>
    <row r="44" spans="2:10">
      <c r="B44" s="30" t="s">
        <v>109</v>
      </c>
      <c r="C44" s="30"/>
      <c r="D44" s="30"/>
      <c r="E44" s="31"/>
      <c r="F44" s="32">
        <f>SUM(F42:F43)</f>
        <v>5260.9</v>
      </c>
      <c r="G44" s="32">
        <f>SUM(G42:G43)</f>
        <v>7.8910027958769806</v>
      </c>
      <c r="H44" s="48"/>
      <c r="I44" s="14"/>
      <c r="J44" s="14"/>
    </row>
    <row r="45" spans="2:10">
      <c r="B45" s="34" t="s">
        <v>110</v>
      </c>
      <c r="C45" s="34"/>
      <c r="D45" s="34"/>
      <c r="E45" s="35"/>
      <c r="F45" s="36">
        <f>F44</f>
        <v>5260.9</v>
      </c>
      <c r="G45" s="36">
        <f>G44</f>
        <v>7.8910027958769806</v>
      </c>
      <c r="H45" s="36"/>
      <c r="I45" s="14"/>
      <c r="J45" s="14"/>
    </row>
    <row r="46" spans="2:10">
      <c r="B46" s="44" t="s">
        <v>113</v>
      </c>
      <c r="C46" s="44"/>
      <c r="D46" s="44"/>
      <c r="E46" s="45"/>
      <c r="F46" s="16">
        <f>F47-(+F17+F37+F41+F45)</f>
        <v>979.9600000000064</v>
      </c>
      <c r="G46" s="16">
        <f>G47-(+G17+G37+G41+G45)</f>
        <v>1.4589972041230226</v>
      </c>
      <c r="H46" s="16"/>
      <c r="I46" s="14"/>
      <c r="J46" s="14"/>
    </row>
    <row r="47" spans="2:10">
      <c r="B47" s="44" t="s">
        <v>112</v>
      </c>
      <c r="C47" s="44"/>
      <c r="D47" s="44"/>
      <c r="E47" s="45"/>
      <c r="F47" s="16">
        <v>66669.600000000006</v>
      </c>
      <c r="G47" s="16">
        <v>100</v>
      </c>
      <c r="H47" s="16"/>
      <c r="I47" s="14"/>
      <c r="J47" s="14"/>
    </row>
    <row r="49" spans="2:2">
      <c r="B49" s="14" t="s">
        <v>747</v>
      </c>
    </row>
    <row r="50" spans="2:2">
      <c r="B50" s="14" t="s">
        <v>579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2"/>
  <sheetViews>
    <sheetView workbookViewId="0">
      <selection activeCell="F4" sqref="F4"/>
    </sheetView>
  </sheetViews>
  <sheetFormatPr defaultRowHeight="12"/>
  <cols>
    <col min="1" max="1" width="9.140625" style="1"/>
    <col min="2" max="2" width="54" style="1" bestFit="1" customWidth="1"/>
    <col min="3" max="3" width="4.140625" style="1" bestFit="1" customWidth="1"/>
    <col min="4" max="4" width="14.140625" style="1" bestFit="1" customWidth="1"/>
    <col min="5" max="5" width="7.710937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9" ht="21" customHeight="1">
      <c r="B1" s="82" t="s">
        <v>25</v>
      </c>
      <c r="C1" s="83"/>
      <c r="D1" s="83"/>
      <c r="E1" s="83"/>
      <c r="F1" s="83"/>
      <c r="G1" s="83"/>
    </row>
    <row r="3" spans="2:9" ht="16.5" thickBot="1">
      <c r="B3" s="2" t="s">
        <v>7</v>
      </c>
      <c r="C3" s="3"/>
      <c r="D3" s="4"/>
      <c r="E3" s="5"/>
      <c r="F3" s="6"/>
      <c r="G3" s="6"/>
    </row>
    <row r="4" spans="2:9" ht="24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9">
      <c r="B5" s="17" t="s">
        <v>111</v>
      </c>
      <c r="C5" s="18"/>
      <c r="D5" s="18"/>
      <c r="E5" s="19"/>
      <c r="F5" s="20"/>
      <c r="G5" s="20"/>
    </row>
    <row r="6" spans="2:9">
      <c r="B6" s="27" t="s">
        <v>111</v>
      </c>
      <c r="C6" s="23"/>
      <c r="D6" s="23"/>
      <c r="E6" s="24"/>
      <c r="F6" s="25">
        <v>11692.02</v>
      </c>
      <c r="G6" s="25">
        <v>99.442063955120162</v>
      </c>
    </row>
    <row r="7" spans="2:9">
      <c r="B7" s="29" t="s">
        <v>109</v>
      </c>
      <c r="C7" s="30"/>
      <c r="D7" s="30"/>
      <c r="E7" s="31"/>
      <c r="F7" s="32">
        <f>SUM(F5:F6)</f>
        <v>11692.02</v>
      </c>
      <c r="G7" s="32">
        <f>SUM(G5:G6)</f>
        <v>99.442063955120162</v>
      </c>
      <c r="H7" s="14"/>
      <c r="I7" s="14"/>
    </row>
    <row r="8" spans="2:9">
      <c r="B8" s="34" t="s">
        <v>110</v>
      </c>
      <c r="C8" s="34"/>
      <c r="D8" s="34"/>
      <c r="E8" s="35"/>
      <c r="F8" s="36">
        <f>F7</f>
        <v>11692.02</v>
      </c>
      <c r="G8" s="36">
        <f>G7</f>
        <v>99.442063955120162</v>
      </c>
      <c r="H8" s="14"/>
      <c r="I8" s="14"/>
    </row>
    <row r="9" spans="2:9">
      <c r="B9" s="44" t="s">
        <v>113</v>
      </c>
      <c r="C9" s="44"/>
      <c r="D9" s="44"/>
      <c r="E9" s="45"/>
      <c r="F9" s="16">
        <f>F10-(+F8)</f>
        <v>65.600000000000364</v>
      </c>
      <c r="G9" s="16">
        <f>G10-(+G8)</f>
        <v>0.55793604487983828</v>
      </c>
      <c r="H9" s="14"/>
      <c r="I9" s="14"/>
    </row>
    <row r="10" spans="2:9">
      <c r="B10" s="44" t="s">
        <v>112</v>
      </c>
      <c r="C10" s="44"/>
      <c r="D10" s="44"/>
      <c r="E10" s="45"/>
      <c r="F10" s="16">
        <v>11757.62</v>
      </c>
      <c r="G10" s="16">
        <v>100</v>
      </c>
      <c r="H10" s="14"/>
      <c r="I10" s="14"/>
    </row>
    <row r="12" spans="2:9">
      <c r="B12" s="14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76"/>
  <sheetViews>
    <sheetView workbookViewId="0"/>
  </sheetViews>
  <sheetFormatPr defaultRowHeight="12"/>
  <cols>
    <col min="1" max="1" width="9.140625" style="1"/>
    <col min="2" max="2" width="60.28515625" style="1" bestFit="1" customWidth="1"/>
    <col min="3" max="3" width="13.7109375" style="1" bestFit="1" customWidth="1"/>
    <col min="4" max="4" width="14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>
      <c r="B1" s="82" t="s">
        <v>26</v>
      </c>
      <c r="C1" s="83"/>
      <c r="D1" s="83"/>
      <c r="E1" s="83"/>
      <c r="F1" s="83"/>
      <c r="G1" s="83"/>
      <c r="H1" s="83"/>
    </row>
    <row r="3" spans="2:8" ht="16.5" thickBot="1">
      <c r="B3" s="2" t="s">
        <v>7</v>
      </c>
      <c r="C3" s="3"/>
      <c r="D3" s="4"/>
      <c r="E3" s="5"/>
      <c r="F3" s="6"/>
      <c r="G3" s="6"/>
    </row>
    <row r="4" spans="2:8" ht="24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>
      <c r="B5" s="58" t="s">
        <v>224</v>
      </c>
      <c r="C5" s="18"/>
      <c r="D5" s="18"/>
      <c r="E5" s="19"/>
      <c r="F5" s="20"/>
      <c r="G5" s="20"/>
      <c r="H5" s="20"/>
    </row>
    <row r="6" spans="2:8">
      <c r="B6" s="47" t="s">
        <v>31</v>
      </c>
      <c r="C6" s="23"/>
      <c r="D6" s="23"/>
      <c r="E6" s="24"/>
      <c r="F6" s="25"/>
      <c r="G6" s="25"/>
      <c r="H6" s="25"/>
    </row>
    <row r="7" spans="2:8">
      <c r="B7" s="23" t="s">
        <v>639</v>
      </c>
      <c r="C7" s="23" t="s">
        <v>640</v>
      </c>
      <c r="D7" s="23" t="s">
        <v>227</v>
      </c>
      <c r="E7" s="28">
        <v>650</v>
      </c>
      <c r="F7" s="25">
        <v>6566.33</v>
      </c>
      <c r="G7" s="25">
        <v>6.37</v>
      </c>
      <c r="H7" s="25">
        <v>4.25</v>
      </c>
    </row>
    <row r="8" spans="2:8">
      <c r="B8" s="23" t="s">
        <v>413</v>
      </c>
      <c r="C8" s="23" t="s">
        <v>414</v>
      </c>
      <c r="D8" s="23" t="s">
        <v>227</v>
      </c>
      <c r="E8" s="28">
        <v>450</v>
      </c>
      <c r="F8" s="25">
        <v>4658.1000000000004</v>
      </c>
      <c r="G8" s="25">
        <v>4.5199999999999996</v>
      </c>
      <c r="H8" s="25">
        <v>4.3600000000000003</v>
      </c>
    </row>
    <row r="9" spans="2:8">
      <c r="B9" s="23" t="s">
        <v>641</v>
      </c>
      <c r="C9" s="23" t="s">
        <v>642</v>
      </c>
      <c r="D9" s="23" t="s">
        <v>370</v>
      </c>
      <c r="E9" s="28">
        <v>350</v>
      </c>
      <c r="F9" s="25">
        <v>3619.36</v>
      </c>
      <c r="G9" s="25">
        <v>3.51</v>
      </c>
      <c r="H9" s="25">
        <v>4.47</v>
      </c>
    </row>
    <row r="10" spans="2:8">
      <c r="B10" s="23" t="s">
        <v>381</v>
      </c>
      <c r="C10" s="23" t="s">
        <v>382</v>
      </c>
      <c r="D10" s="23" t="s">
        <v>227</v>
      </c>
      <c r="E10" s="28">
        <v>350</v>
      </c>
      <c r="F10" s="25">
        <v>3618.93</v>
      </c>
      <c r="G10" s="25">
        <v>3.51</v>
      </c>
      <c r="H10" s="25">
        <v>4.34</v>
      </c>
    </row>
    <row r="11" spans="2:8">
      <c r="B11" s="23" t="s">
        <v>643</v>
      </c>
      <c r="C11" s="23" t="s">
        <v>644</v>
      </c>
      <c r="D11" s="23" t="s">
        <v>227</v>
      </c>
      <c r="E11" s="28">
        <v>250</v>
      </c>
      <c r="F11" s="25">
        <v>2597.9</v>
      </c>
      <c r="G11" s="25">
        <v>2.52</v>
      </c>
      <c r="H11" s="25">
        <v>4.7300000000000004</v>
      </c>
    </row>
    <row r="12" spans="2:8">
      <c r="B12" s="23" t="s">
        <v>645</v>
      </c>
      <c r="C12" s="23" t="s">
        <v>646</v>
      </c>
      <c r="D12" s="23" t="s">
        <v>227</v>
      </c>
      <c r="E12" s="28">
        <v>250</v>
      </c>
      <c r="F12" s="25">
        <v>2596</v>
      </c>
      <c r="G12" s="25">
        <v>2.52</v>
      </c>
      <c r="H12" s="25">
        <v>4.62</v>
      </c>
    </row>
    <row r="13" spans="2:8">
      <c r="B13" s="23" t="s">
        <v>537</v>
      </c>
      <c r="C13" s="23" t="s">
        <v>538</v>
      </c>
      <c r="D13" s="23" t="s">
        <v>227</v>
      </c>
      <c r="E13" s="28">
        <v>250</v>
      </c>
      <c r="F13" s="25">
        <v>2576.7800000000002</v>
      </c>
      <c r="G13" s="25">
        <v>2.5</v>
      </c>
      <c r="H13" s="25">
        <v>4.1399999999999997</v>
      </c>
    </row>
    <row r="14" spans="2:8">
      <c r="B14" s="23" t="s">
        <v>377</v>
      </c>
      <c r="C14" s="23" t="s">
        <v>378</v>
      </c>
      <c r="D14" s="23" t="s">
        <v>227</v>
      </c>
      <c r="E14" s="28">
        <v>250</v>
      </c>
      <c r="F14" s="25">
        <v>2574.31</v>
      </c>
      <c r="G14" s="25">
        <v>2.5</v>
      </c>
      <c r="H14" s="25">
        <v>4.13</v>
      </c>
    </row>
    <row r="15" spans="2:8">
      <c r="B15" s="23" t="s">
        <v>647</v>
      </c>
      <c r="C15" s="23" t="s">
        <v>648</v>
      </c>
      <c r="D15" s="23" t="s">
        <v>227</v>
      </c>
      <c r="E15" s="28">
        <v>250</v>
      </c>
      <c r="F15" s="25">
        <v>2572.7800000000002</v>
      </c>
      <c r="G15" s="25">
        <v>2.5</v>
      </c>
      <c r="H15" s="25">
        <v>4.29</v>
      </c>
    </row>
    <row r="16" spans="2:8">
      <c r="B16" s="23" t="s">
        <v>649</v>
      </c>
      <c r="C16" s="23" t="s">
        <v>650</v>
      </c>
      <c r="D16" s="23" t="s">
        <v>227</v>
      </c>
      <c r="E16" s="28">
        <v>250</v>
      </c>
      <c r="F16" s="25">
        <v>2548.5300000000002</v>
      </c>
      <c r="G16" s="25">
        <v>2.4700000000000002</v>
      </c>
      <c r="H16" s="25">
        <v>5.95</v>
      </c>
    </row>
    <row r="17" spans="2:8">
      <c r="B17" s="23" t="s">
        <v>651</v>
      </c>
      <c r="C17" s="23" t="s">
        <v>652</v>
      </c>
      <c r="D17" s="23" t="s">
        <v>227</v>
      </c>
      <c r="E17" s="28">
        <v>250</v>
      </c>
      <c r="F17" s="25">
        <v>2536.1999999999998</v>
      </c>
      <c r="G17" s="25">
        <v>2.46</v>
      </c>
      <c r="H17" s="25">
        <v>4.58</v>
      </c>
    </row>
    <row r="18" spans="2:8">
      <c r="B18" s="23" t="s">
        <v>653</v>
      </c>
      <c r="C18" s="23" t="s">
        <v>654</v>
      </c>
      <c r="D18" s="23" t="s">
        <v>227</v>
      </c>
      <c r="E18" s="28">
        <v>200</v>
      </c>
      <c r="F18" s="25">
        <v>2083.7399999999998</v>
      </c>
      <c r="G18" s="25">
        <v>2.02</v>
      </c>
      <c r="H18" s="25">
        <v>5.87</v>
      </c>
    </row>
    <row r="19" spans="2:8">
      <c r="B19" s="23" t="s">
        <v>655</v>
      </c>
      <c r="C19" s="23" t="s">
        <v>656</v>
      </c>
      <c r="D19" s="23" t="s">
        <v>417</v>
      </c>
      <c r="E19" s="28">
        <v>200</v>
      </c>
      <c r="F19" s="25">
        <v>2056.04</v>
      </c>
      <c r="G19" s="25">
        <v>1.99</v>
      </c>
      <c r="H19" s="25">
        <v>3.95</v>
      </c>
    </row>
    <row r="20" spans="2:8">
      <c r="B20" s="23" t="s">
        <v>527</v>
      </c>
      <c r="C20" s="23" t="s">
        <v>528</v>
      </c>
      <c r="D20" s="23" t="s">
        <v>417</v>
      </c>
      <c r="E20" s="28">
        <v>200</v>
      </c>
      <c r="F20" s="25">
        <v>1993.99</v>
      </c>
      <c r="G20" s="25">
        <v>1.93</v>
      </c>
      <c r="H20" s="25">
        <v>4.71</v>
      </c>
    </row>
    <row r="21" spans="2:8">
      <c r="B21" s="23" t="s">
        <v>411</v>
      </c>
      <c r="C21" s="23" t="s">
        <v>412</v>
      </c>
      <c r="D21" s="23" t="s">
        <v>227</v>
      </c>
      <c r="E21" s="28">
        <v>150</v>
      </c>
      <c r="F21" s="25">
        <v>1586.07</v>
      </c>
      <c r="G21" s="25">
        <v>1.54</v>
      </c>
      <c r="H21" s="25">
        <v>5.77</v>
      </c>
    </row>
    <row r="22" spans="2:8">
      <c r="B22" s="23" t="s">
        <v>582</v>
      </c>
      <c r="C22" s="23" t="s">
        <v>583</v>
      </c>
      <c r="D22" s="23" t="s">
        <v>227</v>
      </c>
      <c r="E22" s="28">
        <v>150</v>
      </c>
      <c r="F22" s="25">
        <v>1577.01</v>
      </c>
      <c r="G22" s="25">
        <v>1.53</v>
      </c>
      <c r="H22" s="25">
        <v>5.55</v>
      </c>
    </row>
    <row r="23" spans="2:8">
      <c r="B23" s="23" t="s">
        <v>657</v>
      </c>
      <c r="C23" s="23" t="s">
        <v>658</v>
      </c>
      <c r="D23" s="23" t="s">
        <v>227</v>
      </c>
      <c r="E23" s="28">
        <v>150</v>
      </c>
      <c r="F23" s="25">
        <v>1549.86</v>
      </c>
      <c r="G23" s="25">
        <v>1.5</v>
      </c>
      <c r="H23" s="25">
        <v>4.0999999999999996</v>
      </c>
    </row>
    <row r="24" spans="2:8">
      <c r="B24" s="23" t="s">
        <v>659</v>
      </c>
      <c r="C24" s="23" t="s">
        <v>660</v>
      </c>
      <c r="D24" s="23" t="s">
        <v>370</v>
      </c>
      <c r="E24" s="28">
        <v>150</v>
      </c>
      <c r="F24" s="25">
        <v>1545.03</v>
      </c>
      <c r="G24" s="25">
        <v>1.5</v>
      </c>
      <c r="H24" s="25">
        <v>4.09</v>
      </c>
    </row>
    <row r="25" spans="2:8">
      <c r="B25" s="23" t="s">
        <v>661</v>
      </c>
      <c r="C25" s="23" t="s">
        <v>662</v>
      </c>
      <c r="D25" s="23" t="s">
        <v>227</v>
      </c>
      <c r="E25" s="28">
        <v>150</v>
      </c>
      <c r="F25" s="25">
        <v>1540.15</v>
      </c>
      <c r="G25" s="25">
        <v>1.49</v>
      </c>
      <c r="H25" s="25">
        <v>3.93</v>
      </c>
    </row>
    <row r="26" spans="2:8">
      <c r="B26" s="23" t="s">
        <v>663</v>
      </c>
      <c r="C26" s="23" t="s">
        <v>664</v>
      </c>
      <c r="D26" s="23" t="s">
        <v>227</v>
      </c>
      <c r="E26" s="28">
        <v>150</v>
      </c>
      <c r="F26" s="25">
        <v>1515.38</v>
      </c>
      <c r="G26" s="25">
        <v>1.47</v>
      </c>
      <c r="H26" s="25">
        <v>4.8600000000000003</v>
      </c>
    </row>
    <row r="27" spans="2:8">
      <c r="B27" s="23" t="s">
        <v>389</v>
      </c>
      <c r="C27" s="23" t="s">
        <v>390</v>
      </c>
      <c r="D27" s="23" t="s">
        <v>227</v>
      </c>
      <c r="E27" s="28">
        <v>150</v>
      </c>
      <c r="F27" s="25">
        <v>1506.46</v>
      </c>
      <c r="G27" s="25">
        <v>1.46</v>
      </c>
      <c r="H27" s="25">
        <v>3.57</v>
      </c>
    </row>
    <row r="28" spans="2:8">
      <c r="B28" s="23" t="s">
        <v>665</v>
      </c>
      <c r="C28" s="23" t="s">
        <v>666</v>
      </c>
      <c r="D28" s="23" t="s">
        <v>227</v>
      </c>
      <c r="E28" s="28">
        <v>100</v>
      </c>
      <c r="F28" s="25">
        <v>1053.4100000000001</v>
      </c>
      <c r="G28" s="25">
        <v>1.02</v>
      </c>
      <c r="H28" s="25">
        <v>5.27</v>
      </c>
    </row>
    <row r="29" spans="2:8">
      <c r="B29" s="23" t="s">
        <v>535</v>
      </c>
      <c r="C29" s="23" t="s">
        <v>536</v>
      </c>
      <c r="D29" s="23" t="s">
        <v>227</v>
      </c>
      <c r="E29" s="28">
        <v>100</v>
      </c>
      <c r="F29" s="25">
        <v>1038.3699999999999</v>
      </c>
      <c r="G29" s="25">
        <v>1.01</v>
      </c>
      <c r="H29" s="25">
        <v>4.3600000000000003</v>
      </c>
    </row>
    <row r="30" spans="2:8">
      <c r="B30" s="23" t="s">
        <v>533</v>
      </c>
      <c r="C30" s="23" t="s">
        <v>534</v>
      </c>
      <c r="D30" s="23" t="s">
        <v>227</v>
      </c>
      <c r="E30" s="28">
        <v>100</v>
      </c>
      <c r="F30" s="25">
        <v>1031.54</v>
      </c>
      <c r="G30" s="25">
        <v>1</v>
      </c>
      <c r="H30" s="25">
        <v>3.93</v>
      </c>
    </row>
    <row r="31" spans="2:8">
      <c r="B31" s="23" t="s">
        <v>667</v>
      </c>
      <c r="C31" s="23" t="s">
        <v>668</v>
      </c>
      <c r="D31" s="23" t="s">
        <v>227</v>
      </c>
      <c r="E31" s="28">
        <v>100</v>
      </c>
      <c r="F31" s="25">
        <v>1029.67</v>
      </c>
      <c r="G31" s="25">
        <v>1</v>
      </c>
      <c r="H31" s="25">
        <v>4.01</v>
      </c>
    </row>
    <row r="32" spans="2:8">
      <c r="B32" s="23" t="s">
        <v>541</v>
      </c>
      <c r="C32" s="23" t="s">
        <v>542</v>
      </c>
      <c r="D32" s="23" t="s">
        <v>370</v>
      </c>
      <c r="E32" s="28">
        <v>100</v>
      </c>
      <c r="F32" s="25">
        <v>1028.4100000000001</v>
      </c>
      <c r="G32" s="25">
        <v>1</v>
      </c>
      <c r="H32" s="25">
        <v>4.09</v>
      </c>
    </row>
    <row r="33" spans="2:10">
      <c r="B33" s="23" t="s">
        <v>669</v>
      </c>
      <c r="C33" s="23" t="s">
        <v>670</v>
      </c>
      <c r="D33" s="23" t="s">
        <v>227</v>
      </c>
      <c r="E33" s="28">
        <v>100</v>
      </c>
      <c r="F33" s="25">
        <v>1009.88</v>
      </c>
      <c r="G33" s="25">
        <v>0.98</v>
      </c>
      <c r="H33" s="25">
        <v>3.64</v>
      </c>
    </row>
    <row r="34" spans="2:10">
      <c r="B34" s="23" t="s">
        <v>671</v>
      </c>
      <c r="C34" s="23" t="s">
        <v>672</v>
      </c>
      <c r="D34" s="23" t="s">
        <v>227</v>
      </c>
      <c r="E34" s="28">
        <v>70</v>
      </c>
      <c r="F34" s="25">
        <v>704.06</v>
      </c>
      <c r="G34" s="25">
        <v>0.68</v>
      </c>
      <c r="H34" s="25">
        <v>3.42</v>
      </c>
    </row>
    <row r="35" spans="2:10">
      <c r="B35" s="23" t="s">
        <v>673</v>
      </c>
      <c r="C35" s="23" t="s">
        <v>674</v>
      </c>
      <c r="D35" s="23" t="s">
        <v>227</v>
      </c>
      <c r="E35" s="28">
        <v>50</v>
      </c>
      <c r="F35" s="25">
        <v>550.55999999999995</v>
      </c>
      <c r="G35" s="25">
        <v>0.53</v>
      </c>
      <c r="H35" s="25">
        <v>6.27</v>
      </c>
    </row>
    <row r="36" spans="2:10">
      <c r="B36" s="23" t="s">
        <v>675</v>
      </c>
      <c r="C36" s="23" t="s">
        <v>676</v>
      </c>
      <c r="D36" s="23" t="s">
        <v>227</v>
      </c>
      <c r="E36" s="28">
        <v>50</v>
      </c>
      <c r="F36" s="25">
        <v>550.30999999999995</v>
      </c>
      <c r="G36" s="25">
        <v>0.53</v>
      </c>
      <c r="H36" s="25">
        <v>5.93</v>
      </c>
    </row>
    <row r="37" spans="2:10">
      <c r="B37" s="23" t="s">
        <v>391</v>
      </c>
      <c r="C37" s="23" t="s">
        <v>392</v>
      </c>
      <c r="D37" s="23" t="s">
        <v>227</v>
      </c>
      <c r="E37" s="28">
        <v>50</v>
      </c>
      <c r="F37" s="25">
        <v>533.22</v>
      </c>
      <c r="G37" s="25">
        <v>0.52</v>
      </c>
      <c r="H37" s="25">
        <v>5.48</v>
      </c>
    </row>
    <row r="38" spans="2:10">
      <c r="B38" s="23" t="s">
        <v>677</v>
      </c>
      <c r="C38" s="23" t="s">
        <v>678</v>
      </c>
      <c r="D38" s="23" t="s">
        <v>227</v>
      </c>
      <c r="E38" s="28">
        <v>50</v>
      </c>
      <c r="F38" s="25">
        <v>528.55999999999995</v>
      </c>
      <c r="G38" s="25">
        <v>0.51</v>
      </c>
      <c r="H38" s="25">
        <v>4.45</v>
      </c>
    </row>
    <row r="39" spans="2:10">
      <c r="B39" s="23" t="s">
        <v>679</v>
      </c>
      <c r="C39" s="23" t="s">
        <v>680</v>
      </c>
      <c r="D39" s="23" t="s">
        <v>227</v>
      </c>
      <c r="E39" s="28">
        <v>50</v>
      </c>
      <c r="F39" s="25">
        <v>518.15</v>
      </c>
      <c r="G39" s="25">
        <v>0.5</v>
      </c>
      <c r="H39" s="25">
        <v>4.22</v>
      </c>
    </row>
    <row r="40" spans="2:10">
      <c r="B40" s="23" t="s">
        <v>681</v>
      </c>
      <c r="C40" s="23" t="s">
        <v>682</v>
      </c>
      <c r="D40" s="23" t="s">
        <v>227</v>
      </c>
      <c r="E40" s="28">
        <v>50</v>
      </c>
      <c r="F40" s="25">
        <v>504.73</v>
      </c>
      <c r="G40" s="25">
        <v>0.49</v>
      </c>
      <c r="H40" s="25">
        <v>3.55</v>
      </c>
    </row>
    <row r="41" spans="2:10">
      <c r="B41" s="23" t="s">
        <v>529</v>
      </c>
      <c r="C41" s="23" t="s">
        <v>530</v>
      </c>
      <c r="D41" s="23" t="s">
        <v>227</v>
      </c>
      <c r="E41" s="28">
        <v>100</v>
      </c>
      <c r="F41" s="25">
        <v>319.41000000000003</v>
      </c>
      <c r="G41" s="25">
        <v>0.31</v>
      </c>
      <c r="H41" s="25">
        <v>5.25</v>
      </c>
    </row>
    <row r="42" spans="2:10">
      <c r="B42" s="23" t="s">
        <v>683</v>
      </c>
      <c r="C42" s="23" t="s">
        <v>684</v>
      </c>
      <c r="D42" s="23" t="s">
        <v>227</v>
      </c>
      <c r="E42" s="28">
        <v>10</v>
      </c>
      <c r="F42" s="25">
        <v>102.72</v>
      </c>
      <c r="G42" s="25">
        <v>0.1</v>
      </c>
      <c r="H42" s="25">
        <v>4.03</v>
      </c>
    </row>
    <row r="43" spans="2:10">
      <c r="B43" s="30" t="s">
        <v>109</v>
      </c>
      <c r="C43" s="30"/>
      <c r="D43" s="30"/>
      <c r="E43" s="31"/>
      <c r="F43" s="32">
        <f>SUM(F6:F42)</f>
        <v>63921.950000000004</v>
      </c>
      <c r="G43" s="32">
        <f>SUM(G6:G42)</f>
        <v>61.990000000000016</v>
      </c>
      <c r="H43" s="48"/>
      <c r="I43" s="14"/>
      <c r="J43" s="14"/>
    </row>
    <row r="44" spans="2:10">
      <c r="B44" s="49" t="s">
        <v>110</v>
      </c>
      <c r="C44" s="49"/>
      <c r="D44" s="49"/>
      <c r="E44" s="50"/>
      <c r="F44" s="51">
        <f>F43</f>
        <v>63921.950000000004</v>
      </c>
      <c r="G44" s="51">
        <f>G43</f>
        <v>61.990000000000016</v>
      </c>
      <c r="H44" s="51"/>
      <c r="I44" s="14"/>
      <c r="J44" s="14"/>
    </row>
    <row r="45" spans="2:10">
      <c r="B45" s="47" t="s">
        <v>470</v>
      </c>
      <c r="C45" s="23"/>
      <c r="D45" s="23"/>
      <c r="E45" s="24"/>
      <c r="F45" s="25"/>
      <c r="G45" s="25"/>
      <c r="H45" s="25"/>
    </row>
    <row r="46" spans="2:10">
      <c r="B46" s="47" t="s">
        <v>471</v>
      </c>
      <c r="C46" s="23"/>
      <c r="D46" s="23"/>
      <c r="E46" s="24"/>
      <c r="F46" s="25"/>
      <c r="G46" s="25"/>
      <c r="H46" s="25"/>
    </row>
    <row r="47" spans="2:10">
      <c r="B47" s="23" t="s">
        <v>685</v>
      </c>
      <c r="C47" s="23" t="s">
        <v>686</v>
      </c>
      <c r="D47" s="23" t="s">
        <v>474</v>
      </c>
      <c r="E47" s="28">
        <v>5000000</v>
      </c>
      <c r="F47" s="25">
        <v>4979.3599999999997</v>
      </c>
      <c r="G47" s="25">
        <v>4.83</v>
      </c>
      <c r="H47" s="25">
        <v>3.29</v>
      </c>
    </row>
    <row r="48" spans="2:10">
      <c r="B48" s="23" t="s">
        <v>687</v>
      </c>
      <c r="C48" s="23" t="s">
        <v>688</v>
      </c>
      <c r="D48" s="23" t="s">
        <v>474</v>
      </c>
      <c r="E48" s="28">
        <v>5000000</v>
      </c>
      <c r="F48" s="25">
        <v>4931.5200000000004</v>
      </c>
      <c r="G48" s="25">
        <v>4.78</v>
      </c>
      <c r="H48" s="25">
        <v>3.52</v>
      </c>
    </row>
    <row r="49" spans="2:10">
      <c r="B49" s="23" t="s">
        <v>629</v>
      </c>
      <c r="C49" s="23" t="s">
        <v>630</v>
      </c>
      <c r="D49" s="23" t="s">
        <v>474</v>
      </c>
      <c r="E49" s="28">
        <v>3800000</v>
      </c>
      <c r="F49" s="25">
        <v>3774.06</v>
      </c>
      <c r="G49" s="25">
        <v>3.66</v>
      </c>
      <c r="H49" s="25">
        <v>3.39</v>
      </c>
    </row>
    <row r="50" spans="2:10">
      <c r="B50" s="23" t="s">
        <v>606</v>
      </c>
      <c r="C50" s="23" t="s">
        <v>607</v>
      </c>
      <c r="D50" s="23" t="s">
        <v>474</v>
      </c>
      <c r="E50" s="28">
        <v>1000000</v>
      </c>
      <c r="F50" s="25">
        <v>999.64</v>
      </c>
      <c r="G50" s="25">
        <v>0.97</v>
      </c>
      <c r="H50" s="25">
        <v>3.33</v>
      </c>
    </row>
    <row r="51" spans="2:10">
      <c r="B51" s="30" t="s">
        <v>109</v>
      </c>
      <c r="C51" s="30"/>
      <c r="D51" s="30"/>
      <c r="E51" s="31"/>
      <c r="F51" s="32">
        <f>SUM(F46:F50)</f>
        <v>14684.58</v>
      </c>
      <c r="G51" s="32">
        <f>SUM(G46:G50)</f>
        <v>14.24</v>
      </c>
      <c r="H51" s="48"/>
      <c r="I51" s="14"/>
      <c r="J51" s="14"/>
    </row>
    <row r="52" spans="2:10">
      <c r="B52" s="49" t="s">
        <v>110</v>
      </c>
      <c r="C52" s="49"/>
      <c r="D52" s="49"/>
      <c r="E52" s="50"/>
      <c r="F52" s="51">
        <f>+F51</f>
        <v>14684.58</v>
      </c>
      <c r="G52" s="51">
        <f>+G51</f>
        <v>14.24</v>
      </c>
      <c r="H52" s="51"/>
      <c r="I52" s="14"/>
      <c r="J52" s="14"/>
    </row>
    <row r="53" spans="2:10">
      <c r="B53" s="47" t="s">
        <v>428</v>
      </c>
      <c r="C53" s="23"/>
      <c r="D53" s="23"/>
      <c r="E53" s="24"/>
      <c r="F53" s="25"/>
      <c r="G53" s="25"/>
      <c r="H53" s="25"/>
    </row>
    <row r="54" spans="2:10">
      <c r="B54" s="23" t="s">
        <v>485</v>
      </c>
      <c r="C54" s="23" t="s">
        <v>486</v>
      </c>
      <c r="D54" s="23" t="s">
        <v>431</v>
      </c>
      <c r="E54" s="28">
        <v>4000000</v>
      </c>
      <c r="F54" s="25">
        <v>3942.82</v>
      </c>
      <c r="G54" s="25">
        <v>3.82</v>
      </c>
      <c r="H54" s="25">
        <v>5.53</v>
      </c>
    </row>
    <row r="55" spans="2:10">
      <c r="B55" s="23" t="s">
        <v>429</v>
      </c>
      <c r="C55" s="23" t="s">
        <v>430</v>
      </c>
      <c r="D55" s="23" t="s">
        <v>431</v>
      </c>
      <c r="E55" s="28">
        <v>2250000</v>
      </c>
      <c r="F55" s="25">
        <v>2250.59</v>
      </c>
      <c r="G55" s="25">
        <v>2.1800000000000002</v>
      </c>
      <c r="H55" s="25">
        <v>4.46</v>
      </c>
    </row>
    <row r="56" spans="2:10">
      <c r="B56" s="23" t="s">
        <v>456</v>
      </c>
      <c r="C56" s="23" t="s">
        <v>457</v>
      </c>
      <c r="D56" s="23" t="s">
        <v>431</v>
      </c>
      <c r="E56" s="28">
        <v>2000000</v>
      </c>
      <c r="F56" s="25">
        <v>2131.0300000000002</v>
      </c>
      <c r="G56" s="25">
        <v>2.0699999999999998</v>
      </c>
      <c r="H56" s="25">
        <v>4.8899999999999997</v>
      </c>
    </row>
    <row r="57" spans="2:10">
      <c r="B57" s="23" t="s">
        <v>689</v>
      </c>
      <c r="C57" s="23" t="s">
        <v>690</v>
      </c>
      <c r="D57" s="23" t="s">
        <v>431</v>
      </c>
      <c r="E57" s="28">
        <v>2000000</v>
      </c>
      <c r="F57" s="25">
        <v>2124.92</v>
      </c>
      <c r="G57" s="25">
        <v>2.06</v>
      </c>
      <c r="H57" s="25">
        <v>4.6399999999999997</v>
      </c>
    </row>
    <row r="58" spans="2:10">
      <c r="B58" s="23" t="s">
        <v>691</v>
      </c>
      <c r="C58" s="23" t="s">
        <v>692</v>
      </c>
      <c r="D58" s="23" t="s">
        <v>431</v>
      </c>
      <c r="E58" s="28">
        <v>2000000</v>
      </c>
      <c r="F58" s="25">
        <v>2043.64</v>
      </c>
      <c r="G58" s="25">
        <v>1.98</v>
      </c>
      <c r="H58" s="25">
        <v>3.75</v>
      </c>
    </row>
    <row r="59" spans="2:10">
      <c r="B59" s="23" t="s">
        <v>693</v>
      </c>
      <c r="C59" s="23" t="s">
        <v>694</v>
      </c>
      <c r="D59" s="23" t="s">
        <v>431</v>
      </c>
      <c r="E59" s="28">
        <v>1000000</v>
      </c>
      <c r="F59" s="25">
        <v>1064.1400000000001</v>
      </c>
      <c r="G59" s="25">
        <v>1.03</v>
      </c>
      <c r="H59" s="25">
        <v>4.42</v>
      </c>
    </row>
    <row r="60" spans="2:10">
      <c r="B60" s="23" t="s">
        <v>448</v>
      </c>
      <c r="C60" s="23" t="s">
        <v>449</v>
      </c>
      <c r="D60" s="23" t="s">
        <v>431</v>
      </c>
      <c r="E60" s="28">
        <v>600000</v>
      </c>
      <c r="F60" s="25">
        <v>614.52</v>
      </c>
      <c r="G60" s="25">
        <v>0.6</v>
      </c>
      <c r="H60" s="25">
        <v>3.64</v>
      </c>
    </row>
    <row r="61" spans="2:10">
      <c r="B61" s="23" t="s">
        <v>695</v>
      </c>
      <c r="C61" s="23" t="s">
        <v>696</v>
      </c>
      <c r="D61" s="23" t="s">
        <v>431</v>
      </c>
      <c r="E61" s="28">
        <v>500000</v>
      </c>
      <c r="F61" s="25">
        <v>522.65</v>
      </c>
      <c r="G61" s="25">
        <v>0.51</v>
      </c>
      <c r="H61" s="25">
        <v>4.01</v>
      </c>
    </row>
    <row r="62" spans="2:10">
      <c r="B62" s="23" t="s">
        <v>697</v>
      </c>
      <c r="C62" s="23" t="s">
        <v>698</v>
      </c>
      <c r="D62" s="23" t="s">
        <v>431</v>
      </c>
      <c r="E62" s="28">
        <v>500000</v>
      </c>
      <c r="F62" s="25">
        <v>522.6</v>
      </c>
      <c r="G62" s="25">
        <v>0.51</v>
      </c>
      <c r="H62" s="25">
        <v>4.01</v>
      </c>
    </row>
    <row r="63" spans="2:10">
      <c r="B63" s="23" t="s">
        <v>699</v>
      </c>
      <c r="C63" s="23" t="s">
        <v>700</v>
      </c>
      <c r="D63" s="23" t="s">
        <v>431</v>
      </c>
      <c r="E63" s="28">
        <v>500000</v>
      </c>
      <c r="F63" s="25">
        <v>518.02</v>
      </c>
      <c r="G63" s="25">
        <v>0.5</v>
      </c>
      <c r="H63" s="25">
        <v>4.13</v>
      </c>
    </row>
    <row r="64" spans="2:10">
      <c r="B64" s="23" t="s">
        <v>586</v>
      </c>
      <c r="C64" s="23" t="s">
        <v>587</v>
      </c>
      <c r="D64" s="23" t="s">
        <v>431</v>
      </c>
      <c r="E64" s="28">
        <v>500000</v>
      </c>
      <c r="F64" s="25">
        <v>515.16</v>
      </c>
      <c r="G64" s="25">
        <v>0.5</v>
      </c>
      <c r="H64" s="25">
        <v>3.83</v>
      </c>
    </row>
    <row r="65" spans="2:10">
      <c r="B65" s="23" t="s">
        <v>701</v>
      </c>
      <c r="C65" s="23" t="s">
        <v>702</v>
      </c>
      <c r="D65" s="23" t="s">
        <v>431</v>
      </c>
      <c r="E65" s="28">
        <v>500000</v>
      </c>
      <c r="F65" s="25">
        <v>514.25</v>
      </c>
      <c r="G65" s="25">
        <v>0.5</v>
      </c>
      <c r="H65" s="25">
        <v>3.83</v>
      </c>
    </row>
    <row r="66" spans="2:10">
      <c r="B66" s="23" t="s">
        <v>703</v>
      </c>
      <c r="C66" s="23" t="s">
        <v>704</v>
      </c>
      <c r="D66" s="23" t="s">
        <v>431</v>
      </c>
      <c r="E66" s="28">
        <v>400000</v>
      </c>
      <c r="F66" s="25">
        <v>416.27</v>
      </c>
      <c r="G66" s="25">
        <v>0.4</v>
      </c>
      <c r="H66" s="25">
        <v>3.95</v>
      </c>
    </row>
    <row r="67" spans="2:10">
      <c r="B67" s="52" t="s">
        <v>705</v>
      </c>
      <c r="C67" s="52" t="s">
        <v>706</v>
      </c>
      <c r="D67" s="52" t="s">
        <v>431</v>
      </c>
      <c r="E67" s="53">
        <v>28300</v>
      </c>
      <c r="F67" s="54">
        <v>30.1</v>
      </c>
      <c r="G67" s="54">
        <v>0.03</v>
      </c>
      <c r="H67" s="54">
        <v>6.49</v>
      </c>
    </row>
    <row r="68" spans="2:10">
      <c r="B68" s="55" t="s">
        <v>110</v>
      </c>
      <c r="C68" s="55"/>
      <c r="D68" s="55"/>
      <c r="E68" s="56"/>
      <c r="F68" s="57">
        <f>SUM(F54:F67)</f>
        <v>17210.71</v>
      </c>
      <c r="G68" s="57">
        <f>SUM(G54:G67)</f>
        <v>16.689999999999998</v>
      </c>
      <c r="H68" s="57"/>
      <c r="I68" s="14"/>
      <c r="J68" s="14"/>
    </row>
    <row r="69" spans="2:10">
      <c r="B69" s="47" t="s">
        <v>111</v>
      </c>
      <c r="C69" s="23"/>
      <c r="D69" s="23"/>
      <c r="E69" s="24"/>
      <c r="F69" s="25"/>
      <c r="G69" s="25"/>
      <c r="H69" s="25"/>
    </row>
    <row r="70" spans="2:10">
      <c r="B70" s="23" t="s">
        <v>111</v>
      </c>
      <c r="C70" s="23"/>
      <c r="D70" s="23"/>
      <c r="E70" s="24"/>
      <c r="F70" s="25">
        <v>3289.23</v>
      </c>
      <c r="G70" s="25">
        <v>3.18</v>
      </c>
      <c r="H70" s="25"/>
    </row>
    <row r="71" spans="2:10">
      <c r="B71" s="30" t="s">
        <v>109</v>
      </c>
      <c r="C71" s="30"/>
      <c r="D71" s="30"/>
      <c r="E71" s="31"/>
      <c r="F71" s="32">
        <f>SUM(F69:F70)</f>
        <v>3289.23</v>
      </c>
      <c r="G71" s="32">
        <f>SUM(G69:G70)</f>
        <v>3.18</v>
      </c>
      <c r="H71" s="48"/>
      <c r="I71" s="14"/>
      <c r="J71" s="14"/>
    </row>
    <row r="72" spans="2:10">
      <c r="B72" s="34" t="s">
        <v>110</v>
      </c>
      <c r="C72" s="34"/>
      <c r="D72" s="34"/>
      <c r="E72" s="35"/>
      <c r="F72" s="36">
        <f>F71</f>
        <v>3289.23</v>
      </c>
      <c r="G72" s="36">
        <f>G71</f>
        <v>3.18</v>
      </c>
      <c r="H72" s="36"/>
      <c r="I72" s="14"/>
      <c r="J72" s="14"/>
    </row>
    <row r="73" spans="2:10">
      <c r="B73" s="44" t="s">
        <v>113</v>
      </c>
      <c r="C73" s="44"/>
      <c r="D73" s="44"/>
      <c r="E73" s="45"/>
      <c r="F73" s="16">
        <f>F74-(+F44+F52+F68+F72)</f>
        <v>4004.5400000000081</v>
      </c>
      <c r="G73" s="16">
        <f>G74-(+G44+G52+G68+G72)</f>
        <v>3.8999999999999773</v>
      </c>
      <c r="H73" s="16"/>
      <c r="I73" s="14"/>
      <c r="J73" s="14"/>
    </row>
    <row r="74" spans="2:10">
      <c r="B74" s="44" t="s">
        <v>112</v>
      </c>
      <c r="C74" s="44"/>
      <c r="D74" s="44"/>
      <c r="E74" s="45"/>
      <c r="F74" s="16">
        <v>103111.01</v>
      </c>
      <c r="G74" s="16">
        <v>100</v>
      </c>
      <c r="H74" s="16"/>
      <c r="I74" s="14"/>
      <c r="J74" s="14"/>
    </row>
    <row r="76" spans="2:10">
      <c r="B76" s="14" t="s">
        <v>747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57"/>
  <sheetViews>
    <sheetView workbookViewId="0"/>
  </sheetViews>
  <sheetFormatPr defaultRowHeight="12"/>
  <cols>
    <col min="1" max="1" width="9.140625" style="1"/>
    <col min="2" max="2" width="60.28515625" style="1" bestFit="1" customWidth="1"/>
    <col min="3" max="3" width="13.85546875" style="1" bestFit="1" customWidth="1"/>
    <col min="4" max="4" width="14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>
      <c r="B1" s="82" t="s">
        <v>27</v>
      </c>
      <c r="C1" s="83"/>
      <c r="D1" s="83"/>
      <c r="E1" s="83"/>
      <c r="F1" s="83"/>
      <c r="G1" s="83"/>
      <c r="H1" s="83"/>
    </row>
    <row r="3" spans="2:8" ht="16.5" thickBot="1">
      <c r="B3" s="2" t="s">
        <v>7</v>
      </c>
      <c r="C3" s="3"/>
      <c r="D3" s="4"/>
      <c r="E3" s="5"/>
      <c r="F3" s="6"/>
      <c r="G3" s="6"/>
    </row>
    <row r="4" spans="2:8" ht="24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>
      <c r="B5" s="58" t="s">
        <v>224</v>
      </c>
      <c r="C5" s="18"/>
      <c r="D5" s="18"/>
      <c r="E5" s="19"/>
      <c r="F5" s="20"/>
      <c r="G5" s="20"/>
      <c r="H5" s="20"/>
    </row>
    <row r="6" spans="2:8">
      <c r="B6" s="47" t="s">
        <v>31</v>
      </c>
      <c r="C6" s="23"/>
      <c r="D6" s="23"/>
      <c r="E6" s="24"/>
      <c r="F6" s="25"/>
      <c r="G6" s="25"/>
      <c r="H6" s="25"/>
    </row>
    <row r="7" spans="2:8">
      <c r="B7" s="23" t="s">
        <v>397</v>
      </c>
      <c r="C7" s="23" t="s">
        <v>398</v>
      </c>
      <c r="D7" s="23" t="s">
        <v>227</v>
      </c>
      <c r="E7" s="28">
        <v>150</v>
      </c>
      <c r="F7" s="25">
        <v>1595</v>
      </c>
      <c r="G7" s="25">
        <v>5.25</v>
      </c>
      <c r="H7" s="25">
        <v>5.21</v>
      </c>
    </row>
    <row r="8" spans="2:8">
      <c r="B8" s="23" t="s">
        <v>665</v>
      </c>
      <c r="C8" s="23" t="s">
        <v>666</v>
      </c>
      <c r="D8" s="23" t="s">
        <v>227</v>
      </c>
      <c r="E8" s="28">
        <v>150</v>
      </c>
      <c r="F8" s="25">
        <v>1580.12</v>
      </c>
      <c r="G8" s="25">
        <v>5.2</v>
      </c>
      <c r="H8" s="25">
        <v>5.27</v>
      </c>
    </row>
    <row r="9" spans="2:8">
      <c r="B9" s="23" t="s">
        <v>413</v>
      </c>
      <c r="C9" s="23" t="s">
        <v>414</v>
      </c>
      <c r="D9" s="23" t="s">
        <v>227</v>
      </c>
      <c r="E9" s="28">
        <v>150</v>
      </c>
      <c r="F9" s="25">
        <v>1552.7</v>
      </c>
      <c r="G9" s="25">
        <v>5.1100000000000003</v>
      </c>
      <c r="H9" s="25">
        <v>4.3600000000000003</v>
      </c>
    </row>
    <row r="10" spans="2:8">
      <c r="B10" s="23" t="s">
        <v>377</v>
      </c>
      <c r="C10" s="23" t="s">
        <v>378</v>
      </c>
      <c r="D10" s="23" t="s">
        <v>227</v>
      </c>
      <c r="E10" s="28">
        <v>150</v>
      </c>
      <c r="F10" s="25">
        <v>1544.59</v>
      </c>
      <c r="G10" s="25">
        <v>5.08</v>
      </c>
      <c r="H10" s="25">
        <v>4.13</v>
      </c>
    </row>
    <row r="11" spans="2:8">
      <c r="B11" s="23" t="s">
        <v>639</v>
      </c>
      <c r="C11" s="23" t="s">
        <v>640</v>
      </c>
      <c r="D11" s="23" t="s">
        <v>227</v>
      </c>
      <c r="E11" s="28">
        <v>150</v>
      </c>
      <c r="F11" s="25">
        <v>1515.31</v>
      </c>
      <c r="G11" s="25">
        <v>4.99</v>
      </c>
      <c r="H11" s="25">
        <v>4.25</v>
      </c>
    </row>
    <row r="12" spans="2:8">
      <c r="B12" s="23" t="s">
        <v>707</v>
      </c>
      <c r="C12" s="23" t="s">
        <v>708</v>
      </c>
      <c r="D12" s="23" t="s">
        <v>227</v>
      </c>
      <c r="E12" s="28">
        <v>150</v>
      </c>
      <c r="F12" s="25">
        <v>1514.8</v>
      </c>
      <c r="G12" s="25">
        <v>4.9800000000000004</v>
      </c>
      <c r="H12" s="25">
        <v>3.41</v>
      </c>
    </row>
    <row r="13" spans="2:8">
      <c r="B13" s="23" t="s">
        <v>527</v>
      </c>
      <c r="C13" s="23" t="s">
        <v>528</v>
      </c>
      <c r="D13" s="23" t="s">
        <v>417</v>
      </c>
      <c r="E13" s="28">
        <v>150</v>
      </c>
      <c r="F13" s="25">
        <v>1495.49</v>
      </c>
      <c r="G13" s="25">
        <v>4.92</v>
      </c>
      <c r="H13" s="25">
        <v>4.71</v>
      </c>
    </row>
    <row r="14" spans="2:8">
      <c r="B14" s="23" t="s">
        <v>709</v>
      </c>
      <c r="C14" s="23" t="s">
        <v>710</v>
      </c>
      <c r="D14" s="23" t="s">
        <v>227</v>
      </c>
      <c r="E14" s="28">
        <v>100</v>
      </c>
      <c r="F14" s="25">
        <v>1066.08</v>
      </c>
      <c r="G14" s="25">
        <v>3.51</v>
      </c>
      <c r="H14" s="25">
        <v>4.33</v>
      </c>
    </row>
    <row r="15" spans="2:8">
      <c r="B15" s="23" t="s">
        <v>582</v>
      </c>
      <c r="C15" s="23" t="s">
        <v>583</v>
      </c>
      <c r="D15" s="23" t="s">
        <v>227</v>
      </c>
      <c r="E15" s="28">
        <v>100</v>
      </c>
      <c r="F15" s="25">
        <v>1051.3399999999999</v>
      </c>
      <c r="G15" s="25">
        <v>3.46</v>
      </c>
      <c r="H15" s="25">
        <v>5.55</v>
      </c>
    </row>
    <row r="16" spans="2:8">
      <c r="B16" s="23" t="s">
        <v>711</v>
      </c>
      <c r="C16" s="23" t="s">
        <v>712</v>
      </c>
      <c r="D16" s="23" t="s">
        <v>227</v>
      </c>
      <c r="E16" s="28">
        <v>100</v>
      </c>
      <c r="F16" s="25">
        <v>1035.3699999999999</v>
      </c>
      <c r="G16" s="25">
        <v>3.41</v>
      </c>
      <c r="H16" s="25">
        <v>4.68</v>
      </c>
    </row>
    <row r="17" spans="2:8">
      <c r="B17" s="23" t="s">
        <v>713</v>
      </c>
      <c r="C17" s="23" t="s">
        <v>714</v>
      </c>
      <c r="D17" s="23" t="s">
        <v>227</v>
      </c>
      <c r="E17" s="28">
        <v>50</v>
      </c>
      <c r="F17" s="25">
        <v>545.86</v>
      </c>
      <c r="G17" s="25">
        <v>1.8</v>
      </c>
      <c r="H17" s="25">
        <v>4.6100000000000003</v>
      </c>
    </row>
    <row r="18" spans="2:8">
      <c r="B18" s="23" t="s">
        <v>391</v>
      </c>
      <c r="C18" s="23" t="s">
        <v>392</v>
      </c>
      <c r="D18" s="23" t="s">
        <v>227</v>
      </c>
      <c r="E18" s="28">
        <v>50</v>
      </c>
      <c r="F18" s="25">
        <v>533.22</v>
      </c>
      <c r="G18" s="25">
        <v>1.75</v>
      </c>
      <c r="H18" s="25">
        <v>5.48</v>
      </c>
    </row>
    <row r="19" spans="2:8">
      <c r="B19" s="23" t="s">
        <v>422</v>
      </c>
      <c r="C19" s="23" t="s">
        <v>423</v>
      </c>
      <c r="D19" s="23" t="s">
        <v>227</v>
      </c>
      <c r="E19" s="28">
        <v>50</v>
      </c>
      <c r="F19" s="25">
        <v>529.47</v>
      </c>
      <c r="G19" s="25">
        <v>1.74</v>
      </c>
      <c r="H19" s="25">
        <v>5.55</v>
      </c>
    </row>
    <row r="20" spans="2:8">
      <c r="B20" s="23" t="s">
        <v>677</v>
      </c>
      <c r="C20" s="23" t="s">
        <v>678</v>
      </c>
      <c r="D20" s="23" t="s">
        <v>227</v>
      </c>
      <c r="E20" s="28">
        <v>50</v>
      </c>
      <c r="F20" s="25">
        <v>528.55999999999995</v>
      </c>
      <c r="G20" s="25">
        <v>1.74</v>
      </c>
      <c r="H20" s="25">
        <v>4.45</v>
      </c>
    </row>
    <row r="21" spans="2:8">
      <c r="B21" s="23" t="s">
        <v>715</v>
      </c>
      <c r="C21" s="23" t="s">
        <v>716</v>
      </c>
      <c r="D21" s="23" t="s">
        <v>227</v>
      </c>
      <c r="E21" s="28">
        <v>50</v>
      </c>
      <c r="F21" s="25">
        <v>527</v>
      </c>
      <c r="G21" s="25">
        <v>1.73</v>
      </c>
      <c r="H21" s="25">
        <v>5.49</v>
      </c>
    </row>
    <row r="22" spans="2:8">
      <c r="B22" s="23" t="s">
        <v>653</v>
      </c>
      <c r="C22" s="23" t="s">
        <v>654</v>
      </c>
      <c r="D22" s="23" t="s">
        <v>227</v>
      </c>
      <c r="E22" s="28">
        <v>50</v>
      </c>
      <c r="F22" s="25">
        <v>520.94000000000005</v>
      </c>
      <c r="G22" s="25">
        <v>1.71</v>
      </c>
      <c r="H22" s="25">
        <v>5.87</v>
      </c>
    </row>
    <row r="23" spans="2:8">
      <c r="B23" s="23" t="s">
        <v>381</v>
      </c>
      <c r="C23" s="23" t="s">
        <v>382</v>
      </c>
      <c r="D23" s="23" t="s">
        <v>227</v>
      </c>
      <c r="E23" s="28">
        <v>50</v>
      </c>
      <c r="F23" s="25">
        <v>516.99</v>
      </c>
      <c r="G23" s="25">
        <v>1.7</v>
      </c>
      <c r="H23" s="25">
        <v>4.34</v>
      </c>
    </row>
    <row r="24" spans="2:8">
      <c r="B24" s="23" t="s">
        <v>371</v>
      </c>
      <c r="C24" s="23" t="s">
        <v>372</v>
      </c>
      <c r="D24" s="23" t="s">
        <v>227</v>
      </c>
      <c r="E24" s="28">
        <v>50</v>
      </c>
      <c r="F24" s="25">
        <v>516.63</v>
      </c>
      <c r="G24" s="25">
        <v>1.7</v>
      </c>
      <c r="H24" s="25">
        <v>4.2699999999999996</v>
      </c>
    </row>
    <row r="25" spans="2:8">
      <c r="B25" s="23" t="s">
        <v>717</v>
      </c>
      <c r="C25" s="23" t="s">
        <v>718</v>
      </c>
      <c r="D25" s="23" t="s">
        <v>227</v>
      </c>
      <c r="E25" s="28">
        <v>50</v>
      </c>
      <c r="F25" s="25">
        <v>516.04</v>
      </c>
      <c r="G25" s="25">
        <v>1.7</v>
      </c>
      <c r="H25" s="25">
        <v>4.3499999999999996</v>
      </c>
    </row>
    <row r="26" spans="2:8">
      <c r="B26" s="23" t="s">
        <v>539</v>
      </c>
      <c r="C26" s="23" t="s">
        <v>540</v>
      </c>
      <c r="D26" s="23" t="s">
        <v>227</v>
      </c>
      <c r="E26" s="28">
        <v>50</v>
      </c>
      <c r="F26" s="25">
        <v>514.63</v>
      </c>
      <c r="G26" s="25">
        <v>1.69</v>
      </c>
      <c r="H26" s="25">
        <v>3.94</v>
      </c>
    </row>
    <row r="27" spans="2:8">
      <c r="B27" s="23" t="s">
        <v>719</v>
      </c>
      <c r="C27" s="23" t="s">
        <v>720</v>
      </c>
      <c r="D27" s="23" t="s">
        <v>227</v>
      </c>
      <c r="E27" s="28">
        <v>50</v>
      </c>
      <c r="F27" s="25">
        <v>512.89</v>
      </c>
      <c r="G27" s="25">
        <v>1.69</v>
      </c>
      <c r="H27" s="25">
        <v>4.2</v>
      </c>
    </row>
    <row r="28" spans="2:8">
      <c r="B28" s="23" t="s">
        <v>651</v>
      </c>
      <c r="C28" s="23" t="s">
        <v>652</v>
      </c>
      <c r="D28" s="23" t="s">
        <v>227</v>
      </c>
      <c r="E28" s="28">
        <v>50</v>
      </c>
      <c r="F28" s="25">
        <v>507.24</v>
      </c>
      <c r="G28" s="25">
        <v>1.67</v>
      </c>
      <c r="H28" s="25">
        <v>4.58</v>
      </c>
    </row>
    <row r="29" spans="2:8">
      <c r="B29" s="23" t="s">
        <v>525</v>
      </c>
      <c r="C29" s="23" t="s">
        <v>526</v>
      </c>
      <c r="D29" s="23" t="s">
        <v>227</v>
      </c>
      <c r="E29" s="28">
        <v>50</v>
      </c>
      <c r="F29" s="25">
        <v>504.94</v>
      </c>
      <c r="G29" s="25">
        <v>1.66</v>
      </c>
      <c r="H29" s="25">
        <v>3.7</v>
      </c>
    </row>
    <row r="30" spans="2:8">
      <c r="B30" s="23" t="s">
        <v>403</v>
      </c>
      <c r="C30" s="23" t="s">
        <v>404</v>
      </c>
      <c r="D30" s="23" t="s">
        <v>227</v>
      </c>
      <c r="E30" s="28">
        <v>50</v>
      </c>
      <c r="F30" s="25">
        <v>500.78</v>
      </c>
      <c r="G30" s="25">
        <v>1.65</v>
      </c>
      <c r="H30" s="25">
        <v>3.66</v>
      </c>
    </row>
    <row r="31" spans="2:8">
      <c r="B31" s="23" t="s">
        <v>721</v>
      </c>
      <c r="C31" s="23" t="s">
        <v>722</v>
      </c>
      <c r="D31" s="23" t="s">
        <v>227</v>
      </c>
      <c r="E31" s="28">
        <v>50</v>
      </c>
      <c r="F31" s="25">
        <v>499.59</v>
      </c>
      <c r="G31" s="25">
        <v>1.64</v>
      </c>
      <c r="H31" s="25">
        <v>5.13</v>
      </c>
    </row>
    <row r="32" spans="2:8">
      <c r="B32" s="23" t="s">
        <v>723</v>
      </c>
      <c r="C32" s="23" t="s">
        <v>724</v>
      </c>
      <c r="D32" s="23" t="s">
        <v>417</v>
      </c>
      <c r="E32" s="28">
        <v>20</v>
      </c>
      <c r="F32" s="25">
        <v>259.7</v>
      </c>
      <c r="G32" s="25">
        <v>0.85</v>
      </c>
      <c r="H32" s="25">
        <v>3.93</v>
      </c>
    </row>
    <row r="33" spans="2:10">
      <c r="B33" s="30" t="s">
        <v>109</v>
      </c>
      <c r="C33" s="30"/>
      <c r="D33" s="30"/>
      <c r="E33" s="31"/>
      <c r="F33" s="32">
        <f>SUM(F6:F32)</f>
        <v>21985.279999999999</v>
      </c>
      <c r="G33" s="32">
        <f>SUM(G6:G32)</f>
        <v>72.33</v>
      </c>
      <c r="H33" s="48"/>
      <c r="I33" s="14"/>
      <c r="J33" s="14"/>
    </row>
    <row r="34" spans="2:10">
      <c r="B34" s="49" t="s">
        <v>110</v>
      </c>
      <c r="C34" s="49"/>
      <c r="D34" s="49"/>
      <c r="E34" s="50"/>
      <c r="F34" s="51">
        <f>F33</f>
        <v>21985.279999999999</v>
      </c>
      <c r="G34" s="51">
        <f>G33</f>
        <v>72.33</v>
      </c>
      <c r="H34" s="51"/>
      <c r="I34" s="14"/>
      <c r="J34" s="14"/>
    </row>
    <row r="35" spans="2:10">
      <c r="B35" s="47" t="s">
        <v>470</v>
      </c>
      <c r="C35" s="23"/>
      <c r="D35" s="23"/>
      <c r="E35" s="24"/>
      <c r="F35" s="25"/>
      <c r="G35" s="25"/>
      <c r="H35" s="25"/>
    </row>
    <row r="36" spans="2:10">
      <c r="B36" s="47" t="s">
        <v>471</v>
      </c>
      <c r="C36" s="23"/>
      <c r="D36" s="23"/>
      <c r="E36" s="24"/>
      <c r="F36" s="25"/>
      <c r="G36" s="25"/>
      <c r="H36" s="25"/>
    </row>
    <row r="37" spans="2:10">
      <c r="B37" s="23" t="s">
        <v>612</v>
      </c>
      <c r="C37" s="23" t="s">
        <v>613</v>
      </c>
      <c r="D37" s="23" t="s">
        <v>474</v>
      </c>
      <c r="E37" s="28">
        <v>2500000</v>
      </c>
      <c r="F37" s="25">
        <v>2499.08</v>
      </c>
      <c r="G37" s="25">
        <v>8.2200000000000006</v>
      </c>
      <c r="H37" s="25">
        <v>3.35</v>
      </c>
    </row>
    <row r="38" spans="2:10">
      <c r="B38" s="30" t="s">
        <v>109</v>
      </c>
      <c r="C38" s="30"/>
      <c r="D38" s="30"/>
      <c r="E38" s="31"/>
      <c r="F38" s="32">
        <f>SUM(F36:F37)</f>
        <v>2499.08</v>
      </c>
      <c r="G38" s="32">
        <f>SUM(G36:G37)</f>
        <v>8.2200000000000006</v>
      </c>
      <c r="H38" s="48"/>
      <c r="I38" s="14"/>
      <c r="J38" s="14"/>
    </row>
    <row r="39" spans="2:10">
      <c r="B39" s="49" t="s">
        <v>110</v>
      </c>
      <c r="C39" s="49"/>
      <c r="D39" s="49"/>
      <c r="E39" s="50"/>
      <c r="F39" s="51">
        <f>+F38</f>
        <v>2499.08</v>
      </c>
      <c r="G39" s="51">
        <f>+G38</f>
        <v>8.2200000000000006</v>
      </c>
      <c r="H39" s="51"/>
      <c r="I39" s="14"/>
      <c r="J39" s="14"/>
    </row>
    <row r="40" spans="2:10">
      <c r="B40" s="47" t="s">
        <v>428</v>
      </c>
      <c r="C40" s="23"/>
      <c r="D40" s="23"/>
      <c r="E40" s="24"/>
      <c r="F40" s="25"/>
      <c r="G40" s="25"/>
      <c r="H40" s="25"/>
    </row>
    <row r="41" spans="2:10">
      <c r="B41" s="23" t="s">
        <v>456</v>
      </c>
      <c r="C41" s="23" t="s">
        <v>457</v>
      </c>
      <c r="D41" s="23" t="s">
        <v>431</v>
      </c>
      <c r="E41" s="28">
        <v>1000000</v>
      </c>
      <c r="F41" s="25">
        <v>1065.52</v>
      </c>
      <c r="G41" s="25">
        <v>3.51</v>
      </c>
      <c r="H41" s="25">
        <v>4.8899999999999997</v>
      </c>
    </row>
    <row r="42" spans="2:10">
      <c r="B42" s="23" t="s">
        <v>725</v>
      </c>
      <c r="C42" s="23" t="s">
        <v>726</v>
      </c>
      <c r="D42" s="23" t="s">
        <v>431</v>
      </c>
      <c r="E42" s="28">
        <v>500000</v>
      </c>
      <c r="F42" s="25">
        <v>527.54</v>
      </c>
      <c r="G42" s="25">
        <v>1.74</v>
      </c>
      <c r="H42" s="25">
        <v>4.13</v>
      </c>
    </row>
    <row r="43" spans="2:10">
      <c r="B43" s="23" t="s">
        <v>727</v>
      </c>
      <c r="C43" s="23" t="s">
        <v>728</v>
      </c>
      <c r="D43" s="23" t="s">
        <v>431</v>
      </c>
      <c r="E43" s="28">
        <v>500000</v>
      </c>
      <c r="F43" s="25">
        <v>510.88</v>
      </c>
      <c r="G43" s="25">
        <v>1.68</v>
      </c>
      <c r="H43" s="25">
        <v>3.74</v>
      </c>
    </row>
    <row r="44" spans="2:10">
      <c r="B44" s="23" t="s">
        <v>729</v>
      </c>
      <c r="C44" s="23" t="s">
        <v>730</v>
      </c>
      <c r="D44" s="23" t="s">
        <v>431</v>
      </c>
      <c r="E44" s="28">
        <v>500000</v>
      </c>
      <c r="F44" s="25">
        <v>508.41</v>
      </c>
      <c r="G44" s="25">
        <v>1.67</v>
      </c>
      <c r="H44" s="25">
        <v>3.74</v>
      </c>
    </row>
    <row r="45" spans="2:10">
      <c r="B45" s="23" t="s">
        <v>501</v>
      </c>
      <c r="C45" s="23" t="s">
        <v>502</v>
      </c>
      <c r="D45" s="23" t="s">
        <v>431</v>
      </c>
      <c r="E45" s="28">
        <v>500000</v>
      </c>
      <c r="F45" s="25">
        <v>497.73</v>
      </c>
      <c r="G45" s="25">
        <v>1.64</v>
      </c>
      <c r="H45" s="25">
        <v>5.74</v>
      </c>
    </row>
    <row r="46" spans="2:10">
      <c r="B46" s="23" t="s">
        <v>434</v>
      </c>
      <c r="C46" s="23" t="s">
        <v>435</v>
      </c>
      <c r="D46" s="23" t="s">
        <v>431</v>
      </c>
      <c r="E46" s="28">
        <v>500000</v>
      </c>
      <c r="F46" s="25">
        <v>496.19</v>
      </c>
      <c r="G46" s="25">
        <v>1.63</v>
      </c>
      <c r="H46" s="25">
        <v>5.44</v>
      </c>
    </row>
    <row r="47" spans="2:10">
      <c r="B47" s="23" t="s">
        <v>460</v>
      </c>
      <c r="C47" s="23" t="s">
        <v>461</v>
      </c>
      <c r="D47" s="23" t="s">
        <v>431</v>
      </c>
      <c r="E47" s="28">
        <v>300000</v>
      </c>
      <c r="F47" s="25">
        <v>313.68</v>
      </c>
      <c r="G47" s="25">
        <v>1.03</v>
      </c>
      <c r="H47" s="25">
        <v>6.31</v>
      </c>
    </row>
    <row r="48" spans="2:10">
      <c r="B48" s="52" t="s">
        <v>699</v>
      </c>
      <c r="C48" s="52" t="s">
        <v>700</v>
      </c>
      <c r="D48" s="52" t="s">
        <v>431</v>
      </c>
      <c r="E48" s="53">
        <v>48000</v>
      </c>
      <c r="F48" s="54">
        <v>49.73</v>
      </c>
      <c r="G48" s="54">
        <v>0.16</v>
      </c>
      <c r="H48" s="54">
        <v>4.13</v>
      </c>
    </row>
    <row r="49" spans="2:10">
      <c r="B49" s="55" t="s">
        <v>110</v>
      </c>
      <c r="C49" s="55"/>
      <c r="D49" s="55"/>
      <c r="E49" s="56"/>
      <c r="F49" s="57">
        <f>SUM(F41:F48)</f>
        <v>3969.68</v>
      </c>
      <c r="G49" s="57">
        <f>SUM(G41:G48)</f>
        <v>13.06</v>
      </c>
      <c r="H49" s="57"/>
      <c r="I49" s="14"/>
      <c r="J49" s="14"/>
    </row>
    <row r="50" spans="2:10">
      <c r="B50" s="47" t="s">
        <v>111</v>
      </c>
      <c r="C50" s="23"/>
      <c r="D50" s="23"/>
      <c r="E50" s="24"/>
      <c r="F50" s="25"/>
      <c r="G50" s="25"/>
      <c r="H50" s="25"/>
    </row>
    <row r="51" spans="2:10">
      <c r="B51" s="23" t="s">
        <v>111</v>
      </c>
      <c r="C51" s="23"/>
      <c r="D51" s="23"/>
      <c r="E51" s="24"/>
      <c r="F51" s="25">
        <v>1176.22</v>
      </c>
      <c r="G51" s="25">
        <v>3.87</v>
      </c>
      <c r="H51" s="25"/>
    </row>
    <row r="52" spans="2:10">
      <c r="B52" s="30" t="s">
        <v>109</v>
      </c>
      <c r="C52" s="30"/>
      <c r="D52" s="30"/>
      <c r="E52" s="31"/>
      <c r="F52" s="32">
        <f>SUM(F50:F51)</f>
        <v>1176.22</v>
      </c>
      <c r="G52" s="32">
        <f>SUM(G50:G51)</f>
        <v>3.87</v>
      </c>
      <c r="H52" s="48"/>
      <c r="I52" s="14"/>
      <c r="J52" s="14"/>
    </row>
    <row r="53" spans="2:10">
      <c r="B53" s="34" t="s">
        <v>110</v>
      </c>
      <c r="C53" s="34"/>
      <c r="D53" s="34"/>
      <c r="E53" s="35"/>
      <c r="F53" s="36">
        <f>F52</f>
        <v>1176.22</v>
      </c>
      <c r="G53" s="36">
        <f>G52</f>
        <v>3.87</v>
      </c>
      <c r="H53" s="36"/>
      <c r="I53" s="14"/>
      <c r="J53" s="14"/>
    </row>
    <row r="54" spans="2:10">
      <c r="B54" s="44" t="s">
        <v>113</v>
      </c>
      <c r="C54" s="44"/>
      <c r="D54" s="44"/>
      <c r="E54" s="45"/>
      <c r="F54" s="16">
        <f>F55-(+F34+F39+F49+F53)</f>
        <v>764.28999999999724</v>
      </c>
      <c r="G54" s="16">
        <f>G55-(+G34+G39+G49+G53)</f>
        <v>2.519999999999996</v>
      </c>
      <c r="H54" s="16"/>
      <c r="I54" s="14"/>
      <c r="J54" s="14"/>
    </row>
    <row r="55" spans="2:10">
      <c r="B55" s="44" t="s">
        <v>112</v>
      </c>
      <c r="C55" s="44"/>
      <c r="D55" s="44"/>
      <c r="E55" s="45"/>
      <c r="F55" s="16">
        <v>30394.55</v>
      </c>
      <c r="G55" s="16">
        <v>100</v>
      </c>
      <c r="H55" s="16"/>
      <c r="I55" s="14"/>
      <c r="J55" s="14"/>
    </row>
    <row r="57" spans="2:10">
      <c r="B57" s="14" t="s">
        <v>747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30"/>
  <sheetViews>
    <sheetView workbookViewId="0">
      <selection activeCell="H10" sqref="H10"/>
    </sheetView>
  </sheetViews>
  <sheetFormatPr defaultRowHeight="12"/>
  <cols>
    <col min="1" max="1" width="9.140625" style="1"/>
    <col min="2" max="2" width="54" style="1" bestFit="1" customWidth="1"/>
    <col min="3" max="3" width="13.85546875" style="1" bestFit="1" customWidth="1"/>
    <col min="4" max="4" width="14.140625" style="1" bestFit="1" customWidth="1"/>
    <col min="5" max="5" width="7.71093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10" ht="21" customHeight="1">
      <c r="B1" s="82" t="s">
        <v>28</v>
      </c>
      <c r="C1" s="83"/>
      <c r="D1" s="83"/>
      <c r="E1" s="83"/>
      <c r="F1" s="83"/>
      <c r="G1" s="83"/>
      <c r="H1" s="83"/>
    </row>
    <row r="3" spans="2:10" ht="16.5" thickBot="1">
      <c r="B3" s="2" t="s">
        <v>7</v>
      </c>
      <c r="C3" s="3"/>
      <c r="D3" s="4"/>
      <c r="E3" s="5"/>
      <c r="F3" s="6"/>
      <c r="G3" s="6"/>
    </row>
    <row r="4" spans="2:10" ht="24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10">
      <c r="B5" s="58" t="s">
        <v>224</v>
      </c>
      <c r="C5" s="18"/>
      <c r="D5" s="18"/>
      <c r="E5" s="19"/>
      <c r="F5" s="20"/>
      <c r="G5" s="20"/>
      <c r="H5" s="20"/>
    </row>
    <row r="6" spans="2:10">
      <c r="B6" s="47" t="s">
        <v>31</v>
      </c>
      <c r="C6" s="23"/>
      <c r="D6" s="23"/>
      <c r="E6" s="24"/>
      <c r="F6" s="25"/>
      <c r="G6" s="25"/>
      <c r="H6" s="25"/>
    </row>
    <row r="7" spans="2:10">
      <c r="B7" s="23" t="s">
        <v>723</v>
      </c>
      <c r="C7" s="23" t="s">
        <v>724</v>
      </c>
      <c r="D7" s="23" t="s">
        <v>417</v>
      </c>
      <c r="E7" s="28">
        <v>30</v>
      </c>
      <c r="F7" s="25">
        <v>389.54</v>
      </c>
      <c r="G7" s="25">
        <v>10.29</v>
      </c>
      <c r="H7" s="25">
        <v>3.93</v>
      </c>
    </row>
    <row r="8" spans="2:10">
      <c r="B8" s="23" t="s">
        <v>418</v>
      </c>
      <c r="C8" s="23" t="s">
        <v>419</v>
      </c>
      <c r="D8" s="23" t="s">
        <v>227</v>
      </c>
      <c r="E8" s="28">
        <v>31</v>
      </c>
      <c r="F8" s="25">
        <v>311.48</v>
      </c>
      <c r="G8" s="25">
        <v>8.23</v>
      </c>
      <c r="H8" s="25">
        <v>3.52</v>
      </c>
    </row>
    <row r="9" spans="2:10">
      <c r="B9" s="23" t="s">
        <v>624</v>
      </c>
      <c r="C9" s="23" t="s">
        <v>625</v>
      </c>
      <c r="D9" s="23" t="s">
        <v>417</v>
      </c>
      <c r="E9" s="28">
        <v>30</v>
      </c>
      <c r="F9" s="25">
        <v>303.52999999999997</v>
      </c>
      <c r="G9" s="25">
        <v>8.02</v>
      </c>
      <c r="H9" s="25">
        <v>2.7</v>
      </c>
    </row>
    <row r="10" spans="2:10">
      <c r="B10" s="23" t="s">
        <v>671</v>
      </c>
      <c r="C10" s="23" t="s">
        <v>672</v>
      </c>
      <c r="D10" s="23" t="s">
        <v>227</v>
      </c>
      <c r="E10" s="28">
        <v>30</v>
      </c>
      <c r="F10" s="25">
        <v>301.74</v>
      </c>
      <c r="G10" s="25">
        <v>7.97</v>
      </c>
      <c r="H10" s="25">
        <v>3.42</v>
      </c>
    </row>
    <row r="11" spans="2:10">
      <c r="B11" s="30" t="s">
        <v>109</v>
      </c>
      <c r="C11" s="30"/>
      <c r="D11" s="30"/>
      <c r="E11" s="31"/>
      <c r="F11" s="32">
        <f>SUM(F6:F10)</f>
        <v>1306.29</v>
      </c>
      <c r="G11" s="32">
        <f>SUM(G6:G10)</f>
        <v>34.51</v>
      </c>
      <c r="H11" s="48"/>
      <c r="I11" s="14"/>
      <c r="J11" s="14"/>
    </row>
    <row r="12" spans="2:10">
      <c r="B12" s="49" t="s">
        <v>110</v>
      </c>
      <c r="C12" s="49"/>
      <c r="D12" s="49"/>
      <c r="E12" s="50"/>
      <c r="F12" s="51">
        <f>F11</f>
        <v>1306.29</v>
      </c>
      <c r="G12" s="51">
        <f>G11</f>
        <v>34.51</v>
      </c>
      <c r="H12" s="51"/>
      <c r="I12" s="14"/>
      <c r="J12" s="14"/>
    </row>
    <row r="13" spans="2:10">
      <c r="B13" s="47" t="s">
        <v>470</v>
      </c>
      <c r="C13" s="23"/>
      <c r="D13" s="23"/>
      <c r="E13" s="24"/>
      <c r="F13" s="25"/>
      <c r="G13" s="25"/>
      <c r="H13" s="25"/>
    </row>
    <row r="14" spans="2:10">
      <c r="B14" s="47" t="s">
        <v>471</v>
      </c>
      <c r="C14" s="23"/>
      <c r="D14" s="23"/>
      <c r="E14" s="24"/>
      <c r="F14" s="25"/>
      <c r="G14" s="25"/>
      <c r="H14" s="25"/>
    </row>
    <row r="15" spans="2:10">
      <c r="B15" s="23" t="s">
        <v>629</v>
      </c>
      <c r="C15" s="23" t="s">
        <v>630</v>
      </c>
      <c r="D15" s="23" t="s">
        <v>474</v>
      </c>
      <c r="E15" s="28">
        <v>700000</v>
      </c>
      <c r="F15" s="25">
        <v>695.22</v>
      </c>
      <c r="G15" s="25">
        <v>18.37</v>
      </c>
      <c r="H15" s="25">
        <v>3.39</v>
      </c>
    </row>
    <row r="16" spans="2:10">
      <c r="B16" s="23" t="s">
        <v>584</v>
      </c>
      <c r="C16" s="23" t="s">
        <v>585</v>
      </c>
      <c r="D16" s="23" t="s">
        <v>474</v>
      </c>
      <c r="E16" s="28">
        <v>250000</v>
      </c>
      <c r="F16" s="25">
        <v>248.8</v>
      </c>
      <c r="G16" s="25">
        <v>6.57</v>
      </c>
      <c r="H16" s="25">
        <v>3.31</v>
      </c>
    </row>
    <row r="17" spans="2:10">
      <c r="B17" s="30" t="s">
        <v>109</v>
      </c>
      <c r="C17" s="30"/>
      <c r="D17" s="30"/>
      <c r="E17" s="31"/>
      <c r="F17" s="32">
        <f>SUM(F14:F16)</f>
        <v>944.02</v>
      </c>
      <c r="G17" s="32">
        <f>SUM(G14:G16)</f>
        <v>24.94</v>
      </c>
      <c r="H17" s="48"/>
      <c r="I17" s="14"/>
      <c r="J17" s="14"/>
    </row>
    <row r="18" spans="2:10">
      <c r="B18" s="49" t="s">
        <v>110</v>
      </c>
      <c r="C18" s="49"/>
      <c r="D18" s="49"/>
      <c r="E18" s="50"/>
      <c r="F18" s="51">
        <f>+F17</f>
        <v>944.02</v>
      </c>
      <c r="G18" s="51">
        <f>+G17</f>
        <v>24.94</v>
      </c>
      <c r="H18" s="51"/>
      <c r="I18" s="14"/>
      <c r="J18" s="14"/>
    </row>
    <row r="19" spans="2:10">
      <c r="B19" s="47" t="s">
        <v>428</v>
      </c>
      <c r="C19" s="23"/>
      <c r="D19" s="23"/>
      <c r="E19" s="24"/>
      <c r="F19" s="25"/>
      <c r="G19" s="25"/>
      <c r="H19" s="25"/>
    </row>
    <row r="20" spans="2:10">
      <c r="B20" s="23" t="s">
        <v>731</v>
      </c>
      <c r="C20" s="23" t="s">
        <v>732</v>
      </c>
      <c r="D20" s="23" t="s">
        <v>431</v>
      </c>
      <c r="E20" s="28">
        <v>300000</v>
      </c>
      <c r="F20" s="25">
        <v>302.08</v>
      </c>
      <c r="G20" s="25">
        <v>7.98</v>
      </c>
      <c r="H20" s="25">
        <v>3.6</v>
      </c>
    </row>
    <row r="21" spans="2:10">
      <c r="B21" s="52" t="s">
        <v>733</v>
      </c>
      <c r="C21" s="52" t="s">
        <v>734</v>
      </c>
      <c r="D21" s="52" t="s">
        <v>431</v>
      </c>
      <c r="E21" s="53">
        <v>33300</v>
      </c>
      <c r="F21" s="54">
        <v>33.46</v>
      </c>
      <c r="G21" s="54">
        <v>0.88</v>
      </c>
      <c r="H21" s="54">
        <v>3.7</v>
      </c>
    </row>
    <row r="22" spans="2:10">
      <c r="B22" s="55" t="s">
        <v>110</v>
      </c>
      <c r="C22" s="55"/>
      <c r="D22" s="55"/>
      <c r="E22" s="56"/>
      <c r="F22" s="57">
        <f>SUM(F20:F21)</f>
        <v>335.53999999999996</v>
      </c>
      <c r="G22" s="57">
        <f>SUM(G20:G21)</f>
        <v>8.8600000000000012</v>
      </c>
      <c r="H22" s="57"/>
      <c r="I22" s="14"/>
      <c r="J22" s="14"/>
    </row>
    <row r="23" spans="2:10">
      <c r="B23" s="47" t="s">
        <v>111</v>
      </c>
      <c r="C23" s="23"/>
      <c r="D23" s="23"/>
      <c r="E23" s="24"/>
      <c r="F23" s="25"/>
      <c r="G23" s="25"/>
      <c r="H23" s="25"/>
    </row>
    <row r="24" spans="2:10">
      <c r="B24" s="23" t="s">
        <v>111</v>
      </c>
      <c r="C24" s="23"/>
      <c r="D24" s="23"/>
      <c r="E24" s="24"/>
      <c r="F24" s="25">
        <v>1057.57</v>
      </c>
      <c r="G24" s="25">
        <v>27.93</v>
      </c>
      <c r="H24" s="25"/>
    </row>
    <row r="25" spans="2:10">
      <c r="B25" s="30" t="s">
        <v>109</v>
      </c>
      <c r="C25" s="30"/>
      <c r="D25" s="30"/>
      <c r="E25" s="31"/>
      <c r="F25" s="32">
        <f>SUM(F23:F24)</f>
        <v>1057.57</v>
      </c>
      <c r="G25" s="32">
        <f>SUM(G23:G24)</f>
        <v>27.93</v>
      </c>
      <c r="H25" s="48"/>
      <c r="I25" s="14"/>
      <c r="J25" s="14"/>
    </row>
    <row r="26" spans="2:10">
      <c r="B26" s="34" t="s">
        <v>110</v>
      </c>
      <c r="C26" s="34"/>
      <c r="D26" s="34"/>
      <c r="E26" s="35"/>
      <c r="F26" s="36">
        <f>F25</f>
        <v>1057.57</v>
      </c>
      <c r="G26" s="36">
        <f>G25</f>
        <v>27.93</v>
      </c>
      <c r="H26" s="36"/>
      <c r="I26" s="14"/>
      <c r="J26" s="14"/>
    </row>
    <row r="27" spans="2:10">
      <c r="B27" s="44" t="s">
        <v>113</v>
      </c>
      <c r="C27" s="44"/>
      <c r="D27" s="44"/>
      <c r="E27" s="45"/>
      <c r="F27" s="16">
        <f>F28-(+F12+F18+F22+F26)</f>
        <v>141.73999999999978</v>
      </c>
      <c r="G27" s="16">
        <f>G28-(+G12+G18+G22+G26)</f>
        <v>3.7599999999999909</v>
      </c>
      <c r="H27" s="16"/>
      <c r="I27" s="14"/>
      <c r="J27" s="14"/>
    </row>
    <row r="28" spans="2:10">
      <c r="B28" s="44" t="s">
        <v>112</v>
      </c>
      <c r="C28" s="44"/>
      <c r="D28" s="44"/>
      <c r="E28" s="45"/>
      <c r="F28" s="16">
        <v>3785.16</v>
      </c>
      <c r="G28" s="16">
        <v>100</v>
      </c>
      <c r="H28" s="16"/>
      <c r="I28" s="14"/>
      <c r="J28" s="14"/>
    </row>
    <row r="30" spans="2:10">
      <c r="B30" s="14" t="s">
        <v>747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67"/>
  <sheetViews>
    <sheetView workbookViewId="0">
      <selection activeCell="B1" sqref="B1:H1"/>
    </sheetView>
  </sheetViews>
  <sheetFormatPr defaultRowHeight="12"/>
  <cols>
    <col min="1" max="1" width="9.140625" style="1"/>
    <col min="2" max="2" width="60.28515625" style="1" bestFit="1" customWidth="1"/>
    <col min="3" max="3" width="13.5703125" style="1" bestFit="1" customWidth="1"/>
    <col min="4" max="4" width="23.425781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>
      <c r="B1" s="82" t="s">
        <v>29</v>
      </c>
      <c r="C1" s="83"/>
      <c r="D1" s="83"/>
      <c r="E1" s="83"/>
      <c r="F1" s="83"/>
      <c r="G1" s="83"/>
      <c r="H1" s="83"/>
    </row>
    <row r="3" spans="2:8" ht="16.5" thickBot="1">
      <c r="B3" s="2" t="s">
        <v>7</v>
      </c>
      <c r="C3" s="3"/>
      <c r="D3" s="4"/>
      <c r="E3" s="5"/>
      <c r="F3" s="6"/>
      <c r="G3" s="6"/>
    </row>
    <row r="4" spans="2:8" ht="24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>
      <c r="B5" s="17" t="s">
        <v>30</v>
      </c>
      <c r="C5" s="18"/>
      <c r="D5" s="18"/>
      <c r="E5" s="19"/>
      <c r="F5" s="20"/>
      <c r="G5" s="20"/>
      <c r="H5" s="21"/>
    </row>
    <row r="6" spans="2:8">
      <c r="B6" s="22" t="s">
        <v>31</v>
      </c>
      <c r="C6" s="23"/>
      <c r="D6" s="23"/>
      <c r="E6" s="24"/>
      <c r="F6" s="25"/>
      <c r="G6" s="25"/>
      <c r="H6" s="26"/>
    </row>
    <row r="7" spans="2:8">
      <c r="B7" s="27" t="s">
        <v>114</v>
      </c>
      <c r="C7" s="23" t="s">
        <v>115</v>
      </c>
      <c r="D7" s="23" t="s">
        <v>116</v>
      </c>
      <c r="E7" s="28">
        <v>23000</v>
      </c>
      <c r="F7" s="25">
        <v>370.42</v>
      </c>
      <c r="G7" s="25">
        <v>1.73</v>
      </c>
      <c r="H7" s="26"/>
    </row>
    <row r="8" spans="2:8">
      <c r="B8" s="27" t="s">
        <v>35</v>
      </c>
      <c r="C8" s="23" t="s">
        <v>36</v>
      </c>
      <c r="D8" s="23" t="s">
        <v>37</v>
      </c>
      <c r="E8" s="28">
        <v>53500</v>
      </c>
      <c r="F8" s="25">
        <v>365.14</v>
      </c>
      <c r="G8" s="25">
        <v>1.71</v>
      </c>
      <c r="H8" s="26"/>
    </row>
    <row r="9" spans="2:8">
      <c r="B9" s="27" t="s">
        <v>117</v>
      </c>
      <c r="C9" s="23" t="s">
        <v>118</v>
      </c>
      <c r="D9" s="23" t="s">
        <v>37</v>
      </c>
      <c r="E9" s="28">
        <v>21240</v>
      </c>
      <c r="F9" s="25">
        <v>302.98</v>
      </c>
      <c r="G9" s="25">
        <v>1.42</v>
      </c>
      <c r="H9" s="26"/>
    </row>
    <row r="10" spans="2:8">
      <c r="B10" s="27" t="s">
        <v>121</v>
      </c>
      <c r="C10" s="23" t="s">
        <v>122</v>
      </c>
      <c r="D10" s="23" t="s">
        <v>90</v>
      </c>
      <c r="E10" s="28">
        <v>13500</v>
      </c>
      <c r="F10" s="25">
        <v>274.77</v>
      </c>
      <c r="G10" s="25">
        <v>1.29</v>
      </c>
      <c r="H10" s="26"/>
    </row>
    <row r="11" spans="2:8">
      <c r="B11" s="27" t="s">
        <v>126</v>
      </c>
      <c r="C11" s="23" t="s">
        <v>127</v>
      </c>
      <c r="D11" s="23" t="s">
        <v>37</v>
      </c>
      <c r="E11" s="28">
        <v>22330</v>
      </c>
      <c r="F11" s="25">
        <v>158.30000000000001</v>
      </c>
      <c r="G11" s="25">
        <v>0.74</v>
      </c>
      <c r="H11" s="26"/>
    </row>
    <row r="12" spans="2:8">
      <c r="B12" s="27" t="s">
        <v>119</v>
      </c>
      <c r="C12" s="23" t="s">
        <v>120</v>
      </c>
      <c r="D12" s="23" t="s">
        <v>116</v>
      </c>
      <c r="E12" s="28">
        <v>4928</v>
      </c>
      <c r="F12" s="25">
        <v>156.09</v>
      </c>
      <c r="G12" s="25">
        <v>0.73</v>
      </c>
      <c r="H12" s="26"/>
    </row>
    <row r="13" spans="2:8">
      <c r="B13" s="27" t="s">
        <v>130</v>
      </c>
      <c r="C13" s="23" t="s">
        <v>131</v>
      </c>
      <c r="D13" s="23" t="s">
        <v>132</v>
      </c>
      <c r="E13" s="28">
        <v>5730</v>
      </c>
      <c r="F13" s="25">
        <v>133.69999999999999</v>
      </c>
      <c r="G13" s="25">
        <v>0.63</v>
      </c>
      <c r="H13" s="26"/>
    </row>
    <row r="14" spans="2:8">
      <c r="B14" s="27" t="s">
        <v>180</v>
      </c>
      <c r="C14" s="23" t="s">
        <v>181</v>
      </c>
      <c r="D14" s="23" t="s">
        <v>132</v>
      </c>
      <c r="E14" s="28">
        <v>15000</v>
      </c>
      <c r="F14" s="25">
        <v>113.44</v>
      </c>
      <c r="G14" s="25">
        <v>0.53</v>
      </c>
      <c r="H14" s="26"/>
    </row>
    <row r="15" spans="2:8">
      <c r="B15" s="27" t="s">
        <v>38</v>
      </c>
      <c r="C15" s="23" t="s">
        <v>39</v>
      </c>
      <c r="D15" s="23" t="s">
        <v>40</v>
      </c>
      <c r="E15" s="28">
        <v>40660</v>
      </c>
      <c r="F15" s="25">
        <v>110.13</v>
      </c>
      <c r="G15" s="25">
        <v>0.52</v>
      </c>
      <c r="H15" s="26"/>
    </row>
    <row r="16" spans="2:8">
      <c r="B16" s="27" t="s">
        <v>128</v>
      </c>
      <c r="C16" s="23" t="s">
        <v>129</v>
      </c>
      <c r="D16" s="23" t="s">
        <v>125</v>
      </c>
      <c r="E16" s="28">
        <v>4400</v>
      </c>
      <c r="F16" s="25">
        <v>107.41</v>
      </c>
      <c r="G16" s="25">
        <v>0.5</v>
      </c>
      <c r="H16" s="26"/>
    </row>
    <row r="17" spans="2:8">
      <c r="B17" s="27" t="s">
        <v>68</v>
      </c>
      <c r="C17" s="23" t="s">
        <v>69</v>
      </c>
      <c r="D17" s="23" t="s">
        <v>70</v>
      </c>
      <c r="E17" s="28">
        <v>15000</v>
      </c>
      <c r="F17" s="25">
        <v>107.24</v>
      </c>
      <c r="G17" s="25">
        <v>0.5</v>
      </c>
      <c r="H17" s="26"/>
    </row>
    <row r="18" spans="2:8">
      <c r="B18" s="27" t="s">
        <v>735</v>
      </c>
      <c r="C18" s="23" t="s">
        <v>736</v>
      </c>
      <c r="D18" s="23" t="s">
        <v>176</v>
      </c>
      <c r="E18" s="28">
        <v>14000</v>
      </c>
      <c r="F18" s="25">
        <v>104.03</v>
      </c>
      <c r="G18" s="25">
        <v>0.49</v>
      </c>
      <c r="H18" s="26"/>
    </row>
    <row r="19" spans="2:8">
      <c r="B19" s="27" t="s">
        <v>737</v>
      </c>
      <c r="C19" s="23" t="s">
        <v>738</v>
      </c>
      <c r="D19" s="23" t="s">
        <v>143</v>
      </c>
      <c r="E19" s="28">
        <v>3000</v>
      </c>
      <c r="F19" s="25">
        <v>103.61</v>
      </c>
      <c r="G19" s="25">
        <v>0.49</v>
      </c>
      <c r="H19" s="26"/>
    </row>
    <row r="20" spans="2:8">
      <c r="B20" s="27" t="s">
        <v>32</v>
      </c>
      <c r="C20" s="23" t="s">
        <v>33</v>
      </c>
      <c r="D20" s="23" t="s">
        <v>34</v>
      </c>
      <c r="E20" s="28">
        <v>6370</v>
      </c>
      <c r="F20" s="25">
        <v>102.01</v>
      </c>
      <c r="G20" s="25">
        <v>0.48</v>
      </c>
      <c r="H20" s="26"/>
    </row>
    <row r="21" spans="2:8">
      <c r="B21" s="27" t="s">
        <v>166</v>
      </c>
      <c r="C21" s="23" t="s">
        <v>167</v>
      </c>
      <c r="D21" s="23" t="s">
        <v>98</v>
      </c>
      <c r="E21" s="28">
        <v>9400</v>
      </c>
      <c r="F21" s="25">
        <v>99.56</v>
      </c>
      <c r="G21" s="25">
        <v>0.47</v>
      </c>
      <c r="H21" s="26"/>
    </row>
    <row r="22" spans="2:8">
      <c r="B22" s="27" t="s">
        <v>222</v>
      </c>
      <c r="C22" s="23" t="s">
        <v>223</v>
      </c>
      <c r="D22" s="23" t="s">
        <v>63</v>
      </c>
      <c r="E22" s="28">
        <v>300</v>
      </c>
      <c r="F22" s="25">
        <v>84.8</v>
      </c>
      <c r="G22" s="25">
        <v>0.4</v>
      </c>
      <c r="H22" s="26"/>
    </row>
    <row r="23" spans="2:8">
      <c r="B23" s="27" t="s">
        <v>259</v>
      </c>
      <c r="C23" s="23" t="s">
        <v>260</v>
      </c>
      <c r="D23" s="23" t="s">
        <v>132</v>
      </c>
      <c r="E23" s="28">
        <v>12500</v>
      </c>
      <c r="F23" s="25">
        <v>78.239999999999995</v>
      </c>
      <c r="G23" s="25">
        <v>0.37</v>
      </c>
      <c r="H23" s="26"/>
    </row>
    <row r="24" spans="2:8">
      <c r="B24" s="27" t="s">
        <v>123</v>
      </c>
      <c r="C24" s="23" t="s">
        <v>124</v>
      </c>
      <c r="D24" s="23" t="s">
        <v>125</v>
      </c>
      <c r="E24" s="28">
        <v>1250</v>
      </c>
      <c r="F24" s="25">
        <v>77.849999999999994</v>
      </c>
      <c r="G24" s="25">
        <v>0.36</v>
      </c>
      <c r="H24" s="26"/>
    </row>
    <row r="25" spans="2:8">
      <c r="B25" s="27" t="s">
        <v>230</v>
      </c>
      <c r="C25" s="23" t="s">
        <v>231</v>
      </c>
      <c r="D25" s="23" t="s">
        <v>116</v>
      </c>
      <c r="E25" s="28">
        <v>2400</v>
      </c>
      <c r="F25" s="25">
        <v>75.44</v>
      </c>
      <c r="G25" s="25">
        <v>0.35</v>
      </c>
      <c r="H25" s="26"/>
    </row>
    <row r="26" spans="2:8">
      <c r="B26" s="27" t="s">
        <v>54</v>
      </c>
      <c r="C26" s="23" t="s">
        <v>55</v>
      </c>
      <c r="D26" s="23" t="s">
        <v>46</v>
      </c>
      <c r="E26" s="28">
        <v>165</v>
      </c>
      <c r="F26" s="25">
        <v>70.5</v>
      </c>
      <c r="G26" s="25">
        <v>0.33</v>
      </c>
      <c r="H26" s="26"/>
    </row>
    <row r="27" spans="2:8">
      <c r="B27" s="27" t="s">
        <v>61</v>
      </c>
      <c r="C27" s="23" t="s">
        <v>62</v>
      </c>
      <c r="D27" s="23" t="s">
        <v>63</v>
      </c>
      <c r="E27" s="28">
        <v>900</v>
      </c>
      <c r="F27" s="25">
        <v>68.569999999999993</v>
      </c>
      <c r="G27" s="25">
        <v>0.32</v>
      </c>
      <c r="H27" s="26"/>
    </row>
    <row r="28" spans="2:8">
      <c r="B28" s="27" t="s">
        <v>144</v>
      </c>
      <c r="C28" s="23" t="s">
        <v>145</v>
      </c>
      <c r="D28" s="23" t="s">
        <v>37</v>
      </c>
      <c r="E28" s="28">
        <v>4000</v>
      </c>
      <c r="F28" s="25">
        <v>66.19</v>
      </c>
      <c r="G28" s="25">
        <v>0.31</v>
      </c>
      <c r="H28" s="26"/>
    </row>
    <row r="29" spans="2:8">
      <c r="B29" s="27" t="s">
        <v>198</v>
      </c>
      <c r="C29" s="23" t="s">
        <v>199</v>
      </c>
      <c r="D29" s="23" t="s">
        <v>60</v>
      </c>
      <c r="E29" s="28">
        <v>8000</v>
      </c>
      <c r="F29" s="25">
        <v>61.73</v>
      </c>
      <c r="G29" s="25">
        <v>0.28999999999999998</v>
      </c>
      <c r="H29" s="26"/>
    </row>
    <row r="30" spans="2:8">
      <c r="B30" s="27" t="s">
        <v>150</v>
      </c>
      <c r="C30" s="23" t="s">
        <v>151</v>
      </c>
      <c r="D30" s="23" t="s">
        <v>152</v>
      </c>
      <c r="E30" s="28">
        <v>10700</v>
      </c>
      <c r="F30" s="25">
        <v>60.1</v>
      </c>
      <c r="G30" s="25">
        <v>0.28000000000000003</v>
      </c>
      <c r="H30" s="26"/>
    </row>
    <row r="31" spans="2:8">
      <c r="B31" s="27" t="s">
        <v>323</v>
      </c>
      <c r="C31" s="23" t="s">
        <v>324</v>
      </c>
      <c r="D31" s="23" t="s">
        <v>140</v>
      </c>
      <c r="E31" s="28">
        <v>1500</v>
      </c>
      <c r="F31" s="25">
        <v>58.2</v>
      </c>
      <c r="G31" s="25">
        <v>0.27</v>
      </c>
      <c r="H31" s="26"/>
    </row>
    <row r="32" spans="2:8">
      <c r="B32" s="27" t="s">
        <v>155</v>
      </c>
      <c r="C32" s="23" t="s">
        <v>156</v>
      </c>
      <c r="D32" s="23" t="s">
        <v>70</v>
      </c>
      <c r="E32" s="28">
        <v>10000</v>
      </c>
      <c r="F32" s="25">
        <v>55.78</v>
      </c>
      <c r="G32" s="25">
        <v>0.26</v>
      </c>
      <c r="H32" s="26"/>
    </row>
    <row r="33" spans="2:10">
      <c r="B33" s="27" t="s">
        <v>162</v>
      </c>
      <c r="C33" s="23" t="s">
        <v>163</v>
      </c>
      <c r="D33" s="23" t="s">
        <v>132</v>
      </c>
      <c r="E33" s="28">
        <v>1870</v>
      </c>
      <c r="F33" s="25">
        <v>55.32</v>
      </c>
      <c r="G33" s="25">
        <v>0.26</v>
      </c>
      <c r="H33" s="26"/>
    </row>
    <row r="34" spans="2:10">
      <c r="B34" s="27" t="s">
        <v>58</v>
      </c>
      <c r="C34" s="23" t="s">
        <v>59</v>
      </c>
      <c r="D34" s="23" t="s">
        <v>60</v>
      </c>
      <c r="E34" s="28">
        <v>800</v>
      </c>
      <c r="F34" s="25">
        <v>54.91</v>
      </c>
      <c r="G34" s="25">
        <v>0.26</v>
      </c>
      <c r="H34" s="26"/>
    </row>
    <row r="35" spans="2:10">
      <c r="B35" s="27" t="s">
        <v>243</v>
      </c>
      <c r="C35" s="23" t="s">
        <v>244</v>
      </c>
      <c r="D35" s="23" t="s">
        <v>143</v>
      </c>
      <c r="E35" s="28">
        <v>800</v>
      </c>
      <c r="F35" s="25">
        <v>37.69</v>
      </c>
      <c r="G35" s="25">
        <v>0.18</v>
      </c>
      <c r="H35" s="26"/>
    </row>
    <row r="36" spans="2:10">
      <c r="B36" s="27" t="s">
        <v>739</v>
      </c>
      <c r="C36" s="23" t="s">
        <v>740</v>
      </c>
      <c r="D36" s="23" t="s">
        <v>132</v>
      </c>
      <c r="E36" s="28">
        <v>18000</v>
      </c>
      <c r="F36" s="25">
        <v>36.89</v>
      </c>
      <c r="G36" s="25">
        <v>0.17</v>
      </c>
      <c r="H36" s="26"/>
    </row>
    <row r="37" spans="2:10">
      <c r="B37" s="27" t="s">
        <v>208</v>
      </c>
      <c r="C37" s="23" t="s">
        <v>209</v>
      </c>
      <c r="D37" s="23" t="s">
        <v>176</v>
      </c>
      <c r="E37" s="28">
        <v>500</v>
      </c>
      <c r="F37" s="25">
        <v>34.89</v>
      </c>
      <c r="G37" s="25">
        <v>0.16</v>
      </c>
      <c r="H37" s="26"/>
    </row>
    <row r="38" spans="2:10">
      <c r="B38" s="27" t="s">
        <v>196</v>
      </c>
      <c r="C38" s="23" t="s">
        <v>197</v>
      </c>
      <c r="D38" s="23" t="s">
        <v>98</v>
      </c>
      <c r="E38" s="28">
        <v>1800</v>
      </c>
      <c r="F38" s="25">
        <v>30.86</v>
      </c>
      <c r="G38" s="25">
        <v>0.14000000000000001</v>
      </c>
      <c r="H38" s="26"/>
    </row>
    <row r="39" spans="2:10">
      <c r="B39" s="27" t="s">
        <v>138</v>
      </c>
      <c r="C39" s="23" t="s">
        <v>139</v>
      </c>
      <c r="D39" s="23" t="s">
        <v>140</v>
      </c>
      <c r="E39" s="28">
        <v>700</v>
      </c>
      <c r="F39" s="25">
        <v>24.51</v>
      </c>
      <c r="G39" s="25">
        <v>0.11</v>
      </c>
      <c r="H39" s="26"/>
    </row>
    <row r="40" spans="2:10">
      <c r="B40" s="27" t="s">
        <v>206</v>
      </c>
      <c r="C40" s="23" t="s">
        <v>207</v>
      </c>
      <c r="D40" s="23" t="s">
        <v>125</v>
      </c>
      <c r="E40" s="28">
        <v>1121</v>
      </c>
      <c r="F40" s="25">
        <v>11.62</v>
      </c>
      <c r="G40" s="25">
        <v>0.05</v>
      </c>
      <c r="H40" s="26"/>
    </row>
    <row r="41" spans="2:10">
      <c r="B41" s="29" t="s">
        <v>109</v>
      </c>
      <c r="C41" s="30"/>
      <c r="D41" s="30"/>
      <c r="E41" s="31"/>
      <c r="F41" s="32">
        <f>SUM(F7:F40)</f>
        <v>3652.92</v>
      </c>
      <c r="G41" s="32">
        <f>SUM(G7:G40)</f>
        <v>17.100000000000001</v>
      </c>
      <c r="H41" s="33"/>
      <c r="I41" s="14"/>
      <c r="J41" s="14"/>
    </row>
    <row r="42" spans="2:10">
      <c r="B42" s="37" t="s">
        <v>110</v>
      </c>
      <c r="C42" s="37"/>
      <c r="D42" s="37"/>
      <c r="E42" s="38"/>
      <c r="F42" s="39">
        <f>F41</f>
        <v>3652.92</v>
      </c>
      <c r="G42" s="39">
        <f>G41</f>
        <v>17.100000000000001</v>
      </c>
      <c r="H42" s="15"/>
      <c r="I42" s="14"/>
      <c r="J42" s="14"/>
    </row>
    <row r="43" spans="2:10">
      <c r="B43" s="46" t="s">
        <v>224</v>
      </c>
      <c r="C43" s="41"/>
      <c r="D43" s="41"/>
      <c r="E43" s="42"/>
      <c r="F43" s="43"/>
      <c r="G43" s="43"/>
      <c r="H43" s="43"/>
    </row>
    <row r="44" spans="2:10">
      <c r="B44" s="47" t="s">
        <v>31</v>
      </c>
      <c r="C44" s="23"/>
      <c r="D44" s="23"/>
      <c r="E44" s="24"/>
      <c r="F44" s="25"/>
      <c r="G44" s="25"/>
      <c r="H44" s="25"/>
    </row>
    <row r="45" spans="2:10">
      <c r="B45" s="23" t="s">
        <v>683</v>
      </c>
      <c r="C45" s="23" t="s">
        <v>684</v>
      </c>
      <c r="D45" s="23" t="s">
        <v>227</v>
      </c>
      <c r="E45" s="28">
        <v>200</v>
      </c>
      <c r="F45" s="25">
        <v>2054.3000000000002</v>
      </c>
      <c r="G45" s="25">
        <v>9.6199999999999992</v>
      </c>
      <c r="H45" s="25">
        <v>4.03</v>
      </c>
    </row>
    <row r="46" spans="2:10">
      <c r="B46" s="23" t="s">
        <v>401</v>
      </c>
      <c r="C46" s="23" t="s">
        <v>402</v>
      </c>
      <c r="D46" s="23" t="s">
        <v>227</v>
      </c>
      <c r="E46" s="28">
        <v>150</v>
      </c>
      <c r="F46" s="25">
        <v>1538.99</v>
      </c>
      <c r="G46" s="25">
        <v>7.21</v>
      </c>
      <c r="H46" s="25">
        <v>3.86</v>
      </c>
    </row>
    <row r="47" spans="2:10">
      <c r="B47" s="23" t="s">
        <v>375</v>
      </c>
      <c r="C47" s="23" t="s">
        <v>376</v>
      </c>
      <c r="D47" s="23" t="s">
        <v>227</v>
      </c>
      <c r="E47" s="28">
        <v>150</v>
      </c>
      <c r="F47" s="25">
        <v>1538.63</v>
      </c>
      <c r="G47" s="25">
        <v>7.21</v>
      </c>
      <c r="H47" s="25">
        <v>3.8</v>
      </c>
    </row>
    <row r="48" spans="2:10">
      <c r="B48" s="23" t="s">
        <v>741</v>
      </c>
      <c r="C48" s="23" t="s">
        <v>742</v>
      </c>
      <c r="D48" s="23" t="s">
        <v>227</v>
      </c>
      <c r="E48" s="28">
        <v>150</v>
      </c>
      <c r="F48" s="25">
        <v>1535.68</v>
      </c>
      <c r="G48" s="25">
        <v>7.19</v>
      </c>
      <c r="H48" s="25">
        <v>4.0599999999999996</v>
      </c>
    </row>
    <row r="49" spans="2:10">
      <c r="B49" s="23" t="s">
        <v>426</v>
      </c>
      <c r="C49" s="23" t="s">
        <v>427</v>
      </c>
      <c r="D49" s="23" t="s">
        <v>227</v>
      </c>
      <c r="E49" s="28">
        <v>140</v>
      </c>
      <c r="F49" s="25">
        <v>1432.6</v>
      </c>
      <c r="G49" s="25">
        <v>6.71</v>
      </c>
      <c r="H49" s="25">
        <v>3.73</v>
      </c>
    </row>
    <row r="50" spans="2:10">
      <c r="B50" s="23" t="s">
        <v>517</v>
      </c>
      <c r="C50" s="23" t="s">
        <v>518</v>
      </c>
      <c r="D50" s="23" t="s">
        <v>227</v>
      </c>
      <c r="E50" s="28">
        <v>100</v>
      </c>
      <c r="F50" s="25">
        <v>1016.55</v>
      </c>
      <c r="G50" s="25">
        <v>4.76</v>
      </c>
      <c r="H50" s="25">
        <v>3.85</v>
      </c>
    </row>
    <row r="51" spans="2:10">
      <c r="B51" s="23" t="s">
        <v>743</v>
      </c>
      <c r="C51" s="23" t="s">
        <v>744</v>
      </c>
      <c r="D51" s="23" t="s">
        <v>227</v>
      </c>
      <c r="E51" s="28">
        <v>50</v>
      </c>
      <c r="F51" s="25">
        <v>513.55999999999995</v>
      </c>
      <c r="G51" s="25">
        <v>2.41</v>
      </c>
      <c r="H51" s="25">
        <v>4.04</v>
      </c>
    </row>
    <row r="52" spans="2:10">
      <c r="B52" s="30" t="s">
        <v>109</v>
      </c>
      <c r="C52" s="30"/>
      <c r="D52" s="30"/>
      <c r="E52" s="31"/>
      <c r="F52" s="32">
        <f>SUM(F44:F51)</f>
        <v>9630.31</v>
      </c>
      <c r="G52" s="32">
        <f>SUM(G44:G51)</f>
        <v>45.11</v>
      </c>
      <c r="H52" s="48"/>
      <c r="I52" s="14"/>
      <c r="J52" s="14"/>
    </row>
    <row r="53" spans="2:10">
      <c r="B53" s="49" t="s">
        <v>110</v>
      </c>
      <c r="C53" s="49"/>
      <c r="D53" s="49"/>
      <c r="E53" s="50"/>
      <c r="F53" s="51">
        <f>F52</f>
        <v>9630.31</v>
      </c>
      <c r="G53" s="51">
        <f>G52</f>
        <v>45.11</v>
      </c>
      <c r="H53" s="51"/>
      <c r="I53" s="14"/>
      <c r="J53" s="14"/>
    </row>
    <row r="54" spans="2:10">
      <c r="B54" s="47" t="s">
        <v>428</v>
      </c>
      <c r="C54" s="23"/>
      <c r="D54" s="23"/>
      <c r="E54" s="24"/>
      <c r="F54" s="25"/>
      <c r="G54" s="25"/>
      <c r="H54" s="25"/>
    </row>
    <row r="55" spans="2:10">
      <c r="B55" s="23" t="s">
        <v>701</v>
      </c>
      <c r="C55" s="23" t="s">
        <v>702</v>
      </c>
      <c r="D55" s="23" t="s">
        <v>431</v>
      </c>
      <c r="E55" s="28">
        <v>4200000</v>
      </c>
      <c r="F55" s="25">
        <v>4319.7299999999996</v>
      </c>
      <c r="G55" s="25">
        <v>20.23</v>
      </c>
      <c r="H55" s="25">
        <v>3.83</v>
      </c>
    </row>
    <row r="56" spans="2:10">
      <c r="B56" s="23" t="s">
        <v>586</v>
      </c>
      <c r="C56" s="23" t="s">
        <v>587</v>
      </c>
      <c r="D56" s="23" t="s">
        <v>431</v>
      </c>
      <c r="E56" s="28">
        <v>2200000</v>
      </c>
      <c r="F56" s="25">
        <v>2266.6999999999998</v>
      </c>
      <c r="G56" s="25">
        <v>10.62</v>
      </c>
      <c r="H56" s="25">
        <v>3.83</v>
      </c>
    </row>
    <row r="57" spans="2:10">
      <c r="B57" s="23" t="s">
        <v>448</v>
      </c>
      <c r="C57" s="23" t="s">
        <v>449</v>
      </c>
      <c r="D57" s="23" t="s">
        <v>431</v>
      </c>
      <c r="E57" s="28">
        <v>400000</v>
      </c>
      <c r="F57" s="25">
        <v>409.68</v>
      </c>
      <c r="G57" s="25">
        <v>1.92</v>
      </c>
      <c r="H57" s="25">
        <v>3.64</v>
      </c>
    </row>
    <row r="58" spans="2:10">
      <c r="B58" s="52" t="s">
        <v>745</v>
      </c>
      <c r="C58" s="52" t="s">
        <v>746</v>
      </c>
      <c r="D58" s="52" t="s">
        <v>431</v>
      </c>
      <c r="E58" s="53">
        <v>220000</v>
      </c>
      <c r="F58" s="54">
        <v>227.03</v>
      </c>
      <c r="G58" s="54">
        <v>1.06</v>
      </c>
      <c r="H58" s="54">
        <v>3.74</v>
      </c>
    </row>
    <row r="59" spans="2:10">
      <c r="B59" s="55" t="s">
        <v>110</v>
      </c>
      <c r="C59" s="55"/>
      <c r="D59" s="55"/>
      <c r="E59" s="56"/>
      <c r="F59" s="57">
        <f>SUM(F55:F58)</f>
        <v>7223.1399999999994</v>
      </c>
      <c r="G59" s="57">
        <f>SUM(G55:G58)</f>
        <v>33.830000000000005</v>
      </c>
      <c r="H59" s="57"/>
      <c r="I59" s="14"/>
      <c r="J59" s="14"/>
    </row>
    <row r="60" spans="2:10">
      <c r="B60" s="47" t="s">
        <v>111</v>
      </c>
      <c r="C60" s="23"/>
      <c r="D60" s="23"/>
      <c r="E60" s="24"/>
      <c r="F60" s="25"/>
      <c r="G60" s="25"/>
      <c r="H60" s="25"/>
    </row>
    <row r="61" spans="2:10">
      <c r="B61" s="23" t="s">
        <v>111</v>
      </c>
      <c r="C61" s="23"/>
      <c r="D61" s="23"/>
      <c r="E61" s="24"/>
      <c r="F61" s="25">
        <v>749.29</v>
      </c>
      <c r="G61" s="25">
        <v>3.51</v>
      </c>
      <c r="H61" s="25"/>
    </row>
    <row r="62" spans="2:10">
      <c r="B62" s="30" t="s">
        <v>109</v>
      </c>
      <c r="C62" s="30"/>
      <c r="D62" s="30"/>
      <c r="E62" s="31"/>
      <c r="F62" s="32">
        <f>SUM(F60:F61)</f>
        <v>749.29</v>
      </c>
      <c r="G62" s="32">
        <f>SUM(G60:G61)</f>
        <v>3.51</v>
      </c>
      <c r="H62" s="48"/>
      <c r="I62" s="14"/>
      <c r="J62" s="14"/>
    </row>
    <row r="63" spans="2:10">
      <c r="B63" s="34" t="s">
        <v>110</v>
      </c>
      <c r="C63" s="34"/>
      <c r="D63" s="34"/>
      <c r="E63" s="35"/>
      <c r="F63" s="36">
        <f>F62</f>
        <v>749.29</v>
      </c>
      <c r="G63" s="36">
        <f>G62</f>
        <v>3.51</v>
      </c>
      <c r="H63" s="36"/>
      <c r="I63" s="14"/>
      <c r="J63" s="14"/>
    </row>
    <row r="64" spans="2:10">
      <c r="B64" s="44" t="s">
        <v>113</v>
      </c>
      <c r="C64" s="44"/>
      <c r="D64" s="44"/>
      <c r="E64" s="45"/>
      <c r="F64" s="16">
        <f>F65-(+F42+F53+F59+F63)</f>
        <v>96.490000000001601</v>
      </c>
      <c r="G64" s="16">
        <f>G65-(+G42+G53+G59+G63)</f>
        <v>0.44999999999998863</v>
      </c>
      <c r="H64" s="16"/>
      <c r="I64" s="14"/>
      <c r="J64" s="14"/>
    </row>
    <row r="65" spans="2:10">
      <c r="B65" s="44" t="s">
        <v>112</v>
      </c>
      <c r="C65" s="44"/>
      <c r="D65" s="44"/>
      <c r="E65" s="45"/>
      <c r="F65" s="16">
        <v>21352.15</v>
      </c>
      <c r="G65" s="16">
        <v>100</v>
      </c>
      <c r="H65" s="16"/>
      <c r="I65" s="14"/>
      <c r="J65" s="14"/>
    </row>
    <row r="67" spans="2:10">
      <c r="B67" s="14" t="s">
        <v>747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Riskometer</vt:lpstr>
      <vt:lpstr>CRI</vt:lpstr>
      <vt:lpstr>CREDF</vt:lpstr>
      <vt:lpstr>CRETSF</vt:lpstr>
      <vt:lpstr>CREE</vt:lpstr>
      <vt:lpstr>CRCTF</vt:lpstr>
      <vt:lpstr>CRBCEF</vt:lpstr>
      <vt:lpstr>CRSCF</vt:lpstr>
      <vt:lpstr>CRFEF</vt:lpstr>
      <vt:lpstr>CREHF</vt:lpstr>
      <vt:lpstr>CRDBF</vt:lpstr>
      <vt:lpstr>CRGILT</vt:lpstr>
      <vt:lpstr>CRINC</vt:lpstr>
      <vt:lpstr>CRSF</vt:lpstr>
      <vt:lpstr>CRCHF</vt:lpstr>
      <vt:lpstr>CRG1988</vt:lpstr>
      <vt:lpstr>CRL</vt:lpstr>
      <vt:lpstr>CRUSTF</vt:lpstr>
      <vt:lpstr>CROF</vt:lpstr>
      <vt:lpstr>CRSDF</vt:lpstr>
      <vt:lpstr>CRCBF</vt:lpstr>
      <vt:lpstr>CRFMP8</vt:lpstr>
      <vt:lpstr>CRCPOF10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2021-08-06T11:36:52Z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3486a02c-2dfb-4efe-823f-aa2d1f0e6ab7_Enabled">
    <vt:lpwstr>true</vt:lpwstr>
  </property>
  <property fmtid="{D5CDD505-2E9C-101B-9397-08002B2CF9AE}" pid="5" name="MSIP_Label_3486a02c-2dfb-4efe-823f-aa2d1f0e6ab7_SetDate">
    <vt:lpwstr>2021-08-04T08:20:19Z</vt:lpwstr>
  </property>
  <property fmtid="{D5CDD505-2E9C-101B-9397-08002B2CF9AE}" pid="6" name="MSIP_Label_3486a02c-2dfb-4efe-823f-aa2d1f0e6ab7_Method">
    <vt:lpwstr>Standard</vt:lpwstr>
  </property>
  <property fmtid="{D5CDD505-2E9C-101B-9397-08002B2CF9AE}" pid="7" name="MSIP_Label_3486a02c-2dfb-4efe-823f-aa2d1f0e6ab7_Name">
    <vt:lpwstr>CLAPUBLIC</vt:lpwstr>
  </property>
  <property fmtid="{D5CDD505-2E9C-101B-9397-08002B2CF9AE}" pid="8" name="MSIP_Label_3486a02c-2dfb-4efe-823f-aa2d1f0e6ab7_SiteId">
    <vt:lpwstr>e0fd434d-ba64-497b-90d2-859c472e1a92</vt:lpwstr>
  </property>
  <property fmtid="{D5CDD505-2E9C-101B-9397-08002B2CF9AE}" pid="9" name="MSIP_Label_3486a02c-2dfb-4efe-823f-aa2d1f0e6ab7_ActionId">
    <vt:lpwstr>ccd1c4a0-6fe0-4443-88b3-48da78f94c06</vt:lpwstr>
  </property>
  <property fmtid="{D5CDD505-2E9C-101B-9397-08002B2CF9AE}" pid="10" name="MSIP_Label_3486a02c-2dfb-4efe-823f-aa2d1f0e6ab7_ContentBits">
    <vt:lpwstr>2</vt:lpwstr>
  </property>
  <property fmtid="{D5CDD505-2E9C-101B-9397-08002B2CF9AE}" pid="11" name="Classification">
    <vt:lpwstr>PUBLIC</vt:lpwstr>
  </property>
</Properties>
</file>