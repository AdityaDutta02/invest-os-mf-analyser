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7155"/>
  </bookViews>
  <sheets>
    <sheet name="Riskometer" sheetId="26" r:id="rId1"/>
    <sheet name="CRI" sheetId="1" r:id="rId2"/>
    <sheet name="CREDF" sheetId="2" r:id="rId3"/>
    <sheet name="CRETSF" sheetId="3" r:id="rId4"/>
    <sheet name="CREE" sheetId="4" r:id="rId5"/>
    <sheet name="CRCTF" sheetId="5" r:id="rId6"/>
    <sheet name="CRBCEF" sheetId="6" r:id="rId7"/>
    <sheet name="CRSCF" sheetId="7" r:id="rId8"/>
    <sheet name="CRFEF" sheetId="8" r:id="rId9"/>
    <sheet name="CREHF" sheetId="9" r:id="rId10"/>
    <sheet name="CRDBF" sheetId="10" r:id="rId11"/>
    <sheet name="CRGILT" sheetId="11" r:id="rId12"/>
    <sheet name="CRINC" sheetId="12" r:id="rId13"/>
    <sheet name="CRSF" sheetId="13" r:id="rId14"/>
    <sheet name="CRCHF" sheetId="14" r:id="rId15"/>
    <sheet name="CRG1988" sheetId="15" r:id="rId16"/>
    <sheet name="CRL" sheetId="16" r:id="rId17"/>
    <sheet name="CRUSTF" sheetId="17" r:id="rId18"/>
    <sheet name="CROF" sheetId="18" r:id="rId19"/>
    <sheet name="CRSDF" sheetId="19" r:id="rId20"/>
    <sheet name="CRCBF" sheetId="20" r:id="rId21"/>
    <sheet name="CRDAF1" sheetId="21" r:id="rId22"/>
    <sheet name="CRFMP8" sheetId="22" r:id="rId23"/>
    <sheet name="CRCPOF10" sheetId="23" r:id="rId24"/>
  </sheets>
  <calcPr calcId="152511"/>
</workbook>
</file>

<file path=xl/calcChain.xml><?xml version="1.0" encoding="utf-8"?>
<calcChain xmlns="http://schemas.openxmlformats.org/spreadsheetml/2006/main">
  <c r="G62" i="23" l="1"/>
  <c r="F62" i="23"/>
  <c r="G61" i="23"/>
  <c r="F61" i="23"/>
  <c r="G60" i="23"/>
  <c r="F60" i="23"/>
  <c r="G57" i="23"/>
  <c r="F57" i="23"/>
  <c r="G52" i="23"/>
  <c r="F52" i="23"/>
  <c r="G51" i="23"/>
  <c r="F51" i="23"/>
  <c r="G42" i="23"/>
  <c r="F42" i="23"/>
  <c r="G41" i="23"/>
  <c r="F41" i="23"/>
  <c r="G31" i="22"/>
  <c r="F31" i="22"/>
  <c r="G30" i="22"/>
  <c r="F30" i="22"/>
  <c r="G29" i="22"/>
  <c r="F29" i="22"/>
  <c r="G26" i="22"/>
  <c r="F26" i="22"/>
  <c r="G22" i="22"/>
  <c r="F22" i="22"/>
  <c r="G21" i="22"/>
  <c r="F21" i="22"/>
  <c r="G17" i="22"/>
  <c r="F17" i="22"/>
  <c r="G16" i="22"/>
  <c r="F16" i="22"/>
  <c r="G31" i="21"/>
  <c r="F31" i="21"/>
  <c r="G30" i="21"/>
  <c r="F30" i="21"/>
  <c r="G29" i="21"/>
  <c r="F29" i="21"/>
  <c r="G26" i="21"/>
  <c r="F26" i="21"/>
  <c r="G25" i="21"/>
  <c r="F25" i="21"/>
  <c r="G19" i="21"/>
  <c r="F19" i="21"/>
  <c r="G18" i="21"/>
  <c r="F18" i="21"/>
  <c r="G54" i="20"/>
  <c r="F54" i="20"/>
  <c r="G53" i="20"/>
  <c r="F53" i="20"/>
  <c r="G52" i="20"/>
  <c r="F52" i="20"/>
  <c r="G49" i="20"/>
  <c r="F49" i="20"/>
  <c r="G39" i="20"/>
  <c r="F39" i="20"/>
  <c r="G38" i="20"/>
  <c r="F38" i="20"/>
  <c r="G34" i="20"/>
  <c r="F34" i="20"/>
  <c r="G33" i="20"/>
  <c r="F33" i="20"/>
  <c r="G76" i="19"/>
  <c r="F76" i="19"/>
  <c r="G75" i="19"/>
  <c r="F75" i="19"/>
  <c r="G74" i="19"/>
  <c r="F74" i="19"/>
  <c r="G71" i="19"/>
  <c r="F71" i="19"/>
  <c r="G56" i="19"/>
  <c r="F56" i="19"/>
  <c r="G55" i="19"/>
  <c r="F55" i="19"/>
  <c r="G47" i="19"/>
  <c r="F47" i="19"/>
  <c r="G46" i="19"/>
  <c r="F46" i="19"/>
  <c r="G7" i="18"/>
  <c r="G8" i="18" s="1"/>
  <c r="G9" i="18" s="1"/>
  <c r="F7" i="18"/>
  <c r="F8" i="18" s="1"/>
  <c r="F9" i="18" s="1"/>
  <c r="G49" i="17"/>
  <c r="F49" i="17"/>
  <c r="G48" i="17"/>
  <c r="F48" i="17"/>
  <c r="G47" i="17"/>
  <c r="F47" i="17"/>
  <c r="G44" i="17"/>
  <c r="F44" i="17"/>
  <c r="G41" i="17"/>
  <c r="F41" i="17"/>
  <c r="G40" i="17"/>
  <c r="F40" i="17"/>
  <c r="G33" i="17"/>
  <c r="F33" i="17"/>
  <c r="G28" i="17"/>
  <c r="F28" i="17"/>
  <c r="G20" i="17"/>
  <c r="F20" i="17"/>
  <c r="G19" i="17"/>
  <c r="F19" i="17"/>
  <c r="G40" i="16"/>
  <c r="F40" i="16"/>
  <c r="G39" i="16"/>
  <c r="F39" i="16"/>
  <c r="G38" i="16"/>
  <c r="F38" i="16"/>
  <c r="G35" i="16"/>
  <c r="F35" i="16"/>
  <c r="G34" i="16"/>
  <c r="F34" i="16"/>
  <c r="G22" i="16"/>
  <c r="F22" i="16"/>
  <c r="G10" i="16"/>
  <c r="F10" i="16"/>
  <c r="G13" i="15"/>
  <c r="F13" i="15"/>
  <c r="G12" i="15"/>
  <c r="F12" i="15"/>
  <c r="G11" i="15"/>
  <c r="F11" i="15"/>
  <c r="G8" i="15"/>
  <c r="F8" i="15"/>
  <c r="G86" i="14"/>
  <c r="F86" i="14"/>
  <c r="G85" i="14"/>
  <c r="F85" i="14"/>
  <c r="G84" i="14"/>
  <c r="F84" i="14"/>
  <c r="G81" i="14"/>
  <c r="F81" i="14"/>
  <c r="G62" i="14"/>
  <c r="F62" i="14"/>
  <c r="G61" i="14"/>
  <c r="F61" i="14"/>
  <c r="G57" i="14"/>
  <c r="F57" i="14"/>
  <c r="G56" i="14"/>
  <c r="F56" i="14"/>
  <c r="G41" i="14"/>
  <c r="F41" i="14"/>
  <c r="G40" i="14"/>
  <c r="F40" i="14"/>
  <c r="G70" i="13"/>
  <c r="F70" i="13"/>
  <c r="G69" i="13"/>
  <c r="F69" i="13"/>
  <c r="G68" i="13"/>
  <c r="F68" i="13"/>
  <c r="G65" i="13"/>
  <c r="F65" i="13"/>
  <c r="G56" i="13"/>
  <c r="F56" i="13"/>
  <c r="G55" i="13"/>
  <c r="F55" i="13"/>
  <c r="G47" i="13"/>
  <c r="F47" i="13"/>
  <c r="G42" i="13"/>
  <c r="F42" i="13"/>
  <c r="G35" i="13"/>
  <c r="F35" i="13"/>
  <c r="G34" i="13"/>
  <c r="F34" i="13"/>
  <c r="G40" i="12"/>
  <c r="F40" i="12"/>
  <c r="G39" i="12"/>
  <c r="F39" i="12"/>
  <c r="G38" i="12"/>
  <c r="F38" i="12"/>
  <c r="G35" i="12"/>
  <c r="F35" i="12"/>
  <c r="G21" i="12"/>
  <c r="F21" i="12"/>
  <c r="G20" i="12"/>
  <c r="F20" i="12"/>
  <c r="G16" i="12"/>
  <c r="F16" i="12"/>
  <c r="G15" i="12"/>
  <c r="F15" i="12"/>
  <c r="G20" i="11"/>
  <c r="F20" i="11"/>
  <c r="G19" i="11"/>
  <c r="F19" i="11"/>
  <c r="G18" i="11"/>
  <c r="F18" i="11"/>
  <c r="G15" i="11"/>
  <c r="F15" i="11"/>
  <c r="G28" i="10"/>
  <c r="F28" i="10"/>
  <c r="G27" i="10"/>
  <c r="F27" i="10"/>
  <c r="G26" i="10"/>
  <c r="F26" i="10"/>
  <c r="G23" i="10"/>
  <c r="F23" i="10"/>
  <c r="G15" i="10"/>
  <c r="F15" i="10"/>
  <c r="G14" i="10"/>
  <c r="F14" i="10"/>
  <c r="G10" i="10"/>
  <c r="F10" i="10"/>
  <c r="G9" i="10"/>
  <c r="F9" i="10"/>
  <c r="G127" i="9"/>
  <c r="F127" i="9"/>
  <c r="G126" i="9"/>
  <c r="F126" i="9"/>
  <c r="G125" i="9"/>
  <c r="F125" i="9"/>
  <c r="G122" i="9"/>
  <c r="F122" i="9"/>
  <c r="G100" i="9"/>
  <c r="F100" i="9"/>
  <c r="G99" i="9"/>
  <c r="F99" i="9"/>
  <c r="G65" i="9"/>
  <c r="F65" i="9"/>
  <c r="G64" i="9"/>
  <c r="F64" i="9"/>
  <c r="G38" i="8"/>
  <c r="G39" i="8" s="1"/>
  <c r="F38" i="8"/>
  <c r="F39" i="8" s="1"/>
  <c r="G34" i="8"/>
  <c r="G35" i="8" s="1"/>
  <c r="G40" i="8" s="1"/>
  <c r="F34" i="8"/>
  <c r="F35" i="8" s="1"/>
  <c r="F40" i="8" s="1"/>
  <c r="F70" i="7"/>
  <c r="G69" i="7"/>
  <c r="G70" i="7" s="1"/>
  <c r="F69" i="7"/>
  <c r="G65" i="7"/>
  <c r="G66" i="7" s="1"/>
  <c r="G71" i="7" s="1"/>
  <c r="F65" i="7"/>
  <c r="F66" i="7" s="1"/>
  <c r="F71" i="7" s="1"/>
  <c r="G66" i="6"/>
  <c r="F66" i="6"/>
  <c r="G65" i="6"/>
  <c r="F65" i="6"/>
  <c r="G64" i="6"/>
  <c r="F64" i="6"/>
  <c r="G61" i="6"/>
  <c r="F61" i="6"/>
  <c r="G60" i="6"/>
  <c r="F60" i="6"/>
  <c r="G56" i="6"/>
  <c r="F56" i="6"/>
  <c r="G55" i="6"/>
  <c r="F55" i="6"/>
  <c r="G54" i="5"/>
  <c r="F54" i="5"/>
  <c r="G53" i="5"/>
  <c r="F53" i="5"/>
  <c r="G50" i="5"/>
  <c r="G55" i="5" s="1"/>
  <c r="F50" i="5"/>
  <c r="F55" i="5" s="1"/>
  <c r="G49" i="5"/>
  <c r="F49" i="5"/>
  <c r="G75" i="4"/>
  <c r="F75" i="4"/>
  <c r="G74" i="4"/>
  <c r="F74" i="4"/>
  <c r="G73" i="4"/>
  <c r="F73" i="4"/>
  <c r="G70" i="4"/>
  <c r="F70" i="4"/>
  <c r="G69" i="4"/>
  <c r="F69" i="4"/>
  <c r="G65" i="4"/>
  <c r="F65" i="4"/>
  <c r="G64" i="4"/>
  <c r="F64" i="4"/>
  <c r="F64" i="3"/>
  <c r="G63" i="3"/>
  <c r="G64" i="3" s="1"/>
  <c r="F63" i="3"/>
  <c r="F60" i="3"/>
  <c r="F65" i="3" s="1"/>
  <c r="G59" i="3"/>
  <c r="G60" i="3" s="1"/>
  <c r="F59" i="3"/>
  <c r="G77" i="2"/>
  <c r="F77" i="2"/>
  <c r="G76" i="2"/>
  <c r="F76" i="2"/>
  <c r="G75" i="2"/>
  <c r="F75" i="2"/>
  <c r="G72" i="2"/>
  <c r="F72" i="2"/>
  <c r="G71" i="2"/>
  <c r="F71" i="2"/>
  <c r="G67" i="2"/>
  <c r="F67" i="2"/>
  <c r="G66" i="2"/>
  <c r="F66" i="2"/>
  <c r="G48" i="1"/>
  <c r="G47" i="1"/>
  <c r="F47" i="1"/>
  <c r="F48" i="1" s="1"/>
  <c r="G44" i="1"/>
  <c r="G49" i="1" s="1"/>
  <c r="G43" i="1"/>
  <c r="F43" i="1"/>
  <c r="F44" i="1" s="1"/>
  <c r="G65" i="3" l="1"/>
  <c r="F49" i="1"/>
</calcChain>
</file>

<file path=xl/sharedStrings.xml><?xml version="1.0" encoding="utf-8"?>
<sst xmlns="http://schemas.openxmlformats.org/spreadsheetml/2006/main" count="3139" uniqueCount="817">
  <si>
    <t>Name of the Instrument</t>
  </si>
  <si>
    <t>ISIN</t>
  </si>
  <si>
    <t>Quantity</t>
  </si>
  <si>
    <t>Market/Fair Value
 (Rs. in Lacs)</t>
  </si>
  <si>
    <t>% to Net
 Assets</t>
  </si>
  <si>
    <t>Industry / Rating</t>
  </si>
  <si>
    <t>Yield %</t>
  </si>
  <si>
    <t>Monthly Portfolio Statement as on May 31, 2021</t>
  </si>
  <si>
    <t>CANARA ROBECO INFRASTRUCTURE</t>
  </si>
  <si>
    <t>CANARA ROBECO FLEXICAP FUND</t>
  </si>
  <si>
    <t>CANARA ROBECO EQUITY TAX SAVER FUND</t>
  </si>
  <si>
    <t>CANARA ROBECO EMERGING EQUITIES</t>
  </si>
  <si>
    <t>CANARA ROBECO CONSUMER TRENDS FUND</t>
  </si>
  <si>
    <t>CANARA ROBECO BLUE CHIP EQUITY FUND</t>
  </si>
  <si>
    <t>CANARA ROBECO SMALL CAP FUND</t>
  </si>
  <si>
    <t>CANARA ROBECO FOCUSED EQUITY FUND</t>
  </si>
  <si>
    <t>CANARA ROBECO EQUITY HYBRID FUND</t>
  </si>
  <si>
    <t>CANARA ROBECO DYNAMIC BOND FUND</t>
  </si>
  <si>
    <t>CANARA ROBECO GILT FUND</t>
  </si>
  <si>
    <t>CANARA ROBECO INCOME FUND</t>
  </si>
  <si>
    <t>CANARA ROBECO SAVINGS FUND</t>
  </si>
  <si>
    <t>CANARA ROBECO CONSERVATIVE HYBRID FUND</t>
  </si>
  <si>
    <t>CANARA ROBECO GILT 1988</t>
  </si>
  <si>
    <t>CANARA ROBECO LIQUID FUND</t>
  </si>
  <si>
    <t>CANARA ROBECO ULTRA SHORT TERM FUND</t>
  </si>
  <si>
    <t>CANARA ROBECO OVERNIGHT FUND</t>
  </si>
  <si>
    <t>CANARA ROBECO SHORT DURATION FUND</t>
  </si>
  <si>
    <t>CANARA ROBECO CORPORATE BOND FUND</t>
  </si>
  <si>
    <t>CANARA ROBECO DUAL ADVANTAGE FUND - SERIES 1</t>
  </si>
  <si>
    <t>CANARA ROBECO FIXED MATURITY PLAN SERIES 8</t>
  </si>
  <si>
    <t>CANARA  ROBECO  CAPITAL  PROTECTION  ORIENTED FUND– SERIES 10</t>
  </si>
  <si>
    <t>Equity &amp; Equity related</t>
  </si>
  <si>
    <t>(a) Listed / awaiting listing on Stock Exchanges</t>
  </si>
  <si>
    <t>Larsen &amp; Toubro Ltd</t>
  </si>
  <si>
    <t>INE018A01030</t>
  </si>
  <si>
    <t>Construction Project</t>
  </si>
  <si>
    <t>ICICI Bank Ltd</t>
  </si>
  <si>
    <t>INE090A01021</t>
  </si>
  <si>
    <t>Banks</t>
  </si>
  <si>
    <t>KNR Constructions Ltd</t>
  </si>
  <si>
    <t>INE634I01029</t>
  </si>
  <si>
    <t>Construction</t>
  </si>
  <si>
    <t>Siemens Ltd</t>
  </si>
  <si>
    <t>INE003A01024</t>
  </si>
  <si>
    <t>Industrial Capital Goods</t>
  </si>
  <si>
    <t>TCI Express Ltd</t>
  </si>
  <si>
    <t>INE586V01016</t>
  </si>
  <si>
    <t>Transportation</t>
  </si>
  <si>
    <t>Honeywell Automation India Ltd</t>
  </si>
  <si>
    <t>INE671A01010</t>
  </si>
  <si>
    <t>Bharat Electronics Ltd</t>
  </si>
  <si>
    <t>INE263A01024</t>
  </si>
  <si>
    <t>Aerospace &amp; Defense</t>
  </si>
  <si>
    <t>State Bank of India</t>
  </si>
  <si>
    <t>INE062A01020</t>
  </si>
  <si>
    <t>PNC Infratech Ltd</t>
  </si>
  <si>
    <t>INE195J01029</t>
  </si>
  <si>
    <t>Schaeffler India Ltd</t>
  </si>
  <si>
    <t>INE513A01014</t>
  </si>
  <si>
    <t>Industrial Products</t>
  </si>
  <si>
    <t>Sobha Ltd</t>
  </si>
  <si>
    <t>INE671H01015</t>
  </si>
  <si>
    <t>ABB India Ltd</t>
  </si>
  <si>
    <t>INE117A01022</t>
  </si>
  <si>
    <t>Ahluwalia Contracts (India) Ltd</t>
  </si>
  <si>
    <t>INE758C01029</t>
  </si>
  <si>
    <t>Dalmia Bharat Ltd</t>
  </si>
  <si>
    <t>INE00R701025</t>
  </si>
  <si>
    <t>Cement &amp; Cement Products</t>
  </si>
  <si>
    <t>Ultratech Cement Ltd</t>
  </si>
  <si>
    <t>INE481G01011</t>
  </si>
  <si>
    <t>Gujarat Gas Ltd</t>
  </si>
  <si>
    <t>INE844O01030</t>
  </si>
  <si>
    <t>Gas</t>
  </si>
  <si>
    <t>Tata Steel Ltd</t>
  </si>
  <si>
    <t>INE081A01012</t>
  </si>
  <si>
    <t>Ferrous Metals</t>
  </si>
  <si>
    <t>GAIL (India) Ltd</t>
  </si>
  <si>
    <t>INE129A01019</t>
  </si>
  <si>
    <t>Timken India Ltd</t>
  </si>
  <si>
    <t>INE325A01013</t>
  </si>
  <si>
    <t>Indian Oil Corporation Ltd</t>
  </si>
  <si>
    <t>INE242A01010</t>
  </si>
  <si>
    <t>Petroleum Products</t>
  </si>
  <si>
    <t>Voltas Ltd</t>
  </si>
  <si>
    <t>INE226A01021</t>
  </si>
  <si>
    <t>Consumer Durables</t>
  </si>
  <si>
    <t>Container Corporation Of India Ltd</t>
  </si>
  <si>
    <t>INE111A01025</t>
  </si>
  <si>
    <t>Cummins India Ltd</t>
  </si>
  <si>
    <t>INE298A01020</t>
  </si>
  <si>
    <t>Shree Cement Ltd</t>
  </si>
  <si>
    <t>INE070A01015</t>
  </si>
  <si>
    <t>Ambuja Cements Ltd</t>
  </si>
  <si>
    <t>INE079A01024</t>
  </si>
  <si>
    <t>Hindalco Industries Ltd</t>
  </si>
  <si>
    <t>INE038A01020</t>
  </si>
  <si>
    <t>Non - Ferrous Metals</t>
  </si>
  <si>
    <t>Dixon Technologies (India) Ltd</t>
  </si>
  <si>
    <t>INE935N01020</t>
  </si>
  <si>
    <t>The Ramco Cements Ltd</t>
  </si>
  <si>
    <t>INE331A01037</t>
  </si>
  <si>
    <t>The Great Eastern Shipping Co Ltd</t>
  </si>
  <si>
    <t>INE017A01032</t>
  </si>
  <si>
    <t>Finolex Industries Ltd</t>
  </si>
  <si>
    <t>INE183A01024</t>
  </si>
  <si>
    <t>Power Grid Corporation of India Ltd</t>
  </si>
  <si>
    <t>INE752E01010</t>
  </si>
  <si>
    <t>Power</t>
  </si>
  <si>
    <t>Indraprastha Gas Ltd</t>
  </si>
  <si>
    <t>INE203G01027</t>
  </si>
  <si>
    <t>J.K. Cement Ltd</t>
  </si>
  <si>
    <t>INE823G01014</t>
  </si>
  <si>
    <t>NTPC Ltd</t>
  </si>
  <si>
    <t>INE733E01010</t>
  </si>
  <si>
    <t>Grindwell Norton Ltd</t>
  </si>
  <si>
    <t>INE536A01023</t>
  </si>
  <si>
    <t>Thermax Ltd</t>
  </si>
  <si>
    <t>INE152A01029</t>
  </si>
  <si>
    <t>Sub Total</t>
  </si>
  <si>
    <t>Total</t>
  </si>
  <si>
    <t>TREPS</t>
  </si>
  <si>
    <t>Grand Total</t>
  </si>
  <si>
    <t>Net Receivables / (Payables)</t>
  </si>
  <si>
    <t>HDFC Bank Ltd</t>
  </si>
  <si>
    <t>INE040A01034</t>
  </si>
  <si>
    <t>Infosys Ltd</t>
  </si>
  <si>
    <t>INE009A01021</t>
  </si>
  <si>
    <t>Software</t>
  </si>
  <si>
    <t>Reliance Industries Ltd</t>
  </si>
  <si>
    <t>INE002A01018</t>
  </si>
  <si>
    <t>Tata Consultancy Services Ltd</t>
  </si>
  <si>
    <t>INE467B01029</t>
  </si>
  <si>
    <t>Axis Bank Ltd</t>
  </si>
  <si>
    <t>INE238A01034</t>
  </si>
  <si>
    <t>Bajaj Finance Ltd</t>
  </si>
  <si>
    <t>INE296A01024</t>
  </si>
  <si>
    <t>Finance</t>
  </si>
  <si>
    <t>Housing Development Finance Corporation Ltd</t>
  </si>
  <si>
    <t>INE001A01036</t>
  </si>
  <si>
    <t>Hindustan Unilever Ltd</t>
  </si>
  <si>
    <t>INE030A01027</t>
  </si>
  <si>
    <t>Consumer Non Durables</t>
  </si>
  <si>
    <t>Kotak Mahindra Bank Ltd</t>
  </si>
  <si>
    <t>INE237A01028</t>
  </si>
  <si>
    <t>Asian Paints Ltd</t>
  </si>
  <si>
    <t>INE021A01026</t>
  </si>
  <si>
    <t>Divi's Laboratories Ltd</t>
  </si>
  <si>
    <t>INE361B01024</t>
  </si>
  <si>
    <t>Pharmaceuticals</t>
  </si>
  <si>
    <t>Avenue Supermarts Ltd</t>
  </si>
  <si>
    <t>INE192R01011</t>
  </si>
  <si>
    <t>Retailing</t>
  </si>
  <si>
    <t>Polycab India Ltd</t>
  </si>
  <si>
    <t>INE455K01017</t>
  </si>
  <si>
    <t>Titan Co Ltd</t>
  </si>
  <si>
    <t>INE280A01028</t>
  </si>
  <si>
    <t>PI Industries Ltd</t>
  </si>
  <si>
    <t>INE603J01030</t>
  </si>
  <si>
    <t>Pesticides</t>
  </si>
  <si>
    <t>Havells India Ltd</t>
  </si>
  <si>
    <t>INE176B01034</t>
  </si>
  <si>
    <t>Minda Industries Ltd</t>
  </si>
  <si>
    <t>INE405E01023</t>
  </si>
  <si>
    <t>Auto Ancillaries</t>
  </si>
  <si>
    <t>TVS Motor Co Ltd</t>
  </si>
  <si>
    <t>INE494B01023</t>
  </si>
  <si>
    <t>Auto</t>
  </si>
  <si>
    <t>Balkrishna Industries Ltd</t>
  </si>
  <si>
    <t>INE787D01026</t>
  </si>
  <si>
    <t>Jubilant Foodworks Ltd</t>
  </si>
  <si>
    <t>INE797F01012</t>
  </si>
  <si>
    <t>Leisure Services</t>
  </si>
  <si>
    <t>Max Financial Services Ltd</t>
  </si>
  <si>
    <t>INE180A01020</t>
  </si>
  <si>
    <t>Insurance</t>
  </si>
  <si>
    <t>Maruti Suzuki India Ltd</t>
  </si>
  <si>
    <t>INE585B01010</t>
  </si>
  <si>
    <t>Mphasis Ltd</t>
  </si>
  <si>
    <t>INE356A01018</t>
  </si>
  <si>
    <t>Cipla Ltd</t>
  </si>
  <si>
    <t>INE059A01026</t>
  </si>
  <si>
    <t>Atul Ltd</t>
  </si>
  <si>
    <t>INE100A01010</t>
  </si>
  <si>
    <t>Chemicals</t>
  </si>
  <si>
    <t>Ashok Leyland Ltd</t>
  </si>
  <si>
    <t>INE208A01029</t>
  </si>
  <si>
    <t>Tata Consumer Products Ltd</t>
  </si>
  <si>
    <t>INE192A01025</t>
  </si>
  <si>
    <t>Can Fin Homes Ltd</t>
  </si>
  <si>
    <t>INE477A01020</t>
  </si>
  <si>
    <t>Max Healthcare Institute Ltd</t>
  </si>
  <si>
    <t>INE027H01010</t>
  </si>
  <si>
    <t>Healthcare Services</t>
  </si>
  <si>
    <t>Vinati Organics Ltd</t>
  </si>
  <si>
    <t>INE410B01037</t>
  </si>
  <si>
    <t>Bharat Forge Ltd</t>
  </si>
  <si>
    <t>INE465A01025</t>
  </si>
  <si>
    <t>SBI Cards and Payment Services Ltd</t>
  </si>
  <si>
    <t>INE018E01016</t>
  </si>
  <si>
    <t>Bharti Airtel Ltd</t>
  </si>
  <si>
    <t>INE397D01024</t>
  </si>
  <si>
    <t>Telecom - Services</t>
  </si>
  <si>
    <t>Cholamandalam Investment and Finance Co Ltd</t>
  </si>
  <si>
    <t>INE121A01024</t>
  </si>
  <si>
    <t>Navin Fluorine International Ltd</t>
  </si>
  <si>
    <t>INE048G01026</t>
  </si>
  <si>
    <t>HCL Technologies Ltd</t>
  </si>
  <si>
    <t>INE860A01027</t>
  </si>
  <si>
    <t>Bata India Ltd</t>
  </si>
  <si>
    <t>INE176A01028</t>
  </si>
  <si>
    <t>Sun Pharmaceutical Industries Ltd</t>
  </si>
  <si>
    <t>INE044A01036</t>
  </si>
  <si>
    <t>HDFC Life Insurance Co Ltd</t>
  </si>
  <si>
    <t>INE795G01014</t>
  </si>
  <si>
    <t>Abbott India Ltd</t>
  </si>
  <si>
    <t>INE358A01014</t>
  </si>
  <si>
    <t>IPCA Laboratories Ltd</t>
  </si>
  <si>
    <t>INE571A01020</t>
  </si>
  <si>
    <t>Dr. Lal Path Labs Ltd</t>
  </si>
  <si>
    <t>INE600L01024</t>
  </si>
  <si>
    <t>Britannia Industries Ltd</t>
  </si>
  <si>
    <t>INE216A01030</t>
  </si>
  <si>
    <t>Whirlpool Of India Ltd</t>
  </si>
  <si>
    <t>INE716A01013</t>
  </si>
  <si>
    <t>Mahindra &amp; Mahindra Ltd</t>
  </si>
  <si>
    <t>INE101A01026</t>
  </si>
  <si>
    <t>Debt Instruments</t>
  </si>
  <si>
    <t>INE216A08027</t>
  </si>
  <si>
    <t>Motherson Sumi Systems Ltd</t>
  </si>
  <si>
    <t>INE775A01035</t>
  </si>
  <si>
    <t>Persistent Systems Ltd</t>
  </si>
  <si>
    <t>INE262H01013</t>
  </si>
  <si>
    <t>Info Edge (India) Ltd</t>
  </si>
  <si>
    <t>INE663F01024</t>
  </si>
  <si>
    <t>Crompton Greaves Consumer Electricals Ltd</t>
  </si>
  <si>
    <t>INE299U01018</t>
  </si>
  <si>
    <t>Gland Pharma Ltd</t>
  </si>
  <si>
    <t>INE068V01023</t>
  </si>
  <si>
    <t>Dr. Reddy's Laboratories Ltd</t>
  </si>
  <si>
    <t>INE089A01023</t>
  </si>
  <si>
    <t>WABCO India Ltd</t>
  </si>
  <si>
    <t>INE342J01019</t>
  </si>
  <si>
    <t>Grasim Industries Ltd</t>
  </si>
  <si>
    <t>INE047A01021</t>
  </si>
  <si>
    <t>SBI Life Insurance Co Ltd</t>
  </si>
  <si>
    <t>INE123W01016</t>
  </si>
  <si>
    <t>Affle India Ltd</t>
  </si>
  <si>
    <t>INE00WC01019</t>
  </si>
  <si>
    <t>Tata Motors Ltd</t>
  </si>
  <si>
    <t>INE155A01022</t>
  </si>
  <si>
    <t>LIC Housing Finance Ltd</t>
  </si>
  <si>
    <t>INE115A01026</t>
  </si>
  <si>
    <t>Aditya Birla Fashion and Retail Ltd</t>
  </si>
  <si>
    <t>INE647O01011</t>
  </si>
  <si>
    <t>Tata Communications Ltd</t>
  </si>
  <si>
    <t>INE151A01013</t>
  </si>
  <si>
    <t>Indian Railway Catering And Tourism Corp Ltd</t>
  </si>
  <si>
    <t>INE335Y01012</t>
  </si>
  <si>
    <t>Kansai Nerolac Paints Ltd</t>
  </si>
  <si>
    <t>INE531A01024</t>
  </si>
  <si>
    <t>City Union Bank Ltd</t>
  </si>
  <si>
    <t>INE491A01021</t>
  </si>
  <si>
    <t>AIA Engineering Ltd</t>
  </si>
  <si>
    <t>INE212H01026</t>
  </si>
  <si>
    <t>Century Textile &amp; Industries Ltd</t>
  </si>
  <si>
    <t>INE055A01016</t>
  </si>
  <si>
    <t>Paper</t>
  </si>
  <si>
    <t>Multi Commodity Exchange Of India Ltd</t>
  </si>
  <si>
    <t>INE745G01035</t>
  </si>
  <si>
    <t>Capital Markets</t>
  </si>
  <si>
    <t>IN9647O01027</t>
  </si>
  <si>
    <t>Dabur India Ltd</t>
  </si>
  <si>
    <t>INE016A01026</t>
  </si>
  <si>
    <t>Orient Electric Ltd</t>
  </si>
  <si>
    <t>INE142Z01019</t>
  </si>
  <si>
    <t>Procter &amp; Gamble Hygiene and Health Care Ltd</t>
  </si>
  <si>
    <t>INE179A01014</t>
  </si>
  <si>
    <t>UTI Asset Management Co Ltd</t>
  </si>
  <si>
    <t>INE094J01016</t>
  </si>
  <si>
    <t>Page Industries Ltd</t>
  </si>
  <si>
    <t>INE761H01022</t>
  </si>
  <si>
    <t>Textile Products</t>
  </si>
  <si>
    <t>Bajaj Auto Ltd</t>
  </si>
  <si>
    <t>INE917I01010</t>
  </si>
  <si>
    <t>Berger Paints India Ltd</t>
  </si>
  <si>
    <t>INE463A01038</t>
  </si>
  <si>
    <t>ICICI Lombard General Insurance Co Ltd</t>
  </si>
  <si>
    <t>INE765G01017</t>
  </si>
  <si>
    <t>K.P.R. Mill Ltd</t>
  </si>
  <si>
    <t>INE930H01023</t>
  </si>
  <si>
    <t>Computer Age Management Services Ltd</t>
  </si>
  <si>
    <t>INE596I01012</t>
  </si>
  <si>
    <t>National Aluminium Co Ltd</t>
  </si>
  <si>
    <t>INE139A01034</t>
  </si>
  <si>
    <t>Central Depository Services (India) Ltd</t>
  </si>
  <si>
    <t>INE736A01011</t>
  </si>
  <si>
    <t>Greenply Industries Ltd</t>
  </si>
  <si>
    <t>INE461C01038</t>
  </si>
  <si>
    <t>Rallis India Ltd</t>
  </si>
  <si>
    <t>INE613A01020</t>
  </si>
  <si>
    <t>Orient Refractories Ltd</t>
  </si>
  <si>
    <t>INE743M01012</t>
  </si>
  <si>
    <t>BSE Ltd</t>
  </si>
  <si>
    <t>INE118H01025</t>
  </si>
  <si>
    <t>EPL Ltd</t>
  </si>
  <si>
    <t>INE255A01020</t>
  </si>
  <si>
    <t>Galaxy Surfactants Ltd</t>
  </si>
  <si>
    <t>INE600K01018</t>
  </si>
  <si>
    <t>Indian Bank</t>
  </si>
  <si>
    <t>INE562A01011</t>
  </si>
  <si>
    <t>Deepak Nitrite Ltd</t>
  </si>
  <si>
    <t>INE288B01029</t>
  </si>
  <si>
    <t>Subros Ltd</t>
  </si>
  <si>
    <t>INE287B01021</t>
  </si>
  <si>
    <t>EID Parry India Ltd</t>
  </si>
  <si>
    <t>INE126A01031</t>
  </si>
  <si>
    <t>VRL Logistics Ltd</t>
  </si>
  <si>
    <t>INE366I01010</t>
  </si>
  <si>
    <t>V-Mart Retail Ltd</t>
  </si>
  <si>
    <t>INE665J01013</t>
  </si>
  <si>
    <t>NOCIL Ltd</t>
  </si>
  <si>
    <t>INE163A01018</t>
  </si>
  <si>
    <t>Teamlease Services Ltd</t>
  </si>
  <si>
    <t>INE985S01024</t>
  </si>
  <si>
    <t>Commercial Services</t>
  </si>
  <si>
    <t>Creditaccess Grameen Ltd</t>
  </si>
  <si>
    <t>INE741K01010</t>
  </si>
  <si>
    <t>Happiest Minds Technologies Ltd</t>
  </si>
  <si>
    <t>INE419U01012</t>
  </si>
  <si>
    <t>Blue Dart Express Ltd</t>
  </si>
  <si>
    <t>INE233B01017</t>
  </si>
  <si>
    <t>Fine Organic Industries Ltd</t>
  </si>
  <si>
    <t>INE686Y01026</t>
  </si>
  <si>
    <t>DCB Bank Ltd</t>
  </si>
  <si>
    <t>INE503A01015</t>
  </si>
  <si>
    <t>Mahindra Lifespace Developers Ltd</t>
  </si>
  <si>
    <t>INE813A01018</t>
  </si>
  <si>
    <t>KEC International Ltd</t>
  </si>
  <si>
    <t>INE389H01022</t>
  </si>
  <si>
    <t>Balrampur Chini Mills Ltd</t>
  </si>
  <si>
    <t>INE119A01028</t>
  </si>
  <si>
    <t>Mold Tek Packaging Ltd</t>
  </si>
  <si>
    <t>INE893J01029</t>
  </si>
  <si>
    <t>Angel Broking Ltd</t>
  </si>
  <si>
    <t>INE732I01013</t>
  </si>
  <si>
    <t>V.I.P. Industries Ltd</t>
  </si>
  <si>
    <t>INE054A01027</t>
  </si>
  <si>
    <t>Shriram City Union Finance Ltd</t>
  </si>
  <si>
    <t>INE722A01011</t>
  </si>
  <si>
    <t>Greenlam Industries Ltd</t>
  </si>
  <si>
    <t>INE544R01013</t>
  </si>
  <si>
    <t>Indian Energy Exchange Ltd</t>
  </si>
  <si>
    <t>INE022Q01020</t>
  </si>
  <si>
    <t>Hindustan Zinc Ltd</t>
  </si>
  <si>
    <t>INE267A01025</t>
  </si>
  <si>
    <t>Cera Sanitaryware Ltd</t>
  </si>
  <si>
    <t>INE739E01017</t>
  </si>
  <si>
    <t>Gulf Oil Lubricants India Ltd</t>
  </si>
  <si>
    <t>INE635Q01029</t>
  </si>
  <si>
    <t>4.96% LIC Housing Finance Ltd (14/09/2023) **</t>
  </si>
  <si>
    <t>INE115A07OZ3</t>
  </si>
  <si>
    <t>CARE AAA</t>
  </si>
  <si>
    <t>7.87% Housing Development Finance Corporation Ltd (18/07/2022)</t>
  </si>
  <si>
    <t>INE001A07RW5</t>
  </si>
  <si>
    <t>CRISIL AAA</t>
  </si>
  <si>
    <t>7.40% Power Finance Corporation Ltd (30/09/2021) **</t>
  </si>
  <si>
    <t>INE134E08IM4</t>
  </si>
  <si>
    <t>8.30% Reliance Industries Ltd (08/03/2022) **</t>
  </si>
  <si>
    <t>INE002A08575</t>
  </si>
  <si>
    <t>7.00% Reliance Industries Ltd (31/08/2022) **</t>
  </si>
  <si>
    <t>INE002A08476</t>
  </si>
  <si>
    <t>7.17% Reliance Industries Ltd (08/11/2022) **</t>
  </si>
  <si>
    <t>INE002A08500</t>
  </si>
  <si>
    <t>7.21% Housing Development Finance Corporation Ltd (30/12/2022)</t>
  </si>
  <si>
    <t>INE001A07SD3</t>
  </si>
  <si>
    <t>7.22% LIC Housing Finance Ltd (19/11/2021) **</t>
  </si>
  <si>
    <t>INE115A07OP4</t>
  </si>
  <si>
    <t>6.22% Housing Development Finance Corporation Ltd (10/12/2021)</t>
  </si>
  <si>
    <t>INE001A07SN2</t>
  </si>
  <si>
    <t>7.15% Housing Development Finance Corporation Ltd (16/09/2021) **</t>
  </si>
  <si>
    <t>INE001A07RY1</t>
  </si>
  <si>
    <t>7.99% Housing Development Finance Corporation Ltd (11/07/2024) **</t>
  </si>
  <si>
    <t>INE001A07RV7</t>
  </si>
  <si>
    <t>7.39% LIC Housing Finance Ltd (30/08/2022) **</t>
  </si>
  <si>
    <t>INE115A07MJ1</t>
  </si>
  <si>
    <t>8.40% Indian Railway Finance Corporation Ltd (08/01/2029) **</t>
  </si>
  <si>
    <t>INE053F07AZ4</t>
  </si>
  <si>
    <t>7.69% National Bank For Agriculture &amp; Rural Development (29/05/2024) **</t>
  </si>
  <si>
    <t>INE261F08BK1</t>
  </si>
  <si>
    <t>7.45% REC Ltd (30/11/2022) **</t>
  </si>
  <si>
    <t>INE020B08AP1</t>
  </si>
  <si>
    <t>8.18% Power Finance Corporation Ltd (19/03/2022)</t>
  </si>
  <si>
    <t>INE134E08JW1</t>
  </si>
  <si>
    <t>0.00% Sundaram Finance Ltd (15/06/2021) **</t>
  </si>
  <si>
    <t>INE660A07PN1</t>
  </si>
  <si>
    <t>ICRA AAA</t>
  </si>
  <si>
    <t>8.40% Small Industries Development Bank Of India (10/08/2021) **</t>
  </si>
  <si>
    <t>INE556F08JH3</t>
  </si>
  <si>
    <t>7.50% Power Finance Corporation Ltd (16/08/2021) **</t>
  </si>
  <si>
    <t>INE134E08IH4</t>
  </si>
  <si>
    <t>8.22% National Bank For Agriculture &amp; Rural Development (13/12/2028) **</t>
  </si>
  <si>
    <t>INE261F08AV0</t>
  </si>
  <si>
    <t>8.33% LIC Housing Finance Ltd (31/05/2024) **</t>
  </si>
  <si>
    <t>INE115A07OE8</t>
  </si>
  <si>
    <t>7.79% LIC Housing Finance Ltd (18/10/2024) **</t>
  </si>
  <si>
    <t>INE115A07OM1</t>
  </si>
  <si>
    <t>7.09% REC Ltd (13/12/2022) **</t>
  </si>
  <si>
    <t>INE020B08CD3</t>
  </si>
  <si>
    <t>6.27% Small Industries Development Bank Of India (27/02/2023) **</t>
  </si>
  <si>
    <t>INE556F08JP6</t>
  </si>
  <si>
    <t>8.70% Reliance Industries Ltd (15/06/2021) **</t>
  </si>
  <si>
    <t>INE110L07112</t>
  </si>
  <si>
    <t>7.47% Power Finance Corporation Ltd (16/09/2021) **</t>
  </si>
  <si>
    <t>INE134E08IJ0</t>
  </si>
  <si>
    <t>8.13% Power Grid Corporation of India Ltd (25/04/2024) **</t>
  </si>
  <si>
    <t>INE752E07NQ6</t>
  </si>
  <si>
    <t>7.85% Power Finance Corporation Ltd (03/04/2028) **</t>
  </si>
  <si>
    <t>INE134E08JP5</t>
  </si>
  <si>
    <t>7.75% LIC Housing Finance Ltd (23/07/2024) **</t>
  </si>
  <si>
    <t>INE115A07OL3</t>
  </si>
  <si>
    <t>8.60% National Bank For Agriculture &amp; Rural Development (31/01/2022)</t>
  </si>
  <si>
    <t>INE261F08AI7</t>
  </si>
  <si>
    <t>Government Bonds</t>
  </si>
  <si>
    <t>4.48% GOI (02/11/2023)</t>
  </si>
  <si>
    <t>IN0020200211</t>
  </si>
  <si>
    <t>Sovereign</t>
  </si>
  <si>
    <t>6.17% GOI (15/07/2021)</t>
  </si>
  <si>
    <t>IN0020190099</t>
  </si>
  <si>
    <t>7.37% GOI (16/04/2023)</t>
  </si>
  <si>
    <t>IN0020180025</t>
  </si>
  <si>
    <t>8.15% GOI (11/06/2022)</t>
  </si>
  <si>
    <t>IN0020120013</t>
  </si>
  <si>
    <t>8.79% GOI (08/11/2021)</t>
  </si>
  <si>
    <t>IN0020110030</t>
  </si>
  <si>
    <t>5.63% GOI (12/04/2026)</t>
  </si>
  <si>
    <t>IN0020210012</t>
  </si>
  <si>
    <t>6.18% GOI (04/11/2024)</t>
  </si>
  <si>
    <t>IN0020190396</t>
  </si>
  <si>
    <t>8.20% GOI (15/02/2022)</t>
  </si>
  <si>
    <t>IN0020060037</t>
  </si>
  <si>
    <t>5.22% GOI (15/06/2025)</t>
  </si>
  <si>
    <t>IN0020200112</t>
  </si>
  <si>
    <t>7.68% GOI (15/12/2023)</t>
  </si>
  <si>
    <t>IN0020150010</t>
  </si>
  <si>
    <t>7.32% GOI (28/01/2024)</t>
  </si>
  <si>
    <t>IN0020180488</t>
  </si>
  <si>
    <t>5.09% GOI (13/04/2022)</t>
  </si>
  <si>
    <t>IN0020200021</t>
  </si>
  <si>
    <t>6.84% GOI (19/12/2022)</t>
  </si>
  <si>
    <t>IN0020160050</t>
  </si>
  <si>
    <t>8.01% TAMILNADU SDL 11-MAY-26</t>
  </si>
  <si>
    <t>IN3120160038</t>
  </si>
  <si>
    <t>6.97% GOI (06/09/2026)</t>
  </si>
  <si>
    <t>IN0020160035</t>
  </si>
  <si>
    <t>7.37% TAMILNADU SDL 14-SEP-26</t>
  </si>
  <si>
    <t>IN3120160103</t>
  </si>
  <si>
    <t>8.24% GOI (15/02/2027)</t>
  </si>
  <si>
    <t>IN0020060078</t>
  </si>
  <si>
    <t>8.15% GOI (24/11/2026)</t>
  </si>
  <si>
    <t>IN0020140060</t>
  </si>
  <si>
    <t>6.68% GOI (17/09/2031)</t>
  </si>
  <si>
    <t>IN0020170042</t>
  </si>
  <si>
    <t>7.42% Maharashtra SDL 11-May-22</t>
  </si>
  <si>
    <t>IN2220170012</t>
  </si>
  <si>
    <t>8.81% Small Industries Development Bank Of India (25/01/2022)</t>
  </si>
  <si>
    <t>INE556F08JI1</t>
  </si>
  <si>
    <t>Money Market Instruments</t>
  </si>
  <si>
    <t>Treasury Bill</t>
  </si>
  <si>
    <t>364 DAYS  TREASURY BILLS 08-JUL-21</t>
  </si>
  <si>
    <t>IN002020Z147</t>
  </si>
  <si>
    <t xml:space="preserve"> Sovereign</t>
  </si>
  <si>
    <t>7.17% GOI (08/01/2028)</t>
  </si>
  <si>
    <t>IN0020170174</t>
  </si>
  <si>
    <t>7.27% GOI (08/04/2026)</t>
  </si>
  <si>
    <t>IN0020190016</t>
  </si>
  <si>
    <t>7.57% GOI (17/06/2033)</t>
  </si>
  <si>
    <t>IN0020190065</t>
  </si>
  <si>
    <t>5.15% GOI (09/11/2025)</t>
  </si>
  <si>
    <t>IN0020200278</t>
  </si>
  <si>
    <t>6.22% GOI (16/03/2035)</t>
  </si>
  <si>
    <t>IN0020200245</t>
  </si>
  <si>
    <t>8.13% GOI (22/06/2045)</t>
  </si>
  <si>
    <t>IN0020150044</t>
  </si>
  <si>
    <t>7.24% Indian Railway Finance Corporation Ltd (08/11/2021) **</t>
  </si>
  <si>
    <t>INE053F07934</t>
  </si>
  <si>
    <t>8.70% Power Finance Corporation Ltd (14/05/2025) **</t>
  </si>
  <si>
    <t>INE134E08CY2</t>
  </si>
  <si>
    <t>8.79% LIC Housing Finance Ltd (05/03/2024) **</t>
  </si>
  <si>
    <t>INE115A07NY8</t>
  </si>
  <si>
    <t>8.13% Power Grid Corporation of India Ltd (25/04/2023) **</t>
  </si>
  <si>
    <t>INE752E07NP8</t>
  </si>
  <si>
    <t>7.50% Housing Development Finance Corporation Ltd (08/01/2025) **</t>
  </si>
  <si>
    <t>INE001A07SE1</t>
  </si>
  <si>
    <t>8.39% National Bank For Agriculture &amp; Rural Development (19/07/2021) **</t>
  </si>
  <si>
    <t>INE261F08AL1</t>
  </si>
  <si>
    <t>91 DAYS INDIA TREASURY BILLS 05-AUG-21</t>
  </si>
  <si>
    <t>IN002021X058</t>
  </si>
  <si>
    <t>6.64% GOI (16/06/2035)</t>
  </si>
  <si>
    <t>IN0020210020</t>
  </si>
  <si>
    <t>5.85% GOI (01/12/2030)</t>
  </si>
  <si>
    <t>IN0020200294</t>
  </si>
  <si>
    <t>7.39% Maharashtra SDL 09-Nov-26</t>
  </si>
  <si>
    <t>IN2220160104</t>
  </si>
  <si>
    <t>7.39% TAMIL NADU SDL 09-NOV-26</t>
  </si>
  <si>
    <t>IN3120160137</t>
  </si>
  <si>
    <t>6.67% GOI (17/12/2050)</t>
  </si>
  <si>
    <t>IN0020200252</t>
  </si>
  <si>
    <t>8.47% Maharashtra SDL 10-Feb-26</t>
  </si>
  <si>
    <t>IN2220150188</t>
  </si>
  <si>
    <t>7.35% Power Finance Corporation Ltd (15/10/2022) **</t>
  </si>
  <si>
    <t>INE134E08KG2</t>
  </si>
  <si>
    <t>6.60% REC Ltd (21/03/2022)</t>
  </si>
  <si>
    <t>INE020B08CV5</t>
  </si>
  <si>
    <t>7.66% LIC Housing Finance Ltd (21/10/2021) **</t>
  </si>
  <si>
    <t>INE115A07KR8</t>
  </si>
  <si>
    <t>6.32% REC Ltd (31/12/2021)</t>
  </si>
  <si>
    <t>INE020B08CL6</t>
  </si>
  <si>
    <t>7.24% REC Ltd (21/10/2021) **</t>
  </si>
  <si>
    <t>INE020B08997</t>
  </si>
  <si>
    <t>9.36% Power Finance Corporation Ltd (01/08/2021) **</t>
  </si>
  <si>
    <t>INE134E08DR4</t>
  </si>
  <si>
    <t>8.32% Reliance Industries Ltd (08/07/2021) **</t>
  </si>
  <si>
    <t>INE110L07070</t>
  </si>
  <si>
    <t>4.95% Housing Development Finance Corporation Ltd (09/09/2022) **</t>
  </si>
  <si>
    <t>INE001A07SQ5</t>
  </si>
  <si>
    <t>6.57% LIC Housing Finance Ltd (13/07/2021) **</t>
  </si>
  <si>
    <t>INE115A07OT6</t>
  </si>
  <si>
    <t>6.99% Housing Development Finance Corporation Ltd (25/11/2021) **</t>
  </si>
  <si>
    <t>INE001A07SC5</t>
  </si>
  <si>
    <t>6.99% Small Industries Development Bank Of India (08/08/2022) **</t>
  </si>
  <si>
    <t>INE556F08JN1</t>
  </si>
  <si>
    <t>4.58% Small Industries Development Bank Of India (18/12/2023) **</t>
  </si>
  <si>
    <t>INE556F08JR2</t>
  </si>
  <si>
    <t>7.49% Power Grid Corporation of India Ltd (25/10/2024)</t>
  </si>
  <si>
    <t>INE752E08593</t>
  </si>
  <si>
    <t>8.02% Larsen &amp; Toubro Ltd (22/05/2022) **</t>
  </si>
  <si>
    <t>INE018A08AS1</t>
  </si>
  <si>
    <t>6.75% Power Finance Corporation Ltd (22/05/2023) **</t>
  </si>
  <si>
    <t>INE134E08KS7</t>
  </si>
  <si>
    <t>7.24% REC Ltd (31/12/2022) **</t>
  </si>
  <si>
    <t>INE020B08CG6</t>
  </si>
  <si>
    <t>8.13% Power Grid Corporation of India Ltd (25/04/2022) **</t>
  </si>
  <si>
    <t>INE752E07NO1</t>
  </si>
  <si>
    <t>6.98% National Bank For Agriculture &amp; Rural Development (19/09/2022) **</t>
  </si>
  <si>
    <t>INE261F08BO3</t>
  </si>
  <si>
    <t>7.24% LIC Housing Finance Ltd (23/08/2021) **</t>
  </si>
  <si>
    <t>INE115A07OK5</t>
  </si>
  <si>
    <t>8.44% REC Ltd (04/12/2021) **</t>
  </si>
  <si>
    <t>INE020B08872</t>
  </si>
  <si>
    <t>Certificate of Deposit</t>
  </si>
  <si>
    <t>Bank of Baroda (01/06/2021) #</t>
  </si>
  <si>
    <t>INE028A16CG4</t>
  </si>
  <si>
    <t>IND A1+</t>
  </si>
  <si>
    <t>National Bank For Agriculture &amp; Rural Development (17/06/2021) #</t>
  </si>
  <si>
    <t>INE261F16546</t>
  </si>
  <si>
    <t>Axis Bank Ltd (22/10/2021) ** #</t>
  </si>
  <si>
    <t>INE238A166U3</t>
  </si>
  <si>
    <t>CRISIL A1+</t>
  </si>
  <si>
    <t>Small Industries Development Bank of India (18/03/2022) ** #</t>
  </si>
  <si>
    <t>INE556F16853</t>
  </si>
  <si>
    <t>CARE A1+</t>
  </si>
  <si>
    <t>Commercial Paper</t>
  </si>
  <si>
    <t>INE115A14CU5</t>
  </si>
  <si>
    <t>INE261F14HF6</t>
  </si>
  <si>
    <t>ICRA A1+</t>
  </si>
  <si>
    <t>INE002A14FP8</t>
  </si>
  <si>
    <t>182 DAYS INDIA TREASURY BILLS 24-JUN-21</t>
  </si>
  <si>
    <t>IN002020Y389</t>
  </si>
  <si>
    <t>364 DAYS INDIA TREASURY BILLS 05-MAY-22</t>
  </si>
  <si>
    <t>IN002021Z053</t>
  </si>
  <si>
    <t>182 DAYS INDIA TREASURY BILLS 15-JUL-21</t>
  </si>
  <si>
    <t>IN002020Y413</t>
  </si>
  <si>
    <t>91 DAYS INDIA TREASURY BILLS 17-JUN-21</t>
  </si>
  <si>
    <t>IN002020X522</t>
  </si>
  <si>
    <t>364 DAYS INDIA TREASURY BILLS 29-JUL-21</t>
  </si>
  <si>
    <t>IN002020Z170</t>
  </si>
  <si>
    <t>364 DAYS INDIA TREASURY BILLS 22-JUL-21</t>
  </si>
  <si>
    <t>IN002020Z162</t>
  </si>
  <si>
    <t>5.54% MADHYA PRADESH SDL 15-OCT-21</t>
  </si>
  <si>
    <t>IN2120200059</t>
  </si>
  <si>
    <t>8.35% GOI (14/05/2022)</t>
  </si>
  <si>
    <t>IN0020020072</t>
  </si>
  <si>
    <t>4.54% MAHARASHTRA SDL 03-JUN-22</t>
  </si>
  <si>
    <t>IN2220200041</t>
  </si>
  <si>
    <t>9.23% GUJARAT SDL 23-NOV-21</t>
  </si>
  <si>
    <t>IN1520110090</t>
  </si>
  <si>
    <t>#  Unlisted Security</t>
  </si>
  <si>
    <t>7.14% REC Ltd (09/12/2021) **</t>
  </si>
  <si>
    <t>INE020B08AB1</t>
  </si>
  <si>
    <t>7.40% LIC Housing Finance Ltd (06/09/2024) **</t>
  </si>
  <si>
    <t>INE115A07ML7</t>
  </si>
  <si>
    <t>364 DAYS INDIA TREASURY BILLS 23-SEP-21</t>
  </si>
  <si>
    <t>IN002020Z253</t>
  </si>
  <si>
    <t>8.49% Punjab SDL Uday 31-Mar-22</t>
  </si>
  <si>
    <t>IN2820150273</t>
  </si>
  <si>
    <t>9.25% MAHARASHTRA SDL 09-OCT-23</t>
  </si>
  <si>
    <t>IN2220130099</t>
  </si>
  <si>
    <t>7.72% GOI (26/10/2055)</t>
  </si>
  <si>
    <t>IN0020150077</t>
  </si>
  <si>
    <t>6.79% GOI (15/05/2027)</t>
  </si>
  <si>
    <t>IN0020170026</t>
  </si>
  <si>
    <t>7.59% GOI (11/01/2026)</t>
  </si>
  <si>
    <t>IN0020150093</t>
  </si>
  <si>
    <t>Axis Bank Ltd (05/07/2021) #</t>
  </si>
  <si>
    <t>INE238A160W2</t>
  </si>
  <si>
    <t>Axis Bank Ltd (10/06/2021) ** #</t>
  </si>
  <si>
    <t>INE238A163V8</t>
  </si>
  <si>
    <t>National Bank For Agriculture &amp; Rural Development (10/06/2021) #</t>
  </si>
  <si>
    <t>INE261F16538</t>
  </si>
  <si>
    <t>INE002A14HN9</t>
  </si>
  <si>
    <t>INE733E14AG0</t>
  </si>
  <si>
    <t>INE261F14HH2</t>
  </si>
  <si>
    <t>INE242A14TT3</t>
  </si>
  <si>
    <t>INE110L14PA7</t>
  </si>
  <si>
    <t>INE115A14CQ3</t>
  </si>
  <si>
    <t>INE115A14CX9</t>
  </si>
  <si>
    <t>INE115A14CY7</t>
  </si>
  <si>
    <t>INE002A14HL3</t>
  </si>
  <si>
    <t>INE134E14AR8</t>
  </si>
  <si>
    <t>91 DAYS INDIA TREASURY BILLS 08-JUL-21</t>
  </si>
  <si>
    <t>IN002021X017</t>
  </si>
  <si>
    <t>364 DAYS INDIA TREASURY BILLS 03-JUN-21</t>
  </si>
  <si>
    <t>IN002020Z097</t>
  </si>
  <si>
    <t>182 DAYS  TREASURY BILLS 17-JUN-21</t>
  </si>
  <si>
    <t>IN002020Y371</t>
  </si>
  <si>
    <t>91 DAYS INDIA TREASURY BILLS 03-JUN-21</t>
  </si>
  <si>
    <t>IN002020X506</t>
  </si>
  <si>
    <t>91 DAYS INDIA TREASURY BILLS 11-JUN-21</t>
  </si>
  <si>
    <t>IN002020X514</t>
  </si>
  <si>
    <t>182 DAYS INDIA TREASURY BILLS 08-JUL-21</t>
  </si>
  <si>
    <t>IN002020Y405</t>
  </si>
  <si>
    <t>91 DAYS  TREASURY BILLS 22-JUL-21</t>
  </si>
  <si>
    <t>IN002021X033</t>
  </si>
  <si>
    <t>7.67% LIC Housing Finance Ltd (29/07/2021) **</t>
  </si>
  <si>
    <t>INE115A07LX4</t>
  </si>
  <si>
    <t>7.20% Power Grid Corporation of India Ltd (21/12/2021) **</t>
  </si>
  <si>
    <t>INE752E07OD2</t>
  </si>
  <si>
    <t>7.06% Housing Development Finance Corporation Ltd (13/12/2021) **</t>
  </si>
  <si>
    <t>INE001A07SL6</t>
  </si>
  <si>
    <t>7.10% Power Finance Corporation Ltd (08/08/2022) **</t>
  </si>
  <si>
    <t>INE134E08JD1</t>
  </si>
  <si>
    <t>8.70% Reliance Industries Ltd (16/07/2021) **</t>
  </si>
  <si>
    <t>INE110L07120</t>
  </si>
  <si>
    <t>9.4041% L&amp;T Housing Finance Ltd (11/10/2021) **</t>
  </si>
  <si>
    <t>INE476M07BQ0</t>
  </si>
  <si>
    <t>National Bank For Agriculture &amp; Rural Development (27/07/2021) ** #</t>
  </si>
  <si>
    <t>INE261F16553</t>
  </si>
  <si>
    <t>Axis Bank Ltd (17/09/2021) ** #</t>
  </si>
  <si>
    <t>INE238A168V7</t>
  </si>
  <si>
    <t>INE556F14HU8</t>
  </si>
  <si>
    <t>INE018A14IE2</t>
  </si>
  <si>
    <t>182 DAYS INDIA TREASURY BILLS 19-AUG-21</t>
  </si>
  <si>
    <t>IN002020Y462</t>
  </si>
  <si>
    <t>182 DAYS INDIA TREASURY BILLS 14-OCT-21</t>
  </si>
  <si>
    <t>IN002021Y023</t>
  </si>
  <si>
    <t>364 DAYS INDIA TREASURY BILLS 26-AUG-21</t>
  </si>
  <si>
    <t>IN002020Z212</t>
  </si>
  <si>
    <t>5.05% Indian Oil Corporation Ltd (25/11/2022) **</t>
  </si>
  <si>
    <t>INE242A08460</t>
  </si>
  <si>
    <t>6.59% Indian Railway Finance Corporation Ltd (14/04/2023) **</t>
  </si>
  <si>
    <t>INE053F07BZ2</t>
  </si>
  <si>
    <t>6.72% Power Finance Corporation Ltd (09/06/2023) **</t>
  </si>
  <si>
    <t>INE134E08KW9</t>
  </si>
  <si>
    <t>7.20% Housing Development Finance Corporation Ltd (13/04/2023) **</t>
  </si>
  <si>
    <t>INE001A07SJ0</t>
  </si>
  <si>
    <t>7.4450% LIC HOUSING FINANCE LTD13-JAN-23 **</t>
  </si>
  <si>
    <t>INE115A07OJ7</t>
  </si>
  <si>
    <t>6.70% National Bank For Agriculture &amp; Rural Development (11/11/2022) **</t>
  </si>
  <si>
    <t>INE261F08BQ8</t>
  </si>
  <si>
    <t>6.50% Power Finance Corporation Ltd (17/09/2025) **</t>
  </si>
  <si>
    <t>INE134E08LD7</t>
  </si>
  <si>
    <t>5.32% National Housing Bank (01/09/2023) **</t>
  </si>
  <si>
    <t>INE557F08FK3</t>
  </si>
  <si>
    <t>7.16% Power Finance Corporation Ltd (24/04/2025) **</t>
  </si>
  <si>
    <t>INE134E08KP3</t>
  </si>
  <si>
    <t>7.95% Small Industries Development Bank Of India (26/04/2022) **</t>
  </si>
  <si>
    <t>INE556F08JK7</t>
  </si>
  <si>
    <t>8.15% REC Ltd (10/06/2022) **</t>
  </si>
  <si>
    <t>INE020B08BT1</t>
  </si>
  <si>
    <t>6.80% Small Industries Development Bank Of India (29/09/2022) **</t>
  </si>
  <si>
    <t>INE556F08JO9</t>
  </si>
  <si>
    <t>7.87% Larsen &amp; Toubro Ltd (18/04/2022) **</t>
  </si>
  <si>
    <t>INE018A08AR3</t>
  </si>
  <si>
    <t>5.40% Housing Development Finance Corporation Ltd (11/08/2023)</t>
  </si>
  <si>
    <t>INE001A07SP7</t>
  </si>
  <si>
    <t>7.05% National Housing Bank (18/12/2024) **</t>
  </si>
  <si>
    <t>INE557F08FG1</t>
  </si>
  <si>
    <t>7.20% Power Grid Corporation of India Ltd (09/08/2027) **</t>
  </si>
  <si>
    <t>INE752E07OG5</t>
  </si>
  <si>
    <t>7.85% National Bank For Agriculture &amp; Rural Development (23/05/2022) **</t>
  </si>
  <si>
    <t>INE261F08BJ3</t>
  </si>
  <si>
    <t>6.93% UltraTech Cement Ltd (25/11/2021) **</t>
  </si>
  <si>
    <t>INE481G08032</t>
  </si>
  <si>
    <t>8.40% Power Grid Corporation of India Ltd (14/09/2021)</t>
  </si>
  <si>
    <t>INE752E07MZ9</t>
  </si>
  <si>
    <t>8.40% Power Grid Corporation of India Ltd (27/05/2026) **</t>
  </si>
  <si>
    <t>INE752E07MS4</t>
  </si>
  <si>
    <t>8.40% Power Grid Corporation of India Ltd (27/05/2027) **</t>
  </si>
  <si>
    <t>INE752E07MT2</t>
  </si>
  <si>
    <t>8.50% National Bank For Agriculture &amp; Rural Development (31/01/2023) **</t>
  </si>
  <si>
    <t>INE261F08AT4</t>
  </si>
  <si>
    <t>8.50% LIC Housing Finance Ltd (20/06/2022) **</t>
  </si>
  <si>
    <t>INE115A07OD0</t>
  </si>
  <si>
    <t>6.72% NTPC Ltd (24/11/2021) **</t>
  </si>
  <si>
    <t>INE733E07KH1</t>
  </si>
  <si>
    <t>8.58% Housing Development Finance Corporation Ltd (18/03/2022) **</t>
  </si>
  <si>
    <t>INE001A07RS3</t>
  </si>
  <si>
    <t>364 DAYS INDIA TREASURY BILLS 16-SEP-21</t>
  </si>
  <si>
    <t>IN002020Z246</t>
  </si>
  <si>
    <t>91 DAYS  TREASURY BILLS 29-JUL-21</t>
  </si>
  <si>
    <t>IN002021X041</t>
  </si>
  <si>
    <t>364 DAYS INDIA TREASURY BILLS 05-AUG-21</t>
  </si>
  <si>
    <t>IN002020Z188</t>
  </si>
  <si>
    <t>7.35% GOI (22/06/2024)</t>
  </si>
  <si>
    <t>IN0020090034</t>
  </si>
  <si>
    <t>8.75% UTTAR PRADESH SDL 11-JAN-22</t>
  </si>
  <si>
    <t>IN3320110130</t>
  </si>
  <si>
    <t>8.62% MAHARASHTRA SDL 06-MAR-23</t>
  </si>
  <si>
    <t>IN2220120116</t>
  </si>
  <si>
    <t>8.85% MAHARASHTRA SDL 18-JUL-22</t>
  </si>
  <si>
    <t>IN2220120017</t>
  </si>
  <si>
    <t>8.84% TAMILNADU SDL 18-JUL-22</t>
  </si>
  <si>
    <t>IN3120120032</t>
  </si>
  <si>
    <t>8.27% Rajasthan SDL 23-Jun-22</t>
  </si>
  <si>
    <t>IN2920160081</t>
  </si>
  <si>
    <t>8.21% Haryana SDL Uday 31-Mar-22</t>
  </si>
  <si>
    <t>IN1620150145</t>
  </si>
  <si>
    <t>8.88% GUJARAT SDL 06-JUN-22</t>
  </si>
  <si>
    <t>IN1520120032</t>
  </si>
  <si>
    <t>7.86% Karnataka SDL 15-Mar-27</t>
  </si>
  <si>
    <t>IN1920160117</t>
  </si>
  <si>
    <t>8.73% NTPC Ltd (07/03/2023) **</t>
  </si>
  <si>
    <t>INE733E07JC4</t>
  </si>
  <si>
    <t>9.35% Power Grid Corporation of India Ltd (29/08/2023) **</t>
  </si>
  <si>
    <t>INE752E07IT0</t>
  </si>
  <si>
    <t>7.60% Grasim Industries Ltd (04/06/2024) **</t>
  </si>
  <si>
    <t>INE047A08158</t>
  </si>
  <si>
    <t>7.28% Housing Development Finance Corporation Ltd (26/09/2022) **</t>
  </si>
  <si>
    <t>INE001A07RZ8</t>
  </si>
  <si>
    <t>7.80% LIC Housing Finance Ltd (03/05/2022) **</t>
  </si>
  <si>
    <t>INE115A07LQ8</t>
  </si>
  <si>
    <t>5.10% Sundaram Finance Ltd (01/12/2023) **</t>
  </si>
  <si>
    <t>INE660A07QQ2</t>
  </si>
  <si>
    <t>0.00% Aditya Birla Finance Ltd (12/10/2021) **</t>
  </si>
  <si>
    <t>INE860H07GD2</t>
  </si>
  <si>
    <t>8.84% MAHARASHTRA SDL 17-OCT-22</t>
  </si>
  <si>
    <t>IN2220120058</t>
  </si>
  <si>
    <t>8.72% MAHARASHTRA SDL 11-JAN-22</t>
  </si>
  <si>
    <t>IN2220110083</t>
  </si>
  <si>
    <t>9.25% UTTAR PRADESH SDL 23-NOV-21</t>
  </si>
  <si>
    <t>IN3320110106</t>
  </si>
  <si>
    <t>7.73% REC Ltd (15/06/2021) **</t>
  </si>
  <si>
    <t>INE020B08AW7</t>
  </si>
  <si>
    <t>8.65% GUJARAT SDL 21-SEP-21</t>
  </si>
  <si>
    <t>IN1520110074</t>
  </si>
  <si>
    <t>8.62% GUJARAT SDL 07-SEP-21</t>
  </si>
  <si>
    <t>IN1520110066</t>
  </si>
  <si>
    <t>Alkem Laboratories Ltd</t>
  </si>
  <si>
    <t>INE540L01014</t>
  </si>
  <si>
    <t>ITC Ltd</t>
  </si>
  <si>
    <t>INE154A01025</t>
  </si>
  <si>
    <t>7.95% LIC Housing Finance Ltd (24/03/2022) **</t>
  </si>
  <si>
    <t>INE115A07LM7</t>
  </si>
  <si>
    <t>8.99% GUJARAT SDL 14-MAR-22</t>
  </si>
  <si>
    <t>IN1520110132</t>
  </si>
  <si>
    <t>**  Non Traded Security</t>
  </si>
  <si>
    <t xml:space="preserve">Reliance Industries Ltd (01/06/2021) ** </t>
  </si>
  <si>
    <t xml:space="preserve">NTPC Ltd (08/06/2021) ** </t>
  </si>
  <si>
    <t xml:space="preserve">National Bank For Agriculture &amp; Rural Development (30/06/2021) </t>
  </si>
  <si>
    <t xml:space="preserve">Indian Oil Corporation Ltd (11/06/2021) ** </t>
  </si>
  <si>
    <t xml:space="preserve">Reliance Jio Infocomm Ltd (07/06/2021) ** </t>
  </si>
  <si>
    <t xml:space="preserve">LIC Housing Finance Ltd (14/06/2021) ** </t>
  </si>
  <si>
    <t xml:space="preserve">LIC Housing Finance Ltd (21/06/2021) ** </t>
  </si>
  <si>
    <t xml:space="preserve">LIC Housing Finance Ltd (20/07/2021) ** </t>
  </si>
  <si>
    <t xml:space="preserve">Reliance Industries Ltd (28/06/2021) </t>
  </si>
  <si>
    <t xml:space="preserve">Power Finance Corporation Ltd (30/07/2021) ** </t>
  </si>
  <si>
    <t xml:space="preserve">Small Industries Development Bank Of India (10/06/2021) ** </t>
  </si>
  <si>
    <t xml:space="preserve">Larsen &amp; Toubro Ltd (09/08/2021) ** </t>
  </si>
  <si>
    <t xml:space="preserve">LIC Housing Finance Ltd (14/12/2021) ** </t>
  </si>
  <si>
    <t xml:space="preserve">National Bank For Agriculture &amp; Rural Development (01/06/2021) </t>
  </si>
  <si>
    <t xml:space="preserve">Reliance Industries Ltd (15/06/2021) ** </t>
  </si>
  <si>
    <t>5.50% Britannia Industries Ltd (03/06/2024) **</t>
  </si>
  <si>
    <t>Product Labeling ( Risk-o-meter) in Canara Robeco Mutual Fund schemes</t>
  </si>
  <si>
    <t>Sr No.</t>
  </si>
  <si>
    <t>Fund Name</t>
  </si>
  <si>
    <r>
      <t xml:space="preserve">Product Labelling
</t>
    </r>
    <r>
      <rPr>
        <sz val="12"/>
        <color theme="1"/>
        <rFont val="Taz SemiLight"/>
        <family val="2"/>
      </rPr>
      <t>This product is suitable for investors who are seeking*:</t>
    </r>
  </si>
  <si>
    <t>Revised Risk-o-meter Level- May'21</t>
  </si>
  <si>
    <t>• Capital appreciation over long term
• Investing predominantly in equities and equity related instruments of large cap companies</t>
  </si>
  <si>
    <t>• Capital appreciation over long term
• Investment in equity and equity related instruments across large cap, mid cap, small cap stocks</t>
  </si>
  <si>
    <t>• Capital appreciation over long term
• Investing predominantly in equities and equity related instruments of both large cap and mid cap companies</t>
  </si>
  <si>
    <t>• Capital appreciation over long term
• Investment in equity and equity related securities with a statutory lock in of 3 years and tax benefit</t>
  </si>
  <si>
    <t>• Capital appreciation over long term
• Investing predominantly in equities and equity
related instruments of small cap companies</t>
  </si>
  <si>
    <t>• Capital appreciation over long term
• Investing in equities and equity related instruments of companies following the Infrastructure Theme</t>
  </si>
  <si>
    <t>• Capital appreciation over long term
• Investing in equity and equity related securities of companies following the Consumption and Financial Theme</t>
  </si>
  <si>
    <t>•  Regular income over short  term that may be in line with the overnight call rates
•  Investment in Overnight Securities</t>
  </si>
  <si>
    <t>•  Income/ Capital appreciation while maintaining a level of high liquidity
• Investment in a mix of Debt and Money Market instruments with maturity of upto 91 days only</t>
  </si>
  <si>
    <t>• Income/ Capital appreciation over ultra-short term through a low risk strategy
• Investment in a mix of Debt and Money Market instruments such that the Macaulay duration of the portfolio is between 3 months and 6 months</t>
  </si>
  <si>
    <t xml:space="preserve">• Income / Capital appreciation through a low duration strategy
• Investment in debt &amp; money market instruments such that the Macaulay duration of the portfolio is between 6 months and 12 months </t>
  </si>
  <si>
    <t>• Income / capital appreciation over short term
•Investment in debt &amp; money market instruments such that the Macaulay duration of the portfolio is between 1 year and 3 years</t>
  </si>
  <si>
    <t>• Income / capital appreciation through a low credit risk strategy
• Investment in a portfolio constituted predominantly of AA+ and above rated corporate bonds</t>
  </si>
  <si>
    <t>• Income/ Capital appreciation by dynamically managing duration
• Investment in Debt and Money Market securities across duration</t>
  </si>
  <si>
    <t>• Income / Capital appreciation over Medium to Long term
• Investment in debt &amp; money market instruments such that the Macaulay duration of the portfolio is between 4 years and 7 years (Portfolio Macaulay duration under anticipated adverse situation is 1 year to 7 years)</t>
  </si>
  <si>
    <t>• Risk free return (except interest rate risk) and long term capital appreciation
•  Investment in government securities across maturity</t>
  </si>
  <si>
    <t xml:space="preserve">• Income / Capital appreciation over medium term to long term.
• Investment predominantly in debt and money market instruments and small portion in equity </t>
  </si>
  <si>
    <t>•  Income/capital appreciation over long term
•  Investment predominantly in equity and equity related instruments and a small portion in debt and money market instruments</t>
  </si>
  <si>
    <t>CANARA ROBECO CAPITAL PROTECTION ORIENTED FUND– SERIES 10</t>
  </si>
  <si>
    <t>• Capital protection at maturity and capital appreciation over medium term
• Investment in debt and money market securities (70%-100%) and equity and equity related instruments (0%-30%)</t>
  </si>
  <si>
    <t>• Income/ Capital appreciation over long term
• Investment primarily in Debt and Money Market instruments for regular returns &amp; equity and equity-related instruments for capital appreciation</t>
  </si>
  <si>
    <t>• Generate income over the tenure of the scheme
• Generate income by investing in debt and money market instruments</t>
  </si>
  <si>
    <t>*Investors should consult their financial advisers if in doubt about whether the product is suitable for them.</t>
  </si>
  <si>
    <t>Note: The risk-o-meter level of respective schemes are revised based on the Notice-cum-Addendum No.14., dated 07th June 2021. However, there is no change in the product labelling of the schemes.</t>
  </si>
  <si>
    <t>CANARA ROBECO FOCUSED EQUITY FUND#</t>
  </si>
  <si>
    <t>• Long term capital appreciation
• Investment in equity and equity related securities across market capitalisation in maximum 30 stocks.</t>
  </si>
  <si>
    <t>--</t>
  </si>
  <si>
    <t>#This is the first risk-o-meter for Canara Robeco Focused Equity Fund, a newly launched scheme that is open for on-going subscription from May 18, 2021.</t>
  </si>
  <si>
    <t>Existing Risk-o-meter Level- Apr'21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</si>
</sst>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b/>
      <sz val="9"/>
      <color indexed="72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Taz SemiLight"/>
      <family val="2"/>
    </font>
    <font>
      <sz val="10"/>
      <color theme="1"/>
      <name val="Taz SemiLight"/>
      <family val="2"/>
    </font>
    <font>
      <b/>
      <sz val="12"/>
      <color theme="1"/>
      <name val="Taz SemiLight"/>
      <family val="2"/>
    </font>
    <font>
      <sz val="12"/>
      <color theme="1"/>
      <name val="Taz SemiLight"/>
      <family val="2"/>
    </font>
    <font>
      <b/>
      <sz val="10"/>
      <color theme="1"/>
      <name val="Taz SemiLight"/>
      <family val="2"/>
    </font>
    <font>
      <sz val="10"/>
      <color rgb="FFFF0000"/>
      <name val="Taz SemiLight"/>
      <family val="2"/>
    </font>
    <font>
      <i/>
      <sz val="10"/>
      <color theme="1"/>
      <name val="Taz SemiLight"/>
      <family val="2"/>
    </font>
    <font>
      <b/>
      <i/>
      <sz val="10"/>
      <name val="Taz SemiLight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80">
    <xf numFmtId="0" fontId="0" fillId="0" borderId="0" xfId="0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NumberFormat="1" applyFont="1" applyFill="1" applyAlignment="1">
      <alignment horizontal="left" vertical="top" wrapText="1"/>
    </xf>
    <xf numFmtId="4" fontId="5" fillId="2" borderId="0" xfId="0" applyNumberFormat="1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/>
    <xf numFmtId="4" fontId="6" fillId="2" borderId="0" xfId="0" applyNumberFormat="1" applyFont="1" applyFill="1"/>
    <xf numFmtId="0" fontId="7" fillId="2" borderId="0" xfId="0" applyFont="1" applyFill="1"/>
    <xf numFmtId="4" fontId="7" fillId="2" borderId="0" xfId="0" applyNumberFormat="1" applyFont="1" applyFill="1"/>
    <xf numFmtId="4" fontId="7" fillId="2" borderId="4" xfId="0" applyNumberFormat="1" applyFont="1" applyFill="1" applyBorder="1"/>
    <xf numFmtId="0" fontId="7" fillId="2" borderId="5" xfId="0" applyFont="1" applyFill="1" applyBorder="1"/>
    <xf numFmtId="0" fontId="6" fillId="2" borderId="6" xfId="0" applyFont="1" applyFill="1" applyBorder="1"/>
    <xf numFmtId="0" fontId="6" fillId="2" borderId="6" xfId="0" applyNumberFormat="1" applyFont="1" applyFill="1" applyBorder="1"/>
    <xf numFmtId="4" fontId="6" fillId="2" borderId="6" xfId="0" applyNumberFormat="1" applyFont="1" applyFill="1" applyBorder="1"/>
    <xf numFmtId="4" fontId="6" fillId="2" borderId="7" xfId="0" applyNumberFormat="1" applyFont="1" applyFill="1" applyBorder="1"/>
    <xf numFmtId="0" fontId="7" fillId="2" borderId="8" xfId="0" applyFont="1" applyFill="1" applyBorder="1"/>
    <xf numFmtId="0" fontId="6" fillId="2" borderId="9" xfId="0" applyFont="1" applyFill="1" applyBorder="1"/>
    <xf numFmtId="0" fontId="6" fillId="2" borderId="9" xfId="0" applyNumberFormat="1" applyFont="1" applyFill="1" applyBorder="1"/>
    <xf numFmtId="4" fontId="6" fillId="2" borderId="9" xfId="0" applyNumberFormat="1" applyFont="1" applyFill="1" applyBorder="1"/>
    <xf numFmtId="4" fontId="6" fillId="2" borderId="10" xfId="0" applyNumberFormat="1" applyFont="1" applyFill="1" applyBorder="1"/>
    <xf numFmtId="0" fontId="6" fillId="2" borderId="8" xfId="0" applyFont="1" applyFill="1" applyBorder="1"/>
    <xf numFmtId="3" fontId="6" fillId="2" borderId="9" xfId="0" applyNumberFormat="1" applyFont="1" applyFill="1" applyBorder="1"/>
    <xf numFmtId="0" fontId="7" fillId="2" borderId="11" xfId="0" applyFont="1" applyFill="1" applyBorder="1"/>
    <xf numFmtId="0" fontId="7" fillId="2" borderId="12" xfId="0" applyFont="1" applyFill="1" applyBorder="1"/>
    <xf numFmtId="0" fontId="7" fillId="2" borderId="12" xfId="0" applyNumberFormat="1" applyFont="1" applyFill="1" applyBorder="1"/>
    <xf numFmtId="4" fontId="7" fillId="2" borderId="13" xfId="0" applyNumberFormat="1" applyFont="1" applyFill="1" applyBorder="1"/>
    <xf numFmtId="4" fontId="7" fillId="2" borderId="14" xfId="0" applyNumberFormat="1" applyFont="1" applyFill="1" applyBorder="1"/>
    <xf numFmtId="0" fontId="7" fillId="2" borderId="15" xfId="0" applyFont="1" applyFill="1" applyBorder="1"/>
    <xf numFmtId="0" fontId="7" fillId="2" borderId="15" xfId="0" applyNumberFormat="1" applyFont="1" applyFill="1" applyBorder="1"/>
    <xf numFmtId="4" fontId="7" fillId="2" borderId="15" xfId="0" applyNumberFormat="1" applyFont="1" applyFill="1" applyBorder="1"/>
    <xf numFmtId="0" fontId="7" fillId="2" borderId="16" xfId="0" applyFont="1" applyFill="1" applyBorder="1"/>
    <xf numFmtId="0" fontId="7" fillId="2" borderId="16" xfId="0" applyNumberFormat="1" applyFont="1" applyFill="1" applyBorder="1"/>
    <xf numFmtId="4" fontId="7" fillId="2" borderId="16" xfId="0" applyNumberFormat="1" applyFont="1" applyFill="1" applyBorder="1"/>
    <xf numFmtId="0" fontId="7" fillId="2" borderId="17" xfId="0" applyFont="1" applyFill="1" applyBorder="1"/>
    <xf numFmtId="0" fontId="6" fillId="2" borderId="18" xfId="0" applyFont="1" applyFill="1" applyBorder="1"/>
    <xf numFmtId="0" fontId="6" fillId="2" borderId="18" xfId="0" applyNumberFormat="1" applyFont="1" applyFill="1" applyBorder="1"/>
    <xf numFmtId="4" fontId="6" fillId="2" borderId="18" xfId="0" applyNumberFormat="1" applyFont="1" applyFill="1" applyBorder="1"/>
    <xf numFmtId="0" fontId="7" fillId="2" borderId="4" xfId="0" applyFont="1" applyFill="1" applyBorder="1"/>
    <xf numFmtId="0" fontId="7" fillId="2" borderId="4" xfId="0" applyNumberFormat="1" applyFont="1" applyFill="1" applyBorder="1"/>
    <xf numFmtId="0" fontId="7" fillId="2" borderId="18" xfId="0" applyFont="1" applyFill="1" applyBorder="1"/>
    <xf numFmtId="0" fontId="7" fillId="2" borderId="9" xfId="0" applyFont="1" applyFill="1" applyBorder="1"/>
    <xf numFmtId="4" fontId="7" fillId="2" borderId="12" xfId="0" applyNumberFormat="1" applyFont="1" applyFill="1" applyBorder="1"/>
    <xf numFmtId="0" fontId="7" fillId="2" borderId="19" xfId="0" applyFont="1" applyFill="1" applyBorder="1"/>
    <xf numFmtId="0" fontId="7" fillId="2" borderId="19" xfId="0" applyNumberFormat="1" applyFont="1" applyFill="1" applyBorder="1"/>
    <xf numFmtId="4" fontId="7" fillId="2" borderId="19" xfId="0" applyNumberFormat="1" applyFont="1" applyFill="1" applyBorder="1"/>
    <xf numFmtId="0" fontId="6" fillId="2" borderId="20" xfId="0" applyFont="1" applyFill="1" applyBorder="1"/>
    <xf numFmtId="3" fontId="6" fillId="2" borderId="20" xfId="0" applyNumberFormat="1" applyFont="1" applyFill="1" applyBorder="1"/>
    <xf numFmtId="4" fontId="6" fillId="2" borderId="20" xfId="0" applyNumberFormat="1" applyFont="1" applyFill="1" applyBorder="1"/>
    <xf numFmtId="0" fontId="7" fillId="2" borderId="21" xfId="0" applyFont="1" applyFill="1" applyBorder="1"/>
    <xf numFmtId="0" fontId="7" fillId="2" borderId="21" xfId="0" applyNumberFormat="1" applyFont="1" applyFill="1" applyBorder="1"/>
    <xf numFmtId="4" fontId="7" fillId="2" borderId="21" xfId="0" applyNumberFormat="1" applyFont="1" applyFill="1" applyBorder="1"/>
    <xf numFmtId="0" fontId="7" fillId="2" borderId="6" xfId="0" applyFont="1" applyFill="1" applyBorder="1"/>
    <xf numFmtId="0" fontId="7" fillId="2" borderId="9" xfId="0" applyNumberFormat="1" applyFont="1" applyFill="1" applyBorder="1"/>
    <xf numFmtId="4" fontId="7" fillId="2" borderId="9" xfId="0" applyNumberFormat="1" applyFont="1" applyFill="1" applyBorder="1"/>
    <xf numFmtId="0" fontId="10" fillId="0" borderId="0" xfId="0" applyFont="1"/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3" fillId="4" borderId="4" xfId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justify" vertical="center" wrapText="1"/>
    </xf>
    <xf numFmtId="2" fontId="14" fillId="4" borderId="4" xfId="0" applyNumberFormat="1" applyFont="1" applyFill="1" applyBorder="1" applyAlignment="1">
      <alignment horizontal="center"/>
    </xf>
    <xf numFmtId="2" fontId="10" fillId="4" borderId="4" xfId="0" applyNumberFormat="1" applyFont="1" applyFill="1" applyBorder="1" applyAlignment="1">
      <alignment horizontal="center"/>
    </xf>
    <xf numFmtId="0" fontId="10" fillId="5" borderId="4" xfId="1" applyFont="1" applyFill="1" applyBorder="1" applyAlignment="1">
      <alignment horizontal="justify" vertical="center" wrapText="1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10" fillId="4" borderId="4" xfId="1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center"/>
    </xf>
    <xf numFmtId="0" fontId="15" fillId="0" borderId="24" xfId="0" applyFont="1" applyBorder="1" applyAlignment="1">
      <alignment horizontal="left"/>
    </xf>
    <xf numFmtId="0" fontId="15" fillId="0" borderId="25" xfId="0" applyFont="1" applyBorder="1" applyAlignment="1">
      <alignment horizontal="left"/>
    </xf>
    <xf numFmtId="0" fontId="16" fillId="5" borderId="22" xfId="0" applyFont="1" applyFill="1" applyBorder="1" applyAlignment="1">
      <alignment horizontal="left" wrapText="1"/>
    </xf>
    <xf numFmtId="0" fontId="16" fillId="5" borderId="0" xfId="0" applyFont="1" applyFill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" fillId="3" borderId="2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Normal 6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19051</xdr:colOff>
      <xdr:row>2</xdr:row>
      <xdr:rowOff>19050</xdr:rowOff>
    </xdr:from>
    <xdr:to>
      <xdr:col>3</xdr:col>
      <xdr:colOff>1790701</xdr:colOff>
      <xdr:row>3</xdr:row>
      <xdr:rowOff>3487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DCCFB478-06E3-49A6-96F3-171A5480B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1" y="647700"/>
          <a:ext cx="1771650" cy="1241737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3</xdr:row>
      <xdr:rowOff>38100</xdr:rowOff>
    </xdr:from>
    <xdr:to>
      <xdr:col>3</xdr:col>
      <xdr:colOff>1790701</xdr:colOff>
      <xdr:row>4</xdr:row>
      <xdr:rowOff>3487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A349D267-CDBC-4EA7-BDF2-5DDD416F0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1" y="1924050"/>
          <a:ext cx="1771650" cy="1241737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4</xdr:row>
      <xdr:rowOff>38100</xdr:rowOff>
    </xdr:from>
    <xdr:to>
      <xdr:col>3</xdr:col>
      <xdr:colOff>1800225</xdr:colOff>
      <xdr:row>4</xdr:row>
      <xdr:rowOff>1304925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A9A6F56F-B752-4122-8452-7F307BAC5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20040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5</xdr:row>
      <xdr:rowOff>28575</xdr:rowOff>
    </xdr:from>
    <xdr:to>
      <xdr:col>3</xdr:col>
      <xdr:colOff>1790700</xdr:colOff>
      <xdr:row>5</xdr:row>
      <xdr:rowOff>1295400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F136DBFF-C5EF-4570-BE12-CAC3FC14F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451485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6</xdr:row>
      <xdr:rowOff>28575</xdr:rowOff>
    </xdr:from>
    <xdr:to>
      <xdr:col>3</xdr:col>
      <xdr:colOff>1800225</xdr:colOff>
      <xdr:row>6</xdr:row>
      <xdr:rowOff>1295400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76B18D38-0FB8-421F-9317-9F6C18955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582930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7</xdr:row>
      <xdr:rowOff>19050</xdr:rowOff>
    </xdr:from>
    <xdr:to>
      <xdr:col>3</xdr:col>
      <xdr:colOff>1800225</xdr:colOff>
      <xdr:row>7</xdr:row>
      <xdr:rowOff>1238249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75E961AF-68EE-4D83-B7F5-77B33DEE5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7134225"/>
          <a:ext cx="1771650" cy="1219199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8</xdr:row>
      <xdr:rowOff>28575</xdr:rowOff>
    </xdr:from>
    <xdr:to>
      <xdr:col>3</xdr:col>
      <xdr:colOff>1790700</xdr:colOff>
      <xdr:row>9</xdr:row>
      <xdr:rowOff>1587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2023F30D-3464-433A-B6EF-B98E15CBD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8401050"/>
          <a:ext cx="1771650" cy="1220787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</xdr:colOff>
      <xdr:row>9</xdr:row>
      <xdr:rowOff>28574</xdr:rowOff>
    </xdr:from>
    <xdr:to>
      <xdr:col>4</xdr:col>
      <xdr:colOff>2019</xdr:colOff>
      <xdr:row>9</xdr:row>
      <xdr:rowOff>1219199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24854270-9C5B-4C2E-8CCD-9798BFB33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799" y="9648824"/>
          <a:ext cx="1792720" cy="119062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10</xdr:row>
      <xdr:rowOff>28574</xdr:rowOff>
    </xdr:from>
    <xdr:to>
      <xdr:col>4</xdr:col>
      <xdr:colOff>0</xdr:colOff>
      <xdr:row>10</xdr:row>
      <xdr:rowOff>1228725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A084AB83-4244-4DE4-A20A-6DB638C27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0896599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11</xdr:row>
      <xdr:rowOff>19050</xdr:rowOff>
    </xdr:from>
    <xdr:to>
      <xdr:col>4</xdr:col>
      <xdr:colOff>0</xdr:colOff>
      <xdr:row>11</xdr:row>
      <xdr:rowOff>1219201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BC70AE55-F03C-45EC-8D47-F95D027FD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2125325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12</xdr:row>
      <xdr:rowOff>28575</xdr:rowOff>
    </xdr:from>
    <xdr:to>
      <xdr:col>3</xdr:col>
      <xdr:colOff>1800225</xdr:colOff>
      <xdr:row>12</xdr:row>
      <xdr:rowOff>1228726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xmlns="" id="{C6819020-0338-4EEA-92B2-BA5DFA947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275" y="13373100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13</xdr:row>
      <xdr:rowOff>28575</xdr:rowOff>
    </xdr:from>
    <xdr:to>
      <xdr:col>4</xdr:col>
      <xdr:colOff>0</xdr:colOff>
      <xdr:row>13</xdr:row>
      <xdr:rowOff>1228726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877DE2D3-5B1E-4573-9A39-841BE6936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4611350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14</xdr:row>
      <xdr:rowOff>19049</xdr:rowOff>
    </xdr:from>
    <xdr:to>
      <xdr:col>3</xdr:col>
      <xdr:colOff>1790700</xdr:colOff>
      <xdr:row>14</xdr:row>
      <xdr:rowOff>1219200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79A4A49A-6DD9-4E54-B527-90DB07CF8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5849599"/>
          <a:ext cx="177165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</xdr:colOff>
      <xdr:row>19</xdr:row>
      <xdr:rowOff>19049</xdr:rowOff>
    </xdr:from>
    <xdr:to>
      <xdr:col>3</xdr:col>
      <xdr:colOff>1785725</xdr:colOff>
      <xdr:row>20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xmlns="" id="{B55E06E5-9281-4D23-B1B3-E2D9FE37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799" y="22183724"/>
          <a:ext cx="1766676" cy="132397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20</xdr:row>
      <xdr:rowOff>38100</xdr:rowOff>
    </xdr:from>
    <xdr:to>
      <xdr:col>3</xdr:col>
      <xdr:colOff>1790700</xdr:colOff>
      <xdr:row>20</xdr:row>
      <xdr:rowOff>1247774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xmlns="" id="{701E1CED-1925-4A98-9A3C-9E6D0952E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2354580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</xdr:colOff>
      <xdr:row>22</xdr:row>
      <xdr:rowOff>19049</xdr:rowOff>
    </xdr:from>
    <xdr:to>
      <xdr:col>3</xdr:col>
      <xdr:colOff>1790700</xdr:colOff>
      <xdr:row>22</xdr:row>
      <xdr:rowOff>1247775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xmlns="" id="{0E76FB4F-CC35-4D89-B2E6-07B08DE9B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799" y="26050874"/>
          <a:ext cx="1771651" cy="1228726"/>
        </a:xfrm>
        <a:prstGeom prst="rect">
          <a:avLst/>
        </a:prstGeom>
      </xdr:spPr>
    </xdr:pic>
    <xdr:clientData/>
  </xdr:twoCellAnchor>
  <xdr:oneCellAnchor>
    <xdr:from>
      <xdr:col>4</xdr:col>
      <xdr:colOff>19051</xdr:colOff>
      <xdr:row>2</xdr:row>
      <xdr:rowOff>19050</xdr:rowOff>
    </xdr:from>
    <xdr:ext cx="1771650" cy="1240005"/>
    <xdr:pic>
      <xdr:nvPicPr>
        <xdr:cNvPr id="18" name="Picture 17">
          <a:extLst>
            <a:ext uri="{FF2B5EF4-FFF2-40B4-BE49-F238E27FC236}">
              <a16:creationId xmlns:a16="http://schemas.microsoft.com/office/drawing/2014/main" xmlns="" id="{E947D17E-96E5-4171-A066-0D6AFAF36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1" y="647700"/>
          <a:ext cx="1771650" cy="1240005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3</xdr:row>
      <xdr:rowOff>19050</xdr:rowOff>
    </xdr:from>
    <xdr:ext cx="1771650" cy="1241737"/>
    <xdr:pic>
      <xdr:nvPicPr>
        <xdr:cNvPr id="19" name="Picture 18">
          <a:extLst>
            <a:ext uri="{FF2B5EF4-FFF2-40B4-BE49-F238E27FC236}">
              <a16:creationId xmlns:a16="http://schemas.microsoft.com/office/drawing/2014/main" xmlns="" id="{ACFA0674-1139-47C5-9FC4-4FE7E1F84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1" y="1905000"/>
          <a:ext cx="1771650" cy="1241737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4</xdr:row>
      <xdr:rowOff>38100</xdr:rowOff>
    </xdr:from>
    <xdr:ext cx="1771650" cy="1266825"/>
    <xdr:pic>
      <xdr:nvPicPr>
        <xdr:cNvPr id="20" name="Picture 19">
          <a:extLst>
            <a:ext uri="{FF2B5EF4-FFF2-40B4-BE49-F238E27FC236}">
              <a16:creationId xmlns:a16="http://schemas.microsoft.com/office/drawing/2014/main" xmlns="" id="{8E9B91C5-F886-4221-B3C5-4D3F86BA0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3200400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5</xdr:row>
      <xdr:rowOff>28575</xdr:rowOff>
    </xdr:from>
    <xdr:ext cx="1771650" cy="1266825"/>
    <xdr:pic>
      <xdr:nvPicPr>
        <xdr:cNvPr id="21" name="Picture 20">
          <a:extLst>
            <a:ext uri="{FF2B5EF4-FFF2-40B4-BE49-F238E27FC236}">
              <a16:creationId xmlns:a16="http://schemas.microsoft.com/office/drawing/2014/main" xmlns="" id="{B716CCBB-0901-413A-9430-CF0D00180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4514850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6</xdr:row>
      <xdr:rowOff>28575</xdr:rowOff>
    </xdr:from>
    <xdr:ext cx="1771650" cy="1266825"/>
    <xdr:pic>
      <xdr:nvPicPr>
        <xdr:cNvPr id="22" name="Picture 21">
          <a:extLst>
            <a:ext uri="{FF2B5EF4-FFF2-40B4-BE49-F238E27FC236}">
              <a16:creationId xmlns:a16="http://schemas.microsoft.com/office/drawing/2014/main" xmlns="" id="{DDF8A3BB-FB63-4703-8E43-32A5E7B5D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5829300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7</xdr:row>
      <xdr:rowOff>19050</xdr:rowOff>
    </xdr:from>
    <xdr:ext cx="1771650" cy="1219199"/>
    <xdr:pic>
      <xdr:nvPicPr>
        <xdr:cNvPr id="23" name="Picture 22">
          <a:extLst>
            <a:ext uri="{FF2B5EF4-FFF2-40B4-BE49-F238E27FC236}">
              <a16:creationId xmlns:a16="http://schemas.microsoft.com/office/drawing/2014/main" xmlns="" id="{F1DB2F60-90D3-4F86-A39E-9B272A3A5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7134225"/>
          <a:ext cx="1771650" cy="121919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8</xdr:row>
      <xdr:rowOff>28575</xdr:rowOff>
    </xdr:from>
    <xdr:ext cx="1771650" cy="1219921"/>
    <xdr:pic>
      <xdr:nvPicPr>
        <xdr:cNvPr id="24" name="Picture 23">
          <a:extLst>
            <a:ext uri="{FF2B5EF4-FFF2-40B4-BE49-F238E27FC236}">
              <a16:creationId xmlns:a16="http://schemas.microsoft.com/office/drawing/2014/main" xmlns="" id="{7BEB80F9-362B-4D27-8537-66C85401D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8401050"/>
          <a:ext cx="1771650" cy="1219921"/>
        </a:xfrm>
        <a:prstGeom prst="rect">
          <a:avLst/>
        </a:prstGeom>
      </xdr:spPr>
    </xdr:pic>
    <xdr:clientData/>
  </xdr:oneCellAnchor>
  <xdr:oneCellAnchor>
    <xdr:from>
      <xdr:col>4</xdr:col>
      <xdr:colOff>19049</xdr:colOff>
      <xdr:row>9</xdr:row>
      <xdr:rowOff>28574</xdr:rowOff>
    </xdr:from>
    <xdr:ext cx="1792720" cy="1190625"/>
    <xdr:pic>
      <xdr:nvPicPr>
        <xdr:cNvPr id="25" name="Picture 24">
          <a:extLst>
            <a:ext uri="{FF2B5EF4-FFF2-40B4-BE49-F238E27FC236}">
              <a16:creationId xmlns:a16="http://schemas.microsoft.com/office/drawing/2014/main" xmlns="" id="{3EF8C261-656E-4C54-9EEA-62374E2DC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49" y="9648824"/>
          <a:ext cx="1792720" cy="1190625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10</xdr:row>
      <xdr:rowOff>28574</xdr:rowOff>
    </xdr:from>
    <xdr:ext cx="1790700" cy="1200151"/>
    <xdr:pic>
      <xdr:nvPicPr>
        <xdr:cNvPr id="26" name="Picture 25">
          <a:extLst>
            <a:ext uri="{FF2B5EF4-FFF2-40B4-BE49-F238E27FC236}">
              <a16:creationId xmlns:a16="http://schemas.microsoft.com/office/drawing/2014/main" xmlns="" id="{0CACEF3A-FB3C-47F7-B982-651982E6A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0896599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11</xdr:row>
      <xdr:rowOff>19050</xdr:rowOff>
    </xdr:from>
    <xdr:ext cx="1790700" cy="1200151"/>
    <xdr:pic>
      <xdr:nvPicPr>
        <xdr:cNvPr id="27" name="Picture 26">
          <a:extLst>
            <a:ext uri="{FF2B5EF4-FFF2-40B4-BE49-F238E27FC236}">
              <a16:creationId xmlns:a16="http://schemas.microsoft.com/office/drawing/2014/main" xmlns="" id="{A5A63152-7B09-4876-8732-BF0AA2F41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2125325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9525</xdr:colOff>
      <xdr:row>12</xdr:row>
      <xdr:rowOff>28575</xdr:rowOff>
    </xdr:from>
    <xdr:ext cx="1790700" cy="1200151"/>
    <xdr:pic>
      <xdr:nvPicPr>
        <xdr:cNvPr id="28" name="Picture 27">
          <a:extLst>
            <a:ext uri="{FF2B5EF4-FFF2-40B4-BE49-F238E27FC236}">
              <a16:creationId xmlns:a16="http://schemas.microsoft.com/office/drawing/2014/main" xmlns="" id="{EC33AB04-37AC-48BF-9570-9ECF3EF3E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0025" y="13373100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</xdr:row>
      <xdr:rowOff>28575</xdr:rowOff>
    </xdr:from>
    <xdr:ext cx="1790700" cy="1200151"/>
    <xdr:pic>
      <xdr:nvPicPr>
        <xdr:cNvPr id="29" name="Picture 28">
          <a:extLst>
            <a:ext uri="{FF2B5EF4-FFF2-40B4-BE49-F238E27FC236}">
              <a16:creationId xmlns:a16="http://schemas.microsoft.com/office/drawing/2014/main" xmlns="" id="{BC11D71D-52FE-4BF9-A8CC-F5D03E363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4611350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85724</xdr:colOff>
      <xdr:row>19</xdr:row>
      <xdr:rowOff>9525</xdr:rowOff>
    </xdr:from>
    <xdr:ext cx="1766676" cy="1295400"/>
    <xdr:pic>
      <xdr:nvPicPr>
        <xdr:cNvPr id="30" name="Picture 29">
          <a:extLst>
            <a:ext uri="{FF2B5EF4-FFF2-40B4-BE49-F238E27FC236}">
              <a16:creationId xmlns:a16="http://schemas.microsoft.com/office/drawing/2014/main" xmlns="" id="{9841DE63-5953-4E4C-A543-24523D7CB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6224" y="22174200"/>
          <a:ext cx="1766676" cy="1295400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20</xdr:row>
      <xdr:rowOff>28575</xdr:rowOff>
    </xdr:from>
    <xdr:ext cx="1771650" cy="1209674"/>
    <xdr:pic>
      <xdr:nvPicPr>
        <xdr:cNvPr id="31" name="Picture 30">
          <a:extLst>
            <a:ext uri="{FF2B5EF4-FFF2-40B4-BE49-F238E27FC236}">
              <a16:creationId xmlns:a16="http://schemas.microsoft.com/office/drawing/2014/main" xmlns="" id="{448C0A8B-35A8-4F3A-B347-BC592815B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7175" y="23536275"/>
          <a:ext cx="1771650" cy="1209674"/>
        </a:xfrm>
        <a:prstGeom prst="rect">
          <a:avLst/>
        </a:prstGeom>
      </xdr:spPr>
    </xdr:pic>
    <xdr:clientData/>
  </xdr:oneCellAnchor>
  <xdr:oneCellAnchor>
    <xdr:from>
      <xdr:col>4</xdr:col>
      <xdr:colOff>19049</xdr:colOff>
      <xdr:row>22</xdr:row>
      <xdr:rowOff>19049</xdr:rowOff>
    </xdr:from>
    <xdr:ext cx="1771651" cy="1228726"/>
    <xdr:pic>
      <xdr:nvPicPr>
        <xdr:cNvPr id="32" name="Picture 31">
          <a:extLst>
            <a:ext uri="{FF2B5EF4-FFF2-40B4-BE49-F238E27FC236}">
              <a16:creationId xmlns:a16="http://schemas.microsoft.com/office/drawing/2014/main" xmlns="" id="{9F065972-3D75-4B72-B376-7C88D3D2B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49" y="26050874"/>
          <a:ext cx="1771651" cy="1228726"/>
        </a:xfrm>
        <a:prstGeom prst="rect">
          <a:avLst/>
        </a:prstGeom>
      </xdr:spPr>
    </xdr:pic>
    <xdr:clientData/>
  </xdr:oneCellAnchor>
  <xdr:twoCellAnchor editAs="oneCell">
    <xdr:from>
      <xdr:col>4</xdr:col>
      <xdr:colOff>66675</xdr:colOff>
      <xdr:row>18</xdr:row>
      <xdr:rowOff>57150</xdr:rowOff>
    </xdr:from>
    <xdr:to>
      <xdr:col>4</xdr:col>
      <xdr:colOff>1838325</xdr:colOff>
      <xdr:row>18</xdr:row>
      <xdr:rowOff>1266824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xmlns="" id="{04E80E1B-58D4-4AFE-AC7F-E3BC039B2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7175" y="2087880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18</xdr:row>
      <xdr:rowOff>38100</xdr:rowOff>
    </xdr:from>
    <xdr:to>
      <xdr:col>3</xdr:col>
      <xdr:colOff>1781175</xdr:colOff>
      <xdr:row>18</xdr:row>
      <xdr:rowOff>1247774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xmlns="" id="{828C758F-7A87-45E0-9C2A-BBCEC0133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275" y="2085975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21</xdr:row>
      <xdr:rowOff>38100</xdr:rowOff>
    </xdr:from>
    <xdr:to>
      <xdr:col>3</xdr:col>
      <xdr:colOff>1790700</xdr:colOff>
      <xdr:row>21</xdr:row>
      <xdr:rowOff>1219200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xmlns="" id="{9C6BCD48-BD67-44C1-878E-477094D66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24803100"/>
          <a:ext cx="1771650" cy="1181100"/>
        </a:xfrm>
        <a:prstGeom prst="rect">
          <a:avLst/>
        </a:prstGeom>
      </xdr:spPr>
    </xdr:pic>
    <xdr:clientData/>
  </xdr:twoCellAnchor>
  <xdr:oneCellAnchor>
    <xdr:from>
      <xdr:col>3</xdr:col>
      <xdr:colOff>9525</xdr:colOff>
      <xdr:row>15</xdr:row>
      <xdr:rowOff>19050</xdr:rowOff>
    </xdr:from>
    <xdr:ext cx="1790700" cy="1200151"/>
    <xdr:pic>
      <xdr:nvPicPr>
        <xdr:cNvPr id="36" name="Picture 35">
          <a:extLst>
            <a:ext uri="{FF2B5EF4-FFF2-40B4-BE49-F238E27FC236}">
              <a16:creationId xmlns:a16="http://schemas.microsoft.com/office/drawing/2014/main" xmlns="" id="{47F1A395-8519-4E5B-8070-3F017F361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275" y="17087850"/>
          <a:ext cx="1790700" cy="1200151"/>
        </a:xfrm>
        <a:prstGeom prst="rect">
          <a:avLst/>
        </a:prstGeom>
      </xdr:spPr>
    </xdr:pic>
    <xdr:clientData/>
  </xdr:oneCellAnchor>
  <xdr:twoCellAnchor editAs="oneCell">
    <xdr:from>
      <xdr:col>4</xdr:col>
      <xdr:colOff>47625</xdr:colOff>
      <xdr:row>16</xdr:row>
      <xdr:rowOff>28575</xdr:rowOff>
    </xdr:from>
    <xdr:to>
      <xdr:col>4</xdr:col>
      <xdr:colOff>1819275</xdr:colOff>
      <xdr:row>16</xdr:row>
      <xdr:rowOff>1238249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xmlns="" id="{DC5D74E0-20C2-4FC0-90F1-E8954060B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1836420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16</xdr:row>
      <xdr:rowOff>19050</xdr:rowOff>
    </xdr:from>
    <xdr:to>
      <xdr:col>3</xdr:col>
      <xdr:colOff>1800225</xdr:colOff>
      <xdr:row>16</xdr:row>
      <xdr:rowOff>1228724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xmlns="" id="{E7679416-257F-40CB-9B6B-AA2D1D00A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18354675"/>
          <a:ext cx="1771650" cy="1209674"/>
        </a:xfrm>
        <a:prstGeom prst="rect">
          <a:avLst/>
        </a:prstGeom>
      </xdr:spPr>
    </xdr:pic>
    <xdr:clientData/>
  </xdr:twoCellAnchor>
  <xdr:oneCellAnchor>
    <xdr:from>
      <xdr:col>3</xdr:col>
      <xdr:colOff>19050</xdr:colOff>
      <xdr:row>17</xdr:row>
      <xdr:rowOff>19050</xdr:rowOff>
    </xdr:from>
    <xdr:ext cx="1790700" cy="1200151"/>
    <xdr:pic>
      <xdr:nvPicPr>
        <xdr:cNvPr id="39" name="Picture 38">
          <a:extLst>
            <a:ext uri="{FF2B5EF4-FFF2-40B4-BE49-F238E27FC236}">
              <a16:creationId xmlns:a16="http://schemas.microsoft.com/office/drawing/2014/main" xmlns="" id="{6308DCD0-F3F7-4ECC-A3AB-D4D2362C2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9602450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21</xdr:row>
      <xdr:rowOff>28575</xdr:rowOff>
    </xdr:from>
    <xdr:ext cx="1771651" cy="1228726"/>
    <xdr:pic>
      <xdr:nvPicPr>
        <xdr:cNvPr id="40" name="Picture 39">
          <a:extLst>
            <a:ext uri="{FF2B5EF4-FFF2-40B4-BE49-F238E27FC236}">
              <a16:creationId xmlns:a16="http://schemas.microsoft.com/office/drawing/2014/main" xmlns="" id="{75C215A8-B787-4C8A-9BBA-C15AA6EEC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7650" y="24793575"/>
          <a:ext cx="1771651" cy="1228726"/>
        </a:xfrm>
        <a:prstGeom prst="rect">
          <a:avLst/>
        </a:prstGeom>
      </xdr:spPr>
    </xdr:pic>
    <xdr:clientData/>
  </xdr:oneCellAnchor>
  <xdr:twoCellAnchor editAs="oneCell">
    <xdr:from>
      <xdr:col>4</xdr:col>
      <xdr:colOff>76200</xdr:colOff>
      <xdr:row>17</xdr:row>
      <xdr:rowOff>19050</xdr:rowOff>
    </xdr:from>
    <xdr:to>
      <xdr:col>4</xdr:col>
      <xdr:colOff>1847850</xdr:colOff>
      <xdr:row>17</xdr:row>
      <xdr:rowOff>1228724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xmlns="" id="{8E695C4B-2A93-4B62-B894-279D9452D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1960245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15</xdr:row>
      <xdr:rowOff>28575</xdr:rowOff>
    </xdr:from>
    <xdr:to>
      <xdr:col>4</xdr:col>
      <xdr:colOff>1828800</xdr:colOff>
      <xdr:row>15</xdr:row>
      <xdr:rowOff>1238249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xmlns="" id="{9AF62437-6623-449D-B14F-93FCDC5FF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7650" y="17097375"/>
          <a:ext cx="1771650" cy="1209674"/>
        </a:xfrm>
        <a:prstGeom prst="rect">
          <a:avLst/>
        </a:prstGeom>
      </xdr:spPr>
    </xdr:pic>
    <xdr:clientData/>
  </xdr:twoCellAnchor>
  <xdr:oneCellAnchor>
    <xdr:from>
      <xdr:col>4</xdr:col>
      <xdr:colOff>57150</xdr:colOff>
      <xdr:row>14</xdr:row>
      <xdr:rowOff>28575</xdr:rowOff>
    </xdr:from>
    <xdr:ext cx="1790700" cy="1200151"/>
    <xdr:pic>
      <xdr:nvPicPr>
        <xdr:cNvPr id="43" name="Picture 42">
          <a:extLst>
            <a:ext uri="{FF2B5EF4-FFF2-40B4-BE49-F238E27FC236}">
              <a16:creationId xmlns:a16="http://schemas.microsoft.com/office/drawing/2014/main" xmlns="" id="{B840CF41-392C-4513-A361-4E23D1E8D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7650" y="15859125"/>
          <a:ext cx="1790700" cy="1200151"/>
        </a:xfrm>
        <a:prstGeom prst="rect">
          <a:avLst/>
        </a:prstGeom>
      </xdr:spPr>
    </xdr:pic>
    <xdr:clientData/>
  </xdr:oneCellAnchor>
  <xdr:twoCellAnchor editAs="oneCell">
    <xdr:from>
      <xdr:col>4</xdr:col>
      <xdr:colOff>66675</xdr:colOff>
      <xdr:row>23</xdr:row>
      <xdr:rowOff>19050</xdr:rowOff>
    </xdr:from>
    <xdr:to>
      <xdr:col>4</xdr:col>
      <xdr:colOff>1838325</xdr:colOff>
      <xdr:row>23</xdr:row>
      <xdr:rowOff>1260787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xmlns="" id="{2A4408DA-3260-4BAF-85AD-FD723DB70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7175" y="27317700"/>
          <a:ext cx="1771650" cy="1241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zoomScaleNormal="100" workbookViewId="0">
      <selection activeCell="G3" sqref="G3"/>
    </sheetView>
  </sheetViews>
  <sheetFormatPr defaultRowHeight="12.75" x14ac:dyDescent="0.2"/>
  <cols>
    <col min="1" max="1" width="7.7109375" style="69" customWidth="1"/>
    <col min="2" max="2" width="32.28515625" style="70" customWidth="1"/>
    <col min="3" max="3" width="50" style="61" customWidth="1"/>
    <col min="4" max="4" width="27.140625" style="61" customWidth="1"/>
    <col min="5" max="5" width="28.85546875" style="61" customWidth="1"/>
    <col min="6" max="16384" width="9.140625" style="61"/>
  </cols>
  <sheetData>
    <row r="1" spans="1:5" ht="19.5" x14ac:dyDescent="0.25">
      <c r="A1" s="72" t="s">
        <v>783</v>
      </c>
      <c r="B1" s="72"/>
      <c r="C1" s="72"/>
      <c r="D1" s="72"/>
      <c r="E1" s="72"/>
    </row>
    <row r="2" spans="1:5" ht="30" x14ac:dyDescent="0.2">
      <c r="A2" s="62" t="s">
        <v>784</v>
      </c>
      <c r="B2" s="62" t="s">
        <v>785</v>
      </c>
      <c r="C2" s="63" t="s">
        <v>786</v>
      </c>
      <c r="D2" s="62" t="s">
        <v>816</v>
      </c>
      <c r="E2" s="62" t="s">
        <v>787</v>
      </c>
    </row>
    <row r="3" spans="1:5" ht="99" customHeight="1" x14ac:dyDescent="0.2">
      <c r="A3" s="64">
        <v>1</v>
      </c>
      <c r="B3" s="65" t="s">
        <v>13</v>
      </c>
      <c r="C3" s="65" t="s">
        <v>788</v>
      </c>
      <c r="D3" s="66"/>
      <c r="E3" s="66"/>
    </row>
    <row r="4" spans="1:5" ht="100.5" customHeight="1" x14ac:dyDescent="0.2">
      <c r="A4" s="64">
        <v>2</v>
      </c>
      <c r="B4" s="65" t="s">
        <v>9</v>
      </c>
      <c r="C4" s="65" t="s">
        <v>789</v>
      </c>
      <c r="D4" s="66"/>
      <c r="E4" s="66"/>
    </row>
    <row r="5" spans="1:5" ht="104.25" customHeight="1" x14ac:dyDescent="0.2">
      <c r="A5" s="64">
        <v>3</v>
      </c>
      <c r="B5" s="65" t="s">
        <v>11</v>
      </c>
      <c r="C5" s="65" t="s">
        <v>790</v>
      </c>
      <c r="D5" s="66"/>
      <c r="E5" s="66"/>
    </row>
    <row r="6" spans="1:5" ht="103.5" customHeight="1" x14ac:dyDescent="0.2">
      <c r="A6" s="64">
        <v>4</v>
      </c>
      <c r="B6" s="65" t="s">
        <v>10</v>
      </c>
      <c r="C6" s="65" t="s">
        <v>791</v>
      </c>
      <c r="D6" s="66"/>
      <c r="E6" s="66"/>
    </row>
    <row r="7" spans="1:5" ht="103.5" customHeight="1" x14ac:dyDescent="0.2">
      <c r="A7" s="64">
        <v>5</v>
      </c>
      <c r="B7" s="65" t="s">
        <v>14</v>
      </c>
      <c r="C7" s="65" t="s">
        <v>792</v>
      </c>
      <c r="D7" s="66"/>
      <c r="E7" s="66"/>
    </row>
    <row r="8" spans="1:5" ht="99" customHeight="1" x14ac:dyDescent="0.2">
      <c r="A8" s="64">
        <v>6</v>
      </c>
      <c r="B8" s="65" t="s">
        <v>8</v>
      </c>
      <c r="C8" s="65" t="s">
        <v>793</v>
      </c>
      <c r="D8" s="66"/>
      <c r="E8" s="66"/>
    </row>
    <row r="9" spans="1:5" ht="98.25" customHeight="1" x14ac:dyDescent="0.2">
      <c r="A9" s="64">
        <v>7</v>
      </c>
      <c r="B9" s="65" t="s">
        <v>12</v>
      </c>
      <c r="C9" s="65" t="s">
        <v>794</v>
      </c>
      <c r="D9" s="66"/>
      <c r="E9" s="66"/>
    </row>
    <row r="10" spans="1:5" ht="98.25" customHeight="1" x14ac:dyDescent="0.2">
      <c r="A10" s="64">
        <v>8</v>
      </c>
      <c r="B10" s="65" t="s">
        <v>25</v>
      </c>
      <c r="C10" s="65" t="s">
        <v>795</v>
      </c>
      <c r="D10" s="67"/>
      <c r="E10" s="67"/>
    </row>
    <row r="11" spans="1:5" ht="97.5" customHeight="1" x14ac:dyDescent="0.2">
      <c r="A11" s="64">
        <v>9</v>
      </c>
      <c r="B11" s="65" t="s">
        <v>23</v>
      </c>
      <c r="C11" s="65" t="s">
        <v>796</v>
      </c>
      <c r="D11" s="66"/>
      <c r="E11" s="66"/>
    </row>
    <row r="12" spans="1:5" ht="97.5" customHeight="1" x14ac:dyDescent="0.2">
      <c r="A12" s="64">
        <v>10</v>
      </c>
      <c r="B12" s="65" t="s">
        <v>24</v>
      </c>
      <c r="C12" s="65" t="s">
        <v>797</v>
      </c>
      <c r="D12" s="66"/>
      <c r="E12" s="66"/>
    </row>
    <row r="13" spans="1:5" ht="97.5" customHeight="1" x14ac:dyDescent="0.2">
      <c r="A13" s="64">
        <v>11</v>
      </c>
      <c r="B13" s="65" t="s">
        <v>20</v>
      </c>
      <c r="C13" s="65" t="s">
        <v>798</v>
      </c>
      <c r="D13" s="66"/>
      <c r="E13" s="66"/>
    </row>
    <row r="14" spans="1:5" ht="98.25" customHeight="1" x14ac:dyDescent="0.2">
      <c r="A14" s="64">
        <v>12</v>
      </c>
      <c r="B14" s="65" t="s">
        <v>26</v>
      </c>
      <c r="C14" s="65" t="s">
        <v>799</v>
      </c>
      <c r="D14" s="66"/>
      <c r="E14" s="66"/>
    </row>
    <row r="15" spans="1:5" ht="97.5" customHeight="1" x14ac:dyDescent="0.2">
      <c r="A15" s="64">
        <v>13</v>
      </c>
      <c r="B15" s="68" t="s">
        <v>27</v>
      </c>
      <c r="C15" s="65" t="s">
        <v>800</v>
      </c>
      <c r="D15" s="67"/>
      <c r="E15" s="67"/>
    </row>
    <row r="16" spans="1:5" ht="99.75" customHeight="1" x14ac:dyDescent="0.2">
      <c r="A16" s="64">
        <v>14</v>
      </c>
      <c r="B16" s="68" t="s">
        <v>17</v>
      </c>
      <c r="C16" s="65" t="s">
        <v>801</v>
      </c>
      <c r="D16" s="67"/>
      <c r="E16" s="67"/>
    </row>
    <row r="17" spans="1:5" ht="98.25" customHeight="1" x14ac:dyDescent="0.2">
      <c r="A17" s="64">
        <v>15</v>
      </c>
      <c r="B17" s="65" t="s">
        <v>19</v>
      </c>
      <c r="C17" s="65" t="s">
        <v>802</v>
      </c>
      <c r="D17" s="67"/>
      <c r="E17" s="67"/>
    </row>
    <row r="18" spans="1:5" ht="97.5" customHeight="1" x14ac:dyDescent="0.2">
      <c r="A18" s="64">
        <v>16</v>
      </c>
      <c r="B18" s="68" t="s">
        <v>18</v>
      </c>
      <c r="C18" s="65" t="s">
        <v>803</v>
      </c>
      <c r="D18" s="67"/>
      <c r="E18" s="67"/>
    </row>
    <row r="19" spans="1:5" ht="105.75" customHeight="1" x14ac:dyDescent="0.2">
      <c r="A19" s="64">
        <v>17</v>
      </c>
      <c r="B19" s="65" t="s">
        <v>21</v>
      </c>
      <c r="C19" s="65" t="s">
        <v>804</v>
      </c>
      <c r="D19" s="67"/>
      <c r="E19" s="67"/>
    </row>
    <row r="20" spans="1:5" ht="105.75" customHeight="1" x14ac:dyDescent="0.2">
      <c r="A20" s="64">
        <v>18</v>
      </c>
      <c r="B20" s="65" t="s">
        <v>16</v>
      </c>
      <c r="C20" s="65" t="s">
        <v>805</v>
      </c>
      <c r="D20" s="66"/>
      <c r="E20" s="66"/>
    </row>
    <row r="21" spans="1:5" ht="99" customHeight="1" x14ac:dyDescent="0.2">
      <c r="A21" s="64">
        <v>19</v>
      </c>
      <c r="B21" s="65" t="s">
        <v>806</v>
      </c>
      <c r="C21" s="65" t="s">
        <v>807</v>
      </c>
      <c r="D21" s="66"/>
      <c r="E21" s="66"/>
    </row>
    <row r="22" spans="1:5" ht="99.75" customHeight="1" x14ac:dyDescent="0.2">
      <c r="A22" s="64">
        <v>20</v>
      </c>
      <c r="B22" s="68" t="s">
        <v>28</v>
      </c>
      <c r="C22" s="65" t="s">
        <v>808</v>
      </c>
      <c r="D22" s="66"/>
      <c r="E22" s="66"/>
    </row>
    <row r="23" spans="1:5" ht="99.75" customHeight="1" x14ac:dyDescent="0.2">
      <c r="A23" s="64">
        <v>21</v>
      </c>
      <c r="B23" s="65" t="s">
        <v>29</v>
      </c>
      <c r="C23" s="65" t="s">
        <v>809</v>
      </c>
      <c r="D23" s="66"/>
      <c r="E23" s="66"/>
    </row>
    <row r="24" spans="1:5" ht="99.75" customHeight="1" x14ac:dyDescent="0.2">
      <c r="A24" s="64">
        <v>22</v>
      </c>
      <c r="B24" s="65" t="s">
        <v>812</v>
      </c>
      <c r="C24" s="65" t="s">
        <v>813</v>
      </c>
      <c r="D24" s="71" t="s">
        <v>814</v>
      </c>
      <c r="E24" s="66"/>
    </row>
    <row r="25" spans="1:5" ht="25.5" customHeight="1" x14ac:dyDescent="0.2">
      <c r="A25" s="73" t="s">
        <v>810</v>
      </c>
      <c r="B25" s="74"/>
      <c r="C25" s="74"/>
      <c r="D25" s="74"/>
      <c r="E25" s="74"/>
    </row>
    <row r="26" spans="1:5" ht="12.75" customHeight="1" x14ac:dyDescent="0.2">
      <c r="A26" s="75" t="s">
        <v>811</v>
      </c>
      <c r="B26" s="76"/>
      <c r="C26" s="76"/>
      <c r="D26" s="76"/>
      <c r="E26" s="76"/>
    </row>
    <row r="27" spans="1:5" x14ac:dyDescent="0.2">
      <c r="A27" s="77" t="s">
        <v>815</v>
      </c>
      <c r="B27" s="77"/>
      <c r="C27" s="77"/>
      <c r="D27" s="77"/>
      <c r="E27" s="77"/>
    </row>
  </sheetData>
  <mergeCells count="4">
    <mergeCell ref="A1:E1"/>
    <mergeCell ref="A25:E25"/>
    <mergeCell ref="A26:E26"/>
    <mergeCell ref="A27:E2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2"/>
  <sheetViews>
    <sheetView workbookViewId="0">
      <selection activeCell="G4" sqref="G4"/>
    </sheetView>
  </sheetViews>
  <sheetFormatPr defaultRowHeight="12" x14ac:dyDescent="0.2"/>
  <cols>
    <col min="1" max="1" width="9.140625" style="1"/>
    <col min="2" max="2" width="53.85546875" style="1" bestFit="1" customWidth="1"/>
    <col min="3" max="3" width="13.28515625" style="1" bestFit="1" customWidth="1"/>
    <col min="4" max="4" width="23.425781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78" t="s">
        <v>8</v>
      </c>
      <c r="C1" s="79"/>
      <c r="D1" s="79"/>
      <c r="E1" s="79"/>
      <c r="F1" s="79"/>
      <c r="G1" s="79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33</v>
      </c>
      <c r="C7" s="23" t="s">
        <v>34</v>
      </c>
      <c r="D7" s="23" t="s">
        <v>35</v>
      </c>
      <c r="E7" s="28">
        <v>87800</v>
      </c>
      <c r="F7" s="25">
        <v>1288.6400000000001</v>
      </c>
      <c r="G7" s="25">
        <v>9.44</v>
      </c>
    </row>
    <row r="8" spans="2:7" x14ac:dyDescent="0.2">
      <c r="B8" s="27" t="s">
        <v>36</v>
      </c>
      <c r="C8" s="23" t="s">
        <v>37</v>
      </c>
      <c r="D8" s="23" t="s">
        <v>38</v>
      </c>
      <c r="E8" s="28">
        <v>149500</v>
      </c>
      <c r="F8" s="25">
        <v>990.81</v>
      </c>
      <c r="G8" s="25">
        <v>7.26</v>
      </c>
    </row>
    <row r="9" spans="2:7" x14ac:dyDescent="0.2">
      <c r="B9" s="27" t="s">
        <v>39</v>
      </c>
      <c r="C9" s="23" t="s">
        <v>40</v>
      </c>
      <c r="D9" s="23" t="s">
        <v>41</v>
      </c>
      <c r="E9" s="28">
        <v>367874</v>
      </c>
      <c r="F9" s="25">
        <v>808.22</v>
      </c>
      <c r="G9" s="25">
        <v>5.92</v>
      </c>
    </row>
    <row r="10" spans="2:7" x14ac:dyDescent="0.2">
      <c r="B10" s="27" t="s">
        <v>42</v>
      </c>
      <c r="C10" s="23" t="s">
        <v>43</v>
      </c>
      <c r="D10" s="23" t="s">
        <v>44</v>
      </c>
      <c r="E10" s="28">
        <v>35750</v>
      </c>
      <c r="F10" s="25">
        <v>745.85</v>
      </c>
      <c r="G10" s="25">
        <v>5.46</v>
      </c>
    </row>
    <row r="11" spans="2:7" x14ac:dyDescent="0.2">
      <c r="B11" s="27" t="s">
        <v>45</v>
      </c>
      <c r="C11" s="23" t="s">
        <v>46</v>
      </c>
      <c r="D11" s="23" t="s">
        <v>47</v>
      </c>
      <c r="E11" s="28">
        <v>44243</v>
      </c>
      <c r="F11" s="25">
        <v>643.36</v>
      </c>
      <c r="G11" s="25">
        <v>4.71</v>
      </c>
    </row>
    <row r="12" spans="2:7" x14ac:dyDescent="0.2">
      <c r="B12" s="27" t="s">
        <v>48</v>
      </c>
      <c r="C12" s="23" t="s">
        <v>49</v>
      </c>
      <c r="D12" s="23" t="s">
        <v>44</v>
      </c>
      <c r="E12" s="28">
        <v>1395</v>
      </c>
      <c r="F12" s="25">
        <v>597.71</v>
      </c>
      <c r="G12" s="25">
        <v>4.38</v>
      </c>
    </row>
    <row r="13" spans="2:7" x14ac:dyDescent="0.2">
      <c r="B13" s="27" t="s">
        <v>50</v>
      </c>
      <c r="C13" s="23" t="s">
        <v>51</v>
      </c>
      <c r="D13" s="23" t="s">
        <v>52</v>
      </c>
      <c r="E13" s="28">
        <v>406000</v>
      </c>
      <c r="F13" s="25">
        <v>590.32000000000005</v>
      </c>
      <c r="G13" s="25">
        <v>4.32</v>
      </c>
    </row>
    <row r="14" spans="2:7" x14ac:dyDescent="0.2">
      <c r="B14" s="27" t="s">
        <v>53</v>
      </c>
      <c r="C14" s="23" t="s">
        <v>54</v>
      </c>
      <c r="D14" s="23" t="s">
        <v>38</v>
      </c>
      <c r="E14" s="28">
        <v>137000</v>
      </c>
      <c r="F14" s="25">
        <v>581.36</v>
      </c>
      <c r="G14" s="25">
        <v>4.26</v>
      </c>
    </row>
    <row r="15" spans="2:7" x14ac:dyDescent="0.2">
      <c r="B15" s="27" t="s">
        <v>55</v>
      </c>
      <c r="C15" s="23" t="s">
        <v>56</v>
      </c>
      <c r="D15" s="23" t="s">
        <v>41</v>
      </c>
      <c r="E15" s="28">
        <v>170000</v>
      </c>
      <c r="F15" s="25">
        <v>439.28</v>
      </c>
      <c r="G15" s="25">
        <v>3.22</v>
      </c>
    </row>
    <row r="16" spans="2:7" x14ac:dyDescent="0.2">
      <c r="B16" s="27" t="s">
        <v>57</v>
      </c>
      <c r="C16" s="23" t="s">
        <v>58</v>
      </c>
      <c r="D16" s="23" t="s">
        <v>59</v>
      </c>
      <c r="E16" s="28">
        <v>7700</v>
      </c>
      <c r="F16" s="25">
        <v>407.2</v>
      </c>
      <c r="G16" s="25">
        <v>2.98</v>
      </c>
    </row>
    <row r="17" spans="2:7" x14ac:dyDescent="0.2">
      <c r="B17" s="27" t="s">
        <v>60</v>
      </c>
      <c r="C17" s="23" t="s">
        <v>61</v>
      </c>
      <c r="D17" s="23" t="s">
        <v>41</v>
      </c>
      <c r="E17" s="28">
        <v>81000</v>
      </c>
      <c r="F17" s="25">
        <v>397.91</v>
      </c>
      <c r="G17" s="25">
        <v>2.91</v>
      </c>
    </row>
    <row r="18" spans="2:7" x14ac:dyDescent="0.2">
      <c r="B18" s="27" t="s">
        <v>62</v>
      </c>
      <c r="C18" s="23" t="s">
        <v>63</v>
      </c>
      <c r="D18" s="23" t="s">
        <v>44</v>
      </c>
      <c r="E18" s="28">
        <v>22750</v>
      </c>
      <c r="F18" s="25">
        <v>379.66</v>
      </c>
      <c r="G18" s="25">
        <v>2.78</v>
      </c>
    </row>
    <row r="19" spans="2:7" x14ac:dyDescent="0.2">
      <c r="B19" s="27" t="s">
        <v>64</v>
      </c>
      <c r="C19" s="23" t="s">
        <v>65</v>
      </c>
      <c r="D19" s="23" t="s">
        <v>41</v>
      </c>
      <c r="E19" s="28">
        <v>121772</v>
      </c>
      <c r="F19" s="25">
        <v>372.62</v>
      </c>
      <c r="G19" s="25">
        <v>2.73</v>
      </c>
    </row>
    <row r="20" spans="2:7" x14ac:dyDescent="0.2">
      <c r="B20" s="27" t="s">
        <v>66</v>
      </c>
      <c r="C20" s="23" t="s">
        <v>67</v>
      </c>
      <c r="D20" s="23" t="s">
        <v>68</v>
      </c>
      <c r="E20" s="28">
        <v>18500</v>
      </c>
      <c r="F20" s="25">
        <v>326.52999999999997</v>
      </c>
      <c r="G20" s="25">
        <v>2.39</v>
      </c>
    </row>
    <row r="21" spans="2:7" x14ac:dyDescent="0.2">
      <c r="B21" s="27" t="s">
        <v>69</v>
      </c>
      <c r="C21" s="23" t="s">
        <v>70</v>
      </c>
      <c r="D21" s="23" t="s">
        <v>68</v>
      </c>
      <c r="E21" s="28">
        <v>4750</v>
      </c>
      <c r="F21" s="25">
        <v>318.63</v>
      </c>
      <c r="G21" s="25">
        <v>2.33</v>
      </c>
    </row>
    <row r="22" spans="2:7" x14ac:dyDescent="0.2">
      <c r="B22" s="27" t="s">
        <v>71</v>
      </c>
      <c r="C22" s="23" t="s">
        <v>72</v>
      </c>
      <c r="D22" s="23" t="s">
        <v>73</v>
      </c>
      <c r="E22" s="28">
        <v>54342</v>
      </c>
      <c r="F22" s="25">
        <v>291.44</v>
      </c>
      <c r="G22" s="25">
        <v>2.13</v>
      </c>
    </row>
    <row r="23" spans="2:7" x14ac:dyDescent="0.2">
      <c r="B23" s="27" t="s">
        <v>74</v>
      </c>
      <c r="C23" s="23" t="s">
        <v>75</v>
      </c>
      <c r="D23" s="23" t="s">
        <v>76</v>
      </c>
      <c r="E23" s="28">
        <v>25750</v>
      </c>
      <c r="F23" s="25">
        <v>289.85000000000002</v>
      </c>
      <c r="G23" s="25">
        <v>2.12</v>
      </c>
    </row>
    <row r="24" spans="2:7" x14ac:dyDescent="0.2">
      <c r="B24" s="27" t="s">
        <v>77</v>
      </c>
      <c r="C24" s="23" t="s">
        <v>78</v>
      </c>
      <c r="D24" s="23" t="s">
        <v>73</v>
      </c>
      <c r="E24" s="28">
        <v>175000</v>
      </c>
      <c r="F24" s="25">
        <v>279.91000000000003</v>
      </c>
      <c r="G24" s="25">
        <v>2.0499999999999998</v>
      </c>
    </row>
    <row r="25" spans="2:7" x14ac:dyDescent="0.2">
      <c r="B25" s="27" t="s">
        <v>79</v>
      </c>
      <c r="C25" s="23" t="s">
        <v>80</v>
      </c>
      <c r="D25" s="23" t="s">
        <v>59</v>
      </c>
      <c r="E25" s="28">
        <v>20500</v>
      </c>
      <c r="F25" s="25">
        <v>276.12</v>
      </c>
      <c r="G25" s="25">
        <v>2.02</v>
      </c>
    </row>
    <row r="26" spans="2:7" x14ac:dyDescent="0.2">
      <c r="B26" s="27" t="s">
        <v>81</v>
      </c>
      <c r="C26" s="23" t="s">
        <v>82</v>
      </c>
      <c r="D26" s="23" t="s">
        <v>83</v>
      </c>
      <c r="E26" s="28">
        <v>245000</v>
      </c>
      <c r="F26" s="25">
        <v>267.66000000000003</v>
      </c>
      <c r="G26" s="25">
        <v>1.96</v>
      </c>
    </row>
    <row r="27" spans="2:7" x14ac:dyDescent="0.2">
      <c r="B27" s="27" t="s">
        <v>84</v>
      </c>
      <c r="C27" s="23" t="s">
        <v>85</v>
      </c>
      <c r="D27" s="23" t="s">
        <v>86</v>
      </c>
      <c r="E27" s="28">
        <v>26000</v>
      </c>
      <c r="F27" s="25">
        <v>261.89999999999998</v>
      </c>
      <c r="G27" s="25">
        <v>1.92</v>
      </c>
    </row>
    <row r="28" spans="2:7" x14ac:dyDescent="0.2">
      <c r="B28" s="27" t="s">
        <v>87</v>
      </c>
      <c r="C28" s="23" t="s">
        <v>88</v>
      </c>
      <c r="D28" s="23" t="s">
        <v>47</v>
      </c>
      <c r="E28" s="28">
        <v>37500</v>
      </c>
      <c r="F28" s="25">
        <v>256.45999999999998</v>
      </c>
      <c r="G28" s="25">
        <v>1.88</v>
      </c>
    </row>
    <row r="29" spans="2:7" x14ac:dyDescent="0.2">
      <c r="B29" s="27" t="s">
        <v>89</v>
      </c>
      <c r="C29" s="23" t="s">
        <v>90</v>
      </c>
      <c r="D29" s="23" t="s">
        <v>59</v>
      </c>
      <c r="E29" s="28">
        <v>32500</v>
      </c>
      <c r="F29" s="25">
        <v>255.74</v>
      </c>
      <c r="G29" s="25">
        <v>1.87</v>
      </c>
    </row>
    <row r="30" spans="2:7" x14ac:dyDescent="0.2">
      <c r="B30" s="27" t="s">
        <v>91</v>
      </c>
      <c r="C30" s="23" t="s">
        <v>92</v>
      </c>
      <c r="D30" s="23" t="s">
        <v>68</v>
      </c>
      <c r="E30" s="28">
        <v>905</v>
      </c>
      <c r="F30" s="25">
        <v>249.58</v>
      </c>
      <c r="G30" s="25">
        <v>1.83</v>
      </c>
    </row>
    <row r="31" spans="2:7" x14ac:dyDescent="0.2">
      <c r="B31" s="27" t="s">
        <v>93</v>
      </c>
      <c r="C31" s="23" t="s">
        <v>94</v>
      </c>
      <c r="D31" s="23" t="s">
        <v>68</v>
      </c>
      <c r="E31" s="28">
        <v>72500</v>
      </c>
      <c r="F31" s="25">
        <v>236.93</v>
      </c>
      <c r="G31" s="25">
        <v>1.74</v>
      </c>
    </row>
    <row r="32" spans="2:7" x14ac:dyDescent="0.2">
      <c r="B32" s="27" t="s">
        <v>95</v>
      </c>
      <c r="C32" s="23" t="s">
        <v>96</v>
      </c>
      <c r="D32" s="23" t="s">
        <v>97</v>
      </c>
      <c r="E32" s="28">
        <v>59800</v>
      </c>
      <c r="F32" s="25">
        <v>235.76</v>
      </c>
      <c r="G32" s="25">
        <v>1.73</v>
      </c>
    </row>
    <row r="33" spans="2:9" x14ac:dyDescent="0.2">
      <c r="B33" s="27" t="s">
        <v>98</v>
      </c>
      <c r="C33" s="23" t="s">
        <v>99</v>
      </c>
      <c r="D33" s="23" t="s">
        <v>86</v>
      </c>
      <c r="E33" s="28">
        <v>4750</v>
      </c>
      <c r="F33" s="25">
        <v>191.37</v>
      </c>
      <c r="G33" s="25">
        <v>1.4</v>
      </c>
    </row>
    <row r="34" spans="2:9" x14ac:dyDescent="0.2">
      <c r="B34" s="27" t="s">
        <v>100</v>
      </c>
      <c r="C34" s="23" t="s">
        <v>101</v>
      </c>
      <c r="D34" s="23" t="s">
        <v>68</v>
      </c>
      <c r="E34" s="28">
        <v>19000</v>
      </c>
      <c r="F34" s="25">
        <v>183.59</v>
      </c>
      <c r="G34" s="25">
        <v>1.34</v>
      </c>
    </row>
    <row r="35" spans="2:9" x14ac:dyDescent="0.2">
      <c r="B35" s="27" t="s">
        <v>102</v>
      </c>
      <c r="C35" s="23" t="s">
        <v>103</v>
      </c>
      <c r="D35" s="23" t="s">
        <v>47</v>
      </c>
      <c r="E35" s="28">
        <v>43000</v>
      </c>
      <c r="F35" s="25">
        <v>176.75</v>
      </c>
      <c r="G35" s="25">
        <v>1.29</v>
      </c>
    </row>
    <row r="36" spans="2:9" x14ac:dyDescent="0.2">
      <c r="B36" s="27" t="s">
        <v>104</v>
      </c>
      <c r="C36" s="23" t="s">
        <v>105</v>
      </c>
      <c r="D36" s="23" t="s">
        <v>59</v>
      </c>
      <c r="E36" s="28">
        <v>100000</v>
      </c>
      <c r="F36" s="25">
        <v>170</v>
      </c>
      <c r="G36" s="25">
        <v>1.25</v>
      </c>
    </row>
    <row r="37" spans="2:9" x14ac:dyDescent="0.2">
      <c r="B37" s="27" t="s">
        <v>106</v>
      </c>
      <c r="C37" s="23" t="s">
        <v>107</v>
      </c>
      <c r="D37" s="23" t="s">
        <v>108</v>
      </c>
      <c r="E37" s="28">
        <v>74558</v>
      </c>
      <c r="F37" s="25">
        <v>168.24</v>
      </c>
      <c r="G37" s="25">
        <v>1.23</v>
      </c>
    </row>
    <row r="38" spans="2:9" x14ac:dyDescent="0.2">
      <c r="B38" s="27" t="s">
        <v>109</v>
      </c>
      <c r="C38" s="23" t="s">
        <v>110</v>
      </c>
      <c r="D38" s="23" t="s">
        <v>73</v>
      </c>
      <c r="E38" s="28">
        <v>29000</v>
      </c>
      <c r="F38" s="25">
        <v>153.37</v>
      </c>
      <c r="G38" s="25">
        <v>1.1200000000000001</v>
      </c>
    </row>
    <row r="39" spans="2:9" x14ac:dyDescent="0.2">
      <c r="B39" s="27" t="s">
        <v>111</v>
      </c>
      <c r="C39" s="23" t="s">
        <v>112</v>
      </c>
      <c r="D39" s="23" t="s">
        <v>68</v>
      </c>
      <c r="E39" s="28">
        <v>5000</v>
      </c>
      <c r="F39" s="25">
        <v>142.47</v>
      </c>
      <c r="G39" s="25">
        <v>1.04</v>
      </c>
    </row>
    <row r="40" spans="2:9" x14ac:dyDescent="0.2">
      <c r="B40" s="27" t="s">
        <v>113</v>
      </c>
      <c r="C40" s="23" t="s">
        <v>114</v>
      </c>
      <c r="D40" s="23" t="s">
        <v>108</v>
      </c>
      <c r="E40" s="28">
        <v>127600</v>
      </c>
      <c r="F40" s="25">
        <v>141</v>
      </c>
      <c r="G40" s="25">
        <v>1.03</v>
      </c>
    </row>
    <row r="41" spans="2:9" x14ac:dyDescent="0.2">
      <c r="B41" s="27" t="s">
        <v>115</v>
      </c>
      <c r="C41" s="23" t="s">
        <v>116</v>
      </c>
      <c r="D41" s="23" t="s">
        <v>59</v>
      </c>
      <c r="E41" s="28">
        <v>11000</v>
      </c>
      <c r="F41" s="25">
        <v>134.22999999999999</v>
      </c>
      <c r="G41" s="25">
        <v>0.98</v>
      </c>
    </row>
    <row r="42" spans="2:9" x14ac:dyDescent="0.2">
      <c r="B42" s="27" t="s">
        <v>117</v>
      </c>
      <c r="C42" s="23" t="s">
        <v>118</v>
      </c>
      <c r="D42" s="23" t="s">
        <v>44</v>
      </c>
      <c r="E42" s="28">
        <v>7201</v>
      </c>
      <c r="F42" s="25">
        <v>102.54</v>
      </c>
      <c r="G42" s="25">
        <v>0.75</v>
      </c>
    </row>
    <row r="43" spans="2:9" x14ac:dyDescent="0.2">
      <c r="B43" s="29" t="s">
        <v>119</v>
      </c>
      <c r="C43" s="30"/>
      <c r="D43" s="30"/>
      <c r="E43" s="31"/>
      <c r="F43" s="32">
        <f>SUM(F7:F42)</f>
        <v>13353.01</v>
      </c>
      <c r="G43" s="32">
        <f>SUM(G7:G42)</f>
        <v>97.770000000000024</v>
      </c>
      <c r="H43" s="14"/>
      <c r="I43" s="14"/>
    </row>
    <row r="44" spans="2:9" x14ac:dyDescent="0.2">
      <c r="B44" s="37" t="s">
        <v>120</v>
      </c>
      <c r="C44" s="37"/>
      <c r="D44" s="37"/>
      <c r="E44" s="38"/>
      <c r="F44" s="39">
        <f>F43</f>
        <v>13353.01</v>
      </c>
      <c r="G44" s="39">
        <f>G43</f>
        <v>97.770000000000024</v>
      </c>
      <c r="H44" s="14"/>
      <c r="I44" s="14"/>
    </row>
    <row r="45" spans="2:9" x14ac:dyDescent="0.2">
      <c r="B45" s="40" t="s">
        <v>121</v>
      </c>
      <c r="C45" s="41"/>
      <c r="D45" s="41"/>
      <c r="E45" s="42"/>
      <c r="F45" s="43"/>
      <c r="G45" s="43"/>
    </row>
    <row r="46" spans="2:9" x14ac:dyDescent="0.2">
      <c r="B46" s="27" t="s">
        <v>121</v>
      </c>
      <c r="C46" s="23"/>
      <c r="D46" s="23"/>
      <c r="E46" s="24"/>
      <c r="F46" s="25">
        <v>335.76</v>
      </c>
      <c r="G46" s="25">
        <v>2.46</v>
      </c>
    </row>
    <row r="47" spans="2:9" x14ac:dyDescent="0.2">
      <c r="B47" s="29" t="s">
        <v>119</v>
      </c>
      <c r="C47" s="30"/>
      <c r="D47" s="30"/>
      <c r="E47" s="31"/>
      <c r="F47" s="32">
        <f>SUM(F45:F46)</f>
        <v>335.76</v>
      </c>
      <c r="G47" s="32">
        <f>SUM(G45:G46)</f>
        <v>2.46</v>
      </c>
      <c r="H47" s="14"/>
      <c r="I47" s="14"/>
    </row>
    <row r="48" spans="2:9" x14ac:dyDescent="0.2">
      <c r="B48" s="34" t="s">
        <v>120</v>
      </c>
      <c r="C48" s="34"/>
      <c r="D48" s="34"/>
      <c r="E48" s="35"/>
      <c r="F48" s="36">
        <f>F47</f>
        <v>335.76</v>
      </c>
      <c r="G48" s="36">
        <f>G47</f>
        <v>2.46</v>
      </c>
      <c r="H48" s="14"/>
      <c r="I48" s="14"/>
    </row>
    <row r="49" spans="2:9" x14ac:dyDescent="0.2">
      <c r="B49" s="44" t="s">
        <v>123</v>
      </c>
      <c r="C49" s="44"/>
      <c r="D49" s="44"/>
      <c r="E49" s="45"/>
      <c r="F49" s="16">
        <f>F50-(+F44+F48)</f>
        <v>-37.56000000000131</v>
      </c>
      <c r="G49" s="16">
        <f>G50-(+G44+G48)</f>
        <v>-0.23000000000001819</v>
      </c>
      <c r="H49" s="14"/>
      <c r="I49" s="14"/>
    </row>
    <row r="50" spans="2:9" x14ac:dyDescent="0.2">
      <c r="B50" s="44" t="s">
        <v>122</v>
      </c>
      <c r="C50" s="44"/>
      <c r="D50" s="44"/>
      <c r="E50" s="45"/>
      <c r="F50" s="16">
        <v>13651.21</v>
      </c>
      <c r="G50" s="16">
        <v>100</v>
      </c>
      <c r="H50" s="14"/>
      <c r="I50" s="14"/>
    </row>
    <row r="52" spans="2:9" x14ac:dyDescent="0.2">
      <c r="B52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0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53.85546875" style="1" bestFit="1" customWidth="1"/>
    <col min="3" max="3" width="13.285156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8" t="s">
        <v>9</v>
      </c>
      <c r="C1" s="79"/>
      <c r="D1" s="79"/>
      <c r="E1" s="79"/>
      <c r="F1" s="79"/>
      <c r="G1" s="79"/>
      <c r="H1" s="79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36</v>
      </c>
      <c r="C7" s="23" t="s">
        <v>37</v>
      </c>
      <c r="D7" s="23" t="s">
        <v>38</v>
      </c>
      <c r="E7" s="28">
        <v>4340550</v>
      </c>
      <c r="F7" s="25">
        <v>28767</v>
      </c>
      <c r="G7" s="25">
        <v>6.78</v>
      </c>
      <c r="H7" s="26"/>
    </row>
    <row r="8" spans="2:8" x14ac:dyDescent="0.2">
      <c r="B8" s="27" t="s">
        <v>124</v>
      </c>
      <c r="C8" s="23" t="s">
        <v>125</v>
      </c>
      <c r="D8" s="23" t="s">
        <v>38</v>
      </c>
      <c r="E8" s="28">
        <v>1852340</v>
      </c>
      <c r="F8" s="25">
        <v>28078.7</v>
      </c>
      <c r="G8" s="25">
        <v>6.62</v>
      </c>
      <c r="H8" s="26"/>
    </row>
    <row r="9" spans="2:8" x14ac:dyDescent="0.2">
      <c r="B9" s="27" t="s">
        <v>126</v>
      </c>
      <c r="C9" s="23" t="s">
        <v>127</v>
      </c>
      <c r="D9" s="23" t="s">
        <v>128</v>
      </c>
      <c r="E9" s="28">
        <v>1822188</v>
      </c>
      <c r="F9" s="25">
        <v>25396.75</v>
      </c>
      <c r="G9" s="25">
        <v>5.98</v>
      </c>
      <c r="H9" s="26"/>
    </row>
    <row r="10" spans="2:8" x14ac:dyDescent="0.2">
      <c r="B10" s="27" t="s">
        <v>129</v>
      </c>
      <c r="C10" s="23" t="s">
        <v>130</v>
      </c>
      <c r="D10" s="23" t="s">
        <v>83</v>
      </c>
      <c r="E10" s="28">
        <v>752400</v>
      </c>
      <c r="F10" s="25">
        <v>16254.1</v>
      </c>
      <c r="G10" s="25">
        <v>3.83</v>
      </c>
      <c r="H10" s="26"/>
    </row>
    <row r="11" spans="2:8" x14ac:dyDescent="0.2">
      <c r="B11" s="27" t="s">
        <v>131</v>
      </c>
      <c r="C11" s="23" t="s">
        <v>132</v>
      </c>
      <c r="D11" s="23" t="s">
        <v>128</v>
      </c>
      <c r="E11" s="28">
        <v>499428</v>
      </c>
      <c r="F11" s="25">
        <v>15777.68</v>
      </c>
      <c r="G11" s="25">
        <v>3.72</v>
      </c>
      <c r="H11" s="26"/>
    </row>
    <row r="12" spans="2:8" x14ac:dyDescent="0.2">
      <c r="B12" s="27" t="s">
        <v>53</v>
      </c>
      <c r="C12" s="23" t="s">
        <v>54</v>
      </c>
      <c r="D12" s="23" t="s">
        <v>38</v>
      </c>
      <c r="E12" s="28">
        <v>3400000</v>
      </c>
      <c r="F12" s="25">
        <v>14427.9</v>
      </c>
      <c r="G12" s="25">
        <v>3.4</v>
      </c>
      <c r="H12" s="26"/>
    </row>
    <row r="13" spans="2:8" x14ac:dyDescent="0.2">
      <c r="B13" s="27" t="s">
        <v>133</v>
      </c>
      <c r="C13" s="23" t="s">
        <v>134</v>
      </c>
      <c r="D13" s="23" t="s">
        <v>38</v>
      </c>
      <c r="E13" s="28">
        <v>1908600</v>
      </c>
      <c r="F13" s="25">
        <v>14327.86</v>
      </c>
      <c r="G13" s="25">
        <v>3.38</v>
      </c>
      <c r="H13" s="26"/>
    </row>
    <row r="14" spans="2:8" x14ac:dyDescent="0.2">
      <c r="B14" s="27" t="s">
        <v>135</v>
      </c>
      <c r="C14" s="23" t="s">
        <v>136</v>
      </c>
      <c r="D14" s="23" t="s">
        <v>137</v>
      </c>
      <c r="E14" s="28">
        <v>246535</v>
      </c>
      <c r="F14" s="25">
        <v>13874.87</v>
      </c>
      <c r="G14" s="25">
        <v>3.27</v>
      </c>
      <c r="H14" s="26"/>
    </row>
    <row r="15" spans="2:8" x14ac:dyDescent="0.2">
      <c r="B15" s="27" t="s">
        <v>33</v>
      </c>
      <c r="C15" s="23" t="s">
        <v>34</v>
      </c>
      <c r="D15" s="23" t="s">
        <v>35</v>
      </c>
      <c r="E15" s="28">
        <v>890657</v>
      </c>
      <c r="F15" s="25">
        <v>13072.17</v>
      </c>
      <c r="G15" s="25">
        <v>3.08</v>
      </c>
      <c r="H15" s="26"/>
    </row>
    <row r="16" spans="2:8" x14ac:dyDescent="0.2">
      <c r="B16" s="27" t="s">
        <v>138</v>
      </c>
      <c r="C16" s="23" t="s">
        <v>139</v>
      </c>
      <c r="D16" s="23" t="s">
        <v>137</v>
      </c>
      <c r="E16" s="28">
        <v>460900</v>
      </c>
      <c r="F16" s="25">
        <v>11766.09</v>
      </c>
      <c r="G16" s="25">
        <v>2.77</v>
      </c>
      <c r="H16" s="26"/>
    </row>
    <row r="17" spans="2:8" x14ac:dyDescent="0.2">
      <c r="B17" s="27" t="s">
        <v>69</v>
      </c>
      <c r="C17" s="23" t="s">
        <v>70</v>
      </c>
      <c r="D17" s="23" t="s">
        <v>68</v>
      </c>
      <c r="E17" s="28">
        <v>111971</v>
      </c>
      <c r="F17" s="25">
        <v>7511.01</v>
      </c>
      <c r="G17" s="25">
        <v>1.77</v>
      </c>
      <c r="H17" s="26"/>
    </row>
    <row r="18" spans="2:8" x14ac:dyDescent="0.2">
      <c r="B18" s="27" t="s">
        <v>140</v>
      </c>
      <c r="C18" s="23" t="s">
        <v>141</v>
      </c>
      <c r="D18" s="23" t="s">
        <v>142</v>
      </c>
      <c r="E18" s="28">
        <v>315400</v>
      </c>
      <c r="F18" s="25">
        <v>7380.52</v>
      </c>
      <c r="G18" s="25">
        <v>1.74</v>
      </c>
      <c r="H18" s="26"/>
    </row>
    <row r="19" spans="2:8" x14ac:dyDescent="0.2">
      <c r="B19" s="27" t="s">
        <v>74</v>
      </c>
      <c r="C19" s="23" t="s">
        <v>75</v>
      </c>
      <c r="D19" s="23" t="s">
        <v>76</v>
      </c>
      <c r="E19" s="28">
        <v>595000</v>
      </c>
      <c r="F19" s="25">
        <v>6697.62</v>
      </c>
      <c r="G19" s="25">
        <v>1.58</v>
      </c>
      <c r="H19" s="26"/>
    </row>
    <row r="20" spans="2:8" x14ac:dyDescent="0.2">
      <c r="B20" s="27" t="s">
        <v>45</v>
      </c>
      <c r="C20" s="23" t="s">
        <v>46</v>
      </c>
      <c r="D20" s="23" t="s">
        <v>47</v>
      </c>
      <c r="E20" s="28">
        <v>448140</v>
      </c>
      <c r="F20" s="25">
        <v>6516.63</v>
      </c>
      <c r="G20" s="25">
        <v>1.54</v>
      </c>
      <c r="H20" s="26"/>
    </row>
    <row r="21" spans="2:8" x14ac:dyDescent="0.2">
      <c r="B21" s="27" t="s">
        <v>143</v>
      </c>
      <c r="C21" s="23" t="s">
        <v>144</v>
      </c>
      <c r="D21" s="23" t="s">
        <v>38</v>
      </c>
      <c r="E21" s="28">
        <v>356651</v>
      </c>
      <c r="F21" s="25">
        <v>6447.18</v>
      </c>
      <c r="G21" s="25">
        <v>1.52</v>
      </c>
      <c r="H21" s="26"/>
    </row>
    <row r="22" spans="2:8" x14ac:dyDescent="0.2">
      <c r="B22" s="27" t="s">
        <v>145</v>
      </c>
      <c r="C22" s="23" t="s">
        <v>146</v>
      </c>
      <c r="D22" s="23" t="s">
        <v>142</v>
      </c>
      <c r="E22" s="28">
        <v>214500</v>
      </c>
      <c r="F22" s="25">
        <v>6386.74</v>
      </c>
      <c r="G22" s="25">
        <v>1.5</v>
      </c>
      <c r="H22" s="26"/>
    </row>
    <row r="23" spans="2:8" x14ac:dyDescent="0.2">
      <c r="B23" s="27" t="s">
        <v>147</v>
      </c>
      <c r="C23" s="23" t="s">
        <v>148</v>
      </c>
      <c r="D23" s="23" t="s">
        <v>149</v>
      </c>
      <c r="E23" s="28">
        <v>147032</v>
      </c>
      <c r="F23" s="25">
        <v>6166.52</v>
      </c>
      <c r="G23" s="25">
        <v>1.45</v>
      </c>
      <c r="H23" s="26"/>
    </row>
    <row r="24" spans="2:8" x14ac:dyDescent="0.2">
      <c r="B24" s="27" t="s">
        <v>150</v>
      </c>
      <c r="C24" s="23" t="s">
        <v>151</v>
      </c>
      <c r="D24" s="23" t="s">
        <v>152</v>
      </c>
      <c r="E24" s="28">
        <v>198500</v>
      </c>
      <c r="F24" s="25">
        <v>6092.76</v>
      </c>
      <c r="G24" s="25">
        <v>1.44</v>
      </c>
      <c r="H24" s="26"/>
    </row>
    <row r="25" spans="2:8" x14ac:dyDescent="0.2">
      <c r="B25" s="27" t="s">
        <v>153</v>
      </c>
      <c r="C25" s="23" t="s">
        <v>154</v>
      </c>
      <c r="D25" s="23" t="s">
        <v>59</v>
      </c>
      <c r="E25" s="28">
        <v>360000</v>
      </c>
      <c r="F25" s="25">
        <v>6027.3</v>
      </c>
      <c r="G25" s="25">
        <v>1.42</v>
      </c>
      <c r="H25" s="26"/>
    </row>
    <row r="26" spans="2:8" x14ac:dyDescent="0.2">
      <c r="B26" s="27" t="s">
        <v>84</v>
      </c>
      <c r="C26" s="23" t="s">
        <v>85</v>
      </c>
      <c r="D26" s="23" t="s">
        <v>86</v>
      </c>
      <c r="E26" s="28">
        <v>595429</v>
      </c>
      <c r="F26" s="25">
        <v>5997.76</v>
      </c>
      <c r="G26" s="25">
        <v>1.41</v>
      </c>
      <c r="H26" s="26"/>
    </row>
    <row r="27" spans="2:8" x14ac:dyDescent="0.2">
      <c r="B27" s="27" t="s">
        <v>155</v>
      </c>
      <c r="C27" s="23" t="s">
        <v>156</v>
      </c>
      <c r="D27" s="23" t="s">
        <v>86</v>
      </c>
      <c r="E27" s="28">
        <v>363800</v>
      </c>
      <c r="F27" s="25">
        <v>5807.16</v>
      </c>
      <c r="G27" s="25">
        <v>1.37</v>
      </c>
      <c r="H27" s="26"/>
    </row>
    <row r="28" spans="2:8" x14ac:dyDescent="0.2">
      <c r="B28" s="27" t="s">
        <v>157</v>
      </c>
      <c r="C28" s="23" t="s">
        <v>158</v>
      </c>
      <c r="D28" s="23" t="s">
        <v>159</v>
      </c>
      <c r="E28" s="28">
        <v>218375</v>
      </c>
      <c r="F28" s="25">
        <v>5710.4</v>
      </c>
      <c r="G28" s="25">
        <v>1.35</v>
      </c>
      <c r="H28" s="26"/>
    </row>
    <row r="29" spans="2:8" x14ac:dyDescent="0.2">
      <c r="B29" s="27" t="s">
        <v>160</v>
      </c>
      <c r="C29" s="23" t="s">
        <v>161</v>
      </c>
      <c r="D29" s="23" t="s">
        <v>86</v>
      </c>
      <c r="E29" s="28">
        <v>540000</v>
      </c>
      <c r="F29" s="25">
        <v>5566.32</v>
      </c>
      <c r="G29" s="25">
        <v>1.31</v>
      </c>
      <c r="H29" s="26"/>
    </row>
    <row r="30" spans="2:8" x14ac:dyDescent="0.2">
      <c r="B30" s="27" t="s">
        <v>162</v>
      </c>
      <c r="C30" s="23" t="s">
        <v>163</v>
      </c>
      <c r="D30" s="23" t="s">
        <v>164</v>
      </c>
      <c r="E30" s="28">
        <v>865690</v>
      </c>
      <c r="F30" s="25">
        <v>5237.8599999999997</v>
      </c>
      <c r="G30" s="25">
        <v>1.23</v>
      </c>
      <c r="H30" s="26"/>
    </row>
    <row r="31" spans="2:8" x14ac:dyDescent="0.2">
      <c r="B31" s="27" t="s">
        <v>165</v>
      </c>
      <c r="C31" s="23" t="s">
        <v>166</v>
      </c>
      <c r="D31" s="23" t="s">
        <v>167</v>
      </c>
      <c r="E31" s="28">
        <v>850000</v>
      </c>
      <c r="F31" s="25">
        <v>5229.2</v>
      </c>
      <c r="G31" s="25">
        <v>1.23</v>
      </c>
      <c r="H31" s="26"/>
    </row>
    <row r="32" spans="2:8" x14ac:dyDescent="0.2">
      <c r="B32" s="27" t="s">
        <v>168</v>
      </c>
      <c r="C32" s="23" t="s">
        <v>169</v>
      </c>
      <c r="D32" s="23" t="s">
        <v>164</v>
      </c>
      <c r="E32" s="28">
        <v>227500</v>
      </c>
      <c r="F32" s="25">
        <v>5007.05</v>
      </c>
      <c r="G32" s="25">
        <v>1.18</v>
      </c>
      <c r="H32" s="26"/>
    </row>
    <row r="33" spans="2:8" x14ac:dyDescent="0.2">
      <c r="B33" s="27" t="s">
        <v>170</v>
      </c>
      <c r="C33" s="23" t="s">
        <v>171</v>
      </c>
      <c r="D33" s="23" t="s">
        <v>172</v>
      </c>
      <c r="E33" s="28">
        <v>157700</v>
      </c>
      <c r="F33" s="25">
        <v>4906.3599999999997</v>
      </c>
      <c r="G33" s="25">
        <v>1.1599999999999999</v>
      </c>
      <c r="H33" s="26"/>
    </row>
    <row r="34" spans="2:8" x14ac:dyDescent="0.2">
      <c r="B34" s="27" t="s">
        <v>173</v>
      </c>
      <c r="C34" s="23" t="s">
        <v>174</v>
      </c>
      <c r="D34" s="23" t="s">
        <v>175</v>
      </c>
      <c r="E34" s="28">
        <v>525000</v>
      </c>
      <c r="F34" s="25">
        <v>4898.78</v>
      </c>
      <c r="G34" s="25">
        <v>1.1499999999999999</v>
      </c>
      <c r="H34" s="26"/>
    </row>
    <row r="35" spans="2:8" x14ac:dyDescent="0.2">
      <c r="B35" s="27" t="s">
        <v>176</v>
      </c>
      <c r="C35" s="23" t="s">
        <v>177</v>
      </c>
      <c r="D35" s="23" t="s">
        <v>167</v>
      </c>
      <c r="E35" s="28">
        <v>68826</v>
      </c>
      <c r="F35" s="25">
        <v>4877.22</v>
      </c>
      <c r="G35" s="25">
        <v>1.1499999999999999</v>
      </c>
      <c r="H35" s="26"/>
    </row>
    <row r="36" spans="2:8" x14ac:dyDescent="0.2">
      <c r="B36" s="27" t="s">
        <v>178</v>
      </c>
      <c r="C36" s="23" t="s">
        <v>179</v>
      </c>
      <c r="D36" s="23" t="s">
        <v>128</v>
      </c>
      <c r="E36" s="28">
        <v>250000</v>
      </c>
      <c r="F36" s="25">
        <v>4860.88</v>
      </c>
      <c r="G36" s="25">
        <v>1.1499999999999999</v>
      </c>
      <c r="H36" s="26"/>
    </row>
    <row r="37" spans="2:8" x14ac:dyDescent="0.2">
      <c r="B37" s="27" t="s">
        <v>71</v>
      </c>
      <c r="C37" s="23" t="s">
        <v>72</v>
      </c>
      <c r="D37" s="23" t="s">
        <v>73</v>
      </c>
      <c r="E37" s="28">
        <v>901413</v>
      </c>
      <c r="F37" s="25">
        <v>4834.28</v>
      </c>
      <c r="G37" s="25">
        <v>1.1399999999999999</v>
      </c>
      <c r="H37" s="26"/>
    </row>
    <row r="38" spans="2:8" x14ac:dyDescent="0.2">
      <c r="B38" s="27" t="s">
        <v>180</v>
      </c>
      <c r="C38" s="23" t="s">
        <v>181</v>
      </c>
      <c r="D38" s="23" t="s">
        <v>149</v>
      </c>
      <c r="E38" s="28">
        <v>500000</v>
      </c>
      <c r="F38" s="25">
        <v>4746.75</v>
      </c>
      <c r="G38" s="25">
        <v>1.1200000000000001</v>
      </c>
      <c r="H38" s="26"/>
    </row>
    <row r="39" spans="2:8" x14ac:dyDescent="0.2">
      <c r="B39" s="27" t="s">
        <v>182</v>
      </c>
      <c r="C39" s="23" t="s">
        <v>183</v>
      </c>
      <c r="D39" s="23" t="s">
        <v>184</v>
      </c>
      <c r="E39" s="28">
        <v>54752</v>
      </c>
      <c r="F39" s="25">
        <v>4705.41</v>
      </c>
      <c r="G39" s="25">
        <v>1.1100000000000001</v>
      </c>
      <c r="H39" s="26"/>
    </row>
    <row r="40" spans="2:8" x14ac:dyDescent="0.2">
      <c r="B40" s="27" t="s">
        <v>185</v>
      </c>
      <c r="C40" s="23" t="s">
        <v>186</v>
      </c>
      <c r="D40" s="23" t="s">
        <v>167</v>
      </c>
      <c r="E40" s="28">
        <v>3800000</v>
      </c>
      <c r="F40" s="25">
        <v>4691.1000000000004</v>
      </c>
      <c r="G40" s="25">
        <v>1.1100000000000001</v>
      </c>
      <c r="H40" s="26"/>
    </row>
    <row r="41" spans="2:8" x14ac:dyDescent="0.2">
      <c r="B41" s="27" t="s">
        <v>187</v>
      </c>
      <c r="C41" s="23" t="s">
        <v>188</v>
      </c>
      <c r="D41" s="23" t="s">
        <v>142</v>
      </c>
      <c r="E41" s="28">
        <v>700000</v>
      </c>
      <c r="F41" s="25">
        <v>4646.95</v>
      </c>
      <c r="G41" s="25">
        <v>1.0900000000000001</v>
      </c>
      <c r="H41" s="26"/>
    </row>
    <row r="42" spans="2:8" x14ac:dyDescent="0.2">
      <c r="B42" s="27" t="s">
        <v>189</v>
      </c>
      <c r="C42" s="23" t="s">
        <v>190</v>
      </c>
      <c r="D42" s="23" t="s">
        <v>137</v>
      </c>
      <c r="E42" s="28">
        <v>842113</v>
      </c>
      <c r="F42" s="25">
        <v>4618.1499999999996</v>
      </c>
      <c r="G42" s="25">
        <v>1.0900000000000001</v>
      </c>
      <c r="H42" s="26"/>
    </row>
    <row r="43" spans="2:8" x14ac:dyDescent="0.2">
      <c r="B43" s="27" t="s">
        <v>191</v>
      </c>
      <c r="C43" s="23" t="s">
        <v>192</v>
      </c>
      <c r="D43" s="23" t="s">
        <v>193</v>
      </c>
      <c r="E43" s="28">
        <v>2050000</v>
      </c>
      <c r="F43" s="25">
        <v>4559.2</v>
      </c>
      <c r="G43" s="25">
        <v>1.07</v>
      </c>
      <c r="H43" s="26"/>
    </row>
    <row r="44" spans="2:8" x14ac:dyDescent="0.2">
      <c r="B44" s="27" t="s">
        <v>109</v>
      </c>
      <c r="C44" s="23" t="s">
        <v>110</v>
      </c>
      <c r="D44" s="23" t="s">
        <v>73</v>
      </c>
      <c r="E44" s="28">
        <v>833000</v>
      </c>
      <c r="F44" s="25">
        <v>4405.32</v>
      </c>
      <c r="G44" s="25">
        <v>1.04</v>
      </c>
      <c r="H44" s="26"/>
    </row>
    <row r="45" spans="2:8" x14ac:dyDescent="0.2">
      <c r="B45" s="27" t="s">
        <v>194</v>
      </c>
      <c r="C45" s="23" t="s">
        <v>195</v>
      </c>
      <c r="D45" s="23" t="s">
        <v>184</v>
      </c>
      <c r="E45" s="28">
        <v>250000</v>
      </c>
      <c r="F45" s="25">
        <v>4387.38</v>
      </c>
      <c r="G45" s="25">
        <v>1.03</v>
      </c>
      <c r="H45" s="26"/>
    </row>
    <row r="46" spans="2:8" x14ac:dyDescent="0.2">
      <c r="B46" s="27" t="s">
        <v>196</v>
      </c>
      <c r="C46" s="23" t="s">
        <v>197</v>
      </c>
      <c r="D46" s="23" t="s">
        <v>59</v>
      </c>
      <c r="E46" s="28">
        <v>636750</v>
      </c>
      <c r="F46" s="25">
        <v>4316.21</v>
      </c>
      <c r="G46" s="25">
        <v>1.02</v>
      </c>
      <c r="H46" s="26"/>
    </row>
    <row r="47" spans="2:8" x14ac:dyDescent="0.2">
      <c r="B47" s="27" t="s">
        <v>198</v>
      </c>
      <c r="C47" s="23" t="s">
        <v>199</v>
      </c>
      <c r="D47" s="23" t="s">
        <v>137</v>
      </c>
      <c r="E47" s="28">
        <v>413000</v>
      </c>
      <c r="F47" s="25">
        <v>4315.8500000000004</v>
      </c>
      <c r="G47" s="25">
        <v>1.02</v>
      </c>
      <c r="H47" s="26"/>
    </row>
    <row r="48" spans="2:8" x14ac:dyDescent="0.2">
      <c r="B48" s="27" t="s">
        <v>62</v>
      </c>
      <c r="C48" s="23" t="s">
        <v>63</v>
      </c>
      <c r="D48" s="23" t="s">
        <v>44</v>
      </c>
      <c r="E48" s="28">
        <v>258500</v>
      </c>
      <c r="F48" s="25">
        <v>4313.9799999999996</v>
      </c>
      <c r="G48" s="25">
        <v>1.02</v>
      </c>
      <c r="H48" s="26"/>
    </row>
    <row r="49" spans="2:8" x14ac:dyDescent="0.2">
      <c r="B49" s="27" t="s">
        <v>95</v>
      </c>
      <c r="C49" s="23" t="s">
        <v>96</v>
      </c>
      <c r="D49" s="23" t="s">
        <v>97</v>
      </c>
      <c r="E49" s="28">
        <v>1050000</v>
      </c>
      <c r="F49" s="25">
        <v>4139.63</v>
      </c>
      <c r="G49" s="25">
        <v>0.98</v>
      </c>
      <c r="H49" s="26"/>
    </row>
    <row r="50" spans="2:8" x14ac:dyDescent="0.2">
      <c r="B50" s="27" t="s">
        <v>200</v>
      </c>
      <c r="C50" s="23" t="s">
        <v>201</v>
      </c>
      <c r="D50" s="23" t="s">
        <v>202</v>
      </c>
      <c r="E50" s="28">
        <v>772334</v>
      </c>
      <c r="F50" s="25">
        <v>4131.21</v>
      </c>
      <c r="G50" s="25">
        <v>0.97</v>
      </c>
      <c r="H50" s="26"/>
    </row>
    <row r="51" spans="2:8" x14ac:dyDescent="0.2">
      <c r="B51" s="27" t="s">
        <v>203</v>
      </c>
      <c r="C51" s="23" t="s">
        <v>204</v>
      </c>
      <c r="D51" s="23" t="s">
        <v>137</v>
      </c>
      <c r="E51" s="28">
        <v>750000</v>
      </c>
      <c r="F51" s="25">
        <v>4119.75</v>
      </c>
      <c r="G51" s="25">
        <v>0.97</v>
      </c>
      <c r="H51" s="26"/>
    </row>
    <row r="52" spans="2:8" x14ac:dyDescent="0.2">
      <c r="B52" s="27" t="s">
        <v>205</v>
      </c>
      <c r="C52" s="23" t="s">
        <v>206</v>
      </c>
      <c r="D52" s="23" t="s">
        <v>184</v>
      </c>
      <c r="E52" s="28">
        <v>123780</v>
      </c>
      <c r="F52" s="25">
        <v>3991.66</v>
      </c>
      <c r="G52" s="25">
        <v>0.94</v>
      </c>
      <c r="H52" s="26"/>
    </row>
    <row r="53" spans="2:8" x14ac:dyDescent="0.2">
      <c r="B53" s="27" t="s">
        <v>207</v>
      </c>
      <c r="C53" s="23" t="s">
        <v>208</v>
      </c>
      <c r="D53" s="23" t="s">
        <v>128</v>
      </c>
      <c r="E53" s="28">
        <v>410000</v>
      </c>
      <c r="F53" s="25">
        <v>3875.32</v>
      </c>
      <c r="G53" s="25">
        <v>0.91</v>
      </c>
      <c r="H53" s="26"/>
    </row>
    <row r="54" spans="2:8" x14ac:dyDescent="0.2">
      <c r="B54" s="27" t="s">
        <v>209</v>
      </c>
      <c r="C54" s="23" t="s">
        <v>210</v>
      </c>
      <c r="D54" s="23" t="s">
        <v>86</v>
      </c>
      <c r="E54" s="28">
        <v>240000</v>
      </c>
      <c r="F54" s="25">
        <v>3713.88</v>
      </c>
      <c r="G54" s="25">
        <v>0.88</v>
      </c>
      <c r="H54" s="26"/>
    </row>
    <row r="55" spans="2:8" x14ac:dyDescent="0.2">
      <c r="B55" s="27" t="s">
        <v>111</v>
      </c>
      <c r="C55" s="23" t="s">
        <v>112</v>
      </c>
      <c r="D55" s="23" t="s">
        <v>68</v>
      </c>
      <c r="E55" s="28">
        <v>130000</v>
      </c>
      <c r="F55" s="25">
        <v>3704.29</v>
      </c>
      <c r="G55" s="25">
        <v>0.87</v>
      </c>
      <c r="H55" s="26"/>
    </row>
    <row r="56" spans="2:8" x14ac:dyDescent="0.2">
      <c r="B56" s="27" t="s">
        <v>211</v>
      </c>
      <c r="C56" s="23" t="s">
        <v>212</v>
      </c>
      <c r="D56" s="23" t="s">
        <v>149</v>
      </c>
      <c r="E56" s="28">
        <v>525000</v>
      </c>
      <c r="F56" s="25">
        <v>3508.58</v>
      </c>
      <c r="G56" s="25">
        <v>0.83</v>
      </c>
      <c r="H56" s="26"/>
    </row>
    <row r="57" spans="2:8" x14ac:dyDescent="0.2">
      <c r="B57" s="27" t="s">
        <v>213</v>
      </c>
      <c r="C57" s="23" t="s">
        <v>214</v>
      </c>
      <c r="D57" s="23" t="s">
        <v>175</v>
      </c>
      <c r="E57" s="28">
        <v>520000</v>
      </c>
      <c r="F57" s="25">
        <v>3462.68</v>
      </c>
      <c r="G57" s="25">
        <v>0.82</v>
      </c>
      <c r="H57" s="26"/>
    </row>
    <row r="58" spans="2:8" x14ac:dyDescent="0.2">
      <c r="B58" s="27" t="s">
        <v>215</v>
      </c>
      <c r="C58" s="23" t="s">
        <v>216</v>
      </c>
      <c r="D58" s="23" t="s">
        <v>149</v>
      </c>
      <c r="E58" s="28">
        <v>19860</v>
      </c>
      <c r="F58" s="25">
        <v>3183.37</v>
      </c>
      <c r="G58" s="25">
        <v>0.75</v>
      </c>
      <c r="H58" s="26"/>
    </row>
    <row r="59" spans="2:8" x14ac:dyDescent="0.2">
      <c r="B59" s="27" t="s">
        <v>217</v>
      </c>
      <c r="C59" s="23" t="s">
        <v>218</v>
      </c>
      <c r="D59" s="23" t="s">
        <v>149</v>
      </c>
      <c r="E59" s="28">
        <v>120659</v>
      </c>
      <c r="F59" s="25">
        <v>2498.37</v>
      </c>
      <c r="G59" s="25">
        <v>0.59</v>
      </c>
      <c r="H59" s="26"/>
    </row>
    <row r="60" spans="2:8" x14ac:dyDescent="0.2">
      <c r="B60" s="27" t="s">
        <v>219</v>
      </c>
      <c r="C60" s="23" t="s">
        <v>220</v>
      </c>
      <c r="D60" s="23" t="s">
        <v>193</v>
      </c>
      <c r="E60" s="28">
        <v>80394</v>
      </c>
      <c r="F60" s="25">
        <v>2376.5700000000002</v>
      </c>
      <c r="G60" s="25">
        <v>0.56000000000000005</v>
      </c>
      <c r="H60" s="26"/>
    </row>
    <row r="61" spans="2:8" x14ac:dyDescent="0.2">
      <c r="B61" s="27" t="s">
        <v>48</v>
      </c>
      <c r="C61" s="23" t="s">
        <v>49</v>
      </c>
      <c r="D61" s="23" t="s">
        <v>44</v>
      </c>
      <c r="E61" s="28">
        <v>4910</v>
      </c>
      <c r="F61" s="25">
        <v>2103.7600000000002</v>
      </c>
      <c r="G61" s="25">
        <v>0.5</v>
      </c>
      <c r="H61" s="26"/>
    </row>
    <row r="62" spans="2:8" x14ac:dyDescent="0.2">
      <c r="B62" s="27" t="s">
        <v>221</v>
      </c>
      <c r="C62" s="23" t="s">
        <v>222</v>
      </c>
      <c r="D62" s="23" t="s">
        <v>142</v>
      </c>
      <c r="E62" s="28">
        <v>58490</v>
      </c>
      <c r="F62" s="25">
        <v>2016.65</v>
      </c>
      <c r="G62" s="25">
        <v>0.48</v>
      </c>
      <c r="H62" s="26"/>
    </row>
    <row r="63" spans="2:8" x14ac:dyDescent="0.2">
      <c r="B63" s="27" t="s">
        <v>223</v>
      </c>
      <c r="C63" s="23" t="s">
        <v>224</v>
      </c>
      <c r="D63" s="23" t="s">
        <v>86</v>
      </c>
      <c r="E63" s="28">
        <v>66282</v>
      </c>
      <c r="F63" s="25">
        <v>1433.28</v>
      </c>
      <c r="G63" s="25">
        <v>0.34</v>
      </c>
      <c r="H63" s="26"/>
    </row>
    <row r="64" spans="2:8" x14ac:dyDescent="0.2">
      <c r="B64" s="27" t="s">
        <v>91</v>
      </c>
      <c r="C64" s="23" t="s">
        <v>92</v>
      </c>
      <c r="D64" s="23" t="s">
        <v>68</v>
      </c>
      <c r="E64" s="28">
        <v>3842</v>
      </c>
      <c r="F64" s="25">
        <v>1059.55</v>
      </c>
      <c r="G64" s="25">
        <v>0.25</v>
      </c>
      <c r="H64" s="26"/>
    </row>
    <row r="65" spans="2:10" x14ac:dyDescent="0.2">
      <c r="B65" s="27" t="s">
        <v>225</v>
      </c>
      <c r="C65" s="23" t="s">
        <v>226</v>
      </c>
      <c r="D65" s="23" t="s">
        <v>167</v>
      </c>
      <c r="E65" s="28">
        <v>100000</v>
      </c>
      <c r="F65" s="25">
        <v>807.95</v>
      </c>
      <c r="G65" s="25">
        <v>0.19</v>
      </c>
      <c r="H65" s="26"/>
    </row>
    <row r="66" spans="2:10" x14ac:dyDescent="0.2">
      <c r="B66" s="29" t="s">
        <v>119</v>
      </c>
      <c r="C66" s="30"/>
      <c r="D66" s="30"/>
      <c r="E66" s="31"/>
      <c r="F66" s="32">
        <f>SUM(F7:F65)</f>
        <v>403735.47000000003</v>
      </c>
      <c r="G66" s="32">
        <f>SUM(G7:G65)</f>
        <v>95.17000000000003</v>
      </c>
      <c r="H66" s="33"/>
      <c r="I66" s="14"/>
      <c r="J66" s="14"/>
    </row>
    <row r="67" spans="2:10" x14ac:dyDescent="0.2">
      <c r="B67" s="37" t="s">
        <v>120</v>
      </c>
      <c r="C67" s="37"/>
      <c r="D67" s="37"/>
      <c r="E67" s="38"/>
      <c r="F67" s="39">
        <f>F66</f>
        <v>403735.47000000003</v>
      </c>
      <c r="G67" s="39">
        <f>G66</f>
        <v>95.17000000000003</v>
      </c>
      <c r="H67" s="15"/>
      <c r="I67" s="14"/>
      <c r="J67" s="14"/>
    </row>
    <row r="68" spans="2:10" x14ac:dyDescent="0.2">
      <c r="B68" s="46" t="s">
        <v>227</v>
      </c>
      <c r="C68" s="41"/>
      <c r="D68" s="41"/>
      <c r="E68" s="42"/>
      <c r="F68" s="43"/>
      <c r="G68" s="43"/>
      <c r="H68" s="43"/>
    </row>
    <row r="69" spans="2:10" x14ac:dyDescent="0.2">
      <c r="B69" s="47" t="s">
        <v>32</v>
      </c>
      <c r="C69" s="23"/>
      <c r="D69" s="23"/>
      <c r="E69" s="24"/>
      <c r="F69" s="25"/>
      <c r="G69" s="25"/>
      <c r="H69" s="25"/>
    </row>
    <row r="70" spans="2:10" x14ac:dyDescent="0.2">
      <c r="B70" s="23" t="s">
        <v>782</v>
      </c>
      <c r="C70" s="23" t="s">
        <v>228</v>
      </c>
      <c r="D70" s="23" t="s">
        <v>365</v>
      </c>
      <c r="E70" s="28">
        <v>58490</v>
      </c>
      <c r="F70" s="25">
        <v>16.96</v>
      </c>
      <c r="G70" s="25">
        <v>0</v>
      </c>
      <c r="H70" s="25">
        <v>5.5</v>
      </c>
    </row>
    <row r="71" spans="2:10" x14ac:dyDescent="0.2">
      <c r="B71" s="30" t="s">
        <v>119</v>
      </c>
      <c r="C71" s="30"/>
      <c r="D71" s="30"/>
      <c r="E71" s="31"/>
      <c r="F71" s="32">
        <f>SUM(F69:F70)</f>
        <v>16.96</v>
      </c>
      <c r="G71" s="32">
        <f>SUM(G69:G70)</f>
        <v>0</v>
      </c>
      <c r="H71" s="48"/>
      <c r="I71" s="14"/>
      <c r="J71" s="14"/>
    </row>
    <row r="72" spans="2:10" x14ac:dyDescent="0.2">
      <c r="B72" s="49" t="s">
        <v>120</v>
      </c>
      <c r="C72" s="49"/>
      <c r="D72" s="49"/>
      <c r="E72" s="50"/>
      <c r="F72" s="51">
        <f>F71</f>
        <v>16.96</v>
      </c>
      <c r="G72" s="51">
        <f>G71</f>
        <v>0</v>
      </c>
      <c r="H72" s="51"/>
      <c r="I72" s="14"/>
      <c r="J72" s="14"/>
    </row>
    <row r="73" spans="2:10" x14ac:dyDescent="0.2">
      <c r="B73" s="47" t="s">
        <v>121</v>
      </c>
      <c r="C73" s="23"/>
      <c r="D73" s="23"/>
      <c r="E73" s="24"/>
      <c r="F73" s="25"/>
      <c r="G73" s="25"/>
      <c r="H73" s="25"/>
    </row>
    <row r="74" spans="2:10" x14ac:dyDescent="0.2">
      <c r="B74" s="23" t="s">
        <v>121</v>
      </c>
      <c r="C74" s="23"/>
      <c r="D74" s="23"/>
      <c r="E74" s="24"/>
      <c r="F74" s="25">
        <v>19392.23</v>
      </c>
      <c r="G74" s="25">
        <v>4.57</v>
      </c>
      <c r="H74" s="25"/>
    </row>
    <row r="75" spans="2:10" x14ac:dyDescent="0.2">
      <c r="B75" s="30" t="s">
        <v>119</v>
      </c>
      <c r="C75" s="30"/>
      <c r="D75" s="30"/>
      <c r="E75" s="31"/>
      <c r="F75" s="32">
        <f>SUM(F73:F74)</f>
        <v>19392.23</v>
      </c>
      <c r="G75" s="32">
        <f>SUM(G73:G74)</f>
        <v>4.57</v>
      </c>
      <c r="H75" s="48"/>
      <c r="I75" s="14"/>
      <c r="J75" s="14"/>
    </row>
    <row r="76" spans="2:10" x14ac:dyDescent="0.2">
      <c r="B76" s="34" t="s">
        <v>120</v>
      </c>
      <c r="C76" s="34"/>
      <c r="D76" s="34"/>
      <c r="E76" s="35"/>
      <c r="F76" s="36">
        <f>F75</f>
        <v>19392.23</v>
      </c>
      <c r="G76" s="36">
        <f>G75</f>
        <v>4.57</v>
      </c>
      <c r="H76" s="36"/>
      <c r="I76" s="14"/>
      <c r="J76" s="14"/>
    </row>
    <row r="77" spans="2:10" x14ac:dyDescent="0.2">
      <c r="B77" s="44" t="s">
        <v>123</v>
      </c>
      <c r="C77" s="44"/>
      <c r="D77" s="44"/>
      <c r="E77" s="45"/>
      <c r="F77" s="16">
        <f>F78-(+F67+F72+F76)</f>
        <v>1282.5299999999697</v>
      </c>
      <c r="G77" s="16">
        <f>G78-(+G67+G72+G76)</f>
        <v>0.25999999999996248</v>
      </c>
      <c r="H77" s="16"/>
      <c r="I77" s="14"/>
      <c r="J77" s="14"/>
    </row>
    <row r="78" spans="2:10" x14ac:dyDescent="0.2">
      <c r="B78" s="44" t="s">
        <v>122</v>
      </c>
      <c r="C78" s="44"/>
      <c r="D78" s="44"/>
      <c r="E78" s="45"/>
      <c r="F78" s="16">
        <v>424427.19</v>
      </c>
      <c r="G78" s="16">
        <v>100</v>
      </c>
      <c r="H78" s="16"/>
      <c r="I78" s="14"/>
      <c r="J78" s="14"/>
    </row>
    <row r="80" spans="2:10" x14ac:dyDescent="0.2">
      <c r="B80" s="14" t="s">
        <v>766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8"/>
  <sheetViews>
    <sheetView workbookViewId="0">
      <selection activeCell="H11" sqref="H11"/>
    </sheetView>
  </sheetViews>
  <sheetFormatPr defaultRowHeight="12" x14ac:dyDescent="0.2"/>
  <cols>
    <col min="1" max="1" width="9.140625" style="1"/>
    <col min="2" max="2" width="53.85546875" style="1" bestFit="1" customWidth="1"/>
    <col min="3" max="3" width="13.8554687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78" t="s">
        <v>10</v>
      </c>
      <c r="C1" s="79"/>
      <c r="D1" s="79"/>
      <c r="E1" s="79"/>
      <c r="F1" s="79"/>
      <c r="G1" s="79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126</v>
      </c>
      <c r="C7" s="23" t="s">
        <v>127</v>
      </c>
      <c r="D7" s="23" t="s">
        <v>128</v>
      </c>
      <c r="E7" s="28">
        <v>1406310</v>
      </c>
      <c r="F7" s="25">
        <v>19600.45</v>
      </c>
      <c r="G7" s="25">
        <v>8.8000000000000007</v>
      </c>
    </row>
    <row r="8" spans="2:7" x14ac:dyDescent="0.2">
      <c r="B8" s="27" t="s">
        <v>124</v>
      </c>
      <c r="C8" s="23" t="s">
        <v>125</v>
      </c>
      <c r="D8" s="23" t="s">
        <v>38</v>
      </c>
      <c r="E8" s="28">
        <v>1192184</v>
      </c>
      <c r="F8" s="25">
        <v>18071.72</v>
      </c>
      <c r="G8" s="25">
        <v>8.1199999999999992</v>
      </c>
    </row>
    <row r="9" spans="2:7" x14ac:dyDescent="0.2">
      <c r="B9" s="27" t="s">
        <v>36</v>
      </c>
      <c r="C9" s="23" t="s">
        <v>37</v>
      </c>
      <c r="D9" s="23" t="s">
        <v>38</v>
      </c>
      <c r="E9" s="28">
        <v>2506000</v>
      </c>
      <c r="F9" s="25">
        <v>16608.52</v>
      </c>
      <c r="G9" s="25">
        <v>7.46</v>
      </c>
    </row>
    <row r="10" spans="2:7" x14ac:dyDescent="0.2">
      <c r="B10" s="27" t="s">
        <v>33</v>
      </c>
      <c r="C10" s="23" t="s">
        <v>34</v>
      </c>
      <c r="D10" s="23" t="s">
        <v>35</v>
      </c>
      <c r="E10" s="28">
        <v>680000</v>
      </c>
      <c r="F10" s="25">
        <v>9980.36</v>
      </c>
      <c r="G10" s="25">
        <v>4.4800000000000004</v>
      </c>
    </row>
    <row r="11" spans="2:7" x14ac:dyDescent="0.2">
      <c r="B11" s="27" t="s">
        <v>131</v>
      </c>
      <c r="C11" s="23" t="s">
        <v>132</v>
      </c>
      <c r="D11" s="23" t="s">
        <v>128</v>
      </c>
      <c r="E11" s="28">
        <v>288815</v>
      </c>
      <c r="F11" s="25">
        <v>9124.1</v>
      </c>
      <c r="G11" s="25">
        <v>4.0999999999999996</v>
      </c>
    </row>
    <row r="12" spans="2:7" x14ac:dyDescent="0.2">
      <c r="B12" s="27" t="s">
        <v>138</v>
      </c>
      <c r="C12" s="23" t="s">
        <v>139</v>
      </c>
      <c r="D12" s="23" t="s">
        <v>137</v>
      </c>
      <c r="E12" s="28">
        <v>297500</v>
      </c>
      <c r="F12" s="25">
        <v>7594.73</v>
      </c>
      <c r="G12" s="25">
        <v>3.41</v>
      </c>
    </row>
    <row r="13" spans="2:7" x14ac:dyDescent="0.2">
      <c r="B13" s="27" t="s">
        <v>135</v>
      </c>
      <c r="C13" s="23" t="s">
        <v>136</v>
      </c>
      <c r="D13" s="23" t="s">
        <v>137</v>
      </c>
      <c r="E13" s="28">
        <v>132450</v>
      </c>
      <c r="F13" s="25">
        <v>7454.22</v>
      </c>
      <c r="G13" s="25">
        <v>3.35</v>
      </c>
    </row>
    <row r="14" spans="2:7" x14ac:dyDescent="0.2">
      <c r="B14" s="27" t="s">
        <v>133</v>
      </c>
      <c r="C14" s="23" t="s">
        <v>134</v>
      </c>
      <c r="D14" s="23" t="s">
        <v>38</v>
      </c>
      <c r="E14" s="28">
        <v>928000</v>
      </c>
      <c r="F14" s="25">
        <v>6966.5</v>
      </c>
      <c r="G14" s="25">
        <v>3.13</v>
      </c>
    </row>
    <row r="15" spans="2:7" x14ac:dyDescent="0.2">
      <c r="B15" s="27" t="s">
        <v>53</v>
      </c>
      <c r="C15" s="23" t="s">
        <v>54</v>
      </c>
      <c r="D15" s="23" t="s">
        <v>38</v>
      </c>
      <c r="E15" s="28">
        <v>1375000</v>
      </c>
      <c r="F15" s="25">
        <v>5834.81</v>
      </c>
      <c r="G15" s="25">
        <v>2.62</v>
      </c>
    </row>
    <row r="16" spans="2:7" x14ac:dyDescent="0.2">
      <c r="B16" s="27" t="s">
        <v>147</v>
      </c>
      <c r="C16" s="23" t="s">
        <v>148</v>
      </c>
      <c r="D16" s="23" t="s">
        <v>149</v>
      </c>
      <c r="E16" s="28">
        <v>109000</v>
      </c>
      <c r="F16" s="25">
        <v>4571.46</v>
      </c>
      <c r="G16" s="25">
        <v>2.0499999999999998</v>
      </c>
    </row>
    <row r="17" spans="2:7" x14ac:dyDescent="0.2">
      <c r="B17" s="27" t="s">
        <v>129</v>
      </c>
      <c r="C17" s="23" t="s">
        <v>130</v>
      </c>
      <c r="D17" s="23" t="s">
        <v>83</v>
      </c>
      <c r="E17" s="28">
        <v>210500</v>
      </c>
      <c r="F17" s="25">
        <v>4547.43</v>
      </c>
      <c r="G17" s="25">
        <v>2.04</v>
      </c>
    </row>
    <row r="18" spans="2:7" x14ac:dyDescent="0.2">
      <c r="B18" s="27" t="s">
        <v>229</v>
      </c>
      <c r="C18" s="23" t="s">
        <v>230</v>
      </c>
      <c r="D18" s="23" t="s">
        <v>164</v>
      </c>
      <c r="E18" s="28">
        <v>1885000</v>
      </c>
      <c r="F18" s="25">
        <v>4527.7700000000004</v>
      </c>
      <c r="G18" s="25">
        <v>2.0299999999999998</v>
      </c>
    </row>
    <row r="19" spans="2:7" x14ac:dyDescent="0.2">
      <c r="B19" s="27" t="s">
        <v>170</v>
      </c>
      <c r="C19" s="23" t="s">
        <v>171</v>
      </c>
      <c r="D19" s="23" t="s">
        <v>172</v>
      </c>
      <c r="E19" s="28">
        <v>131200</v>
      </c>
      <c r="F19" s="25">
        <v>4081.89</v>
      </c>
      <c r="G19" s="25">
        <v>1.83</v>
      </c>
    </row>
    <row r="20" spans="2:7" x14ac:dyDescent="0.2">
      <c r="B20" s="27" t="s">
        <v>74</v>
      </c>
      <c r="C20" s="23" t="s">
        <v>75</v>
      </c>
      <c r="D20" s="23" t="s">
        <v>76</v>
      </c>
      <c r="E20" s="28">
        <v>359500</v>
      </c>
      <c r="F20" s="25">
        <v>4046.71</v>
      </c>
      <c r="G20" s="25">
        <v>1.82</v>
      </c>
    </row>
    <row r="21" spans="2:7" x14ac:dyDescent="0.2">
      <c r="B21" s="27" t="s">
        <v>95</v>
      </c>
      <c r="C21" s="23" t="s">
        <v>96</v>
      </c>
      <c r="D21" s="23" t="s">
        <v>97</v>
      </c>
      <c r="E21" s="28">
        <v>1025000</v>
      </c>
      <c r="F21" s="25">
        <v>4041.06</v>
      </c>
      <c r="G21" s="25">
        <v>1.81</v>
      </c>
    </row>
    <row r="22" spans="2:7" x14ac:dyDescent="0.2">
      <c r="B22" s="27" t="s">
        <v>162</v>
      </c>
      <c r="C22" s="23" t="s">
        <v>163</v>
      </c>
      <c r="D22" s="23" t="s">
        <v>164</v>
      </c>
      <c r="E22" s="28">
        <v>612358</v>
      </c>
      <c r="F22" s="25">
        <v>3705.07</v>
      </c>
      <c r="G22" s="25">
        <v>1.66</v>
      </c>
    </row>
    <row r="23" spans="2:7" x14ac:dyDescent="0.2">
      <c r="B23" s="27" t="s">
        <v>143</v>
      </c>
      <c r="C23" s="23" t="s">
        <v>144</v>
      </c>
      <c r="D23" s="23" t="s">
        <v>38</v>
      </c>
      <c r="E23" s="28">
        <v>202500</v>
      </c>
      <c r="F23" s="25">
        <v>3660.59</v>
      </c>
      <c r="G23" s="25">
        <v>1.64</v>
      </c>
    </row>
    <row r="24" spans="2:7" x14ac:dyDescent="0.2">
      <c r="B24" s="27" t="s">
        <v>231</v>
      </c>
      <c r="C24" s="23" t="s">
        <v>232</v>
      </c>
      <c r="D24" s="23" t="s">
        <v>128</v>
      </c>
      <c r="E24" s="28">
        <v>143000</v>
      </c>
      <c r="F24" s="25">
        <v>3636.42</v>
      </c>
      <c r="G24" s="25">
        <v>1.63</v>
      </c>
    </row>
    <row r="25" spans="2:7" x14ac:dyDescent="0.2">
      <c r="B25" s="27" t="s">
        <v>66</v>
      </c>
      <c r="C25" s="23" t="s">
        <v>67</v>
      </c>
      <c r="D25" s="23" t="s">
        <v>68</v>
      </c>
      <c r="E25" s="28">
        <v>205000</v>
      </c>
      <c r="F25" s="25">
        <v>3618.25</v>
      </c>
      <c r="G25" s="25">
        <v>1.62</v>
      </c>
    </row>
    <row r="26" spans="2:7" x14ac:dyDescent="0.2">
      <c r="B26" s="27" t="s">
        <v>160</v>
      </c>
      <c r="C26" s="23" t="s">
        <v>161</v>
      </c>
      <c r="D26" s="23" t="s">
        <v>86</v>
      </c>
      <c r="E26" s="28">
        <v>325000</v>
      </c>
      <c r="F26" s="25">
        <v>3350.1</v>
      </c>
      <c r="G26" s="25">
        <v>1.5</v>
      </c>
    </row>
    <row r="27" spans="2:7" x14ac:dyDescent="0.2">
      <c r="B27" s="27" t="s">
        <v>145</v>
      </c>
      <c r="C27" s="23" t="s">
        <v>146</v>
      </c>
      <c r="D27" s="23" t="s">
        <v>142</v>
      </c>
      <c r="E27" s="28">
        <v>110700</v>
      </c>
      <c r="F27" s="25">
        <v>3296.09</v>
      </c>
      <c r="G27" s="25">
        <v>1.48</v>
      </c>
    </row>
    <row r="28" spans="2:7" x14ac:dyDescent="0.2">
      <c r="B28" s="27" t="s">
        <v>157</v>
      </c>
      <c r="C28" s="23" t="s">
        <v>158</v>
      </c>
      <c r="D28" s="23" t="s">
        <v>159</v>
      </c>
      <c r="E28" s="28">
        <v>125500</v>
      </c>
      <c r="F28" s="25">
        <v>3281.76</v>
      </c>
      <c r="G28" s="25">
        <v>1.47</v>
      </c>
    </row>
    <row r="29" spans="2:7" x14ac:dyDescent="0.2">
      <c r="B29" s="27" t="s">
        <v>180</v>
      </c>
      <c r="C29" s="23" t="s">
        <v>181</v>
      </c>
      <c r="D29" s="23" t="s">
        <v>149</v>
      </c>
      <c r="E29" s="28">
        <v>345000</v>
      </c>
      <c r="F29" s="25">
        <v>3275.26</v>
      </c>
      <c r="G29" s="25">
        <v>1.47</v>
      </c>
    </row>
    <row r="30" spans="2:7" x14ac:dyDescent="0.2">
      <c r="B30" s="27" t="s">
        <v>187</v>
      </c>
      <c r="C30" s="23" t="s">
        <v>188</v>
      </c>
      <c r="D30" s="23" t="s">
        <v>142</v>
      </c>
      <c r="E30" s="28">
        <v>493000</v>
      </c>
      <c r="F30" s="25">
        <v>3272.78</v>
      </c>
      <c r="G30" s="25">
        <v>1.47</v>
      </c>
    </row>
    <row r="31" spans="2:7" x14ac:dyDescent="0.2">
      <c r="B31" s="27" t="s">
        <v>198</v>
      </c>
      <c r="C31" s="23" t="s">
        <v>199</v>
      </c>
      <c r="D31" s="23" t="s">
        <v>137</v>
      </c>
      <c r="E31" s="28">
        <v>311000</v>
      </c>
      <c r="F31" s="25">
        <v>3249.95</v>
      </c>
      <c r="G31" s="25">
        <v>1.46</v>
      </c>
    </row>
    <row r="32" spans="2:7" x14ac:dyDescent="0.2">
      <c r="B32" s="27" t="s">
        <v>203</v>
      </c>
      <c r="C32" s="23" t="s">
        <v>204</v>
      </c>
      <c r="D32" s="23" t="s">
        <v>137</v>
      </c>
      <c r="E32" s="28">
        <v>570000</v>
      </c>
      <c r="F32" s="25">
        <v>3131.01</v>
      </c>
      <c r="G32" s="25">
        <v>1.41</v>
      </c>
    </row>
    <row r="33" spans="2:7" x14ac:dyDescent="0.2">
      <c r="B33" s="27" t="s">
        <v>62</v>
      </c>
      <c r="C33" s="23" t="s">
        <v>63</v>
      </c>
      <c r="D33" s="23" t="s">
        <v>44</v>
      </c>
      <c r="E33" s="28">
        <v>167500</v>
      </c>
      <c r="F33" s="25">
        <v>2795.32</v>
      </c>
      <c r="G33" s="25">
        <v>1.26</v>
      </c>
    </row>
    <row r="34" spans="2:7" x14ac:dyDescent="0.2">
      <c r="B34" s="27" t="s">
        <v>185</v>
      </c>
      <c r="C34" s="23" t="s">
        <v>186</v>
      </c>
      <c r="D34" s="23" t="s">
        <v>167</v>
      </c>
      <c r="E34" s="28">
        <v>2155000</v>
      </c>
      <c r="F34" s="25">
        <v>2660.35</v>
      </c>
      <c r="G34" s="25">
        <v>1.19</v>
      </c>
    </row>
    <row r="35" spans="2:7" x14ac:dyDescent="0.2">
      <c r="B35" s="27" t="s">
        <v>150</v>
      </c>
      <c r="C35" s="23" t="s">
        <v>151</v>
      </c>
      <c r="D35" s="23" t="s">
        <v>152</v>
      </c>
      <c r="E35" s="28">
        <v>81500</v>
      </c>
      <c r="F35" s="25">
        <v>2501.56</v>
      </c>
      <c r="G35" s="25">
        <v>1.1200000000000001</v>
      </c>
    </row>
    <row r="36" spans="2:7" x14ac:dyDescent="0.2">
      <c r="B36" s="27" t="s">
        <v>45</v>
      </c>
      <c r="C36" s="23" t="s">
        <v>46</v>
      </c>
      <c r="D36" s="23" t="s">
        <v>47</v>
      </c>
      <c r="E36" s="28">
        <v>171575</v>
      </c>
      <c r="F36" s="25">
        <v>2494.96</v>
      </c>
      <c r="G36" s="25">
        <v>1.1200000000000001</v>
      </c>
    </row>
    <row r="37" spans="2:7" x14ac:dyDescent="0.2">
      <c r="B37" s="27" t="s">
        <v>48</v>
      </c>
      <c r="C37" s="23" t="s">
        <v>49</v>
      </c>
      <c r="D37" s="23" t="s">
        <v>44</v>
      </c>
      <c r="E37" s="28">
        <v>5766</v>
      </c>
      <c r="F37" s="25">
        <v>2470.5300000000002</v>
      </c>
      <c r="G37" s="25">
        <v>1.1100000000000001</v>
      </c>
    </row>
    <row r="38" spans="2:7" x14ac:dyDescent="0.2">
      <c r="B38" s="27" t="s">
        <v>233</v>
      </c>
      <c r="C38" s="23" t="s">
        <v>234</v>
      </c>
      <c r="D38" s="23" t="s">
        <v>152</v>
      </c>
      <c r="E38" s="28">
        <v>56500</v>
      </c>
      <c r="F38" s="25">
        <v>2455.1799999999998</v>
      </c>
      <c r="G38" s="25">
        <v>1.1000000000000001</v>
      </c>
    </row>
    <row r="39" spans="2:7" x14ac:dyDescent="0.2">
      <c r="B39" s="27" t="s">
        <v>235</v>
      </c>
      <c r="C39" s="23" t="s">
        <v>236</v>
      </c>
      <c r="D39" s="23" t="s">
        <v>86</v>
      </c>
      <c r="E39" s="28">
        <v>614272</v>
      </c>
      <c r="F39" s="25">
        <v>2446.34</v>
      </c>
      <c r="G39" s="25">
        <v>1.1000000000000001</v>
      </c>
    </row>
    <row r="40" spans="2:7" x14ac:dyDescent="0.2">
      <c r="B40" s="27" t="s">
        <v>155</v>
      </c>
      <c r="C40" s="23" t="s">
        <v>156</v>
      </c>
      <c r="D40" s="23" t="s">
        <v>86</v>
      </c>
      <c r="E40" s="28">
        <v>150000</v>
      </c>
      <c r="F40" s="25">
        <v>2394.38</v>
      </c>
      <c r="G40" s="25">
        <v>1.08</v>
      </c>
    </row>
    <row r="41" spans="2:7" x14ac:dyDescent="0.2">
      <c r="B41" s="27" t="s">
        <v>237</v>
      </c>
      <c r="C41" s="23" t="s">
        <v>238</v>
      </c>
      <c r="D41" s="23" t="s">
        <v>149</v>
      </c>
      <c r="E41" s="28">
        <v>75000</v>
      </c>
      <c r="F41" s="25">
        <v>2365.39</v>
      </c>
      <c r="G41" s="25">
        <v>1.06</v>
      </c>
    </row>
    <row r="42" spans="2:7" x14ac:dyDescent="0.2">
      <c r="B42" s="27" t="s">
        <v>153</v>
      </c>
      <c r="C42" s="23" t="s">
        <v>154</v>
      </c>
      <c r="D42" s="23" t="s">
        <v>59</v>
      </c>
      <c r="E42" s="28">
        <v>135000</v>
      </c>
      <c r="F42" s="25">
        <v>2260.2399999999998</v>
      </c>
      <c r="G42" s="25">
        <v>1.02</v>
      </c>
    </row>
    <row r="43" spans="2:7" x14ac:dyDescent="0.2">
      <c r="B43" s="27" t="s">
        <v>178</v>
      </c>
      <c r="C43" s="23" t="s">
        <v>179</v>
      </c>
      <c r="D43" s="23" t="s">
        <v>128</v>
      </c>
      <c r="E43" s="28">
        <v>116000</v>
      </c>
      <c r="F43" s="25">
        <v>2255.4499999999998</v>
      </c>
      <c r="G43" s="25">
        <v>1.01</v>
      </c>
    </row>
    <row r="44" spans="2:7" x14ac:dyDescent="0.2">
      <c r="B44" s="27" t="s">
        <v>225</v>
      </c>
      <c r="C44" s="23" t="s">
        <v>226</v>
      </c>
      <c r="D44" s="23" t="s">
        <v>167</v>
      </c>
      <c r="E44" s="28">
        <v>277000</v>
      </c>
      <c r="F44" s="25">
        <v>2238.02</v>
      </c>
      <c r="G44" s="25">
        <v>1.01</v>
      </c>
    </row>
    <row r="45" spans="2:7" x14ac:dyDescent="0.2">
      <c r="B45" s="27" t="s">
        <v>239</v>
      </c>
      <c r="C45" s="23" t="s">
        <v>240</v>
      </c>
      <c r="D45" s="23" t="s">
        <v>149</v>
      </c>
      <c r="E45" s="28">
        <v>42000</v>
      </c>
      <c r="F45" s="25">
        <v>2229.84</v>
      </c>
      <c r="G45" s="25">
        <v>1</v>
      </c>
    </row>
    <row r="46" spans="2:7" x14ac:dyDescent="0.2">
      <c r="B46" s="27" t="s">
        <v>84</v>
      </c>
      <c r="C46" s="23" t="s">
        <v>85</v>
      </c>
      <c r="D46" s="23" t="s">
        <v>86</v>
      </c>
      <c r="E46" s="28">
        <v>220000</v>
      </c>
      <c r="F46" s="25">
        <v>2216.06</v>
      </c>
      <c r="G46" s="25">
        <v>1</v>
      </c>
    </row>
    <row r="47" spans="2:7" x14ac:dyDescent="0.2">
      <c r="B47" s="27" t="s">
        <v>241</v>
      </c>
      <c r="C47" s="23" t="s">
        <v>242</v>
      </c>
      <c r="D47" s="23" t="s">
        <v>164</v>
      </c>
      <c r="E47" s="28">
        <v>32000</v>
      </c>
      <c r="F47" s="25">
        <v>2186.02</v>
      </c>
      <c r="G47" s="25">
        <v>0.98</v>
      </c>
    </row>
    <row r="48" spans="2:7" x14ac:dyDescent="0.2">
      <c r="B48" s="27" t="s">
        <v>243</v>
      </c>
      <c r="C48" s="23" t="s">
        <v>244</v>
      </c>
      <c r="D48" s="23" t="s">
        <v>68</v>
      </c>
      <c r="E48" s="28">
        <v>135000</v>
      </c>
      <c r="F48" s="25">
        <v>1986.12</v>
      </c>
      <c r="G48" s="25">
        <v>0.89</v>
      </c>
    </row>
    <row r="49" spans="2:9" x14ac:dyDescent="0.2">
      <c r="B49" s="27" t="s">
        <v>71</v>
      </c>
      <c r="C49" s="23" t="s">
        <v>72</v>
      </c>
      <c r="D49" s="23" t="s">
        <v>73</v>
      </c>
      <c r="E49" s="28">
        <v>365000</v>
      </c>
      <c r="F49" s="25">
        <v>1957.5</v>
      </c>
      <c r="G49" s="25">
        <v>0.88</v>
      </c>
    </row>
    <row r="50" spans="2:9" x14ac:dyDescent="0.2">
      <c r="B50" s="27" t="s">
        <v>42</v>
      </c>
      <c r="C50" s="23" t="s">
        <v>43</v>
      </c>
      <c r="D50" s="23" t="s">
        <v>44</v>
      </c>
      <c r="E50" s="28">
        <v>92500</v>
      </c>
      <c r="F50" s="25">
        <v>1929.83</v>
      </c>
      <c r="G50" s="25">
        <v>0.87</v>
      </c>
    </row>
    <row r="51" spans="2:9" x14ac:dyDescent="0.2">
      <c r="B51" s="27" t="s">
        <v>111</v>
      </c>
      <c r="C51" s="23" t="s">
        <v>112</v>
      </c>
      <c r="D51" s="23" t="s">
        <v>68</v>
      </c>
      <c r="E51" s="28">
        <v>63000</v>
      </c>
      <c r="F51" s="25">
        <v>1795.15</v>
      </c>
      <c r="G51" s="25">
        <v>0.81</v>
      </c>
    </row>
    <row r="52" spans="2:9" x14ac:dyDescent="0.2">
      <c r="B52" s="27" t="s">
        <v>168</v>
      </c>
      <c r="C52" s="23" t="s">
        <v>169</v>
      </c>
      <c r="D52" s="23" t="s">
        <v>164</v>
      </c>
      <c r="E52" s="28">
        <v>76500</v>
      </c>
      <c r="F52" s="25">
        <v>1683.69</v>
      </c>
      <c r="G52" s="25">
        <v>0.76</v>
      </c>
    </row>
    <row r="53" spans="2:9" x14ac:dyDescent="0.2">
      <c r="B53" s="27" t="s">
        <v>98</v>
      </c>
      <c r="C53" s="23" t="s">
        <v>99</v>
      </c>
      <c r="D53" s="23" t="s">
        <v>86</v>
      </c>
      <c r="E53" s="28">
        <v>39820</v>
      </c>
      <c r="F53" s="25">
        <v>1604.27</v>
      </c>
      <c r="G53" s="25">
        <v>0.72</v>
      </c>
    </row>
    <row r="54" spans="2:9" x14ac:dyDescent="0.2">
      <c r="B54" s="27" t="s">
        <v>245</v>
      </c>
      <c r="C54" s="23" t="s">
        <v>246</v>
      </c>
      <c r="D54" s="23" t="s">
        <v>175</v>
      </c>
      <c r="E54" s="28">
        <v>150000</v>
      </c>
      <c r="F54" s="25">
        <v>1463.48</v>
      </c>
      <c r="G54" s="25">
        <v>0.66</v>
      </c>
    </row>
    <row r="55" spans="2:9" x14ac:dyDescent="0.2">
      <c r="B55" s="27" t="s">
        <v>247</v>
      </c>
      <c r="C55" s="23" t="s">
        <v>248</v>
      </c>
      <c r="D55" s="23" t="s">
        <v>128</v>
      </c>
      <c r="E55" s="28">
        <v>25500</v>
      </c>
      <c r="F55" s="25">
        <v>1354.69</v>
      </c>
      <c r="G55" s="25">
        <v>0.61</v>
      </c>
    </row>
    <row r="56" spans="2:9" x14ac:dyDescent="0.2">
      <c r="B56" s="27" t="s">
        <v>69</v>
      </c>
      <c r="C56" s="23" t="s">
        <v>70</v>
      </c>
      <c r="D56" s="23" t="s">
        <v>68</v>
      </c>
      <c r="E56" s="28">
        <v>17500</v>
      </c>
      <c r="F56" s="25">
        <v>1173.9000000000001</v>
      </c>
      <c r="G56" s="25">
        <v>0.53</v>
      </c>
    </row>
    <row r="57" spans="2:9" x14ac:dyDescent="0.2">
      <c r="B57" s="27" t="s">
        <v>205</v>
      </c>
      <c r="C57" s="23" t="s">
        <v>206</v>
      </c>
      <c r="D57" s="23" t="s">
        <v>184</v>
      </c>
      <c r="E57" s="28">
        <v>32849</v>
      </c>
      <c r="F57" s="25">
        <v>1059.31</v>
      </c>
      <c r="G57" s="25">
        <v>0.48</v>
      </c>
    </row>
    <row r="58" spans="2:9" x14ac:dyDescent="0.2">
      <c r="B58" s="27" t="s">
        <v>140</v>
      </c>
      <c r="C58" s="23" t="s">
        <v>141</v>
      </c>
      <c r="D58" s="23" t="s">
        <v>142</v>
      </c>
      <c r="E58" s="28">
        <v>32830</v>
      </c>
      <c r="F58" s="25">
        <v>768.24</v>
      </c>
      <c r="G58" s="25">
        <v>0.35</v>
      </c>
    </row>
    <row r="59" spans="2:9" x14ac:dyDescent="0.2">
      <c r="B59" s="29" t="s">
        <v>119</v>
      </c>
      <c r="C59" s="30"/>
      <c r="D59" s="30"/>
      <c r="E59" s="31"/>
      <c r="F59" s="32">
        <f>SUM(F7:F58)</f>
        <v>217274.83000000005</v>
      </c>
      <c r="G59" s="32">
        <f>SUM(G7:G58)</f>
        <v>97.58</v>
      </c>
      <c r="H59" s="14"/>
      <c r="I59" s="14"/>
    </row>
    <row r="60" spans="2:9" x14ac:dyDescent="0.2">
      <c r="B60" s="37" t="s">
        <v>120</v>
      </c>
      <c r="C60" s="37"/>
      <c r="D60" s="37"/>
      <c r="E60" s="38"/>
      <c r="F60" s="39">
        <f>F59</f>
        <v>217274.83000000005</v>
      </c>
      <c r="G60" s="39">
        <f>G59</f>
        <v>97.58</v>
      </c>
      <c r="H60" s="14"/>
      <c r="I60" s="14"/>
    </row>
    <row r="61" spans="2:9" x14ac:dyDescent="0.2">
      <c r="B61" s="40" t="s">
        <v>121</v>
      </c>
      <c r="C61" s="41"/>
      <c r="D61" s="41"/>
      <c r="E61" s="42"/>
      <c r="F61" s="43"/>
      <c r="G61" s="43"/>
    </row>
    <row r="62" spans="2:9" x14ac:dyDescent="0.2">
      <c r="B62" s="27" t="s">
        <v>121</v>
      </c>
      <c r="C62" s="23"/>
      <c r="D62" s="23"/>
      <c r="E62" s="24"/>
      <c r="F62" s="25">
        <v>6143.68</v>
      </c>
      <c r="G62" s="25">
        <v>2.76</v>
      </c>
    </row>
    <row r="63" spans="2:9" x14ac:dyDescent="0.2">
      <c r="B63" s="29" t="s">
        <v>119</v>
      </c>
      <c r="C63" s="30"/>
      <c r="D63" s="30"/>
      <c r="E63" s="31"/>
      <c r="F63" s="32">
        <f>SUM(F61:F62)</f>
        <v>6143.68</v>
      </c>
      <c r="G63" s="32">
        <f>SUM(G61:G62)</f>
        <v>2.76</v>
      </c>
      <c r="H63" s="14"/>
      <c r="I63" s="14"/>
    </row>
    <row r="64" spans="2:9" x14ac:dyDescent="0.2">
      <c r="B64" s="34" t="s">
        <v>120</v>
      </c>
      <c r="C64" s="34"/>
      <c r="D64" s="34"/>
      <c r="E64" s="35"/>
      <c r="F64" s="36">
        <f>F63</f>
        <v>6143.68</v>
      </c>
      <c r="G64" s="36">
        <f>G63</f>
        <v>2.76</v>
      </c>
      <c r="H64" s="14"/>
      <c r="I64" s="14"/>
    </row>
    <row r="65" spans="2:9" x14ac:dyDescent="0.2">
      <c r="B65" s="44" t="s">
        <v>123</v>
      </c>
      <c r="C65" s="44"/>
      <c r="D65" s="44"/>
      <c r="E65" s="45"/>
      <c r="F65" s="16">
        <f>F66-(+F60+F64)</f>
        <v>-752.29000000003725</v>
      </c>
      <c r="G65" s="16">
        <f>G66-(+G60+G64)</f>
        <v>-0.34000000000000341</v>
      </c>
      <c r="H65" s="14"/>
      <c r="I65" s="14"/>
    </row>
    <row r="66" spans="2:9" x14ac:dyDescent="0.2">
      <c r="B66" s="44" t="s">
        <v>122</v>
      </c>
      <c r="C66" s="44"/>
      <c r="D66" s="44"/>
      <c r="E66" s="45"/>
      <c r="F66" s="16">
        <v>222666.22</v>
      </c>
      <c r="G66" s="16">
        <v>100</v>
      </c>
      <c r="H66" s="14"/>
      <c r="I66" s="14"/>
    </row>
    <row r="68" spans="2:9" x14ac:dyDescent="0.2">
      <c r="B68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8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53.85546875" style="1" bestFit="1" customWidth="1"/>
    <col min="3" max="3" width="13.285156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8" t="s">
        <v>11</v>
      </c>
      <c r="C1" s="79"/>
      <c r="D1" s="79"/>
      <c r="E1" s="79"/>
      <c r="F1" s="79"/>
      <c r="G1" s="79"/>
      <c r="H1" s="79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124</v>
      </c>
      <c r="C7" s="23" t="s">
        <v>125</v>
      </c>
      <c r="D7" s="23" t="s">
        <v>38</v>
      </c>
      <c r="E7" s="28">
        <v>3266000</v>
      </c>
      <c r="F7" s="25">
        <v>49507.66</v>
      </c>
      <c r="G7" s="25">
        <v>5.51</v>
      </c>
      <c r="H7" s="26"/>
    </row>
    <row r="8" spans="2:8" x14ac:dyDescent="0.2">
      <c r="B8" s="27" t="s">
        <v>36</v>
      </c>
      <c r="C8" s="23" t="s">
        <v>37</v>
      </c>
      <c r="D8" s="23" t="s">
        <v>38</v>
      </c>
      <c r="E8" s="28">
        <v>6898000</v>
      </c>
      <c r="F8" s="25">
        <v>45716.5</v>
      </c>
      <c r="G8" s="25">
        <v>5.09</v>
      </c>
      <c r="H8" s="26"/>
    </row>
    <row r="9" spans="2:8" x14ac:dyDescent="0.2">
      <c r="B9" s="27" t="s">
        <v>126</v>
      </c>
      <c r="C9" s="23" t="s">
        <v>127</v>
      </c>
      <c r="D9" s="23" t="s">
        <v>128</v>
      </c>
      <c r="E9" s="28">
        <v>2860000</v>
      </c>
      <c r="F9" s="25">
        <v>39861.25</v>
      </c>
      <c r="G9" s="25">
        <v>4.43</v>
      </c>
      <c r="H9" s="26"/>
    </row>
    <row r="10" spans="2:8" x14ac:dyDescent="0.2">
      <c r="B10" s="27" t="s">
        <v>133</v>
      </c>
      <c r="C10" s="23" t="s">
        <v>134</v>
      </c>
      <c r="D10" s="23" t="s">
        <v>38</v>
      </c>
      <c r="E10" s="28">
        <v>4713090</v>
      </c>
      <c r="F10" s="25">
        <v>35381.17</v>
      </c>
      <c r="G10" s="25">
        <v>3.94</v>
      </c>
      <c r="H10" s="26"/>
    </row>
    <row r="11" spans="2:8" x14ac:dyDescent="0.2">
      <c r="B11" s="27" t="s">
        <v>129</v>
      </c>
      <c r="C11" s="23" t="s">
        <v>130</v>
      </c>
      <c r="D11" s="23" t="s">
        <v>83</v>
      </c>
      <c r="E11" s="28">
        <v>1583000</v>
      </c>
      <c r="F11" s="25">
        <v>34197.550000000003</v>
      </c>
      <c r="G11" s="25">
        <v>3.8</v>
      </c>
      <c r="H11" s="26"/>
    </row>
    <row r="12" spans="2:8" x14ac:dyDescent="0.2">
      <c r="B12" s="27" t="s">
        <v>135</v>
      </c>
      <c r="C12" s="23" t="s">
        <v>136</v>
      </c>
      <c r="D12" s="23" t="s">
        <v>137</v>
      </c>
      <c r="E12" s="28">
        <v>568000</v>
      </c>
      <c r="F12" s="25">
        <v>31966.76</v>
      </c>
      <c r="G12" s="25">
        <v>3.56</v>
      </c>
      <c r="H12" s="26"/>
    </row>
    <row r="13" spans="2:8" x14ac:dyDescent="0.2">
      <c r="B13" s="27" t="s">
        <v>162</v>
      </c>
      <c r="C13" s="23" t="s">
        <v>163</v>
      </c>
      <c r="D13" s="23" t="s">
        <v>164</v>
      </c>
      <c r="E13" s="28">
        <v>4052476</v>
      </c>
      <c r="F13" s="25">
        <v>24519.51</v>
      </c>
      <c r="G13" s="25">
        <v>2.73</v>
      </c>
      <c r="H13" s="26"/>
    </row>
    <row r="14" spans="2:8" x14ac:dyDescent="0.2">
      <c r="B14" s="27" t="s">
        <v>53</v>
      </c>
      <c r="C14" s="23" t="s">
        <v>54</v>
      </c>
      <c r="D14" s="23" t="s">
        <v>38</v>
      </c>
      <c r="E14" s="28">
        <v>4900000</v>
      </c>
      <c r="F14" s="25">
        <v>20793.150000000001</v>
      </c>
      <c r="G14" s="25">
        <v>2.31</v>
      </c>
      <c r="H14" s="26"/>
    </row>
    <row r="15" spans="2:8" x14ac:dyDescent="0.2">
      <c r="B15" s="27" t="s">
        <v>84</v>
      </c>
      <c r="C15" s="23" t="s">
        <v>85</v>
      </c>
      <c r="D15" s="23" t="s">
        <v>86</v>
      </c>
      <c r="E15" s="28">
        <v>2021175</v>
      </c>
      <c r="F15" s="25">
        <v>20359.3</v>
      </c>
      <c r="G15" s="25">
        <v>2.27</v>
      </c>
      <c r="H15" s="26"/>
    </row>
    <row r="16" spans="2:8" x14ac:dyDescent="0.2">
      <c r="B16" s="27" t="s">
        <v>71</v>
      </c>
      <c r="C16" s="23" t="s">
        <v>72</v>
      </c>
      <c r="D16" s="23" t="s">
        <v>73</v>
      </c>
      <c r="E16" s="28">
        <v>3669300</v>
      </c>
      <c r="F16" s="25">
        <v>19678.46</v>
      </c>
      <c r="G16" s="25">
        <v>2.19</v>
      </c>
      <c r="H16" s="26"/>
    </row>
    <row r="17" spans="2:8" x14ac:dyDescent="0.2">
      <c r="B17" s="27" t="s">
        <v>182</v>
      </c>
      <c r="C17" s="23" t="s">
        <v>183</v>
      </c>
      <c r="D17" s="23" t="s">
        <v>184</v>
      </c>
      <c r="E17" s="28">
        <v>218427</v>
      </c>
      <c r="F17" s="25">
        <v>18771.73</v>
      </c>
      <c r="G17" s="25">
        <v>2.09</v>
      </c>
      <c r="H17" s="26"/>
    </row>
    <row r="18" spans="2:8" x14ac:dyDescent="0.2">
      <c r="B18" s="27" t="s">
        <v>131</v>
      </c>
      <c r="C18" s="23" t="s">
        <v>132</v>
      </c>
      <c r="D18" s="23" t="s">
        <v>128</v>
      </c>
      <c r="E18" s="28">
        <v>585264</v>
      </c>
      <c r="F18" s="25">
        <v>18489.37</v>
      </c>
      <c r="G18" s="25">
        <v>2.06</v>
      </c>
      <c r="H18" s="26"/>
    </row>
    <row r="19" spans="2:8" x14ac:dyDescent="0.2">
      <c r="B19" s="27" t="s">
        <v>150</v>
      </c>
      <c r="C19" s="23" t="s">
        <v>151</v>
      </c>
      <c r="D19" s="23" t="s">
        <v>152</v>
      </c>
      <c r="E19" s="28">
        <v>593005</v>
      </c>
      <c r="F19" s="25">
        <v>18201.7</v>
      </c>
      <c r="G19" s="25">
        <v>2.0299999999999998</v>
      </c>
      <c r="H19" s="26"/>
    </row>
    <row r="20" spans="2:8" x14ac:dyDescent="0.2">
      <c r="B20" s="27" t="s">
        <v>33</v>
      </c>
      <c r="C20" s="23" t="s">
        <v>34</v>
      </c>
      <c r="D20" s="23" t="s">
        <v>35</v>
      </c>
      <c r="E20" s="28">
        <v>1225000</v>
      </c>
      <c r="F20" s="25">
        <v>17979.330000000002</v>
      </c>
      <c r="G20" s="25">
        <v>2</v>
      </c>
      <c r="H20" s="26"/>
    </row>
    <row r="21" spans="2:8" x14ac:dyDescent="0.2">
      <c r="B21" s="27" t="s">
        <v>203</v>
      </c>
      <c r="C21" s="23" t="s">
        <v>204</v>
      </c>
      <c r="D21" s="23" t="s">
        <v>137</v>
      </c>
      <c r="E21" s="28">
        <v>3199707</v>
      </c>
      <c r="F21" s="25">
        <v>17575.990000000002</v>
      </c>
      <c r="G21" s="25">
        <v>1.96</v>
      </c>
      <c r="H21" s="26"/>
    </row>
    <row r="22" spans="2:8" x14ac:dyDescent="0.2">
      <c r="B22" s="27" t="s">
        <v>153</v>
      </c>
      <c r="C22" s="23" t="s">
        <v>154</v>
      </c>
      <c r="D22" s="23" t="s">
        <v>59</v>
      </c>
      <c r="E22" s="28">
        <v>1035000</v>
      </c>
      <c r="F22" s="25">
        <v>17328.490000000002</v>
      </c>
      <c r="G22" s="25">
        <v>1.93</v>
      </c>
      <c r="H22" s="26"/>
    </row>
    <row r="23" spans="2:8" x14ac:dyDescent="0.2">
      <c r="B23" s="27" t="s">
        <v>173</v>
      </c>
      <c r="C23" s="23" t="s">
        <v>174</v>
      </c>
      <c r="D23" s="23" t="s">
        <v>175</v>
      </c>
      <c r="E23" s="28">
        <v>1852802</v>
      </c>
      <c r="F23" s="25">
        <v>17288.5</v>
      </c>
      <c r="G23" s="25">
        <v>1.92</v>
      </c>
      <c r="H23" s="26"/>
    </row>
    <row r="24" spans="2:8" x14ac:dyDescent="0.2">
      <c r="B24" s="27" t="s">
        <v>237</v>
      </c>
      <c r="C24" s="23" t="s">
        <v>238</v>
      </c>
      <c r="D24" s="23" t="s">
        <v>149</v>
      </c>
      <c r="E24" s="28">
        <v>530709</v>
      </c>
      <c r="F24" s="25">
        <v>16737.77</v>
      </c>
      <c r="G24" s="25">
        <v>1.86</v>
      </c>
      <c r="H24" s="26"/>
    </row>
    <row r="25" spans="2:8" x14ac:dyDescent="0.2">
      <c r="B25" s="27" t="s">
        <v>249</v>
      </c>
      <c r="C25" s="23" t="s">
        <v>250</v>
      </c>
      <c r="D25" s="23" t="s">
        <v>167</v>
      </c>
      <c r="E25" s="28">
        <v>5200000</v>
      </c>
      <c r="F25" s="25">
        <v>16575</v>
      </c>
      <c r="G25" s="25">
        <v>1.84</v>
      </c>
      <c r="H25" s="26"/>
    </row>
    <row r="26" spans="2:8" x14ac:dyDescent="0.2">
      <c r="B26" s="27" t="s">
        <v>74</v>
      </c>
      <c r="C26" s="23" t="s">
        <v>75</v>
      </c>
      <c r="D26" s="23" t="s">
        <v>76</v>
      </c>
      <c r="E26" s="28">
        <v>1350000</v>
      </c>
      <c r="F26" s="25">
        <v>15196.28</v>
      </c>
      <c r="G26" s="25">
        <v>1.69</v>
      </c>
      <c r="H26" s="26"/>
    </row>
    <row r="27" spans="2:8" x14ac:dyDescent="0.2">
      <c r="B27" s="27" t="s">
        <v>170</v>
      </c>
      <c r="C27" s="23" t="s">
        <v>171</v>
      </c>
      <c r="D27" s="23" t="s">
        <v>172</v>
      </c>
      <c r="E27" s="28">
        <v>463954</v>
      </c>
      <c r="F27" s="25">
        <v>14434.54</v>
      </c>
      <c r="G27" s="25">
        <v>1.61</v>
      </c>
      <c r="H27" s="26"/>
    </row>
    <row r="28" spans="2:8" x14ac:dyDescent="0.2">
      <c r="B28" s="27" t="s">
        <v>191</v>
      </c>
      <c r="C28" s="23" t="s">
        <v>192</v>
      </c>
      <c r="D28" s="23" t="s">
        <v>193</v>
      </c>
      <c r="E28" s="28">
        <v>6373324</v>
      </c>
      <c r="F28" s="25">
        <v>14174.27</v>
      </c>
      <c r="G28" s="25">
        <v>1.58</v>
      </c>
      <c r="H28" s="26"/>
    </row>
    <row r="29" spans="2:8" x14ac:dyDescent="0.2">
      <c r="B29" s="27" t="s">
        <v>205</v>
      </c>
      <c r="C29" s="23" t="s">
        <v>206</v>
      </c>
      <c r="D29" s="23" t="s">
        <v>184</v>
      </c>
      <c r="E29" s="28">
        <v>423802</v>
      </c>
      <c r="F29" s="25">
        <v>13666.77</v>
      </c>
      <c r="G29" s="25">
        <v>1.52</v>
      </c>
      <c r="H29" s="26"/>
    </row>
    <row r="30" spans="2:8" x14ac:dyDescent="0.2">
      <c r="B30" s="27" t="s">
        <v>157</v>
      </c>
      <c r="C30" s="23" t="s">
        <v>158</v>
      </c>
      <c r="D30" s="23" t="s">
        <v>159</v>
      </c>
      <c r="E30" s="28">
        <v>518084</v>
      </c>
      <c r="F30" s="25">
        <v>13547.64</v>
      </c>
      <c r="G30" s="25">
        <v>1.51</v>
      </c>
      <c r="H30" s="26"/>
    </row>
    <row r="31" spans="2:8" x14ac:dyDescent="0.2">
      <c r="B31" s="27" t="s">
        <v>168</v>
      </c>
      <c r="C31" s="23" t="s">
        <v>169</v>
      </c>
      <c r="D31" s="23" t="s">
        <v>164</v>
      </c>
      <c r="E31" s="28">
        <v>611072</v>
      </c>
      <c r="F31" s="25">
        <v>13449.08</v>
      </c>
      <c r="G31" s="25">
        <v>1.5</v>
      </c>
      <c r="H31" s="26"/>
    </row>
    <row r="32" spans="2:8" x14ac:dyDescent="0.2">
      <c r="B32" s="27" t="s">
        <v>198</v>
      </c>
      <c r="C32" s="23" t="s">
        <v>199</v>
      </c>
      <c r="D32" s="23" t="s">
        <v>137</v>
      </c>
      <c r="E32" s="28">
        <v>1266619</v>
      </c>
      <c r="F32" s="25">
        <v>13236.17</v>
      </c>
      <c r="G32" s="25">
        <v>1.47</v>
      </c>
      <c r="H32" s="26"/>
    </row>
    <row r="33" spans="2:8" x14ac:dyDescent="0.2">
      <c r="B33" s="27" t="s">
        <v>251</v>
      </c>
      <c r="C33" s="23" t="s">
        <v>252</v>
      </c>
      <c r="D33" s="23" t="s">
        <v>137</v>
      </c>
      <c r="E33" s="28">
        <v>2800000</v>
      </c>
      <c r="F33" s="25">
        <v>13055</v>
      </c>
      <c r="G33" s="25">
        <v>1.45</v>
      </c>
      <c r="H33" s="26"/>
    </row>
    <row r="34" spans="2:8" x14ac:dyDescent="0.2">
      <c r="B34" s="27" t="s">
        <v>217</v>
      </c>
      <c r="C34" s="23" t="s">
        <v>218</v>
      </c>
      <c r="D34" s="23" t="s">
        <v>149</v>
      </c>
      <c r="E34" s="28">
        <v>611438</v>
      </c>
      <c r="F34" s="25">
        <v>12660.44</v>
      </c>
      <c r="G34" s="25">
        <v>1.41</v>
      </c>
      <c r="H34" s="26"/>
    </row>
    <row r="35" spans="2:8" x14ac:dyDescent="0.2">
      <c r="B35" s="27" t="s">
        <v>187</v>
      </c>
      <c r="C35" s="23" t="s">
        <v>188</v>
      </c>
      <c r="D35" s="23" t="s">
        <v>142</v>
      </c>
      <c r="E35" s="28">
        <v>1855000</v>
      </c>
      <c r="F35" s="25">
        <v>12314.42</v>
      </c>
      <c r="G35" s="25">
        <v>1.37</v>
      </c>
      <c r="H35" s="26"/>
    </row>
    <row r="36" spans="2:8" x14ac:dyDescent="0.2">
      <c r="B36" s="27" t="s">
        <v>178</v>
      </c>
      <c r="C36" s="23" t="s">
        <v>179</v>
      </c>
      <c r="D36" s="23" t="s">
        <v>128</v>
      </c>
      <c r="E36" s="28">
        <v>627587</v>
      </c>
      <c r="F36" s="25">
        <v>12202.49</v>
      </c>
      <c r="G36" s="25">
        <v>1.36</v>
      </c>
      <c r="H36" s="26"/>
    </row>
    <row r="37" spans="2:8" x14ac:dyDescent="0.2">
      <c r="B37" s="27" t="s">
        <v>69</v>
      </c>
      <c r="C37" s="23" t="s">
        <v>70</v>
      </c>
      <c r="D37" s="23" t="s">
        <v>68</v>
      </c>
      <c r="E37" s="28">
        <v>180000</v>
      </c>
      <c r="F37" s="25">
        <v>12074.4</v>
      </c>
      <c r="G37" s="25">
        <v>1.34</v>
      </c>
      <c r="H37" s="26"/>
    </row>
    <row r="38" spans="2:8" x14ac:dyDescent="0.2">
      <c r="B38" s="27" t="s">
        <v>253</v>
      </c>
      <c r="C38" s="23" t="s">
        <v>254</v>
      </c>
      <c r="D38" s="23" t="s">
        <v>152</v>
      </c>
      <c r="E38" s="28">
        <v>6156869</v>
      </c>
      <c r="F38" s="25">
        <v>12015.13</v>
      </c>
      <c r="G38" s="25">
        <v>1.34</v>
      </c>
      <c r="H38" s="26"/>
    </row>
    <row r="39" spans="2:8" x14ac:dyDescent="0.2">
      <c r="B39" s="27" t="s">
        <v>100</v>
      </c>
      <c r="C39" s="23" t="s">
        <v>101</v>
      </c>
      <c r="D39" s="23" t="s">
        <v>68</v>
      </c>
      <c r="E39" s="28">
        <v>1224043</v>
      </c>
      <c r="F39" s="25">
        <v>11827.32</v>
      </c>
      <c r="G39" s="25">
        <v>1.32</v>
      </c>
      <c r="H39" s="26"/>
    </row>
    <row r="40" spans="2:8" x14ac:dyDescent="0.2">
      <c r="B40" s="27" t="s">
        <v>255</v>
      </c>
      <c r="C40" s="23" t="s">
        <v>256</v>
      </c>
      <c r="D40" s="23" t="s">
        <v>202</v>
      </c>
      <c r="E40" s="28">
        <v>1100000</v>
      </c>
      <c r="F40" s="25">
        <v>11814</v>
      </c>
      <c r="G40" s="25">
        <v>1.31</v>
      </c>
      <c r="H40" s="26"/>
    </row>
    <row r="41" spans="2:8" x14ac:dyDescent="0.2">
      <c r="B41" s="27" t="s">
        <v>257</v>
      </c>
      <c r="C41" s="23" t="s">
        <v>258</v>
      </c>
      <c r="D41" s="23" t="s">
        <v>47</v>
      </c>
      <c r="E41" s="28">
        <v>618028</v>
      </c>
      <c r="F41" s="25">
        <v>11762.31</v>
      </c>
      <c r="G41" s="25">
        <v>1.31</v>
      </c>
      <c r="H41" s="26"/>
    </row>
    <row r="42" spans="2:8" x14ac:dyDescent="0.2">
      <c r="B42" s="27" t="s">
        <v>147</v>
      </c>
      <c r="C42" s="23" t="s">
        <v>148</v>
      </c>
      <c r="D42" s="23" t="s">
        <v>149</v>
      </c>
      <c r="E42" s="28">
        <v>280378</v>
      </c>
      <c r="F42" s="25">
        <v>11759.05</v>
      </c>
      <c r="G42" s="25">
        <v>1.31</v>
      </c>
      <c r="H42" s="26"/>
    </row>
    <row r="43" spans="2:8" x14ac:dyDescent="0.2">
      <c r="B43" s="27" t="s">
        <v>223</v>
      </c>
      <c r="C43" s="23" t="s">
        <v>224</v>
      </c>
      <c r="D43" s="23" t="s">
        <v>86</v>
      </c>
      <c r="E43" s="28">
        <v>532336</v>
      </c>
      <c r="F43" s="25">
        <v>11511.23</v>
      </c>
      <c r="G43" s="25">
        <v>1.28</v>
      </c>
      <c r="H43" s="26"/>
    </row>
    <row r="44" spans="2:8" x14ac:dyDescent="0.2">
      <c r="B44" s="27" t="s">
        <v>165</v>
      </c>
      <c r="C44" s="23" t="s">
        <v>166</v>
      </c>
      <c r="D44" s="23" t="s">
        <v>167</v>
      </c>
      <c r="E44" s="28">
        <v>1850000</v>
      </c>
      <c r="F44" s="25">
        <v>11381.2</v>
      </c>
      <c r="G44" s="25">
        <v>1.27</v>
      </c>
      <c r="H44" s="26"/>
    </row>
    <row r="45" spans="2:8" x14ac:dyDescent="0.2">
      <c r="B45" s="27" t="s">
        <v>259</v>
      </c>
      <c r="C45" s="23" t="s">
        <v>260</v>
      </c>
      <c r="D45" s="23" t="s">
        <v>142</v>
      </c>
      <c r="E45" s="28">
        <v>1908216</v>
      </c>
      <c r="F45" s="25">
        <v>10912.13</v>
      </c>
      <c r="G45" s="25">
        <v>1.21</v>
      </c>
      <c r="H45" s="26"/>
    </row>
    <row r="46" spans="2:8" x14ac:dyDescent="0.2">
      <c r="B46" s="27" t="s">
        <v>109</v>
      </c>
      <c r="C46" s="23" t="s">
        <v>110</v>
      </c>
      <c r="D46" s="23" t="s">
        <v>73</v>
      </c>
      <c r="E46" s="28">
        <v>2035534</v>
      </c>
      <c r="F46" s="25">
        <v>10764.92</v>
      </c>
      <c r="G46" s="25">
        <v>1.2</v>
      </c>
      <c r="H46" s="26"/>
    </row>
    <row r="47" spans="2:8" x14ac:dyDescent="0.2">
      <c r="B47" s="27" t="s">
        <v>194</v>
      </c>
      <c r="C47" s="23" t="s">
        <v>195</v>
      </c>
      <c r="D47" s="23" t="s">
        <v>184</v>
      </c>
      <c r="E47" s="28">
        <v>601646</v>
      </c>
      <c r="F47" s="25">
        <v>10558.59</v>
      </c>
      <c r="G47" s="25">
        <v>1.17</v>
      </c>
      <c r="H47" s="26"/>
    </row>
    <row r="48" spans="2:8" x14ac:dyDescent="0.2">
      <c r="B48" s="27" t="s">
        <v>50</v>
      </c>
      <c r="C48" s="23" t="s">
        <v>51</v>
      </c>
      <c r="D48" s="23" t="s">
        <v>52</v>
      </c>
      <c r="E48" s="28">
        <v>6800000</v>
      </c>
      <c r="F48" s="25">
        <v>9887.2000000000007</v>
      </c>
      <c r="G48" s="25">
        <v>1.1000000000000001</v>
      </c>
      <c r="H48" s="26"/>
    </row>
    <row r="49" spans="2:10" x14ac:dyDescent="0.2">
      <c r="B49" s="27" t="s">
        <v>155</v>
      </c>
      <c r="C49" s="23" t="s">
        <v>156</v>
      </c>
      <c r="D49" s="23" t="s">
        <v>86</v>
      </c>
      <c r="E49" s="28">
        <v>588000</v>
      </c>
      <c r="F49" s="25">
        <v>9385.9500000000007</v>
      </c>
      <c r="G49" s="25">
        <v>1.04</v>
      </c>
      <c r="H49" s="26"/>
    </row>
    <row r="50" spans="2:10" x14ac:dyDescent="0.2">
      <c r="B50" s="27" t="s">
        <v>196</v>
      </c>
      <c r="C50" s="23" t="s">
        <v>197</v>
      </c>
      <c r="D50" s="23" t="s">
        <v>59</v>
      </c>
      <c r="E50" s="28">
        <v>1306703</v>
      </c>
      <c r="F50" s="25">
        <v>8857.49</v>
      </c>
      <c r="G50" s="25">
        <v>0.99</v>
      </c>
      <c r="H50" s="26"/>
    </row>
    <row r="51" spans="2:10" x14ac:dyDescent="0.2">
      <c r="B51" s="27" t="s">
        <v>215</v>
      </c>
      <c r="C51" s="23" t="s">
        <v>216</v>
      </c>
      <c r="D51" s="23" t="s">
        <v>149</v>
      </c>
      <c r="E51" s="28">
        <v>53776</v>
      </c>
      <c r="F51" s="25">
        <v>8619.7800000000007</v>
      </c>
      <c r="G51" s="25">
        <v>0.96</v>
      </c>
      <c r="H51" s="26"/>
    </row>
    <row r="52" spans="2:10" x14ac:dyDescent="0.2">
      <c r="B52" s="27" t="s">
        <v>143</v>
      </c>
      <c r="C52" s="23" t="s">
        <v>144</v>
      </c>
      <c r="D52" s="23" t="s">
        <v>38</v>
      </c>
      <c r="E52" s="28">
        <v>474657</v>
      </c>
      <c r="F52" s="25">
        <v>8580.3700000000008</v>
      </c>
      <c r="G52" s="25">
        <v>0.95</v>
      </c>
      <c r="H52" s="26"/>
    </row>
    <row r="53" spans="2:10" x14ac:dyDescent="0.2">
      <c r="B53" s="27" t="s">
        <v>261</v>
      </c>
      <c r="C53" s="23" t="s">
        <v>262</v>
      </c>
      <c r="D53" s="23" t="s">
        <v>38</v>
      </c>
      <c r="E53" s="28">
        <v>4897674</v>
      </c>
      <c r="F53" s="25">
        <v>8441.14</v>
      </c>
      <c r="G53" s="25">
        <v>0.94</v>
      </c>
      <c r="H53" s="26"/>
    </row>
    <row r="54" spans="2:10" x14ac:dyDescent="0.2">
      <c r="B54" s="27" t="s">
        <v>219</v>
      </c>
      <c r="C54" s="23" t="s">
        <v>220</v>
      </c>
      <c r="D54" s="23" t="s">
        <v>193</v>
      </c>
      <c r="E54" s="28">
        <v>284653</v>
      </c>
      <c r="F54" s="25">
        <v>8414.77</v>
      </c>
      <c r="G54" s="25">
        <v>0.94</v>
      </c>
      <c r="H54" s="26"/>
    </row>
    <row r="55" spans="2:10" x14ac:dyDescent="0.2">
      <c r="B55" s="27" t="s">
        <v>263</v>
      </c>
      <c r="C55" s="23" t="s">
        <v>264</v>
      </c>
      <c r="D55" s="23" t="s">
        <v>59</v>
      </c>
      <c r="E55" s="28">
        <v>436085</v>
      </c>
      <c r="F55" s="25">
        <v>8401.83</v>
      </c>
      <c r="G55" s="25">
        <v>0.93</v>
      </c>
      <c r="H55" s="26"/>
    </row>
    <row r="56" spans="2:10" x14ac:dyDescent="0.2">
      <c r="B56" s="27" t="s">
        <v>211</v>
      </c>
      <c r="C56" s="23" t="s">
        <v>212</v>
      </c>
      <c r="D56" s="23" t="s">
        <v>149</v>
      </c>
      <c r="E56" s="28">
        <v>1200000</v>
      </c>
      <c r="F56" s="25">
        <v>8019.6</v>
      </c>
      <c r="G56" s="25">
        <v>0.89</v>
      </c>
      <c r="H56" s="26"/>
    </row>
    <row r="57" spans="2:10" x14ac:dyDescent="0.2">
      <c r="B57" s="27" t="s">
        <v>140</v>
      </c>
      <c r="C57" s="23" t="s">
        <v>141</v>
      </c>
      <c r="D57" s="23" t="s">
        <v>142</v>
      </c>
      <c r="E57" s="28">
        <v>325000</v>
      </c>
      <c r="F57" s="25">
        <v>7605.16</v>
      </c>
      <c r="G57" s="25">
        <v>0.85</v>
      </c>
      <c r="H57" s="26"/>
    </row>
    <row r="58" spans="2:10" x14ac:dyDescent="0.2">
      <c r="B58" s="27" t="s">
        <v>221</v>
      </c>
      <c r="C58" s="23" t="s">
        <v>222</v>
      </c>
      <c r="D58" s="23" t="s">
        <v>142</v>
      </c>
      <c r="E58" s="28">
        <v>193012</v>
      </c>
      <c r="F58" s="25">
        <v>6654.76</v>
      </c>
      <c r="G58" s="25">
        <v>0.74</v>
      </c>
      <c r="H58" s="26"/>
    </row>
    <row r="59" spans="2:10" x14ac:dyDescent="0.2">
      <c r="B59" s="27" t="s">
        <v>265</v>
      </c>
      <c r="C59" s="23" t="s">
        <v>266</v>
      </c>
      <c r="D59" s="23" t="s">
        <v>267</v>
      </c>
      <c r="E59" s="28">
        <v>1196805</v>
      </c>
      <c r="F59" s="25">
        <v>6020.53</v>
      </c>
      <c r="G59" s="25">
        <v>0.67</v>
      </c>
      <c r="H59" s="26"/>
    </row>
    <row r="60" spans="2:10" x14ac:dyDescent="0.2">
      <c r="B60" s="27" t="s">
        <v>45</v>
      </c>
      <c r="C60" s="23" t="s">
        <v>46</v>
      </c>
      <c r="D60" s="23" t="s">
        <v>47</v>
      </c>
      <c r="E60" s="28">
        <v>413647</v>
      </c>
      <c r="F60" s="25">
        <v>6015.05</v>
      </c>
      <c r="G60" s="25">
        <v>0.67</v>
      </c>
      <c r="H60" s="26"/>
    </row>
    <row r="61" spans="2:10" x14ac:dyDescent="0.2">
      <c r="B61" s="27" t="s">
        <v>268</v>
      </c>
      <c r="C61" s="23" t="s">
        <v>269</v>
      </c>
      <c r="D61" s="23" t="s">
        <v>270</v>
      </c>
      <c r="E61" s="28">
        <v>369500</v>
      </c>
      <c r="F61" s="25">
        <v>5723.56</v>
      </c>
      <c r="G61" s="25">
        <v>0.64</v>
      </c>
      <c r="H61" s="26"/>
    </row>
    <row r="62" spans="2:10" x14ac:dyDescent="0.2">
      <c r="B62" s="27" t="s">
        <v>48</v>
      </c>
      <c r="C62" s="23" t="s">
        <v>49</v>
      </c>
      <c r="D62" s="23" t="s">
        <v>44</v>
      </c>
      <c r="E62" s="28">
        <v>12070</v>
      </c>
      <c r="F62" s="25">
        <v>5171.57</v>
      </c>
      <c r="G62" s="25">
        <v>0.57999999999999996</v>
      </c>
      <c r="H62" s="26"/>
    </row>
    <row r="63" spans="2:10" x14ac:dyDescent="0.2">
      <c r="B63" s="27" t="s">
        <v>253</v>
      </c>
      <c r="C63" s="23" t="s">
        <v>271</v>
      </c>
      <c r="D63" s="23" t="s">
        <v>152</v>
      </c>
      <c r="E63" s="28">
        <v>767000</v>
      </c>
      <c r="F63" s="25">
        <v>1214.54</v>
      </c>
      <c r="G63" s="25">
        <v>0.14000000000000001</v>
      </c>
      <c r="H63" s="26"/>
    </row>
    <row r="64" spans="2:10" x14ac:dyDescent="0.2">
      <c r="B64" s="29" t="s">
        <v>119</v>
      </c>
      <c r="C64" s="30"/>
      <c r="D64" s="30"/>
      <c r="E64" s="31"/>
      <c r="F64" s="32">
        <f>SUM(F7:F63)</f>
        <v>872259.87000000011</v>
      </c>
      <c r="G64" s="32">
        <f>SUM(G7:G63)</f>
        <v>97.08</v>
      </c>
      <c r="H64" s="33"/>
      <c r="I64" s="14"/>
      <c r="J64" s="14"/>
    </row>
    <row r="65" spans="2:10" x14ac:dyDescent="0.2">
      <c r="B65" s="37" t="s">
        <v>120</v>
      </c>
      <c r="C65" s="37"/>
      <c r="D65" s="37"/>
      <c r="E65" s="38"/>
      <c r="F65" s="39">
        <f>F64</f>
        <v>872259.87000000011</v>
      </c>
      <c r="G65" s="39">
        <f>G64</f>
        <v>97.08</v>
      </c>
      <c r="H65" s="15"/>
      <c r="I65" s="14"/>
      <c r="J65" s="14"/>
    </row>
    <row r="66" spans="2:10" x14ac:dyDescent="0.2">
      <c r="B66" s="46" t="s">
        <v>227</v>
      </c>
      <c r="C66" s="41"/>
      <c r="D66" s="41"/>
      <c r="E66" s="42"/>
      <c r="F66" s="43"/>
      <c r="G66" s="43"/>
      <c r="H66" s="43"/>
    </row>
    <row r="67" spans="2:10" x14ac:dyDescent="0.2">
      <c r="B67" s="47" t="s">
        <v>32</v>
      </c>
      <c r="C67" s="23"/>
      <c r="D67" s="23"/>
      <c r="E67" s="24"/>
      <c r="F67" s="25"/>
      <c r="G67" s="25"/>
      <c r="H67" s="25"/>
    </row>
    <row r="68" spans="2:10" x14ac:dyDescent="0.2">
      <c r="B68" s="23" t="s">
        <v>782</v>
      </c>
      <c r="C68" s="23" t="s">
        <v>228</v>
      </c>
      <c r="D68" s="23" t="s">
        <v>365</v>
      </c>
      <c r="E68" s="28">
        <v>193012</v>
      </c>
      <c r="F68" s="25">
        <v>55.97</v>
      </c>
      <c r="G68" s="25">
        <v>0.01</v>
      </c>
      <c r="H68" s="25">
        <v>5.5</v>
      </c>
    </row>
    <row r="69" spans="2:10" x14ac:dyDescent="0.2">
      <c r="B69" s="30" t="s">
        <v>119</v>
      </c>
      <c r="C69" s="30"/>
      <c r="D69" s="30"/>
      <c r="E69" s="31"/>
      <c r="F69" s="32">
        <f>SUM(F67:F68)</f>
        <v>55.97</v>
      </c>
      <c r="G69" s="32">
        <f>SUM(G67:G68)</f>
        <v>0.01</v>
      </c>
      <c r="H69" s="48"/>
      <c r="I69" s="14"/>
      <c r="J69" s="14"/>
    </row>
    <row r="70" spans="2:10" x14ac:dyDescent="0.2">
      <c r="B70" s="49" t="s">
        <v>120</v>
      </c>
      <c r="C70" s="49"/>
      <c r="D70" s="49"/>
      <c r="E70" s="50"/>
      <c r="F70" s="51">
        <f>F69</f>
        <v>55.97</v>
      </c>
      <c r="G70" s="51">
        <f>G69</f>
        <v>0.01</v>
      </c>
      <c r="H70" s="51"/>
      <c r="I70" s="14"/>
      <c r="J70" s="14"/>
    </row>
    <row r="71" spans="2:10" x14ac:dyDescent="0.2">
      <c r="B71" s="47" t="s">
        <v>121</v>
      </c>
      <c r="C71" s="23"/>
      <c r="D71" s="23"/>
      <c r="E71" s="24"/>
      <c r="F71" s="25"/>
      <c r="G71" s="25"/>
      <c r="H71" s="25"/>
    </row>
    <row r="72" spans="2:10" x14ac:dyDescent="0.2">
      <c r="B72" s="23" t="s">
        <v>121</v>
      </c>
      <c r="C72" s="23"/>
      <c r="D72" s="23"/>
      <c r="E72" s="24"/>
      <c r="F72" s="25">
        <v>29118.81</v>
      </c>
      <c r="G72" s="25">
        <v>3.24</v>
      </c>
      <c r="H72" s="25"/>
    </row>
    <row r="73" spans="2:10" x14ac:dyDescent="0.2">
      <c r="B73" s="30" t="s">
        <v>119</v>
      </c>
      <c r="C73" s="30"/>
      <c r="D73" s="30"/>
      <c r="E73" s="31"/>
      <c r="F73" s="32">
        <f>SUM(F71:F72)</f>
        <v>29118.81</v>
      </c>
      <c r="G73" s="32">
        <f>SUM(G71:G72)</f>
        <v>3.24</v>
      </c>
      <c r="H73" s="48"/>
      <c r="I73" s="14"/>
      <c r="J73" s="14"/>
    </row>
    <row r="74" spans="2:10" x14ac:dyDescent="0.2">
      <c r="B74" s="34" t="s">
        <v>120</v>
      </c>
      <c r="C74" s="34"/>
      <c r="D74" s="34"/>
      <c r="E74" s="35"/>
      <c r="F74" s="36">
        <f>F73</f>
        <v>29118.81</v>
      </c>
      <c r="G74" s="36">
        <f>G73</f>
        <v>3.24</v>
      </c>
      <c r="H74" s="36"/>
      <c r="I74" s="14"/>
      <c r="J74" s="14"/>
    </row>
    <row r="75" spans="2:10" x14ac:dyDescent="0.2">
      <c r="B75" s="44" t="s">
        <v>123</v>
      </c>
      <c r="C75" s="44"/>
      <c r="D75" s="44"/>
      <c r="E75" s="45"/>
      <c r="F75" s="16">
        <f>F76-(+F65+F70+F74)</f>
        <v>-2628.7100000001956</v>
      </c>
      <c r="G75" s="16">
        <f>G76-(+G65+G70+G74)</f>
        <v>-0.32999999999999829</v>
      </c>
      <c r="H75" s="16"/>
      <c r="I75" s="14"/>
      <c r="J75" s="14"/>
    </row>
    <row r="76" spans="2:10" x14ac:dyDescent="0.2">
      <c r="B76" s="44" t="s">
        <v>122</v>
      </c>
      <c r="C76" s="44"/>
      <c r="D76" s="44"/>
      <c r="E76" s="45"/>
      <c r="F76" s="16">
        <v>898805.94</v>
      </c>
      <c r="G76" s="16">
        <v>100</v>
      </c>
      <c r="H76" s="16"/>
      <c r="I76" s="14"/>
      <c r="J76" s="14"/>
    </row>
    <row r="78" spans="2:10" x14ac:dyDescent="0.2">
      <c r="B78" s="14" t="s">
        <v>766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8"/>
  <sheetViews>
    <sheetView workbookViewId="0">
      <selection activeCell="H18" sqref="H18"/>
    </sheetView>
  </sheetViews>
  <sheetFormatPr defaultRowHeight="12" x14ac:dyDescent="0.2"/>
  <cols>
    <col min="1" max="1" width="9.140625" style="1"/>
    <col min="2" max="2" width="53.85546875" style="1" bestFit="1" customWidth="1"/>
    <col min="3" max="3" width="13.85546875" style="1" bestFit="1" customWidth="1"/>
    <col min="4" max="4" width="21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78" t="s">
        <v>12</v>
      </c>
      <c r="C1" s="79"/>
      <c r="D1" s="79"/>
      <c r="E1" s="79"/>
      <c r="F1" s="79"/>
      <c r="G1" s="79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36</v>
      </c>
      <c r="C7" s="23" t="s">
        <v>37</v>
      </c>
      <c r="D7" s="23" t="s">
        <v>38</v>
      </c>
      <c r="E7" s="28">
        <v>707000</v>
      </c>
      <c r="F7" s="25">
        <v>4685.6400000000003</v>
      </c>
      <c r="G7" s="25">
        <v>7.86</v>
      </c>
    </row>
    <row r="8" spans="2:7" x14ac:dyDescent="0.2">
      <c r="B8" s="27" t="s">
        <v>124</v>
      </c>
      <c r="C8" s="23" t="s">
        <v>125</v>
      </c>
      <c r="D8" s="23" t="s">
        <v>38</v>
      </c>
      <c r="E8" s="28">
        <v>250800</v>
      </c>
      <c r="F8" s="25">
        <v>3801.75</v>
      </c>
      <c r="G8" s="25">
        <v>6.38</v>
      </c>
    </row>
    <row r="9" spans="2:7" x14ac:dyDescent="0.2">
      <c r="B9" s="27" t="s">
        <v>145</v>
      </c>
      <c r="C9" s="23" t="s">
        <v>146</v>
      </c>
      <c r="D9" s="23" t="s">
        <v>142</v>
      </c>
      <c r="E9" s="28">
        <v>111675</v>
      </c>
      <c r="F9" s="25">
        <v>3325.12</v>
      </c>
      <c r="G9" s="25">
        <v>5.58</v>
      </c>
    </row>
    <row r="10" spans="2:7" x14ac:dyDescent="0.2">
      <c r="B10" s="27" t="s">
        <v>135</v>
      </c>
      <c r="C10" s="23" t="s">
        <v>136</v>
      </c>
      <c r="D10" s="23" t="s">
        <v>137</v>
      </c>
      <c r="E10" s="28">
        <v>53175</v>
      </c>
      <c r="F10" s="25">
        <v>2992.66</v>
      </c>
      <c r="G10" s="25">
        <v>5.0199999999999996</v>
      </c>
    </row>
    <row r="11" spans="2:7" x14ac:dyDescent="0.2">
      <c r="B11" s="27" t="s">
        <v>170</v>
      </c>
      <c r="C11" s="23" t="s">
        <v>171</v>
      </c>
      <c r="D11" s="23" t="s">
        <v>172</v>
      </c>
      <c r="E11" s="28">
        <v>80000</v>
      </c>
      <c r="F11" s="25">
        <v>2488.96</v>
      </c>
      <c r="G11" s="25">
        <v>4.18</v>
      </c>
    </row>
    <row r="12" spans="2:7" x14ac:dyDescent="0.2">
      <c r="B12" s="27" t="s">
        <v>187</v>
      </c>
      <c r="C12" s="23" t="s">
        <v>188</v>
      </c>
      <c r="D12" s="23" t="s">
        <v>142</v>
      </c>
      <c r="E12" s="28">
        <v>350000</v>
      </c>
      <c r="F12" s="25">
        <v>2323.48</v>
      </c>
      <c r="G12" s="25">
        <v>3.9</v>
      </c>
    </row>
    <row r="13" spans="2:7" x14ac:dyDescent="0.2">
      <c r="B13" s="27" t="s">
        <v>155</v>
      </c>
      <c r="C13" s="23" t="s">
        <v>156</v>
      </c>
      <c r="D13" s="23" t="s">
        <v>86</v>
      </c>
      <c r="E13" s="28">
        <v>135000</v>
      </c>
      <c r="F13" s="25">
        <v>2154.94</v>
      </c>
      <c r="G13" s="25">
        <v>3.62</v>
      </c>
    </row>
    <row r="14" spans="2:7" x14ac:dyDescent="0.2">
      <c r="B14" s="27" t="s">
        <v>160</v>
      </c>
      <c r="C14" s="23" t="s">
        <v>161</v>
      </c>
      <c r="D14" s="23" t="s">
        <v>86</v>
      </c>
      <c r="E14" s="28">
        <v>180000</v>
      </c>
      <c r="F14" s="25">
        <v>1855.44</v>
      </c>
      <c r="G14" s="25">
        <v>3.11</v>
      </c>
    </row>
    <row r="15" spans="2:7" x14ac:dyDescent="0.2">
      <c r="B15" s="27" t="s">
        <v>133</v>
      </c>
      <c r="C15" s="23" t="s">
        <v>134</v>
      </c>
      <c r="D15" s="23" t="s">
        <v>38</v>
      </c>
      <c r="E15" s="28">
        <v>231500</v>
      </c>
      <c r="F15" s="25">
        <v>1737.87</v>
      </c>
      <c r="G15" s="25">
        <v>2.92</v>
      </c>
    </row>
    <row r="16" spans="2:7" x14ac:dyDescent="0.2">
      <c r="B16" s="27" t="s">
        <v>150</v>
      </c>
      <c r="C16" s="23" t="s">
        <v>151</v>
      </c>
      <c r="D16" s="23" t="s">
        <v>152</v>
      </c>
      <c r="E16" s="28">
        <v>50250</v>
      </c>
      <c r="F16" s="25">
        <v>1542.37</v>
      </c>
      <c r="G16" s="25">
        <v>2.59</v>
      </c>
    </row>
    <row r="17" spans="2:7" x14ac:dyDescent="0.2">
      <c r="B17" s="27" t="s">
        <v>272</v>
      </c>
      <c r="C17" s="23" t="s">
        <v>273</v>
      </c>
      <c r="D17" s="23" t="s">
        <v>142</v>
      </c>
      <c r="E17" s="28">
        <v>262500</v>
      </c>
      <c r="F17" s="25">
        <v>1418.68</v>
      </c>
      <c r="G17" s="25">
        <v>2.38</v>
      </c>
    </row>
    <row r="18" spans="2:7" x14ac:dyDescent="0.2">
      <c r="B18" s="27" t="s">
        <v>98</v>
      </c>
      <c r="C18" s="23" t="s">
        <v>99</v>
      </c>
      <c r="D18" s="23" t="s">
        <v>86</v>
      </c>
      <c r="E18" s="28">
        <v>34505</v>
      </c>
      <c r="F18" s="25">
        <v>1390.14</v>
      </c>
      <c r="G18" s="25">
        <v>2.33</v>
      </c>
    </row>
    <row r="19" spans="2:7" x14ac:dyDescent="0.2">
      <c r="B19" s="27" t="s">
        <v>229</v>
      </c>
      <c r="C19" s="23" t="s">
        <v>230</v>
      </c>
      <c r="D19" s="23" t="s">
        <v>164</v>
      </c>
      <c r="E19" s="28">
        <v>575000</v>
      </c>
      <c r="F19" s="25">
        <v>1381.15</v>
      </c>
      <c r="G19" s="25">
        <v>2.3199999999999998</v>
      </c>
    </row>
    <row r="20" spans="2:7" x14ac:dyDescent="0.2">
      <c r="B20" s="27" t="s">
        <v>138</v>
      </c>
      <c r="C20" s="23" t="s">
        <v>139</v>
      </c>
      <c r="D20" s="23" t="s">
        <v>137</v>
      </c>
      <c r="E20" s="28">
        <v>53500</v>
      </c>
      <c r="F20" s="25">
        <v>1365.77</v>
      </c>
      <c r="G20" s="25">
        <v>2.29</v>
      </c>
    </row>
    <row r="21" spans="2:7" x14ac:dyDescent="0.2">
      <c r="B21" s="27" t="s">
        <v>153</v>
      </c>
      <c r="C21" s="23" t="s">
        <v>154</v>
      </c>
      <c r="D21" s="23" t="s">
        <v>59</v>
      </c>
      <c r="E21" s="28">
        <v>75000</v>
      </c>
      <c r="F21" s="25">
        <v>1255.69</v>
      </c>
      <c r="G21" s="25">
        <v>2.11</v>
      </c>
    </row>
    <row r="22" spans="2:7" x14ac:dyDescent="0.2">
      <c r="B22" s="27" t="s">
        <v>235</v>
      </c>
      <c r="C22" s="23" t="s">
        <v>236</v>
      </c>
      <c r="D22" s="23" t="s">
        <v>86</v>
      </c>
      <c r="E22" s="28">
        <v>305791</v>
      </c>
      <c r="F22" s="25">
        <v>1217.81</v>
      </c>
      <c r="G22" s="25">
        <v>2.04</v>
      </c>
    </row>
    <row r="23" spans="2:7" x14ac:dyDescent="0.2">
      <c r="B23" s="27" t="s">
        <v>233</v>
      </c>
      <c r="C23" s="23" t="s">
        <v>234</v>
      </c>
      <c r="D23" s="23" t="s">
        <v>152</v>
      </c>
      <c r="E23" s="28">
        <v>27499</v>
      </c>
      <c r="F23" s="25">
        <v>1194.96</v>
      </c>
      <c r="G23" s="25">
        <v>2</v>
      </c>
    </row>
    <row r="24" spans="2:7" x14ac:dyDescent="0.2">
      <c r="B24" s="27" t="s">
        <v>245</v>
      </c>
      <c r="C24" s="23" t="s">
        <v>246</v>
      </c>
      <c r="D24" s="23" t="s">
        <v>175</v>
      </c>
      <c r="E24" s="28">
        <v>120000</v>
      </c>
      <c r="F24" s="25">
        <v>1170.78</v>
      </c>
      <c r="G24" s="25">
        <v>1.96</v>
      </c>
    </row>
    <row r="25" spans="2:7" x14ac:dyDescent="0.2">
      <c r="B25" s="27" t="s">
        <v>247</v>
      </c>
      <c r="C25" s="23" t="s">
        <v>248</v>
      </c>
      <c r="D25" s="23" t="s">
        <v>128</v>
      </c>
      <c r="E25" s="28">
        <v>21597</v>
      </c>
      <c r="F25" s="25">
        <v>1147.3399999999999</v>
      </c>
      <c r="G25" s="25">
        <v>1.92</v>
      </c>
    </row>
    <row r="26" spans="2:7" x14ac:dyDescent="0.2">
      <c r="B26" s="27" t="s">
        <v>274</v>
      </c>
      <c r="C26" s="23" t="s">
        <v>275</v>
      </c>
      <c r="D26" s="23" t="s">
        <v>86</v>
      </c>
      <c r="E26" s="28">
        <v>373087</v>
      </c>
      <c r="F26" s="25">
        <v>1136.42</v>
      </c>
      <c r="G26" s="25">
        <v>1.91</v>
      </c>
    </row>
    <row r="27" spans="2:7" x14ac:dyDescent="0.2">
      <c r="B27" s="27" t="s">
        <v>185</v>
      </c>
      <c r="C27" s="23" t="s">
        <v>186</v>
      </c>
      <c r="D27" s="23" t="s">
        <v>167</v>
      </c>
      <c r="E27" s="28">
        <v>900000</v>
      </c>
      <c r="F27" s="25">
        <v>1111.05</v>
      </c>
      <c r="G27" s="25">
        <v>1.86</v>
      </c>
    </row>
    <row r="28" spans="2:7" x14ac:dyDescent="0.2">
      <c r="B28" s="27" t="s">
        <v>276</v>
      </c>
      <c r="C28" s="23" t="s">
        <v>277</v>
      </c>
      <c r="D28" s="23" t="s">
        <v>142</v>
      </c>
      <c r="E28" s="28">
        <v>8200</v>
      </c>
      <c r="F28" s="25">
        <v>1076.45</v>
      </c>
      <c r="G28" s="25">
        <v>1.81</v>
      </c>
    </row>
    <row r="29" spans="2:7" x14ac:dyDescent="0.2">
      <c r="B29" s="27" t="s">
        <v>198</v>
      </c>
      <c r="C29" s="23" t="s">
        <v>199</v>
      </c>
      <c r="D29" s="23" t="s">
        <v>137</v>
      </c>
      <c r="E29" s="28">
        <v>102500</v>
      </c>
      <c r="F29" s="25">
        <v>1071.1300000000001</v>
      </c>
      <c r="G29" s="25">
        <v>1.8</v>
      </c>
    </row>
    <row r="30" spans="2:7" x14ac:dyDescent="0.2">
      <c r="B30" s="27" t="s">
        <v>241</v>
      </c>
      <c r="C30" s="23" t="s">
        <v>242</v>
      </c>
      <c r="D30" s="23" t="s">
        <v>164</v>
      </c>
      <c r="E30" s="28">
        <v>15524</v>
      </c>
      <c r="F30" s="25">
        <v>1060.49</v>
      </c>
      <c r="G30" s="25">
        <v>1.78</v>
      </c>
    </row>
    <row r="31" spans="2:7" x14ac:dyDescent="0.2">
      <c r="B31" s="27" t="s">
        <v>147</v>
      </c>
      <c r="C31" s="23" t="s">
        <v>148</v>
      </c>
      <c r="D31" s="23" t="s">
        <v>149</v>
      </c>
      <c r="E31" s="28">
        <v>25125</v>
      </c>
      <c r="F31" s="25">
        <v>1053.74</v>
      </c>
      <c r="G31" s="25">
        <v>1.77</v>
      </c>
    </row>
    <row r="32" spans="2:7" x14ac:dyDescent="0.2">
      <c r="B32" s="27" t="s">
        <v>84</v>
      </c>
      <c r="C32" s="23" t="s">
        <v>85</v>
      </c>
      <c r="D32" s="23" t="s">
        <v>86</v>
      </c>
      <c r="E32" s="28">
        <v>102500</v>
      </c>
      <c r="F32" s="25">
        <v>1032.48</v>
      </c>
      <c r="G32" s="25">
        <v>1.73</v>
      </c>
    </row>
    <row r="33" spans="2:7" x14ac:dyDescent="0.2">
      <c r="B33" s="27" t="s">
        <v>278</v>
      </c>
      <c r="C33" s="23" t="s">
        <v>279</v>
      </c>
      <c r="D33" s="23" t="s">
        <v>270</v>
      </c>
      <c r="E33" s="28">
        <v>135000</v>
      </c>
      <c r="F33" s="25">
        <v>1027.8900000000001</v>
      </c>
      <c r="G33" s="25">
        <v>1.72</v>
      </c>
    </row>
    <row r="34" spans="2:7" x14ac:dyDescent="0.2">
      <c r="B34" s="27" t="s">
        <v>203</v>
      </c>
      <c r="C34" s="23" t="s">
        <v>204</v>
      </c>
      <c r="D34" s="23" t="s">
        <v>137</v>
      </c>
      <c r="E34" s="28">
        <v>181000</v>
      </c>
      <c r="F34" s="25">
        <v>994.23</v>
      </c>
      <c r="G34" s="25">
        <v>1.67</v>
      </c>
    </row>
    <row r="35" spans="2:7" x14ac:dyDescent="0.2">
      <c r="B35" s="27" t="s">
        <v>53</v>
      </c>
      <c r="C35" s="23" t="s">
        <v>54</v>
      </c>
      <c r="D35" s="23" t="s">
        <v>38</v>
      </c>
      <c r="E35" s="28">
        <v>227755</v>
      </c>
      <c r="F35" s="25">
        <v>966.48</v>
      </c>
      <c r="G35" s="25">
        <v>1.62</v>
      </c>
    </row>
    <row r="36" spans="2:7" x14ac:dyDescent="0.2">
      <c r="B36" s="27" t="s">
        <v>162</v>
      </c>
      <c r="C36" s="23" t="s">
        <v>163</v>
      </c>
      <c r="D36" s="23" t="s">
        <v>164</v>
      </c>
      <c r="E36" s="28">
        <v>155000</v>
      </c>
      <c r="F36" s="25">
        <v>937.83</v>
      </c>
      <c r="G36" s="25">
        <v>1.57</v>
      </c>
    </row>
    <row r="37" spans="2:7" x14ac:dyDescent="0.2">
      <c r="B37" s="27" t="s">
        <v>104</v>
      </c>
      <c r="C37" s="23" t="s">
        <v>105</v>
      </c>
      <c r="D37" s="23" t="s">
        <v>59</v>
      </c>
      <c r="E37" s="28">
        <v>550000</v>
      </c>
      <c r="F37" s="25">
        <v>935</v>
      </c>
      <c r="G37" s="25">
        <v>1.57</v>
      </c>
    </row>
    <row r="38" spans="2:7" x14ac:dyDescent="0.2">
      <c r="B38" s="27" t="s">
        <v>165</v>
      </c>
      <c r="C38" s="23" t="s">
        <v>166</v>
      </c>
      <c r="D38" s="23" t="s">
        <v>167</v>
      </c>
      <c r="E38" s="28">
        <v>150000</v>
      </c>
      <c r="F38" s="25">
        <v>922.8</v>
      </c>
      <c r="G38" s="25">
        <v>1.55</v>
      </c>
    </row>
    <row r="39" spans="2:7" x14ac:dyDescent="0.2">
      <c r="B39" s="27" t="s">
        <v>280</v>
      </c>
      <c r="C39" s="23" t="s">
        <v>281</v>
      </c>
      <c r="D39" s="23" t="s">
        <v>282</v>
      </c>
      <c r="E39" s="28">
        <v>3000</v>
      </c>
      <c r="F39" s="25">
        <v>919.97</v>
      </c>
      <c r="G39" s="25">
        <v>1.54</v>
      </c>
    </row>
    <row r="40" spans="2:7" x14ac:dyDescent="0.2">
      <c r="B40" s="27" t="s">
        <v>283</v>
      </c>
      <c r="C40" s="23" t="s">
        <v>284</v>
      </c>
      <c r="D40" s="23" t="s">
        <v>167</v>
      </c>
      <c r="E40" s="28">
        <v>19500</v>
      </c>
      <c r="F40" s="25">
        <v>817.6</v>
      </c>
      <c r="G40" s="25">
        <v>1.37</v>
      </c>
    </row>
    <row r="41" spans="2:7" x14ac:dyDescent="0.2">
      <c r="B41" s="27" t="s">
        <v>168</v>
      </c>
      <c r="C41" s="23" t="s">
        <v>169</v>
      </c>
      <c r="D41" s="23" t="s">
        <v>164</v>
      </c>
      <c r="E41" s="28">
        <v>35000</v>
      </c>
      <c r="F41" s="25">
        <v>770.32</v>
      </c>
      <c r="G41" s="25">
        <v>1.29</v>
      </c>
    </row>
    <row r="42" spans="2:7" x14ac:dyDescent="0.2">
      <c r="B42" s="27" t="s">
        <v>285</v>
      </c>
      <c r="C42" s="23" t="s">
        <v>286</v>
      </c>
      <c r="D42" s="23" t="s">
        <v>142</v>
      </c>
      <c r="E42" s="28">
        <v>91000</v>
      </c>
      <c r="F42" s="25">
        <v>733.05</v>
      </c>
      <c r="G42" s="25">
        <v>1.23</v>
      </c>
    </row>
    <row r="43" spans="2:7" x14ac:dyDescent="0.2">
      <c r="B43" s="27" t="s">
        <v>259</v>
      </c>
      <c r="C43" s="23" t="s">
        <v>260</v>
      </c>
      <c r="D43" s="23" t="s">
        <v>142</v>
      </c>
      <c r="E43" s="28">
        <v>112000</v>
      </c>
      <c r="F43" s="25">
        <v>640.47</v>
      </c>
      <c r="G43" s="25">
        <v>1.07</v>
      </c>
    </row>
    <row r="44" spans="2:7" x14ac:dyDescent="0.2">
      <c r="B44" s="27" t="s">
        <v>71</v>
      </c>
      <c r="C44" s="23" t="s">
        <v>72</v>
      </c>
      <c r="D44" s="23" t="s">
        <v>73</v>
      </c>
      <c r="E44" s="28">
        <v>107000</v>
      </c>
      <c r="F44" s="25">
        <v>573.84</v>
      </c>
      <c r="G44" s="25">
        <v>0.96</v>
      </c>
    </row>
    <row r="45" spans="2:7" x14ac:dyDescent="0.2">
      <c r="B45" s="27" t="s">
        <v>143</v>
      </c>
      <c r="C45" s="23" t="s">
        <v>144</v>
      </c>
      <c r="D45" s="23" t="s">
        <v>38</v>
      </c>
      <c r="E45" s="28">
        <v>30000</v>
      </c>
      <c r="F45" s="25">
        <v>542.30999999999995</v>
      </c>
      <c r="G45" s="25">
        <v>0.91</v>
      </c>
    </row>
    <row r="46" spans="2:7" x14ac:dyDescent="0.2">
      <c r="B46" s="27" t="s">
        <v>157</v>
      </c>
      <c r="C46" s="23" t="s">
        <v>158</v>
      </c>
      <c r="D46" s="23" t="s">
        <v>159</v>
      </c>
      <c r="E46" s="28">
        <v>19582</v>
      </c>
      <c r="F46" s="25">
        <v>512.05999999999995</v>
      </c>
      <c r="G46" s="25">
        <v>0.86</v>
      </c>
    </row>
    <row r="47" spans="2:7" x14ac:dyDescent="0.2">
      <c r="B47" s="27" t="s">
        <v>140</v>
      </c>
      <c r="C47" s="23" t="s">
        <v>141</v>
      </c>
      <c r="D47" s="23" t="s">
        <v>142</v>
      </c>
      <c r="E47" s="28">
        <v>19650</v>
      </c>
      <c r="F47" s="25">
        <v>459.82</v>
      </c>
      <c r="G47" s="25">
        <v>0.77</v>
      </c>
    </row>
    <row r="48" spans="2:7" x14ac:dyDescent="0.2">
      <c r="B48" s="27" t="s">
        <v>129</v>
      </c>
      <c r="C48" s="23" t="s">
        <v>130</v>
      </c>
      <c r="D48" s="23" t="s">
        <v>83</v>
      </c>
      <c r="E48" s="28">
        <v>13000</v>
      </c>
      <c r="F48" s="25">
        <v>280.83999999999997</v>
      </c>
      <c r="G48" s="25">
        <v>0.47</v>
      </c>
    </row>
    <row r="49" spans="2:9" x14ac:dyDescent="0.2">
      <c r="B49" s="29" t="s">
        <v>119</v>
      </c>
      <c r="C49" s="30"/>
      <c r="D49" s="30"/>
      <c r="E49" s="31"/>
      <c r="F49" s="32">
        <f>SUM(F7:F48)</f>
        <v>58026.819999999985</v>
      </c>
      <c r="G49" s="32">
        <f>SUM(G7:G48)</f>
        <v>97.339999999999975</v>
      </c>
      <c r="H49" s="14"/>
      <c r="I49" s="14"/>
    </row>
    <row r="50" spans="2:9" x14ac:dyDescent="0.2">
      <c r="B50" s="37" t="s">
        <v>120</v>
      </c>
      <c r="C50" s="37"/>
      <c r="D50" s="37"/>
      <c r="E50" s="38"/>
      <c r="F50" s="39">
        <f>F49</f>
        <v>58026.819999999985</v>
      </c>
      <c r="G50" s="39">
        <f>G49</f>
        <v>97.339999999999975</v>
      </c>
      <c r="H50" s="14"/>
      <c r="I50" s="14"/>
    </row>
    <row r="51" spans="2:9" x14ac:dyDescent="0.2">
      <c r="B51" s="40" t="s">
        <v>121</v>
      </c>
      <c r="C51" s="41"/>
      <c r="D51" s="41"/>
      <c r="E51" s="42"/>
      <c r="F51" s="43"/>
      <c r="G51" s="43"/>
    </row>
    <row r="52" spans="2:9" x14ac:dyDescent="0.2">
      <c r="B52" s="27" t="s">
        <v>121</v>
      </c>
      <c r="C52" s="23"/>
      <c r="D52" s="23"/>
      <c r="E52" s="24"/>
      <c r="F52" s="25">
        <v>2151.89</v>
      </c>
      <c r="G52" s="25">
        <v>3.61</v>
      </c>
    </row>
    <row r="53" spans="2:9" x14ac:dyDescent="0.2">
      <c r="B53" s="29" t="s">
        <v>119</v>
      </c>
      <c r="C53" s="30"/>
      <c r="D53" s="30"/>
      <c r="E53" s="31"/>
      <c r="F53" s="32">
        <f>SUM(F51:F52)</f>
        <v>2151.89</v>
      </c>
      <c r="G53" s="32">
        <f>SUM(G51:G52)</f>
        <v>3.61</v>
      </c>
      <c r="H53" s="14"/>
      <c r="I53" s="14"/>
    </row>
    <row r="54" spans="2:9" x14ac:dyDescent="0.2">
      <c r="B54" s="34" t="s">
        <v>120</v>
      </c>
      <c r="C54" s="34"/>
      <c r="D54" s="34"/>
      <c r="E54" s="35"/>
      <c r="F54" s="36">
        <f>F53</f>
        <v>2151.89</v>
      </c>
      <c r="G54" s="36">
        <f>G53</f>
        <v>3.61</v>
      </c>
      <c r="H54" s="14"/>
      <c r="I54" s="14"/>
    </row>
    <row r="55" spans="2:9" x14ac:dyDescent="0.2">
      <c r="B55" s="44" t="s">
        <v>123</v>
      </c>
      <c r="C55" s="44"/>
      <c r="D55" s="44"/>
      <c r="E55" s="45"/>
      <c r="F55" s="16">
        <f>F56-(+F50+F54)</f>
        <v>-571.61999999998807</v>
      </c>
      <c r="G55" s="16">
        <f>G56-(+G50+G54)</f>
        <v>-0.94999999999997442</v>
      </c>
      <c r="H55" s="14"/>
      <c r="I55" s="14"/>
    </row>
    <row r="56" spans="2:9" x14ac:dyDescent="0.2">
      <c r="B56" s="44" t="s">
        <v>122</v>
      </c>
      <c r="C56" s="44"/>
      <c r="D56" s="44"/>
      <c r="E56" s="45"/>
      <c r="F56" s="16">
        <v>59607.09</v>
      </c>
      <c r="G56" s="16">
        <v>100</v>
      </c>
      <c r="H56" s="14"/>
      <c r="I56" s="14"/>
    </row>
    <row r="58" spans="2:9" x14ac:dyDescent="0.2">
      <c r="B58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9"/>
  <sheetViews>
    <sheetView workbookViewId="0">
      <selection activeCell="B4" sqref="B4"/>
    </sheetView>
  </sheetViews>
  <sheetFormatPr defaultRowHeight="12" x14ac:dyDescent="0.2"/>
  <cols>
    <col min="1" max="1" width="9.140625" style="1"/>
    <col min="2" max="2" width="53.85546875" style="1" bestFit="1" customWidth="1"/>
    <col min="3" max="3" width="13.285156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8" t="s">
        <v>13</v>
      </c>
      <c r="C1" s="79"/>
      <c r="D1" s="79"/>
      <c r="E1" s="79"/>
      <c r="F1" s="79"/>
      <c r="G1" s="79"/>
      <c r="H1" s="79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124</v>
      </c>
      <c r="C7" s="23" t="s">
        <v>125</v>
      </c>
      <c r="D7" s="23" t="s">
        <v>38</v>
      </c>
      <c r="E7" s="28">
        <v>1494700</v>
      </c>
      <c r="F7" s="25">
        <v>22657.41</v>
      </c>
      <c r="G7" s="25">
        <v>7.85</v>
      </c>
      <c r="H7" s="26"/>
    </row>
    <row r="8" spans="2:8" x14ac:dyDescent="0.2">
      <c r="B8" s="27" t="s">
        <v>126</v>
      </c>
      <c r="C8" s="23" t="s">
        <v>127</v>
      </c>
      <c r="D8" s="23" t="s">
        <v>128</v>
      </c>
      <c r="E8" s="28">
        <v>1519142</v>
      </c>
      <c r="F8" s="25">
        <v>21173.040000000001</v>
      </c>
      <c r="G8" s="25">
        <v>7.34</v>
      </c>
      <c r="H8" s="26"/>
    </row>
    <row r="9" spans="2:8" x14ac:dyDescent="0.2">
      <c r="B9" s="27" t="s">
        <v>36</v>
      </c>
      <c r="C9" s="23" t="s">
        <v>37</v>
      </c>
      <c r="D9" s="23" t="s">
        <v>38</v>
      </c>
      <c r="E9" s="28">
        <v>3115600</v>
      </c>
      <c r="F9" s="25">
        <v>20648.64</v>
      </c>
      <c r="G9" s="25">
        <v>7.16</v>
      </c>
      <c r="H9" s="26"/>
    </row>
    <row r="10" spans="2:8" x14ac:dyDescent="0.2">
      <c r="B10" s="27" t="s">
        <v>129</v>
      </c>
      <c r="C10" s="23" t="s">
        <v>130</v>
      </c>
      <c r="D10" s="23" t="s">
        <v>83</v>
      </c>
      <c r="E10" s="28">
        <v>838250</v>
      </c>
      <c r="F10" s="25">
        <v>18108.71</v>
      </c>
      <c r="G10" s="25">
        <v>6.28</v>
      </c>
      <c r="H10" s="26"/>
    </row>
    <row r="11" spans="2:8" x14ac:dyDescent="0.2">
      <c r="B11" s="27" t="s">
        <v>131</v>
      </c>
      <c r="C11" s="23" t="s">
        <v>132</v>
      </c>
      <c r="D11" s="23" t="s">
        <v>128</v>
      </c>
      <c r="E11" s="28">
        <v>403461</v>
      </c>
      <c r="F11" s="25">
        <v>12745.94</v>
      </c>
      <c r="G11" s="25">
        <v>4.42</v>
      </c>
      <c r="H11" s="26"/>
    </row>
    <row r="12" spans="2:8" x14ac:dyDescent="0.2">
      <c r="B12" s="27" t="s">
        <v>138</v>
      </c>
      <c r="C12" s="23" t="s">
        <v>139</v>
      </c>
      <c r="D12" s="23" t="s">
        <v>137</v>
      </c>
      <c r="E12" s="28">
        <v>485450</v>
      </c>
      <c r="F12" s="25">
        <v>12392.81</v>
      </c>
      <c r="G12" s="25">
        <v>4.29</v>
      </c>
      <c r="H12" s="26"/>
    </row>
    <row r="13" spans="2:8" x14ac:dyDescent="0.2">
      <c r="B13" s="27" t="s">
        <v>53</v>
      </c>
      <c r="C13" s="23" t="s">
        <v>54</v>
      </c>
      <c r="D13" s="23" t="s">
        <v>38</v>
      </c>
      <c r="E13" s="28">
        <v>2505000</v>
      </c>
      <c r="F13" s="25">
        <v>10629.97</v>
      </c>
      <c r="G13" s="25">
        <v>3.68</v>
      </c>
      <c r="H13" s="26"/>
    </row>
    <row r="14" spans="2:8" x14ac:dyDescent="0.2">
      <c r="B14" s="27" t="s">
        <v>33</v>
      </c>
      <c r="C14" s="23" t="s">
        <v>34</v>
      </c>
      <c r="D14" s="23" t="s">
        <v>35</v>
      </c>
      <c r="E14" s="28">
        <v>660685</v>
      </c>
      <c r="F14" s="25">
        <v>9696.8700000000008</v>
      </c>
      <c r="G14" s="25">
        <v>3.36</v>
      </c>
      <c r="H14" s="26"/>
    </row>
    <row r="15" spans="2:8" x14ac:dyDescent="0.2">
      <c r="B15" s="27" t="s">
        <v>135</v>
      </c>
      <c r="C15" s="23" t="s">
        <v>136</v>
      </c>
      <c r="D15" s="23" t="s">
        <v>137</v>
      </c>
      <c r="E15" s="28">
        <v>161934</v>
      </c>
      <c r="F15" s="25">
        <v>9113.56</v>
      </c>
      <c r="G15" s="25">
        <v>3.16</v>
      </c>
      <c r="H15" s="26"/>
    </row>
    <row r="16" spans="2:8" x14ac:dyDescent="0.2">
      <c r="B16" s="27" t="s">
        <v>133</v>
      </c>
      <c r="C16" s="23" t="s">
        <v>134</v>
      </c>
      <c r="D16" s="23" t="s">
        <v>38</v>
      </c>
      <c r="E16" s="28">
        <v>1204200</v>
      </c>
      <c r="F16" s="25">
        <v>9039.93</v>
      </c>
      <c r="G16" s="25">
        <v>3.13</v>
      </c>
      <c r="H16" s="26"/>
    </row>
    <row r="17" spans="2:8" x14ac:dyDescent="0.2">
      <c r="B17" s="27" t="s">
        <v>143</v>
      </c>
      <c r="C17" s="23" t="s">
        <v>144</v>
      </c>
      <c r="D17" s="23" t="s">
        <v>38</v>
      </c>
      <c r="E17" s="28">
        <v>413750</v>
      </c>
      <c r="F17" s="25">
        <v>7479.36</v>
      </c>
      <c r="G17" s="25">
        <v>2.59</v>
      </c>
      <c r="H17" s="26"/>
    </row>
    <row r="18" spans="2:8" x14ac:dyDescent="0.2">
      <c r="B18" s="27" t="s">
        <v>200</v>
      </c>
      <c r="C18" s="23" t="s">
        <v>201</v>
      </c>
      <c r="D18" s="23" t="s">
        <v>202</v>
      </c>
      <c r="E18" s="28">
        <v>1233316</v>
      </c>
      <c r="F18" s="25">
        <v>6597.01</v>
      </c>
      <c r="G18" s="25">
        <v>2.29</v>
      </c>
      <c r="H18" s="26"/>
    </row>
    <row r="19" spans="2:8" x14ac:dyDescent="0.2">
      <c r="B19" s="27" t="s">
        <v>140</v>
      </c>
      <c r="C19" s="23" t="s">
        <v>141</v>
      </c>
      <c r="D19" s="23" t="s">
        <v>142</v>
      </c>
      <c r="E19" s="28">
        <v>232800</v>
      </c>
      <c r="F19" s="25">
        <v>5447.64</v>
      </c>
      <c r="G19" s="25">
        <v>1.89</v>
      </c>
      <c r="H19" s="26"/>
    </row>
    <row r="20" spans="2:8" x14ac:dyDescent="0.2">
      <c r="B20" s="27" t="s">
        <v>69</v>
      </c>
      <c r="C20" s="23" t="s">
        <v>70</v>
      </c>
      <c r="D20" s="23" t="s">
        <v>68</v>
      </c>
      <c r="E20" s="28">
        <v>80152</v>
      </c>
      <c r="F20" s="25">
        <v>5376.6</v>
      </c>
      <c r="G20" s="25">
        <v>1.86</v>
      </c>
      <c r="H20" s="26"/>
    </row>
    <row r="21" spans="2:8" x14ac:dyDescent="0.2">
      <c r="B21" s="27" t="s">
        <v>150</v>
      </c>
      <c r="C21" s="23" t="s">
        <v>151</v>
      </c>
      <c r="D21" s="23" t="s">
        <v>152</v>
      </c>
      <c r="E21" s="28">
        <v>143300</v>
      </c>
      <c r="F21" s="25">
        <v>4398.45</v>
      </c>
      <c r="G21" s="25">
        <v>1.52</v>
      </c>
      <c r="H21" s="26"/>
    </row>
    <row r="22" spans="2:8" x14ac:dyDescent="0.2">
      <c r="B22" s="27" t="s">
        <v>249</v>
      </c>
      <c r="C22" s="23" t="s">
        <v>250</v>
      </c>
      <c r="D22" s="23" t="s">
        <v>167</v>
      </c>
      <c r="E22" s="28">
        <v>1375000</v>
      </c>
      <c r="F22" s="25">
        <v>4382.8100000000004</v>
      </c>
      <c r="G22" s="25">
        <v>1.52</v>
      </c>
      <c r="H22" s="26"/>
    </row>
    <row r="23" spans="2:8" x14ac:dyDescent="0.2">
      <c r="B23" s="27" t="s">
        <v>155</v>
      </c>
      <c r="C23" s="23" t="s">
        <v>156</v>
      </c>
      <c r="D23" s="23" t="s">
        <v>86</v>
      </c>
      <c r="E23" s="28">
        <v>272200</v>
      </c>
      <c r="F23" s="25">
        <v>4344.99</v>
      </c>
      <c r="G23" s="25">
        <v>1.51</v>
      </c>
      <c r="H23" s="26"/>
    </row>
    <row r="24" spans="2:8" x14ac:dyDescent="0.2">
      <c r="B24" s="27" t="s">
        <v>176</v>
      </c>
      <c r="C24" s="23" t="s">
        <v>177</v>
      </c>
      <c r="D24" s="23" t="s">
        <v>167</v>
      </c>
      <c r="E24" s="28">
        <v>57900</v>
      </c>
      <c r="F24" s="25">
        <v>4102.97</v>
      </c>
      <c r="G24" s="25">
        <v>1.42</v>
      </c>
      <c r="H24" s="26"/>
    </row>
    <row r="25" spans="2:8" x14ac:dyDescent="0.2">
      <c r="B25" s="27" t="s">
        <v>239</v>
      </c>
      <c r="C25" s="23" t="s">
        <v>240</v>
      </c>
      <c r="D25" s="23" t="s">
        <v>149</v>
      </c>
      <c r="E25" s="28">
        <v>75900</v>
      </c>
      <c r="F25" s="25">
        <v>4029.64</v>
      </c>
      <c r="G25" s="25">
        <v>1.4</v>
      </c>
      <c r="H25" s="26"/>
    </row>
    <row r="26" spans="2:8" x14ac:dyDescent="0.2">
      <c r="B26" s="27" t="s">
        <v>229</v>
      </c>
      <c r="C26" s="23" t="s">
        <v>230</v>
      </c>
      <c r="D26" s="23" t="s">
        <v>164</v>
      </c>
      <c r="E26" s="28">
        <v>1675000</v>
      </c>
      <c r="F26" s="25">
        <v>4023.35</v>
      </c>
      <c r="G26" s="25">
        <v>1.39</v>
      </c>
      <c r="H26" s="26"/>
    </row>
    <row r="27" spans="2:8" x14ac:dyDescent="0.2">
      <c r="B27" s="27" t="s">
        <v>187</v>
      </c>
      <c r="C27" s="23" t="s">
        <v>188</v>
      </c>
      <c r="D27" s="23" t="s">
        <v>142</v>
      </c>
      <c r="E27" s="28">
        <v>591324</v>
      </c>
      <c r="F27" s="25">
        <v>3925.5</v>
      </c>
      <c r="G27" s="25">
        <v>1.36</v>
      </c>
      <c r="H27" s="26"/>
    </row>
    <row r="28" spans="2:8" x14ac:dyDescent="0.2">
      <c r="B28" s="27" t="s">
        <v>95</v>
      </c>
      <c r="C28" s="23" t="s">
        <v>96</v>
      </c>
      <c r="D28" s="23" t="s">
        <v>97</v>
      </c>
      <c r="E28" s="28">
        <v>995000</v>
      </c>
      <c r="F28" s="25">
        <v>3922.79</v>
      </c>
      <c r="G28" s="25">
        <v>1.36</v>
      </c>
      <c r="H28" s="26"/>
    </row>
    <row r="29" spans="2:8" x14ac:dyDescent="0.2">
      <c r="B29" s="27" t="s">
        <v>74</v>
      </c>
      <c r="C29" s="23" t="s">
        <v>75</v>
      </c>
      <c r="D29" s="23" t="s">
        <v>76</v>
      </c>
      <c r="E29" s="28">
        <v>345000</v>
      </c>
      <c r="F29" s="25">
        <v>3883.49</v>
      </c>
      <c r="G29" s="25">
        <v>1.35</v>
      </c>
      <c r="H29" s="26"/>
    </row>
    <row r="30" spans="2:8" x14ac:dyDescent="0.2">
      <c r="B30" s="27" t="s">
        <v>145</v>
      </c>
      <c r="C30" s="23" t="s">
        <v>146</v>
      </c>
      <c r="D30" s="23" t="s">
        <v>142</v>
      </c>
      <c r="E30" s="28">
        <v>129600</v>
      </c>
      <c r="F30" s="25">
        <v>3858.84</v>
      </c>
      <c r="G30" s="25">
        <v>1.34</v>
      </c>
      <c r="H30" s="26"/>
    </row>
    <row r="31" spans="2:8" x14ac:dyDescent="0.2">
      <c r="B31" s="27" t="s">
        <v>235</v>
      </c>
      <c r="C31" s="23" t="s">
        <v>236</v>
      </c>
      <c r="D31" s="23" t="s">
        <v>86</v>
      </c>
      <c r="E31" s="28">
        <v>945000</v>
      </c>
      <c r="F31" s="25">
        <v>3763.46</v>
      </c>
      <c r="G31" s="25">
        <v>1.3</v>
      </c>
      <c r="H31" s="26"/>
    </row>
    <row r="32" spans="2:8" x14ac:dyDescent="0.2">
      <c r="B32" s="27" t="s">
        <v>147</v>
      </c>
      <c r="C32" s="23" t="s">
        <v>148</v>
      </c>
      <c r="D32" s="23" t="s">
        <v>149</v>
      </c>
      <c r="E32" s="28">
        <v>88981</v>
      </c>
      <c r="F32" s="25">
        <v>3731.86</v>
      </c>
      <c r="G32" s="25">
        <v>1.29</v>
      </c>
      <c r="H32" s="26"/>
    </row>
    <row r="33" spans="2:8" x14ac:dyDescent="0.2">
      <c r="B33" s="27" t="s">
        <v>157</v>
      </c>
      <c r="C33" s="23" t="s">
        <v>158</v>
      </c>
      <c r="D33" s="23" t="s">
        <v>159</v>
      </c>
      <c r="E33" s="28">
        <v>142055</v>
      </c>
      <c r="F33" s="25">
        <v>3714.67</v>
      </c>
      <c r="G33" s="25">
        <v>1.29</v>
      </c>
      <c r="H33" s="26"/>
    </row>
    <row r="34" spans="2:8" x14ac:dyDescent="0.2">
      <c r="B34" s="27" t="s">
        <v>207</v>
      </c>
      <c r="C34" s="23" t="s">
        <v>208</v>
      </c>
      <c r="D34" s="23" t="s">
        <v>128</v>
      </c>
      <c r="E34" s="28">
        <v>392000</v>
      </c>
      <c r="F34" s="25">
        <v>3705.18</v>
      </c>
      <c r="G34" s="25">
        <v>1.28</v>
      </c>
      <c r="H34" s="26"/>
    </row>
    <row r="35" spans="2:8" x14ac:dyDescent="0.2">
      <c r="B35" s="27" t="s">
        <v>180</v>
      </c>
      <c r="C35" s="23" t="s">
        <v>181</v>
      </c>
      <c r="D35" s="23" t="s">
        <v>149</v>
      </c>
      <c r="E35" s="28">
        <v>357000</v>
      </c>
      <c r="F35" s="25">
        <v>3389.18</v>
      </c>
      <c r="G35" s="25">
        <v>1.17</v>
      </c>
      <c r="H35" s="26"/>
    </row>
    <row r="36" spans="2:8" x14ac:dyDescent="0.2">
      <c r="B36" s="27" t="s">
        <v>170</v>
      </c>
      <c r="C36" s="23" t="s">
        <v>171</v>
      </c>
      <c r="D36" s="23" t="s">
        <v>172</v>
      </c>
      <c r="E36" s="28">
        <v>107000</v>
      </c>
      <c r="F36" s="25">
        <v>3328.98</v>
      </c>
      <c r="G36" s="25">
        <v>1.1499999999999999</v>
      </c>
      <c r="H36" s="26"/>
    </row>
    <row r="37" spans="2:8" x14ac:dyDescent="0.2">
      <c r="B37" s="27" t="s">
        <v>84</v>
      </c>
      <c r="C37" s="23" t="s">
        <v>85</v>
      </c>
      <c r="D37" s="23" t="s">
        <v>86</v>
      </c>
      <c r="E37" s="28">
        <v>326200</v>
      </c>
      <c r="F37" s="25">
        <v>3285.81</v>
      </c>
      <c r="G37" s="25">
        <v>1.1399999999999999</v>
      </c>
      <c r="H37" s="26"/>
    </row>
    <row r="38" spans="2:8" x14ac:dyDescent="0.2">
      <c r="B38" s="27" t="s">
        <v>178</v>
      </c>
      <c r="C38" s="23" t="s">
        <v>179</v>
      </c>
      <c r="D38" s="23" t="s">
        <v>128</v>
      </c>
      <c r="E38" s="28">
        <v>165000</v>
      </c>
      <c r="F38" s="25">
        <v>3208.18</v>
      </c>
      <c r="G38" s="25">
        <v>1.1100000000000001</v>
      </c>
      <c r="H38" s="26"/>
    </row>
    <row r="39" spans="2:8" x14ac:dyDescent="0.2">
      <c r="B39" s="27" t="s">
        <v>109</v>
      </c>
      <c r="C39" s="23" t="s">
        <v>110</v>
      </c>
      <c r="D39" s="23" t="s">
        <v>73</v>
      </c>
      <c r="E39" s="28">
        <v>595000</v>
      </c>
      <c r="F39" s="25">
        <v>3146.66</v>
      </c>
      <c r="G39" s="25">
        <v>1.0900000000000001</v>
      </c>
      <c r="H39" s="26"/>
    </row>
    <row r="40" spans="2:8" x14ac:dyDescent="0.2">
      <c r="B40" s="27" t="s">
        <v>211</v>
      </c>
      <c r="C40" s="23" t="s">
        <v>212</v>
      </c>
      <c r="D40" s="23" t="s">
        <v>149</v>
      </c>
      <c r="E40" s="28">
        <v>469500</v>
      </c>
      <c r="F40" s="25">
        <v>3137.67</v>
      </c>
      <c r="G40" s="25">
        <v>1.0900000000000001</v>
      </c>
      <c r="H40" s="26"/>
    </row>
    <row r="41" spans="2:8" x14ac:dyDescent="0.2">
      <c r="B41" s="27" t="s">
        <v>213</v>
      </c>
      <c r="C41" s="23" t="s">
        <v>214</v>
      </c>
      <c r="D41" s="23" t="s">
        <v>175</v>
      </c>
      <c r="E41" s="28">
        <v>465000</v>
      </c>
      <c r="F41" s="25">
        <v>3096.44</v>
      </c>
      <c r="G41" s="25">
        <v>1.07</v>
      </c>
      <c r="H41" s="26"/>
    </row>
    <row r="42" spans="2:8" x14ac:dyDescent="0.2">
      <c r="B42" s="27" t="s">
        <v>243</v>
      </c>
      <c r="C42" s="23" t="s">
        <v>244</v>
      </c>
      <c r="D42" s="23" t="s">
        <v>68</v>
      </c>
      <c r="E42" s="28">
        <v>205000</v>
      </c>
      <c r="F42" s="25">
        <v>3015.96</v>
      </c>
      <c r="G42" s="25">
        <v>1.05</v>
      </c>
      <c r="H42" s="26"/>
    </row>
    <row r="43" spans="2:8" x14ac:dyDescent="0.2">
      <c r="B43" s="27" t="s">
        <v>71</v>
      </c>
      <c r="C43" s="23" t="s">
        <v>72</v>
      </c>
      <c r="D43" s="23" t="s">
        <v>73</v>
      </c>
      <c r="E43" s="28">
        <v>540994</v>
      </c>
      <c r="F43" s="25">
        <v>2901.35</v>
      </c>
      <c r="G43" s="25">
        <v>1.01</v>
      </c>
      <c r="H43" s="26"/>
    </row>
    <row r="44" spans="2:8" x14ac:dyDescent="0.2">
      <c r="B44" s="27" t="s">
        <v>173</v>
      </c>
      <c r="C44" s="23" t="s">
        <v>174</v>
      </c>
      <c r="D44" s="23" t="s">
        <v>175</v>
      </c>
      <c r="E44" s="28">
        <v>285000</v>
      </c>
      <c r="F44" s="25">
        <v>2659.34</v>
      </c>
      <c r="G44" s="25">
        <v>0.92</v>
      </c>
      <c r="H44" s="26"/>
    </row>
    <row r="45" spans="2:8" x14ac:dyDescent="0.2">
      <c r="B45" s="27" t="s">
        <v>198</v>
      </c>
      <c r="C45" s="23" t="s">
        <v>199</v>
      </c>
      <c r="D45" s="23" t="s">
        <v>137</v>
      </c>
      <c r="E45" s="28">
        <v>245000</v>
      </c>
      <c r="F45" s="25">
        <v>2560.25</v>
      </c>
      <c r="G45" s="25">
        <v>0.89</v>
      </c>
      <c r="H45" s="26"/>
    </row>
    <row r="46" spans="2:8" x14ac:dyDescent="0.2">
      <c r="B46" s="27" t="s">
        <v>283</v>
      </c>
      <c r="C46" s="23" t="s">
        <v>284</v>
      </c>
      <c r="D46" s="23" t="s">
        <v>167</v>
      </c>
      <c r="E46" s="28">
        <v>59000</v>
      </c>
      <c r="F46" s="25">
        <v>2473.75</v>
      </c>
      <c r="G46" s="25">
        <v>0.86</v>
      </c>
      <c r="H46" s="26"/>
    </row>
    <row r="47" spans="2:8" x14ac:dyDescent="0.2">
      <c r="B47" s="27" t="s">
        <v>221</v>
      </c>
      <c r="C47" s="23" t="s">
        <v>222</v>
      </c>
      <c r="D47" s="23" t="s">
        <v>142</v>
      </c>
      <c r="E47" s="28">
        <v>64094</v>
      </c>
      <c r="F47" s="25">
        <v>2209.86</v>
      </c>
      <c r="G47" s="25">
        <v>0.77</v>
      </c>
      <c r="H47" s="26"/>
    </row>
    <row r="48" spans="2:8" x14ac:dyDescent="0.2">
      <c r="B48" s="27" t="s">
        <v>287</v>
      </c>
      <c r="C48" s="23" t="s">
        <v>288</v>
      </c>
      <c r="D48" s="23" t="s">
        <v>175</v>
      </c>
      <c r="E48" s="28">
        <v>129786</v>
      </c>
      <c r="F48" s="25">
        <v>1910.32</v>
      </c>
      <c r="G48" s="25">
        <v>0.66</v>
      </c>
      <c r="H48" s="26"/>
    </row>
    <row r="49" spans="2:10" x14ac:dyDescent="0.2">
      <c r="B49" s="27" t="s">
        <v>89</v>
      </c>
      <c r="C49" s="23" t="s">
        <v>90</v>
      </c>
      <c r="D49" s="23" t="s">
        <v>59</v>
      </c>
      <c r="E49" s="28">
        <v>240000</v>
      </c>
      <c r="F49" s="25">
        <v>1888.56</v>
      </c>
      <c r="G49" s="25">
        <v>0.65</v>
      </c>
      <c r="H49" s="26"/>
    </row>
    <row r="50" spans="2:10" x14ac:dyDescent="0.2">
      <c r="B50" s="27" t="s">
        <v>225</v>
      </c>
      <c r="C50" s="23" t="s">
        <v>226</v>
      </c>
      <c r="D50" s="23" t="s">
        <v>167</v>
      </c>
      <c r="E50" s="28">
        <v>207000</v>
      </c>
      <c r="F50" s="25">
        <v>1672.46</v>
      </c>
      <c r="G50" s="25">
        <v>0.57999999999999996</v>
      </c>
      <c r="H50" s="26"/>
    </row>
    <row r="51" spans="2:10" x14ac:dyDescent="0.2">
      <c r="B51" s="27" t="s">
        <v>259</v>
      </c>
      <c r="C51" s="23" t="s">
        <v>260</v>
      </c>
      <c r="D51" s="23" t="s">
        <v>142</v>
      </c>
      <c r="E51" s="28">
        <v>240000</v>
      </c>
      <c r="F51" s="25">
        <v>1372.44</v>
      </c>
      <c r="G51" s="25">
        <v>0.48</v>
      </c>
      <c r="H51" s="26"/>
    </row>
    <row r="52" spans="2:10" x14ac:dyDescent="0.2">
      <c r="B52" s="27" t="s">
        <v>215</v>
      </c>
      <c r="C52" s="23" t="s">
        <v>216</v>
      </c>
      <c r="D52" s="23" t="s">
        <v>149</v>
      </c>
      <c r="E52" s="28">
        <v>8035</v>
      </c>
      <c r="F52" s="25">
        <v>1287.93</v>
      </c>
      <c r="G52" s="25">
        <v>0.45</v>
      </c>
      <c r="H52" s="26"/>
    </row>
    <row r="53" spans="2:10" x14ac:dyDescent="0.2">
      <c r="B53" s="27" t="s">
        <v>223</v>
      </c>
      <c r="C53" s="23" t="s">
        <v>224</v>
      </c>
      <c r="D53" s="23" t="s">
        <v>86</v>
      </c>
      <c r="E53" s="28">
        <v>56377</v>
      </c>
      <c r="F53" s="25">
        <v>1219.0999999999999</v>
      </c>
      <c r="G53" s="25">
        <v>0.42</v>
      </c>
      <c r="H53" s="26"/>
    </row>
    <row r="54" spans="2:10" x14ac:dyDescent="0.2">
      <c r="B54" s="27" t="s">
        <v>91</v>
      </c>
      <c r="C54" s="23" t="s">
        <v>92</v>
      </c>
      <c r="D54" s="23" t="s">
        <v>68</v>
      </c>
      <c r="E54" s="28">
        <v>3375</v>
      </c>
      <c r="F54" s="25">
        <v>930.76</v>
      </c>
      <c r="G54" s="25">
        <v>0.32</v>
      </c>
      <c r="H54" s="26"/>
    </row>
    <row r="55" spans="2:10" x14ac:dyDescent="0.2">
      <c r="B55" s="29" t="s">
        <v>119</v>
      </c>
      <c r="C55" s="30"/>
      <c r="D55" s="30"/>
      <c r="E55" s="31"/>
      <c r="F55" s="32">
        <f>SUM(F7:F54)</f>
        <v>275590.49</v>
      </c>
      <c r="G55" s="32">
        <f>SUM(G7:G54)</f>
        <v>95.510000000000034</v>
      </c>
      <c r="H55" s="33"/>
      <c r="I55" s="14"/>
      <c r="J55" s="14"/>
    </row>
    <row r="56" spans="2:10" x14ac:dyDescent="0.2">
      <c r="B56" s="37" t="s">
        <v>120</v>
      </c>
      <c r="C56" s="37"/>
      <c r="D56" s="37"/>
      <c r="E56" s="38"/>
      <c r="F56" s="39">
        <f>F55</f>
        <v>275590.49</v>
      </c>
      <c r="G56" s="39">
        <f>G55</f>
        <v>95.510000000000034</v>
      </c>
      <c r="H56" s="15"/>
      <c r="I56" s="14"/>
      <c r="J56" s="14"/>
    </row>
    <row r="57" spans="2:10" x14ac:dyDescent="0.2">
      <c r="B57" s="46" t="s">
        <v>227</v>
      </c>
      <c r="C57" s="41"/>
      <c r="D57" s="41"/>
      <c r="E57" s="42"/>
      <c r="F57" s="43"/>
      <c r="G57" s="43"/>
      <c r="H57" s="43"/>
    </row>
    <row r="58" spans="2:10" x14ac:dyDescent="0.2">
      <c r="B58" s="47" t="s">
        <v>32</v>
      </c>
      <c r="C58" s="23"/>
      <c r="D58" s="23"/>
      <c r="E58" s="24"/>
      <c r="F58" s="25"/>
      <c r="G58" s="25"/>
      <c r="H58" s="25"/>
    </row>
    <row r="59" spans="2:10" x14ac:dyDescent="0.2">
      <c r="B59" s="23" t="s">
        <v>782</v>
      </c>
      <c r="C59" s="23" t="s">
        <v>228</v>
      </c>
      <c r="D59" s="23" t="s">
        <v>365</v>
      </c>
      <c r="E59" s="28">
        <v>64094</v>
      </c>
      <c r="F59" s="25">
        <v>18.59</v>
      </c>
      <c r="G59" s="25">
        <v>0.01</v>
      </c>
      <c r="H59" s="25">
        <v>5.5</v>
      </c>
    </row>
    <row r="60" spans="2:10" x14ac:dyDescent="0.2">
      <c r="B60" s="30" t="s">
        <v>119</v>
      </c>
      <c r="C60" s="30"/>
      <c r="D60" s="30"/>
      <c r="E60" s="31"/>
      <c r="F60" s="32">
        <f>SUM(F58:F59)</f>
        <v>18.59</v>
      </c>
      <c r="G60" s="32">
        <f>SUM(G58:G59)</f>
        <v>0.01</v>
      </c>
      <c r="H60" s="48"/>
      <c r="I60" s="14"/>
      <c r="J60" s="14"/>
    </row>
    <row r="61" spans="2:10" x14ac:dyDescent="0.2">
      <c r="B61" s="49" t="s">
        <v>120</v>
      </c>
      <c r="C61" s="49"/>
      <c r="D61" s="49"/>
      <c r="E61" s="50"/>
      <c r="F61" s="51">
        <f>F60</f>
        <v>18.59</v>
      </c>
      <c r="G61" s="51">
        <f>G60</f>
        <v>0.01</v>
      </c>
      <c r="H61" s="51"/>
      <c r="I61" s="14"/>
      <c r="J61" s="14"/>
    </row>
    <row r="62" spans="2:10" x14ac:dyDescent="0.2">
      <c r="B62" s="47" t="s">
        <v>121</v>
      </c>
      <c r="C62" s="23"/>
      <c r="D62" s="23"/>
      <c r="E62" s="24"/>
      <c r="F62" s="25"/>
      <c r="G62" s="25"/>
      <c r="H62" s="25"/>
    </row>
    <row r="63" spans="2:10" x14ac:dyDescent="0.2">
      <c r="B63" s="23" t="s">
        <v>121</v>
      </c>
      <c r="C63" s="23"/>
      <c r="D63" s="23"/>
      <c r="E63" s="24"/>
      <c r="F63" s="25">
        <v>15054.83</v>
      </c>
      <c r="G63" s="25">
        <v>5.22</v>
      </c>
      <c r="H63" s="25"/>
    </row>
    <row r="64" spans="2:10" x14ac:dyDescent="0.2">
      <c r="B64" s="30" t="s">
        <v>119</v>
      </c>
      <c r="C64" s="30"/>
      <c r="D64" s="30"/>
      <c r="E64" s="31"/>
      <c r="F64" s="32">
        <f>SUM(F62:F63)</f>
        <v>15054.83</v>
      </c>
      <c r="G64" s="32">
        <f>SUM(G62:G63)</f>
        <v>5.22</v>
      </c>
      <c r="H64" s="48"/>
      <c r="I64" s="14"/>
      <c r="J64" s="14"/>
    </row>
    <row r="65" spans="2:10" x14ac:dyDescent="0.2">
      <c r="B65" s="34" t="s">
        <v>120</v>
      </c>
      <c r="C65" s="34"/>
      <c r="D65" s="34"/>
      <c r="E65" s="35"/>
      <c r="F65" s="36">
        <f>F64</f>
        <v>15054.83</v>
      </c>
      <c r="G65" s="36">
        <f>G64</f>
        <v>5.22</v>
      </c>
      <c r="H65" s="36"/>
      <c r="I65" s="14"/>
      <c r="J65" s="14"/>
    </row>
    <row r="66" spans="2:10" x14ac:dyDescent="0.2">
      <c r="B66" s="44" t="s">
        <v>123</v>
      </c>
      <c r="C66" s="44"/>
      <c r="D66" s="44"/>
      <c r="E66" s="45"/>
      <c r="F66" s="16">
        <f>F67-(+F56+F61+F65)</f>
        <v>-2097.5000000000582</v>
      </c>
      <c r="G66" s="16">
        <f>G67-(+G56+G61+G65)</f>
        <v>-0.74000000000003752</v>
      </c>
      <c r="H66" s="16"/>
      <c r="I66" s="14"/>
      <c r="J66" s="14"/>
    </row>
    <row r="67" spans="2:10" x14ac:dyDescent="0.2">
      <c r="B67" s="44" t="s">
        <v>122</v>
      </c>
      <c r="C67" s="44"/>
      <c r="D67" s="44"/>
      <c r="E67" s="45"/>
      <c r="F67" s="16">
        <v>288566.40999999997</v>
      </c>
      <c r="G67" s="16">
        <v>100</v>
      </c>
      <c r="H67" s="16"/>
      <c r="I67" s="14"/>
      <c r="J67" s="14"/>
    </row>
    <row r="69" spans="2:10" x14ac:dyDescent="0.2">
      <c r="B69" s="14" t="s">
        <v>766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4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53.8554687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78" t="s">
        <v>14</v>
      </c>
      <c r="C1" s="79"/>
      <c r="D1" s="79"/>
      <c r="E1" s="79"/>
      <c r="F1" s="79"/>
      <c r="G1" s="79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115</v>
      </c>
      <c r="C7" s="23" t="s">
        <v>116</v>
      </c>
      <c r="D7" s="23" t="s">
        <v>59</v>
      </c>
      <c r="E7" s="28">
        <v>267736</v>
      </c>
      <c r="F7" s="25">
        <v>3267.05</v>
      </c>
      <c r="G7" s="25">
        <v>2.96</v>
      </c>
    </row>
    <row r="8" spans="2:7" x14ac:dyDescent="0.2">
      <c r="B8" s="27" t="s">
        <v>289</v>
      </c>
      <c r="C8" s="23" t="s">
        <v>290</v>
      </c>
      <c r="D8" s="23" t="s">
        <v>282</v>
      </c>
      <c r="E8" s="28">
        <v>204729</v>
      </c>
      <c r="F8" s="25">
        <v>3252.22</v>
      </c>
      <c r="G8" s="25">
        <v>2.95</v>
      </c>
    </row>
    <row r="9" spans="2:7" x14ac:dyDescent="0.2">
      <c r="B9" s="27" t="s">
        <v>57</v>
      </c>
      <c r="C9" s="23" t="s">
        <v>58</v>
      </c>
      <c r="D9" s="23" t="s">
        <v>59</v>
      </c>
      <c r="E9" s="28">
        <v>59710</v>
      </c>
      <c r="F9" s="25">
        <v>3157.61</v>
      </c>
      <c r="G9" s="25">
        <v>2.86</v>
      </c>
    </row>
    <row r="10" spans="2:7" x14ac:dyDescent="0.2">
      <c r="B10" s="27" t="s">
        <v>102</v>
      </c>
      <c r="C10" s="23" t="s">
        <v>103</v>
      </c>
      <c r="D10" s="23" t="s">
        <v>47</v>
      </c>
      <c r="E10" s="28">
        <v>764500</v>
      </c>
      <c r="F10" s="25">
        <v>3142.48</v>
      </c>
      <c r="G10" s="25">
        <v>2.85</v>
      </c>
    </row>
    <row r="11" spans="2:7" x14ac:dyDescent="0.2">
      <c r="B11" s="27" t="s">
        <v>291</v>
      </c>
      <c r="C11" s="23" t="s">
        <v>292</v>
      </c>
      <c r="D11" s="23" t="s">
        <v>270</v>
      </c>
      <c r="E11" s="28">
        <v>119496</v>
      </c>
      <c r="F11" s="25">
        <v>2989.67</v>
      </c>
      <c r="G11" s="25">
        <v>2.71</v>
      </c>
    </row>
    <row r="12" spans="2:7" x14ac:dyDescent="0.2">
      <c r="B12" s="27" t="s">
        <v>39</v>
      </c>
      <c r="C12" s="23" t="s">
        <v>40</v>
      </c>
      <c r="D12" s="23" t="s">
        <v>41</v>
      </c>
      <c r="E12" s="28">
        <v>1309762</v>
      </c>
      <c r="F12" s="25">
        <v>2877.55</v>
      </c>
      <c r="G12" s="25">
        <v>2.61</v>
      </c>
    </row>
    <row r="13" spans="2:7" x14ac:dyDescent="0.2">
      <c r="B13" s="27" t="s">
        <v>196</v>
      </c>
      <c r="C13" s="23" t="s">
        <v>197</v>
      </c>
      <c r="D13" s="23" t="s">
        <v>59</v>
      </c>
      <c r="E13" s="28">
        <v>422500</v>
      </c>
      <c r="F13" s="25">
        <v>2863.92</v>
      </c>
      <c r="G13" s="25">
        <v>2.59</v>
      </c>
    </row>
    <row r="14" spans="2:7" x14ac:dyDescent="0.2">
      <c r="B14" s="27" t="s">
        <v>231</v>
      </c>
      <c r="C14" s="23" t="s">
        <v>232</v>
      </c>
      <c r="D14" s="23" t="s">
        <v>128</v>
      </c>
      <c r="E14" s="28">
        <v>111530</v>
      </c>
      <c r="F14" s="25">
        <v>2836.15</v>
      </c>
      <c r="G14" s="25">
        <v>2.57</v>
      </c>
    </row>
    <row r="15" spans="2:7" x14ac:dyDescent="0.2">
      <c r="B15" s="27" t="s">
        <v>293</v>
      </c>
      <c r="C15" s="23" t="s">
        <v>294</v>
      </c>
      <c r="D15" s="23" t="s">
        <v>97</v>
      </c>
      <c r="E15" s="28">
        <v>3710000</v>
      </c>
      <c r="F15" s="25">
        <v>2737.98</v>
      </c>
      <c r="G15" s="25">
        <v>2.48</v>
      </c>
    </row>
    <row r="16" spans="2:7" x14ac:dyDescent="0.2">
      <c r="B16" s="27" t="s">
        <v>189</v>
      </c>
      <c r="C16" s="23" t="s">
        <v>190</v>
      </c>
      <c r="D16" s="23" t="s">
        <v>137</v>
      </c>
      <c r="E16" s="28">
        <v>491000</v>
      </c>
      <c r="F16" s="25">
        <v>2692.64</v>
      </c>
      <c r="G16" s="25">
        <v>2.44</v>
      </c>
    </row>
    <row r="17" spans="2:7" x14ac:dyDescent="0.2">
      <c r="B17" s="27" t="s">
        <v>295</v>
      </c>
      <c r="C17" s="23" t="s">
        <v>296</v>
      </c>
      <c r="D17" s="23" t="s">
        <v>270</v>
      </c>
      <c r="E17" s="28">
        <v>263016</v>
      </c>
      <c r="F17" s="25">
        <v>2602.94</v>
      </c>
      <c r="G17" s="25">
        <v>2.36</v>
      </c>
    </row>
    <row r="18" spans="2:7" x14ac:dyDescent="0.2">
      <c r="B18" s="27" t="s">
        <v>297</v>
      </c>
      <c r="C18" s="23" t="s">
        <v>298</v>
      </c>
      <c r="D18" s="23" t="s">
        <v>86</v>
      </c>
      <c r="E18" s="28">
        <v>1272584</v>
      </c>
      <c r="F18" s="25">
        <v>2581.44</v>
      </c>
      <c r="G18" s="25">
        <v>2.34</v>
      </c>
    </row>
    <row r="19" spans="2:7" x14ac:dyDescent="0.2">
      <c r="B19" s="27" t="s">
        <v>299</v>
      </c>
      <c r="C19" s="23" t="s">
        <v>300</v>
      </c>
      <c r="D19" s="23" t="s">
        <v>159</v>
      </c>
      <c r="E19" s="28">
        <v>779559</v>
      </c>
      <c r="F19" s="25">
        <v>2441.9699999999998</v>
      </c>
      <c r="G19" s="25">
        <v>2.21</v>
      </c>
    </row>
    <row r="20" spans="2:7" x14ac:dyDescent="0.2">
      <c r="B20" s="27" t="s">
        <v>301</v>
      </c>
      <c r="C20" s="23" t="s">
        <v>302</v>
      </c>
      <c r="D20" s="23" t="s">
        <v>59</v>
      </c>
      <c r="E20" s="28">
        <v>733505</v>
      </c>
      <c r="F20" s="25">
        <v>2300.27</v>
      </c>
      <c r="G20" s="25">
        <v>2.08</v>
      </c>
    </row>
    <row r="21" spans="2:7" x14ac:dyDescent="0.2">
      <c r="B21" s="27" t="s">
        <v>278</v>
      </c>
      <c r="C21" s="23" t="s">
        <v>279</v>
      </c>
      <c r="D21" s="23" t="s">
        <v>270</v>
      </c>
      <c r="E21" s="28">
        <v>300873</v>
      </c>
      <c r="F21" s="25">
        <v>2290.85</v>
      </c>
      <c r="G21" s="25">
        <v>2.0699999999999998</v>
      </c>
    </row>
    <row r="22" spans="2:7" x14ac:dyDescent="0.2">
      <c r="B22" s="27" t="s">
        <v>303</v>
      </c>
      <c r="C22" s="23" t="s">
        <v>304</v>
      </c>
      <c r="D22" s="23" t="s">
        <v>270</v>
      </c>
      <c r="E22" s="28">
        <v>233142</v>
      </c>
      <c r="F22" s="25">
        <v>2243.29</v>
      </c>
      <c r="G22" s="25">
        <v>2.0299999999999998</v>
      </c>
    </row>
    <row r="23" spans="2:7" x14ac:dyDescent="0.2">
      <c r="B23" s="27" t="s">
        <v>55</v>
      </c>
      <c r="C23" s="23" t="s">
        <v>56</v>
      </c>
      <c r="D23" s="23" t="s">
        <v>41</v>
      </c>
      <c r="E23" s="28">
        <v>868000</v>
      </c>
      <c r="F23" s="25">
        <v>2242.91</v>
      </c>
      <c r="G23" s="25">
        <v>2.0299999999999998</v>
      </c>
    </row>
    <row r="24" spans="2:7" x14ac:dyDescent="0.2">
      <c r="B24" s="27" t="s">
        <v>305</v>
      </c>
      <c r="C24" s="23" t="s">
        <v>306</v>
      </c>
      <c r="D24" s="23" t="s">
        <v>59</v>
      </c>
      <c r="E24" s="28">
        <v>969685</v>
      </c>
      <c r="F24" s="25">
        <v>2211.85</v>
      </c>
      <c r="G24" s="25">
        <v>2</v>
      </c>
    </row>
    <row r="25" spans="2:7" x14ac:dyDescent="0.2">
      <c r="B25" s="27" t="s">
        <v>251</v>
      </c>
      <c r="C25" s="23" t="s">
        <v>252</v>
      </c>
      <c r="D25" s="23" t="s">
        <v>137</v>
      </c>
      <c r="E25" s="28">
        <v>471000</v>
      </c>
      <c r="F25" s="25">
        <v>2196.04</v>
      </c>
      <c r="G25" s="25">
        <v>1.99</v>
      </c>
    </row>
    <row r="26" spans="2:7" x14ac:dyDescent="0.2">
      <c r="B26" s="27" t="s">
        <v>307</v>
      </c>
      <c r="C26" s="23" t="s">
        <v>308</v>
      </c>
      <c r="D26" s="23" t="s">
        <v>184</v>
      </c>
      <c r="E26" s="28">
        <v>74351</v>
      </c>
      <c r="F26" s="25">
        <v>2187.85</v>
      </c>
      <c r="G26" s="25">
        <v>1.98</v>
      </c>
    </row>
    <row r="27" spans="2:7" x14ac:dyDescent="0.2">
      <c r="B27" s="27" t="s">
        <v>309</v>
      </c>
      <c r="C27" s="23" t="s">
        <v>310</v>
      </c>
      <c r="D27" s="23" t="s">
        <v>38</v>
      </c>
      <c r="E27" s="28">
        <v>1500000</v>
      </c>
      <c r="F27" s="25">
        <v>2099.25</v>
      </c>
      <c r="G27" s="25">
        <v>1.9</v>
      </c>
    </row>
    <row r="28" spans="2:7" x14ac:dyDescent="0.2">
      <c r="B28" s="27" t="s">
        <v>311</v>
      </c>
      <c r="C28" s="23" t="s">
        <v>312</v>
      </c>
      <c r="D28" s="23" t="s">
        <v>184</v>
      </c>
      <c r="E28" s="28">
        <v>117175</v>
      </c>
      <c r="F28" s="25">
        <v>2092.04</v>
      </c>
      <c r="G28" s="25">
        <v>1.89</v>
      </c>
    </row>
    <row r="29" spans="2:7" x14ac:dyDescent="0.2">
      <c r="B29" s="27" t="s">
        <v>313</v>
      </c>
      <c r="C29" s="23" t="s">
        <v>314</v>
      </c>
      <c r="D29" s="23" t="s">
        <v>164</v>
      </c>
      <c r="E29" s="28">
        <v>648968</v>
      </c>
      <c r="F29" s="25">
        <v>2088.6999999999998</v>
      </c>
      <c r="G29" s="25">
        <v>1.89</v>
      </c>
    </row>
    <row r="30" spans="2:7" x14ac:dyDescent="0.2">
      <c r="B30" s="27" t="s">
        <v>45</v>
      </c>
      <c r="C30" s="23" t="s">
        <v>46</v>
      </c>
      <c r="D30" s="23" t="s">
        <v>47</v>
      </c>
      <c r="E30" s="28">
        <v>143353</v>
      </c>
      <c r="F30" s="25">
        <v>2084.5700000000002</v>
      </c>
      <c r="G30" s="25">
        <v>1.89</v>
      </c>
    </row>
    <row r="31" spans="2:7" x14ac:dyDescent="0.2">
      <c r="B31" s="27" t="s">
        <v>235</v>
      </c>
      <c r="C31" s="23" t="s">
        <v>236</v>
      </c>
      <c r="D31" s="23" t="s">
        <v>86</v>
      </c>
      <c r="E31" s="28">
        <v>520745</v>
      </c>
      <c r="F31" s="25">
        <v>2073.87</v>
      </c>
      <c r="G31" s="25">
        <v>1.88</v>
      </c>
    </row>
    <row r="32" spans="2:7" x14ac:dyDescent="0.2">
      <c r="B32" s="27" t="s">
        <v>98</v>
      </c>
      <c r="C32" s="23" t="s">
        <v>99</v>
      </c>
      <c r="D32" s="23" t="s">
        <v>86</v>
      </c>
      <c r="E32" s="28">
        <v>50720</v>
      </c>
      <c r="F32" s="25">
        <v>2043.41</v>
      </c>
      <c r="G32" s="25">
        <v>1.85</v>
      </c>
    </row>
    <row r="33" spans="2:7" x14ac:dyDescent="0.2">
      <c r="B33" s="27" t="s">
        <v>315</v>
      </c>
      <c r="C33" s="23" t="s">
        <v>316</v>
      </c>
      <c r="D33" s="23" t="s">
        <v>142</v>
      </c>
      <c r="E33" s="28">
        <v>478000</v>
      </c>
      <c r="F33" s="25">
        <v>1998.28</v>
      </c>
      <c r="G33" s="25">
        <v>1.81</v>
      </c>
    </row>
    <row r="34" spans="2:7" x14ac:dyDescent="0.2">
      <c r="B34" s="27" t="s">
        <v>317</v>
      </c>
      <c r="C34" s="23" t="s">
        <v>318</v>
      </c>
      <c r="D34" s="23" t="s">
        <v>47</v>
      </c>
      <c r="E34" s="28">
        <v>759224</v>
      </c>
      <c r="F34" s="25">
        <v>1955</v>
      </c>
      <c r="G34" s="25">
        <v>1.77</v>
      </c>
    </row>
    <row r="35" spans="2:7" x14ac:dyDescent="0.2">
      <c r="B35" s="27" t="s">
        <v>79</v>
      </c>
      <c r="C35" s="23" t="s">
        <v>80</v>
      </c>
      <c r="D35" s="23" t="s">
        <v>59</v>
      </c>
      <c r="E35" s="28">
        <v>140771</v>
      </c>
      <c r="F35" s="25">
        <v>1896.11</v>
      </c>
      <c r="G35" s="25">
        <v>1.72</v>
      </c>
    </row>
    <row r="36" spans="2:7" x14ac:dyDescent="0.2">
      <c r="B36" s="27" t="s">
        <v>319</v>
      </c>
      <c r="C36" s="23" t="s">
        <v>320</v>
      </c>
      <c r="D36" s="23" t="s">
        <v>152</v>
      </c>
      <c r="E36" s="28">
        <v>66922</v>
      </c>
      <c r="F36" s="25">
        <v>1850.96</v>
      </c>
      <c r="G36" s="25">
        <v>1.68</v>
      </c>
    </row>
    <row r="37" spans="2:7" x14ac:dyDescent="0.2">
      <c r="B37" s="27" t="s">
        <v>321</v>
      </c>
      <c r="C37" s="23" t="s">
        <v>322</v>
      </c>
      <c r="D37" s="23" t="s">
        <v>184</v>
      </c>
      <c r="E37" s="28">
        <v>879870</v>
      </c>
      <c r="F37" s="25">
        <v>1817.81</v>
      </c>
      <c r="G37" s="25">
        <v>1.65</v>
      </c>
    </row>
    <row r="38" spans="2:7" x14ac:dyDescent="0.2">
      <c r="B38" s="27" t="s">
        <v>323</v>
      </c>
      <c r="C38" s="23" t="s">
        <v>324</v>
      </c>
      <c r="D38" s="23" t="s">
        <v>325</v>
      </c>
      <c r="E38" s="28">
        <v>51700</v>
      </c>
      <c r="F38" s="25">
        <v>1790.84</v>
      </c>
      <c r="G38" s="25">
        <v>1.62</v>
      </c>
    </row>
    <row r="39" spans="2:7" x14ac:dyDescent="0.2">
      <c r="B39" s="27" t="s">
        <v>326</v>
      </c>
      <c r="C39" s="23" t="s">
        <v>327</v>
      </c>
      <c r="D39" s="23" t="s">
        <v>137</v>
      </c>
      <c r="E39" s="28">
        <v>265411</v>
      </c>
      <c r="F39" s="25">
        <v>1662.27</v>
      </c>
      <c r="G39" s="25">
        <v>1.51</v>
      </c>
    </row>
    <row r="40" spans="2:7" x14ac:dyDescent="0.2">
      <c r="B40" s="27" t="s">
        <v>328</v>
      </c>
      <c r="C40" s="23" t="s">
        <v>329</v>
      </c>
      <c r="D40" s="23" t="s">
        <v>128</v>
      </c>
      <c r="E40" s="28">
        <v>187500</v>
      </c>
      <c r="F40" s="25">
        <v>1626.66</v>
      </c>
      <c r="G40" s="25">
        <v>1.47</v>
      </c>
    </row>
    <row r="41" spans="2:7" x14ac:dyDescent="0.2">
      <c r="B41" s="27" t="s">
        <v>330</v>
      </c>
      <c r="C41" s="23" t="s">
        <v>331</v>
      </c>
      <c r="D41" s="23" t="s">
        <v>47</v>
      </c>
      <c r="E41" s="28">
        <v>26296</v>
      </c>
      <c r="F41" s="25">
        <v>1581.09</v>
      </c>
      <c r="G41" s="25">
        <v>1.43</v>
      </c>
    </row>
    <row r="42" spans="2:7" x14ac:dyDescent="0.2">
      <c r="B42" s="27" t="s">
        <v>332</v>
      </c>
      <c r="C42" s="23" t="s">
        <v>333</v>
      </c>
      <c r="D42" s="23" t="s">
        <v>184</v>
      </c>
      <c r="E42" s="28">
        <v>53712</v>
      </c>
      <c r="F42" s="25">
        <v>1559.07</v>
      </c>
      <c r="G42" s="25">
        <v>1.41</v>
      </c>
    </row>
    <row r="43" spans="2:7" x14ac:dyDescent="0.2">
      <c r="B43" s="27" t="s">
        <v>253</v>
      </c>
      <c r="C43" s="23" t="s">
        <v>254</v>
      </c>
      <c r="D43" s="23" t="s">
        <v>152</v>
      </c>
      <c r="E43" s="28">
        <v>705000</v>
      </c>
      <c r="F43" s="25">
        <v>1375.81</v>
      </c>
      <c r="G43" s="25">
        <v>1.25</v>
      </c>
    </row>
    <row r="44" spans="2:7" x14ac:dyDescent="0.2">
      <c r="B44" s="27" t="s">
        <v>162</v>
      </c>
      <c r="C44" s="23" t="s">
        <v>163</v>
      </c>
      <c r="D44" s="23" t="s">
        <v>164</v>
      </c>
      <c r="E44" s="28">
        <v>225000</v>
      </c>
      <c r="F44" s="25">
        <v>1361.36</v>
      </c>
      <c r="G44" s="25">
        <v>1.23</v>
      </c>
    </row>
    <row r="45" spans="2:7" x14ac:dyDescent="0.2">
      <c r="B45" s="27" t="s">
        <v>334</v>
      </c>
      <c r="C45" s="23" t="s">
        <v>335</v>
      </c>
      <c r="D45" s="23" t="s">
        <v>38</v>
      </c>
      <c r="E45" s="28">
        <v>1272000</v>
      </c>
      <c r="F45" s="25">
        <v>1334.96</v>
      </c>
      <c r="G45" s="25">
        <v>1.21</v>
      </c>
    </row>
    <row r="46" spans="2:7" x14ac:dyDescent="0.2">
      <c r="B46" s="27" t="s">
        <v>336</v>
      </c>
      <c r="C46" s="23" t="s">
        <v>337</v>
      </c>
      <c r="D46" s="23" t="s">
        <v>41</v>
      </c>
      <c r="E46" s="28">
        <v>253799</v>
      </c>
      <c r="F46" s="25">
        <v>1325.72</v>
      </c>
      <c r="G46" s="25">
        <v>1.2</v>
      </c>
    </row>
    <row r="47" spans="2:7" x14ac:dyDescent="0.2">
      <c r="B47" s="27" t="s">
        <v>338</v>
      </c>
      <c r="C47" s="23" t="s">
        <v>339</v>
      </c>
      <c r="D47" s="23" t="s">
        <v>108</v>
      </c>
      <c r="E47" s="28">
        <v>312630</v>
      </c>
      <c r="F47" s="25">
        <v>1284.5999999999999</v>
      </c>
      <c r="G47" s="25">
        <v>1.1599999999999999</v>
      </c>
    </row>
    <row r="48" spans="2:7" x14ac:dyDescent="0.2">
      <c r="B48" s="27" t="s">
        <v>265</v>
      </c>
      <c r="C48" s="23" t="s">
        <v>266</v>
      </c>
      <c r="D48" s="23" t="s">
        <v>267</v>
      </c>
      <c r="E48" s="28">
        <v>255000</v>
      </c>
      <c r="F48" s="25">
        <v>1282.78</v>
      </c>
      <c r="G48" s="25">
        <v>1.1599999999999999</v>
      </c>
    </row>
    <row r="49" spans="2:7" x14ac:dyDescent="0.2">
      <c r="B49" s="27" t="s">
        <v>340</v>
      </c>
      <c r="C49" s="23" t="s">
        <v>341</v>
      </c>
      <c r="D49" s="23" t="s">
        <v>142</v>
      </c>
      <c r="E49" s="28">
        <v>415000</v>
      </c>
      <c r="F49" s="25">
        <v>1262.22</v>
      </c>
      <c r="G49" s="25">
        <v>1.1399999999999999</v>
      </c>
    </row>
    <row r="50" spans="2:7" x14ac:dyDescent="0.2">
      <c r="B50" s="27" t="s">
        <v>60</v>
      </c>
      <c r="C50" s="23" t="s">
        <v>61</v>
      </c>
      <c r="D50" s="23" t="s">
        <v>41</v>
      </c>
      <c r="E50" s="28">
        <v>249124</v>
      </c>
      <c r="F50" s="25">
        <v>1223.82</v>
      </c>
      <c r="G50" s="25">
        <v>1.1100000000000001</v>
      </c>
    </row>
    <row r="51" spans="2:7" x14ac:dyDescent="0.2">
      <c r="B51" s="27" t="s">
        <v>342</v>
      </c>
      <c r="C51" s="23" t="s">
        <v>343</v>
      </c>
      <c r="D51" s="23" t="s">
        <v>59</v>
      </c>
      <c r="E51" s="28">
        <v>245621</v>
      </c>
      <c r="F51" s="25">
        <v>1216.44</v>
      </c>
      <c r="G51" s="25">
        <v>1.1000000000000001</v>
      </c>
    </row>
    <row r="52" spans="2:7" x14ac:dyDescent="0.2">
      <c r="B52" s="27" t="s">
        <v>64</v>
      </c>
      <c r="C52" s="23" t="s">
        <v>65</v>
      </c>
      <c r="D52" s="23" t="s">
        <v>41</v>
      </c>
      <c r="E52" s="28">
        <v>393000</v>
      </c>
      <c r="F52" s="25">
        <v>1202.58</v>
      </c>
      <c r="G52" s="25">
        <v>1.0900000000000001</v>
      </c>
    </row>
    <row r="53" spans="2:7" x14ac:dyDescent="0.2">
      <c r="B53" s="27" t="s">
        <v>48</v>
      </c>
      <c r="C53" s="23" t="s">
        <v>49</v>
      </c>
      <c r="D53" s="23" t="s">
        <v>44</v>
      </c>
      <c r="E53" s="28">
        <v>2700</v>
      </c>
      <c r="F53" s="25">
        <v>1156.8499999999999</v>
      </c>
      <c r="G53" s="25">
        <v>1.05</v>
      </c>
    </row>
    <row r="54" spans="2:7" x14ac:dyDescent="0.2">
      <c r="B54" s="27" t="s">
        <v>344</v>
      </c>
      <c r="C54" s="23" t="s">
        <v>345</v>
      </c>
      <c r="D54" s="23" t="s">
        <v>270</v>
      </c>
      <c r="E54" s="28">
        <v>144898</v>
      </c>
      <c r="F54" s="25">
        <v>1097.02</v>
      </c>
      <c r="G54" s="25">
        <v>0.99</v>
      </c>
    </row>
    <row r="55" spans="2:7" x14ac:dyDescent="0.2">
      <c r="B55" s="27" t="s">
        <v>346</v>
      </c>
      <c r="C55" s="23" t="s">
        <v>347</v>
      </c>
      <c r="D55" s="23" t="s">
        <v>86</v>
      </c>
      <c r="E55" s="28">
        <v>295000</v>
      </c>
      <c r="F55" s="25">
        <v>1085.31</v>
      </c>
      <c r="G55" s="25">
        <v>0.98</v>
      </c>
    </row>
    <row r="56" spans="2:7" x14ac:dyDescent="0.2">
      <c r="B56" s="27" t="s">
        <v>117</v>
      </c>
      <c r="C56" s="23" t="s">
        <v>118</v>
      </c>
      <c r="D56" s="23" t="s">
        <v>44</v>
      </c>
      <c r="E56" s="28">
        <v>73669</v>
      </c>
      <c r="F56" s="25">
        <v>1049.01</v>
      </c>
      <c r="G56" s="25">
        <v>0.95</v>
      </c>
    </row>
    <row r="57" spans="2:7" x14ac:dyDescent="0.2">
      <c r="B57" s="27" t="s">
        <v>348</v>
      </c>
      <c r="C57" s="23" t="s">
        <v>349</v>
      </c>
      <c r="D57" s="23" t="s">
        <v>137</v>
      </c>
      <c r="E57" s="28">
        <v>61780</v>
      </c>
      <c r="F57" s="25">
        <v>1037.69</v>
      </c>
      <c r="G57" s="25">
        <v>0.94</v>
      </c>
    </row>
    <row r="58" spans="2:7" x14ac:dyDescent="0.2">
      <c r="B58" s="27" t="s">
        <v>350</v>
      </c>
      <c r="C58" s="23" t="s">
        <v>351</v>
      </c>
      <c r="D58" s="23" t="s">
        <v>86</v>
      </c>
      <c r="E58" s="28">
        <v>81297</v>
      </c>
      <c r="F58" s="25">
        <v>1004.02</v>
      </c>
      <c r="G58" s="25">
        <v>0.91</v>
      </c>
    </row>
    <row r="59" spans="2:7" x14ac:dyDescent="0.2">
      <c r="B59" s="27" t="s">
        <v>352</v>
      </c>
      <c r="C59" s="23" t="s">
        <v>353</v>
      </c>
      <c r="D59" s="23" t="s">
        <v>270</v>
      </c>
      <c r="E59" s="28">
        <v>278000</v>
      </c>
      <c r="F59" s="25">
        <v>993.71</v>
      </c>
      <c r="G59" s="25">
        <v>0.9</v>
      </c>
    </row>
    <row r="60" spans="2:7" x14ac:dyDescent="0.2">
      <c r="B60" s="27" t="s">
        <v>205</v>
      </c>
      <c r="C60" s="23" t="s">
        <v>206</v>
      </c>
      <c r="D60" s="23" t="s">
        <v>184</v>
      </c>
      <c r="E60" s="28">
        <v>28025</v>
      </c>
      <c r="F60" s="25">
        <v>903.75</v>
      </c>
      <c r="G60" s="25">
        <v>0.82</v>
      </c>
    </row>
    <row r="61" spans="2:7" x14ac:dyDescent="0.2">
      <c r="B61" s="27" t="s">
        <v>194</v>
      </c>
      <c r="C61" s="23" t="s">
        <v>195</v>
      </c>
      <c r="D61" s="23" t="s">
        <v>184</v>
      </c>
      <c r="E61" s="28">
        <v>49800</v>
      </c>
      <c r="F61" s="25">
        <v>873.97</v>
      </c>
      <c r="G61" s="25">
        <v>0.79</v>
      </c>
    </row>
    <row r="62" spans="2:7" x14ac:dyDescent="0.2">
      <c r="B62" s="27" t="s">
        <v>354</v>
      </c>
      <c r="C62" s="23" t="s">
        <v>355</v>
      </c>
      <c r="D62" s="23" t="s">
        <v>97</v>
      </c>
      <c r="E62" s="28">
        <v>260000</v>
      </c>
      <c r="F62" s="25">
        <v>850.2</v>
      </c>
      <c r="G62" s="25">
        <v>0.77</v>
      </c>
    </row>
    <row r="63" spans="2:7" x14ac:dyDescent="0.2">
      <c r="B63" s="27" t="s">
        <v>356</v>
      </c>
      <c r="C63" s="23" t="s">
        <v>357</v>
      </c>
      <c r="D63" s="23" t="s">
        <v>86</v>
      </c>
      <c r="E63" s="28">
        <v>18522</v>
      </c>
      <c r="F63" s="25">
        <v>731.6</v>
      </c>
      <c r="G63" s="25">
        <v>0.66</v>
      </c>
    </row>
    <row r="64" spans="2:7" x14ac:dyDescent="0.2">
      <c r="B64" s="27" t="s">
        <v>358</v>
      </c>
      <c r="C64" s="23" t="s">
        <v>359</v>
      </c>
      <c r="D64" s="23" t="s">
        <v>83</v>
      </c>
      <c r="E64" s="28">
        <v>75494</v>
      </c>
      <c r="F64" s="25">
        <v>527.74</v>
      </c>
      <c r="G64" s="25">
        <v>0.48</v>
      </c>
    </row>
    <row r="65" spans="2:9" x14ac:dyDescent="0.2">
      <c r="B65" s="29" t="s">
        <v>119</v>
      </c>
      <c r="C65" s="30"/>
      <c r="D65" s="30"/>
      <c r="E65" s="31"/>
      <c r="F65" s="32">
        <f>SUM(F7:F64)</f>
        <v>107517.77000000006</v>
      </c>
      <c r="G65" s="32">
        <f>SUM(G7:G64)</f>
        <v>97.370000000000019</v>
      </c>
      <c r="H65" s="14"/>
      <c r="I65" s="14"/>
    </row>
    <row r="66" spans="2:9" x14ac:dyDescent="0.2">
      <c r="B66" s="37" t="s">
        <v>120</v>
      </c>
      <c r="C66" s="37"/>
      <c r="D66" s="37"/>
      <c r="E66" s="38"/>
      <c r="F66" s="39">
        <f>F65</f>
        <v>107517.77000000006</v>
      </c>
      <c r="G66" s="39">
        <f>G65</f>
        <v>97.370000000000019</v>
      </c>
      <c r="H66" s="14"/>
      <c r="I66" s="14"/>
    </row>
    <row r="67" spans="2:9" x14ac:dyDescent="0.2">
      <c r="B67" s="40" t="s">
        <v>121</v>
      </c>
      <c r="C67" s="41"/>
      <c r="D67" s="41"/>
      <c r="E67" s="42"/>
      <c r="F67" s="43"/>
      <c r="G67" s="43"/>
    </row>
    <row r="68" spans="2:9" x14ac:dyDescent="0.2">
      <c r="B68" s="27" t="s">
        <v>121</v>
      </c>
      <c r="C68" s="23"/>
      <c r="D68" s="23"/>
      <c r="E68" s="24"/>
      <c r="F68" s="25">
        <v>3426.7</v>
      </c>
      <c r="G68" s="25">
        <v>3.1</v>
      </c>
    </row>
    <row r="69" spans="2:9" x14ac:dyDescent="0.2">
      <c r="B69" s="29" t="s">
        <v>119</v>
      </c>
      <c r="C69" s="30"/>
      <c r="D69" s="30"/>
      <c r="E69" s="31"/>
      <c r="F69" s="32">
        <f>SUM(F67:F68)</f>
        <v>3426.7</v>
      </c>
      <c r="G69" s="32">
        <f>SUM(G67:G68)</f>
        <v>3.1</v>
      </c>
      <c r="H69" s="14"/>
      <c r="I69" s="14"/>
    </row>
    <row r="70" spans="2:9" x14ac:dyDescent="0.2">
      <c r="B70" s="34" t="s">
        <v>120</v>
      </c>
      <c r="C70" s="34"/>
      <c r="D70" s="34"/>
      <c r="E70" s="35"/>
      <c r="F70" s="36">
        <f>F69</f>
        <v>3426.7</v>
      </c>
      <c r="G70" s="36">
        <f>G69</f>
        <v>3.1</v>
      </c>
      <c r="H70" s="14"/>
      <c r="I70" s="14"/>
    </row>
    <row r="71" spans="2:9" x14ac:dyDescent="0.2">
      <c r="B71" s="44" t="s">
        <v>123</v>
      </c>
      <c r="C71" s="44"/>
      <c r="D71" s="44"/>
      <c r="E71" s="45"/>
      <c r="F71" s="16">
        <f>F72-(+F66+F70)</f>
        <v>-528.99000000006345</v>
      </c>
      <c r="G71" s="16">
        <f>G72-(+G66+G70)</f>
        <v>-0.47000000000001307</v>
      </c>
      <c r="H71" s="14"/>
      <c r="I71" s="14"/>
    </row>
    <row r="72" spans="2:9" x14ac:dyDescent="0.2">
      <c r="B72" s="44" t="s">
        <v>122</v>
      </c>
      <c r="C72" s="44"/>
      <c r="D72" s="44"/>
      <c r="E72" s="45"/>
      <c r="F72" s="16">
        <v>110415.48</v>
      </c>
      <c r="G72" s="16">
        <v>100</v>
      </c>
      <c r="H72" s="14"/>
      <c r="I72" s="14"/>
    </row>
    <row r="74" spans="2:9" x14ac:dyDescent="0.2">
      <c r="B74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53.85546875" style="1" bestFit="1" customWidth="1"/>
    <col min="3" max="3" width="13.5703125" style="1" bestFit="1" customWidth="1"/>
    <col min="4" max="4" width="23.425781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78" t="s">
        <v>15</v>
      </c>
      <c r="C1" s="79"/>
      <c r="D1" s="79"/>
      <c r="E1" s="79"/>
      <c r="F1" s="79"/>
      <c r="G1" s="79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124</v>
      </c>
      <c r="C7" s="23" t="s">
        <v>125</v>
      </c>
      <c r="D7" s="23" t="s">
        <v>38</v>
      </c>
      <c r="E7" s="28">
        <v>400000</v>
      </c>
      <c r="F7" s="25">
        <v>6063.4</v>
      </c>
      <c r="G7" s="25">
        <v>8.2200000000000006</v>
      </c>
    </row>
    <row r="8" spans="2:7" x14ac:dyDescent="0.2">
      <c r="B8" s="27" t="s">
        <v>126</v>
      </c>
      <c r="C8" s="23" t="s">
        <v>127</v>
      </c>
      <c r="D8" s="23" t="s">
        <v>128</v>
      </c>
      <c r="E8" s="28">
        <v>390000</v>
      </c>
      <c r="F8" s="25">
        <v>5435.63</v>
      </c>
      <c r="G8" s="25">
        <v>7.37</v>
      </c>
    </row>
    <row r="9" spans="2:7" x14ac:dyDescent="0.2">
      <c r="B9" s="27" t="s">
        <v>36</v>
      </c>
      <c r="C9" s="23" t="s">
        <v>37</v>
      </c>
      <c r="D9" s="23" t="s">
        <v>38</v>
      </c>
      <c r="E9" s="28">
        <v>780000</v>
      </c>
      <c r="F9" s="25">
        <v>5169.45</v>
      </c>
      <c r="G9" s="25">
        <v>7</v>
      </c>
    </row>
    <row r="10" spans="2:7" x14ac:dyDescent="0.2">
      <c r="B10" s="27" t="s">
        <v>133</v>
      </c>
      <c r="C10" s="23" t="s">
        <v>134</v>
      </c>
      <c r="D10" s="23" t="s">
        <v>38</v>
      </c>
      <c r="E10" s="28">
        <v>495000</v>
      </c>
      <c r="F10" s="25">
        <v>3715.97</v>
      </c>
      <c r="G10" s="25">
        <v>5.04</v>
      </c>
    </row>
    <row r="11" spans="2:7" x14ac:dyDescent="0.2">
      <c r="B11" s="27" t="s">
        <v>131</v>
      </c>
      <c r="C11" s="23" t="s">
        <v>132</v>
      </c>
      <c r="D11" s="23" t="s">
        <v>128</v>
      </c>
      <c r="E11" s="28">
        <v>100000</v>
      </c>
      <c r="F11" s="25">
        <v>3159.15</v>
      </c>
      <c r="G11" s="25">
        <v>4.28</v>
      </c>
    </row>
    <row r="12" spans="2:7" x14ac:dyDescent="0.2">
      <c r="B12" s="27" t="s">
        <v>135</v>
      </c>
      <c r="C12" s="23" t="s">
        <v>136</v>
      </c>
      <c r="D12" s="23" t="s">
        <v>137</v>
      </c>
      <c r="E12" s="28">
        <v>55000</v>
      </c>
      <c r="F12" s="25">
        <v>3095.37</v>
      </c>
      <c r="G12" s="25">
        <v>4.1900000000000004</v>
      </c>
    </row>
    <row r="13" spans="2:7" x14ac:dyDescent="0.2">
      <c r="B13" s="27" t="s">
        <v>33</v>
      </c>
      <c r="C13" s="23" t="s">
        <v>34</v>
      </c>
      <c r="D13" s="23" t="s">
        <v>35</v>
      </c>
      <c r="E13" s="28">
        <v>175000</v>
      </c>
      <c r="F13" s="25">
        <v>2568.48</v>
      </c>
      <c r="G13" s="25">
        <v>3.48</v>
      </c>
    </row>
    <row r="14" spans="2:7" x14ac:dyDescent="0.2">
      <c r="B14" s="27" t="s">
        <v>150</v>
      </c>
      <c r="C14" s="23" t="s">
        <v>151</v>
      </c>
      <c r="D14" s="23" t="s">
        <v>152</v>
      </c>
      <c r="E14" s="28">
        <v>82500</v>
      </c>
      <c r="F14" s="25">
        <v>2532.2600000000002</v>
      </c>
      <c r="G14" s="25">
        <v>3.43</v>
      </c>
    </row>
    <row r="15" spans="2:7" x14ac:dyDescent="0.2">
      <c r="B15" s="27" t="s">
        <v>69</v>
      </c>
      <c r="C15" s="23" t="s">
        <v>70</v>
      </c>
      <c r="D15" s="23" t="s">
        <v>68</v>
      </c>
      <c r="E15" s="28">
        <v>34000</v>
      </c>
      <c r="F15" s="25">
        <v>2280.7199999999998</v>
      </c>
      <c r="G15" s="25">
        <v>3.09</v>
      </c>
    </row>
    <row r="16" spans="2:7" x14ac:dyDescent="0.2">
      <c r="B16" s="27" t="s">
        <v>249</v>
      </c>
      <c r="C16" s="23" t="s">
        <v>250</v>
      </c>
      <c r="D16" s="23" t="s">
        <v>167</v>
      </c>
      <c r="E16" s="28">
        <v>700000</v>
      </c>
      <c r="F16" s="25">
        <v>2231.25</v>
      </c>
      <c r="G16" s="25">
        <v>3.02</v>
      </c>
    </row>
    <row r="17" spans="2:7" x14ac:dyDescent="0.2">
      <c r="B17" s="27" t="s">
        <v>53</v>
      </c>
      <c r="C17" s="23" t="s">
        <v>54</v>
      </c>
      <c r="D17" s="23" t="s">
        <v>38</v>
      </c>
      <c r="E17" s="28">
        <v>525000</v>
      </c>
      <c r="F17" s="25">
        <v>2227.84</v>
      </c>
      <c r="G17" s="25">
        <v>3.02</v>
      </c>
    </row>
    <row r="18" spans="2:7" x14ac:dyDescent="0.2">
      <c r="B18" s="27" t="s">
        <v>187</v>
      </c>
      <c r="C18" s="23" t="s">
        <v>188</v>
      </c>
      <c r="D18" s="23" t="s">
        <v>142</v>
      </c>
      <c r="E18" s="28">
        <v>330000</v>
      </c>
      <c r="F18" s="25">
        <v>2190.71</v>
      </c>
      <c r="G18" s="25">
        <v>2.97</v>
      </c>
    </row>
    <row r="19" spans="2:7" x14ac:dyDescent="0.2">
      <c r="B19" s="27" t="s">
        <v>155</v>
      </c>
      <c r="C19" s="23" t="s">
        <v>156</v>
      </c>
      <c r="D19" s="23" t="s">
        <v>86</v>
      </c>
      <c r="E19" s="28">
        <v>135000</v>
      </c>
      <c r="F19" s="25">
        <v>2154.94</v>
      </c>
      <c r="G19" s="25">
        <v>2.92</v>
      </c>
    </row>
    <row r="20" spans="2:7" x14ac:dyDescent="0.2">
      <c r="B20" s="27" t="s">
        <v>245</v>
      </c>
      <c r="C20" s="23" t="s">
        <v>246</v>
      </c>
      <c r="D20" s="23" t="s">
        <v>175</v>
      </c>
      <c r="E20" s="28">
        <v>215000</v>
      </c>
      <c r="F20" s="25">
        <v>2097.65</v>
      </c>
      <c r="G20" s="25">
        <v>2.84</v>
      </c>
    </row>
    <row r="21" spans="2:7" x14ac:dyDescent="0.2">
      <c r="B21" s="27" t="s">
        <v>153</v>
      </c>
      <c r="C21" s="23" t="s">
        <v>154</v>
      </c>
      <c r="D21" s="23" t="s">
        <v>59</v>
      </c>
      <c r="E21" s="28">
        <v>115000</v>
      </c>
      <c r="F21" s="25">
        <v>1925.39</v>
      </c>
      <c r="G21" s="25">
        <v>2.61</v>
      </c>
    </row>
    <row r="22" spans="2:7" x14ac:dyDescent="0.2">
      <c r="B22" s="27" t="s">
        <v>299</v>
      </c>
      <c r="C22" s="23" t="s">
        <v>300</v>
      </c>
      <c r="D22" s="23" t="s">
        <v>159</v>
      </c>
      <c r="E22" s="28">
        <v>575000</v>
      </c>
      <c r="F22" s="25">
        <v>1801.19</v>
      </c>
      <c r="G22" s="25">
        <v>2.44</v>
      </c>
    </row>
    <row r="23" spans="2:7" x14ac:dyDescent="0.2">
      <c r="B23" s="27" t="s">
        <v>71</v>
      </c>
      <c r="C23" s="23" t="s">
        <v>72</v>
      </c>
      <c r="D23" s="23" t="s">
        <v>73</v>
      </c>
      <c r="E23" s="28">
        <v>310000</v>
      </c>
      <c r="F23" s="25">
        <v>1662.53</v>
      </c>
      <c r="G23" s="25">
        <v>2.25</v>
      </c>
    </row>
    <row r="24" spans="2:7" x14ac:dyDescent="0.2">
      <c r="B24" s="27" t="s">
        <v>160</v>
      </c>
      <c r="C24" s="23" t="s">
        <v>161</v>
      </c>
      <c r="D24" s="23" t="s">
        <v>86</v>
      </c>
      <c r="E24" s="28">
        <v>155000</v>
      </c>
      <c r="F24" s="25">
        <v>1597.74</v>
      </c>
      <c r="G24" s="25">
        <v>2.16</v>
      </c>
    </row>
    <row r="25" spans="2:7" x14ac:dyDescent="0.2">
      <c r="B25" s="27" t="s">
        <v>203</v>
      </c>
      <c r="C25" s="23" t="s">
        <v>204</v>
      </c>
      <c r="D25" s="23" t="s">
        <v>137</v>
      </c>
      <c r="E25" s="28">
        <v>290000</v>
      </c>
      <c r="F25" s="25">
        <v>1592.97</v>
      </c>
      <c r="G25" s="25">
        <v>2.16</v>
      </c>
    </row>
    <row r="26" spans="2:7" x14ac:dyDescent="0.2">
      <c r="B26" s="27" t="s">
        <v>170</v>
      </c>
      <c r="C26" s="23" t="s">
        <v>171</v>
      </c>
      <c r="D26" s="23" t="s">
        <v>172</v>
      </c>
      <c r="E26" s="28">
        <v>50000</v>
      </c>
      <c r="F26" s="25">
        <v>1555.6</v>
      </c>
      <c r="G26" s="25">
        <v>2.11</v>
      </c>
    </row>
    <row r="27" spans="2:7" x14ac:dyDescent="0.2">
      <c r="B27" s="27" t="s">
        <v>162</v>
      </c>
      <c r="C27" s="23" t="s">
        <v>163</v>
      </c>
      <c r="D27" s="23" t="s">
        <v>164</v>
      </c>
      <c r="E27" s="28">
        <v>251499</v>
      </c>
      <c r="F27" s="25">
        <v>1521.69</v>
      </c>
      <c r="G27" s="25">
        <v>2.06</v>
      </c>
    </row>
    <row r="28" spans="2:7" x14ac:dyDescent="0.2">
      <c r="B28" s="27" t="s">
        <v>157</v>
      </c>
      <c r="C28" s="23" t="s">
        <v>158</v>
      </c>
      <c r="D28" s="23" t="s">
        <v>159</v>
      </c>
      <c r="E28" s="28">
        <v>55000</v>
      </c>
      <c r="F28" s="25">
        <v>1438.22</v>
      </c>
      <c r="G28" s="25">
        <v>1.95</v>
      </c>
    </row>
    <row r="29" spans="2:7" x14ac:dyDescent="0.2">
      <c r="B29" s="27" t="s">
        <v>147</v>
      </c>
      <c r="C29" s="23" t="s">
        <v>148</v>
      </c>
      <c r="D29" s="23" t="s">
        <v>149</v>
      </c>
      <c r="E29" s="28">
        <v>30500</v>
      </c>
      <c r="F29" s="25">
        <v>1279.17</v>
      </c>
      <c r="G29" s="25">
        <v>1.73</v>
      </c>
    </row>
    <row r="30" spans="2:7" x14ac:dyDescent="0.2">
      <c r="B30" s="27" t="s">
        <v>237</v>
      </c>
      <c r="C30" s="23" t="s">
        <v>238</v>
      </c>
      <c r="D30" s="23" t="s">
        <v>149</v>
      </c>
      <c r="E30" s="28">
        <v>38000</v>
      </c>
      <c r="F30" s="25">
        <v>1198.46</v>
      </c>
      <c r="G30" s="25">
        <v>1.62</v>
      </c>
    </row>
    <row r="31" spans="2:7" x14ac:dyDescent="0.2">
      <c r="B31" s="27" t="s">
        <v>205</v>
      </c>
      <c r="C31" s="23" t="s">
        <v>206</v>
      </c>
      <c r="D31" s="23" t="s">
        <v>184</v>
      </c>
      <c r="E31" s="28">
        <v>29600</v>
      </c>
      <c r="F31" s="25">
        <v>954.54</v>
      </c>
      <c r="G31" s="25">
        <v>1.29</v>
      </c>
    </row>
    <row r="32" spans="2:7" x14ac:dyDescent="0.2">
      <c r="B32" s="27" t="s">
        <v>48</v>
      </c>
      <c r="C32" s="23" t="s">
        <v>49</v>
      </c>
      <c r="D32" s="23" t="s">
        <v>44</v>
      </c>
      <c r="E32" s="28">
        <v>2150</v>
      </c>
      <c r="F32" s="25">
        <v>921.2</v>
      </c>
      <c r="G32" s="25">
        <v>1.25</v>
      </c>
    </row>
    <row r="33" spans="2:9" x14ac:dyDescent="0.2">
      <c r="B33" s="27" t="s">
        <v>45</v>
      </c>
      <c r="C33" s="23" t="s">
        <v>46</v>
      </c>
      <c r="D33" s="23" t="s">
        <v>47</v>
      </c>
      <c r="E33" s="28">
        <v>60999</v>
      </c>
      <c r="F33" s="25">
        <v>887.02</v>
      </c>
      <c r="G33" s="25">
        <v>1.2</v>
      </c>
    </row>
    <row r="34" spans="2:9" x14ac:dyDescent="0.2">
      <c r="B34" s="29" t="s">
        <v>119</v>
      </c>
      <c r="C34" s="30"/>
      <c r="D34" s="30"/>
      <c r="E34" s="31"/>
      <c r="F34" s="32">
        <f>SUM(F7:F33)</f>
        <v>63258.54</v>
      </c>
      <c r="G34" s="32">
        <f>SUM(G7:G33)</f>
        <v>85.700000000000017</v>
      </c>
      <c r="H34" s="14"/>
      <c r="I34" s="14"/>
    </row>
    <row r="35" spans="2:9" x14ac:dyDescent="0.2">
      <c r="B35" s="37" t="s">
        <v>120</v>
      </c>
      <c r="C35" s="37"/>
      <c r="D35" s="37"/>
      <c r="E35" s="38"/>
      <c r="F35" s="39">
        <f>F34</f>
        <v>63258.54</v>
      </c>
      <c r="G35" s="39">
        <f>G34</f>
        <v>85.700000000000017</v>
      </c>
      <c r="H35" s="14"/>
      <c r="I35" s="14"/>
    </row>
    <row r="36" spans="2:9" x14ac:dyDescent="0.2">
      <c r="B36" s="40" t="s">
        <v>121</v>
      </c>
      <c r="C36" s="41"/>
      <c r="D36" s="41"/>
      <c r="E36" s="42"/>
      <c r="F36" s="43"/>
      <c r="G36" s="43"/>
    </row>
    <row r="37" spans="2:9" x14ac:dyDescent="0.2">
      <c r="B37" s="27" t="s">
        <v>121</v>
      </c>
      <c r="C37" s="23"/>
      <c r="D37" s="23"/>
      <c r="E37" s="24"/>
      <c r="F37" s="25">
        <v>11840.97</v>
      </c>
      <c r="G37" s="25">
        <v>16.04</v>
      </c>
    </row>
    <row r="38" spans="2:9" x14ac:dyDescent="0.2">
      <c r="B38" s="29" t="s">
        <v>119</v>
      </c>
      <c r="C38" s="30"/>
      <c r="D38" s="30"/>
      <c r="E38" s="31"/>
      <c r="F38" s="32">
        <f>SUM(F36:F37)</f>
        <v>11840.97</v>
      </c>
      <c r="G38" s="32">
        <f>SUM(G36:G37)</f>
        <v>16.04</v>
      </c>
      <c r="H38" s="14"/>
      <c r="I38" s="14"/>
    </row>
    <row r="39" spans="2:9" x14ac:dyDescent="0.2">
      <c r="B39" s="34" t="s">
        <v>120</v>
      </c>
      <c r="C39" s="34"/>
      <c r="D39" s="34"/>
      <c r="E39" s="35"/>
      <c r="F39" s="36">
        <f>F38</f>
        <v>11840.97</v>
      </c>
      <c r="G39" s="36">
        <f>G38</f>
        <v>16.04</v>
      </c>
      <c r="H39" s="14"/>
      <c r="I39" s="14"/>
    </row>
    <row r="40" spans="2:9" x14ac:dyDescent="0.2">
      <c r="B40" s="44" t="s">
        <v>123</v>
      </c>
      <c r="C40" s="44"/>
      <c r="D40" s="44"/>
      <c r="E40" s="45"/>
      <c r="F40" s="16">
        <f>F41-(+F35+F39)</f>
        <v>-1298.3399999999965</v>
      </c>
      <c r="G40" s="16">
        <f>G41-(+G35+G39)</f>
        <v>-1.7400000000000091</v>
      </c>
      <c r="H40" s="14"/>
      <c r="I40" s="14"/>
    </row>
    <row r="41" spans="2:9" x14ac:dyDescent="0.2">
      <c r="B41" s="44" t="s">
        <v>122</v>
      </c>
      <c r="C41" s="44"/>
      <c r="D41" s="44"/>
      <c r="E41" s="45"/>
      <c r="F41" s="16">
        <v>73801.17</v>
      </c>
      <c r="G41" s="16">
        <v>100</v>
      </c>
      <c r="H41" s="14"/>
      <c r="I41" s="14"/>
    </row>
    <row r="43" spans="2:9" x14ac:dyDescent="0.2">
      <c r="B43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30"/>
  <sheetViews>
    <sheetView workbookViewId="0">
      <selection activeCell="G55" sqref="G55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23.425781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8" t="s">
        <v>16</v>
      </c>
      <c r="C1" s="79"/>
      <c r="D1" s="79"/>
      <c r="E1" s="79"/>
      <c r="F1" s="79"/>
      <c r="G1" s="79"/>
      <c r="H1" s="79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36</v>
      </c>
      <c r="C7" s="23" t="s">
        <v>37</v>
      </c>
      <c r="D7" s="23" t="s">
        <v>38</v>
      </c>
      <c r="E7" s="28">
        <v>4732600</v>
      </c>
      <c r="F7" s="25">
        <v>31365.31</v>
      </c>
      <c r="G7" s="25">
        <v>5.89</v>
      </c>
      <c r="H7" s="26"/>
    </row>
    <row r="8" spans="2:8" x14ac:dyDescent="0.2">
      <c r="B8" s="27" t="s">
        <v>124</v>
      </c>
      <c r="C8" s="23" t="s">
        <v>125</v>
      </c>
      <c r="D8" s="23" t="s">
        <v>38</v>
      </c>
      <c r="E8" s="28">
        <v>2044950</v>
      </c>
      <c r="F8" s="25">
        <v>30998.37</v>
      </c>
      <c r="G8" s="25">
        <v>5.82</v>
      </c>
      <c r="H8" s="26"/>
    </row>
    <row r="9" spans="2:8" x14ac:dyDescent="0.2">
      <c r="B9" s="27" t="s">
        <v>126</v>
      </c>
      <c r="C9" s="23" t="s">
        <v>127</v>
      </c>
      <c r="D9" s="23" t="s">
        <v>128</v>
      </c>
      <c r="E9" s="28">
        <v>2065472</v>
      </c>
      <c r="F9" s="25">
        <v>28787.52</v>
      </c>
      <c r="G9" s="25">
        <v>5.4</v>
      </c>
      <c r="H9" s="26"/>
    </row>
    <row r="10" spans="2:8" x14ac:dyDescent="0.2">
      <c r="B10" s="27" t="s">
        <v>129</v>
      </c>
      <c r="C10" s="23" t="s">
        <v>130</v>
      </c>
      <c r="D10" s="23" t="s">
        <v>83</v>
      </c>
      <c r="E10" s="28">
        <v>803900</v>
      </c>
      <c r="F10" s="25">
        <v>17366.650000000001</v>
      </c>
      <c r="G10" s="25">
        <v>3.26</v>
      </c>
      <c r="H10" s="26"/>
    </row>
    <row r="11" spans="2:8" x14ac:dyDescent="0.2">
      <c r="B11" s="27" t="s">
        <v>133</v>
      </c>
      <c r="C11" s="23" t="s">
        <v>134</v>
      </c>
      <c r="D11" s="23" t="s">
        <v>38</v>
      </c>
      <c r="E11" s="28">
        <v>1998100</v>
      </c>
      <c r="F11" s="25">
        <v>14999.74</v>
      </c>
      <c r="G11" s="25">
        <v>2.82</v>
      </c>
      <c r="H11" s="26"/>
    </row>
    <row r="12" spans="2:8" x14ac:dyDescent="0.2">
      <c r="B12" s="27" t="s">
        <v>131</v>
      </c>
      <c r="C12" s="23" t="s">
        <v>132</v>
      </c>
      <c r="D12" s="23" t="s">
        <v>128</v>
      </c>
      <c r="E12" s="28">
        <v>472165</v>
      </c>
      <c r="F12" s="25">
        <v>14916.4</v>
      </c>
      <c r="G12" s="25">
        <v>2.8</v>
      </c>
      <c r="H12" s="26"/>
    </row>
    <row r="13" spans="2:8" x14ac:dyDescent="0.2">
      <c r="B13" s="27" t="s">
        <v>135</v>
      </c>
      <c r="C13" s="23" t="s">
        <v>136</v>
      </c>
      <c r="D13" s="23" t="s">
        <v>137</v>
      </c>
      <c r="E13" s="28">
        <v>253908</v>
      </c>
      <c r="F13" s="25">
        <v>14289.82</v>
      </c>
      <c r="G13" s="25">
        <v>2.68</v>
      </c>
      <c r="H13" s="26"/>
    </row>
    <row r="14" spans="2:8" x14ac:dyDescent="0.2">
      <c r="B14" s="27" t="s">
        <v>138</v>
      </c>
      <c r="C14" s="23" t="s">
        <v>139</v>
      </c>
      <c r="D14" s="23" t="s">
        <v>137</v>
      </c>
      <c r="E14" s="28">
        <v>538000</v>
      </c>
      <c r="F14" s="25">
        <v>13734.33</v>
      </c>
      <c r="G14" s="25">
        <v>2.58</v>
      </c>
      <c r="H14" s="26"/>
    </row>
    <row r="15" spans="2:8" x14ac:dyDescent="0.2">
      <c r="B15" s="27" t="s">
        <v>53</v>
      </c>
      <c r="C15" s="23" t="s">
        <v>54</v>
      </c>
      <c r="D15" s="23" t="s">
        <v>38</v>
      </c>
      <c r="E15" s="28">
        <v>3000000</v>
      </c>
      <c r="F15" s="25">
        <v>12730.5</v>
      </c>
      <c r="G15" s="25">
        <v>2.39</v>
      </c>
      <c r="H15" s="26"/>
    </row>
    <row r="16" spans="2:8" x14ac:dyDescent="0.2">
      <c r="B16" s="27" t="s">
        <v>33</v>
      </c>
      <c r="C16" s="23" t="s">
        <v>34</v>
      </c>
      <c r="D16" s="23" t="s">
        <v>35</v>
      </c>
      <c r="E16" s="28">
        <v>861418</v>
      </c>
      <c r="F16" s="25">
        <v>12643.03</v>
      </c>
      <c r="G16" s="25">
        <v>2.37</v>
      </c>
      <c r="H16" s="26"/>
    </row>
    <row r="17" spans="2:8" x14ac:dyDescent="0.2">
      <c r="B17" s="27" t="s">
        <v>95</v>
      </c>
      <c r="C17" s="23" t="s">
        <v>96</v>
      </c>
      <c r="D17" s="23" t="s">
        <v>97</v>
      </c>
      <c r="E17" s="28">
        <v>1800000</v>
      </c>
      <c r="F17" s="25">
        <v>7096.5</v>
      </c>
      <c r="G17" s="25">
        <v>1.33</v>
      </c>
      <c r="H17" s="26"/>
    </row>
    <row r="18" spans="2:8" x14ac:dyDescent="0.2">
      <c r="B18" s="27" t="s">
        <v>140</v>
      </c>
      <c r="C18" s="23" t="s">
        <v>141</v>
      </c>
      <c r="D18" s="23" t="s">
        <v>142</v>
      </c>
      <c r="E18" s="28">
        <v>296800</v>
      </c>
      <c r="F18" s="25">
        <v>6945.27</v>
      </c>
      <c r="G18" s="25">
        <v>1.3</v>
      </c>
      <c r="H18" s="26"/>
    </row>
    <row r="19" spans="2:8" x14ac:dyDescent="0.2">
      <c r="B19" s="27" t="s">
        <v>84</v>
      </c>
      <c r="C19" s="23" t="s">
        <v>85</v>
      </c>
      <c r="D19" s="23" t="s">
        <v>86</v>
      </c>
      <c r="E19" s="28">
        <v>672573</v>
      </c>
      <c r="F19" s="25">
        <v>6774.83</v>
      </c>
      <c r="G19" s="25">
        <v>1.27</v>
      </c>
      <c r="H19" s="26"/>
    </row>
    <row r="20" spans="2:8" x14ac:dyDescent="0.2">
      <c r="B20" s="27" t="s">
        <v>237</v>
      </c>
      <c r="C20" s="23" t="s">
        <v>238</v>
      </c>
      <c r="D20" s="23" t="s">
        <v>149</v>
      </c>
      <c r="E20" s="28">
        <v>214610</v>
      </c>
      <c r="F20" s="25">
        <v>6768.48</v>
      </c>
      <c r="G20" s="25">
        <v>1.27</v>
      </c>
      <c r="H20" s="26"/>
    </row>
    <row r="21" spans="2:8" x14ac:dyDescent="0.2">
      <c r="B21" s="27" t="s">
        <v>143</v>
      </c>
      <c r="C21" s="23" t="s">
        <v>144</v>
      </c>
      <c r="D21" s="23" t="s">
        <v>38</v>
      </c>
      <c r="E21" s="28">
        <v>372829</v>
      </c>
      <c r="F21" s="25">
        <v>6739.63</v>
      </c>
      <c r="G21" s="25">
        <v>1.27</v>
      </c>
      <c r="H21" s="26"/>
    </row>
    <row r="22" spans="2:8" x14ac:dyDescent="0.2">
      <c r="B22" s="27" t="s">
        <v>153</v>
      </c>
      <c r="C22" s="23" t="s">
        <v>154</v>
      </c>
      <c r="D22" s="23" t="s">
        <v>59</v>
      </c>
      <c r="E22" s="28">
        <v>362305</v>
      </c>
      <c r="F22" s="25">
        <v>6065.89</v>
      </c>
      <c r="G22" s="25">
        <v>1.1399999999999999</v>
      </c>
      <c r="H22" s="26"/>
    </row>
    <row r="23" spans="2:8" x14ac:dyDescent="0.2">
      <c r="B23" s="27" t="s">
        <v>155</v>
      </c>
      <c r="C23" s="23" t="s">
        <v>156</v>
      </c>
      <c r="D23" s="23" t="s">
        <v>86</v>
      </c>
      <c r="E23" s="28">
        <v>376700</v>
      </c>
      <c r="F23" s="25">
        <v>6013.07</v>
      </c>
      <c r="G23" s="25">
        <v>1.1299999999999999</v>
      </c>
      <c r="H23" s="26"/>
    </row>
    <row r="24" spans="2:8" x14ac:dyDescent="0.2">
      <c r="B24" s="27" t="s">
        <v>182</v>
      </c>
      <c r="C24" s="23" t="s">
        <v>183</v>
      </c>
      <c r="D24" s="23" t="s">
        <v>184</v>
      </c>
      <c r="E24" s="28">
        <v>65109</v>
      </c>
      <c r="F24" s="25">
        <v>5595.5</v>
      </c>
      <c r="G24" s="25">
        <v>1.05</v>
      </c>
      <c r="H24" s="26"/>
    </row>
    <row r="25" spans="2:8" x14ac:dyDescent="0.2">
      <c r="B25" s="27" t="s">
        <v>150</v>
      </c>
      <c r="C25" s="23" t="s">
        <v>151</v>
      </c>
      <c r="D25" s="23" t="s">
        <v>152</v>
      </c>
      <c r="E25" s="28">
        <v>180840</v>
      </c>
      <c r="F25" s="25">
        <v>5550.7</v>
      </c>
      <c r="G25" s="25">
        <v>1.04</v>
      </c>
      <c r="H25" s="26"/>
    </row>
    <row r="26" spans="2:8" x14ac:dyDescent="0.2">
      <c r="B26" s="27" t="s">
        <v>200</v>
      </c>
      <c r="C26" s="23" t="s">
        <v>201</v>
      </c>
      <c r="D26" s="23" t="s">
        <v>202</v>
      </c>
      <c r="E26" s="28">
        <v>1021515</v>
      </c>
      <c r="F26" s="25">
        <v>5464.08</v>
      </c>
      <c r="G26" s="25">
        <v>1.03</v>
      </c>
      <c r="H26" s="26"/>
    </row>
    <row r="27" spans="2:8" x14ac:dyDescent="0.2">
      <c r="B27" s="27" t="s">
        <v>176</v>
      </c>
      <c r="C27" s="23" t="s">
        <v>177</v>
      </c>
      <c r="D27" s="23" t="s">
        <v>167</v>
      </c>
      <c r="E27" s="28">
        <v>73848</v>
      </c>
      <c r="F27" s="25">
        <v>5233.09</v>
      </c>
      <c r="G27" s="25">
        <v>0.98</v>
      </c>
      <c r="H27" s="26"/>
    </row>
    <row r="28" spans="2:8" x14ac:dyDescent="0.2">
      <c r="B28" s="27" t="s">
        <v>69</v>
      </c>
      <c r="C28" s="23" t="s">
        <v>70</v>
      </c>
      <c r="D28" s="23" t="s">
        <v>68</v>
      </c>
      <c r="E28" s="28">
        <v>75621</v>
      </c>
      <c r="F28" s="25">
        <v>5072.66</v>
      </c>
      <c r="G28" s="25">
        <v>0.95</v>
      </c>
      <c r="H28" s="26"/>
    </row>
    <row r="29" spans="2:8" x14ac:dyDescent="0.2">
      <c r="B29" s="27" t="s">
        <v>147</v>
      </c>
      <c r="C29" s="23" t="s">
        <v>148</v>
      </c>
      <c r="D29" s="23" t="s">
        <v>149</v>
      </c>
      <c r="E29" s="28">
        <v>119608</v>
      </c>
      <c r="F29" s="25">
        <v>5016.3599999999997</v>
      </c>
      <c r="G29" s="25">
        <v>0.94</v>
      </c>
      <c r="H29" s="26"/>
    </row>
    <row r="30" spans="2:8" x14ac:dyDescent="0.2">
      <c r="B30" s="27" t="s">
        <v>157</v>
      </c>
      <c r="C30" s="23" t="s">
        <v>158</v>
      </c>
      <c r="D30" s="23" t="s">
        <v>159</v>
      </c>
      <c r="E30" s="28">
        <v>190564</v>
      </c>
      <c r="F30" s="25">
        <v>4983.1499999999996</v>
      </c>
      <c r="G30" s="25">
        <v>0.94</v>
      </c>
      <c r="H30" s="26"/>
    </row>
    <row r="31" spans="2:8" x14ac:dyDescent="0.2">
      <c r="B31" s="27" t="s">
        <v>162</v>
      </c>
      <c r="C31" s="23" t="s">
        <v>163</v>
      </c>
      <c r="D31" s="23" t="s">
        <v>164</v>
      </c>
      <c r="E31" s="28">
        <v>815281</v>
      </c>
      <c r="F31" s="25">
        <v>4932.8599999999997</v>
      </c>
      <c r="G31" s="25">
        <v>0.93</v>
      </c>
      <c r="H31" s="26"/>
    </row>
    <row r="32" spans="2:8" x14ac:dyDescent="0.2">
      <c r="B32" s="27" t="s">
        <v>145</v>
      </c>
      <c r="C32" s="23" t="s">
        <v>146</v>
      </c>
      <c r="D32" s="23" t="s">
        <v>142</v>
      </c>
      <c r="E32" s="28">
        <v>160100</v>
      </c>
      <c r="F32" s="25">
        <v>4766.9799999999996</v>
      </c>
      <c r="G32" s="25">
        <v>0.89</v>
      </c>
      <c r="H32" s="26"/>
    </row>
    <row r="33" spans="2:8" x14ac:dyDescent="0.2">
      <c r="B33" s="27" t="s">
        <v>71</v>
      </c>
      <c r="C33" s="23" t="s">
        <v>72</v>
      </c>
      <c r="D33" s="23" t="s">
        <v>73</v>
      </c>
      <c r="E33" s="28">
        <v>854914</v>
      </c>
      <c r="F33" s="25">
        <v>4584.8999999999996</v>
      </c>
      <c r="G33" s="25">
        <v>0.86</v>
      </c>
      <c r="H33" s="26"/>
    </row>
    <row r="34" spans="2:8" x14ac:dyDescent="0.2">
      <c r="B34" s="27" t="s">
        <v>170</v>
      </c>
      <c r="C34" s="23" t="s">
        <v>171</v>
      </c>
      <c r="D34" s="23" t="s">
        <v>172</v>
      </c>
      <c r="E34" s="28">
        <v>146117</v>
      </c>
      <c r="F34" s="25">
        <v>4545.99</v>
      </c>
      <c r="G34" s="25">
        <v>0.85</v>
      </c>
      <c r="H34" s="26"/>
    </row>
    <row r="35" spans="2:8" x14ac:dyDescent="0.2">
      <c r="B35" s="27" t="s">
        <v>66</v>
      </c>
      <c r="C35" s="23" t="s">
        <v>67</v>
      </c>
      <c r="D35" s="23" t="s">
        <v>68</v>
      </c>
      <c r="E35" s="28">
        <v>254768</v>
      </c>
      <c r="F35" s="25">
        <v>4496.66</v>
      </c>
      <c r="G35" s="25">
        <v>0.84</v>
      </c>
      <c r="H35" s="26"/>
    </row>
    <row r="36" spans="2:8" x14ac:dyDescent="0.2">
      <c r="B36" s="27" t="s">
        <v>168</v>
      </c>
      <c r="C36" s="23" t="s">
        <v>169</v>
      </c>
      <c r="D36" s="23" t="s">
        <v>164</v>
      </c>
      <c r="E36" s="28">
        <v>202946</v>
      </c>
      <c r="F36" s="25">
        <v>4466.6400000000003</v>
      </c>
      <c r="G36" s="25">
        <v>0.84</v>
      </c>
      <c r="H36" s="26"/>
    </row>
    <row r="37" spans="2:8" x14ac:dyDescent="0.2">
      <c r="B37" s="27" t="s">
        <v>191</v>
      </c>
      <c r="C37" s="23" t="s">
        <v>192</v>
      </c>
      <c r="D37" s="23" t="s">
        <v>193</v>
      </c>
      <c r="E37" s="28">
        <v>2000000</v>
      </c>
      <c r="F37" s="25">
        <v>4448</v>
      </c>
      <c r="G37" s="25">
        <v>0.83</v>
      </c>
      <c r="H37" s="26"/>
    </row>
    <row r="38" spans="2:8" x14ac:dyDescent="0.2">
      <c r="B38" s="27" t="s">
        <v>203</v>
      </c>
      <c r="C38" s="23" t="s">
        <v>204</v>
      </c>
      <c r="D38" s="23" t="s">
        <v>137</v>
      </c>
      <c r="E38" s="28">
        <v>800000</v>
      </c>
      <c r="F38" s="25">
        <v>4394.3999999999996</v>
      </c>
      <c r="G38" s="25">
        <v>0.82</v>
      </c>
      <c r="H38" s="26"/>
    </row>
    <row r="39" spans="2:8" x14ac:dyDescent="0.2">
      <c r="B39" s="27" t="s">
        <v>180</v>
      </c>
      <c r="C39" s="23" t="s">
        <v>181</v>
      </c>
      <c r="D39" s="23" t="s">
        <v>149</v>
      </c>
      <c r="E39" s="28">
        <v>455000</v>
      </c>
      <c r="F39" s="25">
        <v>4319.54</v>
      </c>
      <c r="G39" s="25">
        <v>0.81</v>
      </c>
      <c r="H39" s="26"/>
    </row>
    <row r="40" spans="2:8" x14ac:dyDescent="0.2">
      <c r="B40" s="27" t="s">
        <v>187</v>
      </c>
      <c r="C40" s="23" t="s">
        <v>188</v>
      </c>
      <c r="D40" s="23" t="s">
        <v>142</v>
      </c>
      <c r="E40" s="28">
        <v>650000</v>
      </c>
      <c r="F40" s="25">
        <v>4315.03</v>
      </c>
      <c r="G40" s="25">
        <v>0.81</v>
      </c>
      <c r="H40" s="26"/>
    </row>
    <row r="41" spans="2:8" x14ac:dyDescent="0.2">
      <c r="B41" s="27" t="s">
        <v>109</v>
      </c>
      <c r="C41" s="23" t="s">
        <v>110</v>
      </c>
      <c r="D41" s="23" t="s">
        <v>73</v>
      </c>
      <c r="E41" s="28">
        <v>815000</v>
      </c>
      <c r="F41" s="25">
        <v>4310.13</v>
      </c>
      <c r="G41" s="25">
        <v>0.81</v>
      </c>
      <c r="H41" s="26"/>
    </row>
    <row r="42" spans="2:8" x14ac:dyDescent="0.2">
      <c r="B42" s="27" t="s">
        <v>205</v>
      </c>
      <c r="C42" s="23" t="s">
        <v>206</v>
      </c>
      <c r="D42" s="23" t="s">
        <v>184</v>
      </c>
      <c r="E42" s="28">
        <v>131968</v>
      </c>
      <c r="F42" s="25">
        <v>4255.7</v>
      </c>
      <c r="G42" s="25">
        <v>0.8</v>
      </c>
      <c r="H42" s="26"/>
    </row>
    <row r="43" spans="2:8" x14ac:dyDescent="0.2">
      <c r="B43" s="27" t="s">
        <v>207</v>
      </c>
      <c r="C43" s="23" t="s">
        <v>208</v>
      </c>
      <c r="D43" s="23" t="s">
        <v>128</v>
      </c>
      <c r="E43" s="28">
        <v>445000</v>
      </c>
      <c r="F43" s="25">
        <v>4206.1400000000003</v>
      </c>
      <c r="G43" s="25">
        <v>0.79</v>
      </c>
      <c r="H43" s="26"/>
    </row>
    <row r="44" spans="2:8" x14ac:dyDescent="0.2">
      <c r="B44" s="27" t="s">
        <v>283</v>
      </c>
      <c r="C44" s="23" t="s">
        <v>284</v>
      </c>
      <c r="D44" s="23" t="s">
        <v>167</v>
      </c>
      <c r="E44" s="28">
        <v>100000</v>
      </c>
      <c r="F44" s="25">
        <v>4192.8</v>
      </c>
      <c r="G44" s="25">
        <v>0.79</v>
      </c>
      <c r="H44" s="26"/>
    </row>
    <row r="45" spans="2:8" x14ac:dyDescent="0.2">
      <c r="B45" s="27" t="s">
        <v>196</v>
      </c>
      <c r="C45" s="23" t="s">
        <v>197</v>
      </c>
      <c r="D45" s="23" t="s">
        <v>59</v>
      </c>
      <c r="E45" s="28">
        <v>605000</v>
      </c>
      <c r="F45" s="25">
        <v>4100.99</v>
      </c>
      <c r="G45" s="25">
        <v>0.77</v>
      </c>
      <c r="H45" s="26"/>
    </row>
    <row r="46" spans="2:8" x14ac:dyDescent="0.2">
      <c r="B46" s="27" t="s">
        <v>245</v>
      </c>
      <c r="C46" s="23" t="s">
        <v>246</v>
      </c>
      <c r="D46" s="23" t="s">
        <v>175</v>
      </c>
      <c r="E46" s="28">
        <v>420000</v>
      </c>
      <c r="F46" s="25">
        <v>4097.7299999999996</v>
      </c>
      <c r="G46" s="25">
        <v>0.77</v>
      </c>
      <c r="H46" s="26"/>
    </row>
    <row r="47" spans="2:8" x14ac:dyDescent="0.2">
      <c r="B47" s="27" t="s">
        <v>74</v>
      </c>
      <c r="C47" s="23" t="s">
        <v>75</v>
      </c>
      <c r="D47" s="23" t="s">
        <v>76</v>
      </c>
      <c r="E47" s="28">
        <v>355000</v>
      </c>
      <c r="F47" s="25">
        <v>3996.06</v>
      </c>
      <c r="G47" s="25">
        <v>0.75</v>
      </c>
      <c r="H47" s="26"/>
    </row>
    <row r="48" spans="2:8" x14ac:dyDescent="0.2">
      <c r="B48" s="27" t="s">
        <v>235</v>
      </c>
      <c r="C48" s="23" t="s">
        <v>236</v>
      </c>
      <c r="D48" s="23" t="s">
        <v>86</v>
      </c>
      <c r="E48" s="28">
        <v>997707</v>
      </c>
      <c r="F48" s="25">
        <v>3973.37</v>
      </c>
      <c r="G48" s="25">
        <v>0.75</v>
      </c>
      <c r="H48" s="26"/>
    </row>
    <row r="49" spans="2:10" x14ac:dyDescent="0.2">
      <c r="B49" s="27" t="s">
        <v>185</v>
      </c>
      <c r="C49" s="23" t="s">
        <v>186</v>
      </c>
      <c r="D49" s="23" t="s">
        <v>167</v>
      </c>
      <c r="E49" s="28">
        <v>3200000</v>
      </c>
      <c r="F49" s="25">
        <v>3950.4</v>
      </c>
      <c r="G49" s="25">
        <v>0.74</v>
      </c>
      <c r="H49" s="26"/>
    </row>
    <row r="50" spans="2:10" x14ac:dyDescent="0.2">
      <c r="B50" s="27" t="s">
        <v>241</v>
      </c>
      <c r="C50" s="23" t="s">
        <v>242</v>
      </c>
      <c r="D50" s="23" t="s">
        <v>164</v>
      </c>
      <c r="E50" s="28">
        <v>54907</v>
      </c>
      <c r="F50" s="25">
        <v>3750.86</v>
      </c>
      <c r="G50" s="25">
        <v>0.7</v>
      </c>
      <c r="H50" s="26"/>
    </row>
    <row r="51" spans="2:10" x14ac:dyDescent="0.2">
      <c r="B51" s="27" t="s">
        <v>253</v>
      </c>
      <c r="C51" s="23" t="s">
        <v>254</v>
      </c>
      <c r="D51" s="23" t="s">
        <v>152</v>
      </c>
      <c r="E51" s="28">
        <v>1885947</v>
      </c>
      <c r="F51" s="25">
        <v>3680.43</v>
      </c>
      <c r="G51" s="25">
        <v>0.69</v>
      </c>
      <c r="H51" s="26"/>
    </row>
    <row r="52" spans="2:10" x14ac:dyDescent="0.2">
      <c r="B52" s="27" t="s">
        <v>215</v>
      </c>
      <c r="C52" s="23" t="s">
        <v>216</v>
      </c>
      <c r="D52" s="23" t="s">
        <v>149</v>
      </c>
      <c r="E52" s="28">
        <v>22696</v>
      </c>
      <c r="F52" s="25">
        <v>3637.95</v>
      </c>
      <c r="G52" s="25">
        <v>0.68</v>
      </c>
      <c r="H52" s="26"/>
    </row>
    <row r="53" spans="2:10" x14ac:dyDescent="0.2">
      <c r="B53" s="27" t="s">
        <v>100</v>
      </c>
      <c r="C53" s="23" t="s">
        <v>101</v>
      </c>
      <c r="D53" s="23" t="s">
        <v>68</v>
      </c>
      <c r="E53" s="28">
        <v>375000</v>
      </c>
      <c r="F53" s="25">
        <v>3623.44</v>
      </c>
      <c r="G53" s="25">
        <v>0.68</v>
      </c>
      <c r="H53" s="26"/>
    </row>
    <row r="54" spans="2:10" x14ac:dyDescent="0.2">
      <c r="B54" s="27" t="s">
        <v>211</v>
      </c>
      <c r="C54" s="23" t="s">
        <v>212</v>
      </c>
      <c r="D54" s="23" t="s">
        <v>149</v>
      </c>
      <c r="E54" s="28">
        <v>450000</v>
      </c>
      <c r="F54" s="25">
        <v>3007.35</v>
      </c>
      <c r="G54" s="25">
        <v>0.56000000000000005</v>
      </c>
      <c r="H54" s="26"/>
    </row>
    <row r="55" spans="2:10" x14ac:dyDescent="0.2">
      <c r="B55" s="27" t="s">
        <v>173</v>
      </c>
      <c r="C55" s="23" t="s">
        <v>174</v>
      </c>
      <c r="D55" s="23" t="s">
        <v>175</v>
      </c>
      <c r="E55" s="28">
        <v>315000</v>
      </c>
      <c r="F55" s="25">
        <v>2939.27</v>
      </c>
      <c r="G55" s="25">
        <v>0.55000000000000004</v>
      </c>
      <c r="H55" s="26"/>
    </row>
    <row r="56" spans="2:10" x14ac:dyDescent="0.2">
      <c r="B56" s="27" t="s">
        <v>223</v>
      </c>
      <c r="C56" s="23" t="s">
        <v>224</v>
      </c>
      <c r="D56" s="23" t="s">
        <v>86</v>
      </c>
      <c r="E56" s="28">
        <v>120256</v>
      </c>
      <c r="F56" s="25">
        <v>2600.42</v>
      </c>
      <c r="G56" s="25">
        <v>0.49</v>
      </c>
      <c r="H56" s="26"/>
    </row>
    <row r="57" spans="2:10" x14ac:dyDescent="0.2">
      <c r="B57" s="27" t="s">
        <v>217</v>
      </c>
      <c r="C57" s="23" t="s">
        <v>218</v>
      </c>
      <c r="D57" s="23" t="s">
        <v>149</v>
      </c>
      <c r="E57" s="28">
        <v>120637</v>
      </c>
      <c r="F57" s="25">
        <v>2497.91</v>
      </c>
      <c r="G57" s="25">
        <v>0.47</v>
      </c>
      <c r="H57" s="26"/>
    </row>
    <row r="58" spans="2:10" x14ac:dyDescent="0.2">
      <c r="B58" s="27" t="s">
        <v>219</v>
      </c>
      <c r="C58" s="23" t="s">
        <v>220</v>
      </c>
      <c r="D58" s="23" t="s">
        <v>193</v>
      </c>
      <c r="E58" s="28">
        <v>80721</v>
      </c>
      <c r="F58" s="25">
        <v>2386.23</v>
      </c>
      <c r="G58" s="25">
        <v>0.45</v>
      </c>
      <c r="H58" s="26"/>
    </row>
    <row r="59" spans="2:10" x14ac:dyDescent="0.2">
      <c r="B59" s="27" t="s">
        <v>48</v>
      </c>
      <c r="C59" s="23" t="s">
        <v>49</v>
      </c>
      <c r="D59" s="23" t="s">
        <v>44</v>
      </c>
      <c r="E59" s="28">
        <v>5146</v>
      </c>
      <c r="F59" s="25">
        <v>2204.88</v>
      </c>
      <c r="G59" s="25">
        <v>0.41</v>
      </c>
      <c r="H59" s="26"/>
    </row>
    <row r="60" spans="2:10" x14ac:dyDescent="0.2">
      <c r="B60" s="27" t="s">
        <v>221</v>
      </c>
      <c r="C60" s="23" t="s">
        <v>222</v>
      </c>
      <c r="D60" s="23" t="s">
        <v>142</v>
      </c>
      <c r="E60" s="28">
        <v>62266</v>
      </c>
      <c r="F60" s="25">
        <v>2146.84</v>
      </c>
      <c r="G60" s="25">
        <v>0.4</v>
      </c>
      <c r="H60" s="26"/>
    </row>
    <row r="61" spans="2:10" x14ac:dyDescent="0.2">
      <c r="B61" s="27" t="s">
        <v>268</v>
      </c>
      <c r="C61" s="23" t="s">
        <v>269</v>
      </c>
      <c r="D61" s="23" t="s">
        <v>270</v>
      </c>
      <c r="E61" s="28">
        <v>121500</v>
      </c>
      <c r="F61" s="25">
        <v>1882.04</v>
      </c>
      <c r="G61" s="25">
        <v>0.35</v>
      </c>
      <c r="H61" s="26"/>
    </row>
    <row r="62" spans="2:10" x14ac:dyDescent="0.2">
      <c r="B62" s="27" t="s">
        <v>91</v>
      </c>
      <c r="C62" s="23" t="s">
        <v>92</v>
      </c>
      <c r="D62" s="23" t="s">
        <v>68</v>
      </c>
      <c r="E62" s="28">
        <v>3920</v>
      </c>
      <c r="F62" s="25">
        <v>1081.06</v>
      </c>
      <c r="G62" s="25">
        <v>0.2</v>
      </c>
      <c r="H62" s="26"/>
    </row>
    <row r="63" spans="2:10" x14ac:dyDescent="0.2">
      <c r="B63" s="27" t="s">
        <v>225</v>
      </c>
      <c r="C63" s="23" t="s">
        <v>226</v>
      </c>
      <c r="D63" s="23" t="s">
        <v>167</v>
      </c>
      <c r="E63" s="28">
        <v>85000</v>
      </c>
      <c r="F63" s="25">
        <v>686.76</v>
      </c>
      <c r="G63" s="25">
        <v>0.13</v>
      </c>
      <c r="H63" s="26"/>
    </row>
    <row r="64" spans="2:10" x14ac:dyDescent="0.2">
      <c r="B64" s="29" t="s">
        <v>119</v>
      </c>
      <c r="C64" s="30"/>
      <c r="D64" s="30"/>
      <c r="E64" s="31"/>
      <c r="F64" s="32">
        <f>SUM(F7:F63)</f>
        <v>393630.63999999996</v>
      </c>
      <c r="G64" s="32">
        <f>SUM(G7:G63)</f>
        <v>73.86</v>
      </c>
      <c r="H64" s="33"/>
      <c r="I64" s="14"/>
      <c r="J64" s="14"/>
    </row>
    <row r="65" spans="2:10" x14ac:dyDescent="0.2">
      <c r="B65" s="37" t="s">
        <v>120</v>
      </c>
      <c r="C65" s="37"/>
      <c r="D65" s="37"/>
      <c r="E65" s="38"/>
      <c r="F65" s="39">
        <f>F64</f>
        <v>393630.63999999996</v>
      </c>
      <c r="G65" s="39">
        <f>G64</f>
        <v>73.86</v>
      </c>
      <c r="H65" s="15"/>
      <c r="I65" s="14"/>
      <c r="J65" s="14"/>
    </row>
    <row r="66" spans="2:10" x14ac:dyDescent="0.2">
      <c r="B66" s="46" t="s">
        <v>227</v>
      </c>
      <c r="C66" s="41"/>
      <c r="D66" s="41"/>
      <c r="E66" s="42"/>
      <c r="F66" s="43"/>
      <c r="G66" s="43"/>
      <c r="H66" s="43"/>
    </row>
    <row r="67" spans="2:10" x14ac:dyDescent="0.2">
      <c r="B67" s="47" t="s">
        <v>32</v>
      </c>
      <c r="C67" s="23"/>
      <c r="D67" s="23"/>
      <c r="E67" s="24"/>
      <c r="F67" s="25"/>
      <c r="G67" s="25"/>
      <c r="H67" s="25"/>
    </row>
    <row r="68" spans="2:10" x14ac:dyDescent="0.2">
      <c r="B68" s="23" t="s">
        <v>360</v>
      </c>
      <c r="C68" s="23" t="s">
        <v>361</v>
      </c>
      <c r="D68" s="23" t="s">
        <v>362</v>
      </c>
      <c r="E68" s="28">
        <v>500</v>
      </c>
      <c r="F68" s="25">
        <v>4990.8100000000004</v>
      </c>
      <c r="G68" s="25">
        <v>0.94</v>
      </c>
      <c r="H68" s="25">
        <v>5.05</v>
      </c>
    </row>
    <row r="69" spans="2:10" x14ac:dyDescent="0.2">
      <c r="B69" s="23" t="s">
        <v>363</v>
      </c>
      <c r="C69" s="23" t="s">
        <v>364</v>
      </c>
      <c r="D69" s="23" t="s">
        <v>365</v>
      </c>
      <c r="E69" s="28">
        <v>450</v>
      </c>
      <c r="F69" s="25">
        <v>4657.4399999999996</v>
      </c>
      <c r="G69" s="25">
        <v>0.87</v>
      </c>
      <c r="H69" s="25">
        <v>4.5999999999999996</v>
      </c>
    </row>
    <row r="70" spans="2:10" x14ac:dyDescent="0.2">
      <c r="B70" s="23" t="s">
        <v>366</v>
      </c>
      <c r="C70" s="23" t="s">
        <v>367</v>
      </c>
      <c r="D70" s="23" t="s">
        <v>365</v>
      </c>
      <c r="E70" s="28">
        <v>350</v>
      </c>
      <c r="F70" s="25">
        <v>3541.35</v>
      </c>
      <c r="G70" s="25">
        <v>0.66</v>
      </c>
      <c r="H70" s="25">
        <v>3.64</v>
      </c>
    </row>
    <row r="71" spans="2:10" x14ac:dyDescent="0.2">
      <c r="B71" s="23" t="s">
        <v>368</v>
      </c>
      <c r="C71" s="23" t="s">
        <v>369</v>
      </c>
      <c r="D71" s="23" t="s">
        <v>365</v>
      </c>
      <c r="E71" s="28">
        <v>310</v>
      </c>
      <c r="F71" s="25">
        <v>3197.43</v>
      </c>
      <c r="G71" s="25">
        <v>0.6</v>
      </c>
      <c r="H71" s="25">
        <v>4.01</v>
      </c>
    </row>
    <row r="72" spans="2:10" x14ac:dyDescent="0.2">
      <c r="B72" s="23" t="s">
        <v>370</v>
      </c>
      <c r="C72" s="23" t="s">
        <v>371</v>
      </c>
      <c r="D72" s="23" t="s">
        <v>365</v>
      </c>
      <c r="E72" s="28">
        <v>300</v>
      </c>
      <c r="F72" s="25">
        <v>3093.1</v>
      </c>
      <c r="G72" s="25">
        <v>0.57999999999999996</v>
      </c>
      <c r="H72" s="25">
        <v>4.37</v>
      </c>
    </row>
    <row r="73" spans="2:10" x14ac:dyDescent="0.2">
      <c r="B73" s="23" t="s">
        <v>372</v>
      </c>
      <c r="C73" s="23" t="s">
        <v>373</v>
      </c>
      <c r="D73" s="23" t="s">
        <v>365</v>
      </c>
      <c r="E73" s="28">
        <v>250</v>
      </c>
      <c r="F73" s="25">
        <v>2591.8000000000002</v>
      </c>
      <c r="G73" s="25">
        <v>0.49</v>
      </c>
      <c r="H73" s="25">
        <v>4.45</v>
      </c>
    </row>
    <row r="74" spans="2:10" x14ac:dyDescent="0.2">
      <c r="B74" s="23" t="s">
        <v>374</v>
      </c>
      <c r="C74" s="23" t="s">
        <v>375</v>
      </c>
      <c r="D74" s="23" t="s">
        <v>365</v>
      </c>
      <c r="E74" s="28">
        <v>250</v>
      </c>
      <c r="F74" s="25">
        <v>2590.5700000000002</v>
      </c>
      <c r="G74" s="25">
        <v>0.49</v>
      </c>
      <c r="H74" s="25">
        <v>4.75</v>
      </c>
    </row>
    <row r="75" spans="2:10" x14ac:dyDescent="0.2">
      <c r="B75" s="23" t="s">
        <v>376</v>
      </c>
      <c r="C75" s="23" t="s">
        <v>377</v>
      </c>
      <c r="D75" s="23" t="s">
        <v>362</v>
      </c>
      <c r="E75" s="28">
        <v>250</v>
      </c>
      <c r="F75" s="25">
        <v>2535.7399999999998</v>
      </c>
      <c r="G75" s="25">
        <v>0.48</v>
      </c>
      <c r="H75" s="25">
        <v>3.98</v>
      </c>
    </row>
    <row r="76" spans="2:10" x14ac:dyDescent="0.2">
      <c r="B76" s="23" t="s">
        <v>378</v>
      </c>
      <c r="C76" s="23" t="s">
        <v>379</v>
      </c>
      <c r="D76" s="23" t="s">
        <v>365</v>
      </c>
      <c r="E76" s="28">
        <v>250</v>
      </c>
      <c r="F76" s="25">
        <v>2527.61</v>
      </c>
      <c r="G76" s="25">
        <v>0.47</v>
      </c>
      <c r="H76" s="25">
        <v>3.97</v>
      </c>
    </row>
    <row r="77" spans="2:10" x14ac:dyDescent="0.2">
      <c r="B77" s="23" t="s">
        <v>380</v>
      </c>
      <c r="C77" s="23" t="s">
        <v>381</v>
      </c>
      <c r="D77" s="23" t="s">
        <v>365</v>
      </c>
      <c r="E77" s="28">
        <v>250</v>
      </c>
      <c r="F77" s="25">
        <v>2524.0100000000002</v>
      </c>
      <c r="G77" s="25">
        <v>0.47</v>
      </c>
      <c r="H77" s="25">
        <v>3.68</v>
      </c>
    </row>
    <row r="78" spans="2:10" x14ac:dyDescent="0.2">
      <c r="B78" s="23" t="s">
        <v>382</v>
      </c>
      <c r="C78" s="23" t="s">
        <v>383</v>
      </c>
      <c r="D78" s="23" t="s">
        <v>365</v>
      </c>
      <c r="E78" s="28">
        <v>200</v>
      </c>
      <c r="F78" s="25">
        <v>2143.4299999999998</v>
      </c>
      <c r="G78" s="25">
        <v>0.4</v>
      </c>
      <c r="H78" s="25">
        <v>5.42</v>
      </c>
    </row>
    <row r="79" spans="2:10" x14ac:dyDescent="0.2">
      <c r="B79" s="23" t="s">
        <v>384</v>
      </c>
      <c r="C79" s="23" t="s">
        <v>385</v>
      </c>
      <c r="D79" s="23" t="s">
        <v>365</v>
      </c>
      <c r="E79" s="28">
        <v>200</v>
      </c>
      <c r="F79" s="25">
        <v>2064.29</v>
      </c>
      <c r="G79" s="25">
        <v>0.39</v>
      </c>
      <c r="H79" s="25">
        <v>4.6500000000000004</v>
      </c>
    </row>
    <row r="80" spans="2:10" x14ac:dyDescent="0.2">
      <c r="B80" s="23" t="s">
        <v>386</v>
      </c>
      <c r="C80" s="23" t="s">
        <v>387</v>
      </c>
      <c r="D80" s="23" t="s">
        <v>365</v>
      </c>
      <c r="E80" s="28">
        <v>150</v>
      </c>
      <c r="F80" s="25">
        <v>1646.28</v>
      </c>
      <c r="G80" s="25">
        <v>0.31</v>
      </c>
      <c r="H80" s="25">
        <v>6.72</v>
      </c>
    </row>
    <row r="81" spans="2:8" x14ac:dyDescent="0.2">
      <c r="B81" s="23" t="s">
        <v>388</v>
      </c>
      <c r="C81" s="23" t="s">
        <v>389</v>
      </c>
      <c r="D81" s="23" t="s">
        <v>365</v>
      </c>
      <c r="E81" s="28">
        <v>150</v>
      </c>
      <c r="F81" s="25">
        <v>1602.75</v>
      </c>
      <c r="G81" s="25">
        <v>0.3</v>
      </c>
      <c r="H81" s="25">
        <v>5.16</v>
      </c>
    </row>
    <row r="82" spans="2:8" x14ac:dyDescent="0.2">
      <c r="B82" s="23" t="s">
        <v>390</v>
      </c>
      <c r="C82" s="23" t="s">
        <v>391</v>
      </c>
      <c r="D82" s="23" t="s">
        <v>365</v>
      </c>
      <c r="E82" s="28">
        <v>150</v>
      </c>
      <c r="F82" s="25">
        <v>1560.83</v>
      </c>
      <c r="G82" s="25">
        <v>0.28999999999999998</v>
      </c>
      <c r="H82" s="25">
        <v>4.5599999999999996</v>
      </c>
    </row>
    <row r="83" spans="2:8" x14ac:dyDescent="0.2">
      <c r="B83" s="23" t="s">
        <v>392</v>
      </c>
      <c r="C83" s="23" t="s">
        <v>393</v>
      </c>
      <c r="D83" s="23" t="s">
        <v>365</v>
      </c>
      <c r="E83" s="28">
        <v>150</v>
      </c>
      <c r="F83" s="25">
        <v>1547.43</v>
      </c>
      <c r="G83" s="25">
        <v>0.28999999999999998</v>
      </c>
      <c r="H83" s="25">
        <v>4.03</v>
      </c>
    </row>
    <row r="84" spans="2:8" x14ac:dyDescent="0.2">
      <c r="B84" s="23" t="s">
        <v>394</v>
      </c>
      <c r="C84" s="23" t="s">
        <v>395</v>
      </c>
      <c r="D84" s="23" t="s">
        <v>396</v>
      </c>
      <c r="E84" s="28">
        <v>152</v>
      </c>
      <c r="F84" s="25">
        <v>1517.91</v>
      </c>
      <c r="G84" s="25">
        <v>0.28000000000000003</v>
      </c>
      <c r="H84" s="25">
        <v>3.35</v>
      </c>
    </row>
    <row r="85" spans="2:8" x14ac:dyDescent="0.2">
      <c r="B85" s="23" t="s">
        <v>397</v>
      </c>
      <c r="C85" s="23" t="s">
        <v>398</v>
      </c>
      <c r="D85" s="23" t="s">
        <v>362</v>
      </c>
      <c r="E85" s="28">
        <v>150</v>
      </c>
      <c r="F85" s="25">
        <v>1513.4</v>
      </c>
      <c r="G85" s="25">
        <v>0.28000000000000003</v>
      </c>
      <c r="H85" s="25">
        <v>3.54</v>
      </c>
    </row>
    <row r="86" spans="2:8" x14ac:dyDescent="0.2">
      <c r="B86" s="23" t="s">
        <v>399</v>
      </c>
      <c r="C86" s="23" t="s">
        <v>400</v>
      </c>
      <c r="D86" s="23" t="s">
        <v>365</v>
      </c>
      <c r="E86" s="28">
        <v>150</v>
      </c>
      <c r="F86" s="25">
        <v>1511.41</v>
      </c>
      <c r="G86" s="25">
        <v>0.28000000000000003</v>
      </c>
      <c r="H86" s="25">
        <v>3.65</v>
      </c>
    </row>
    <row r="87" spans="2:8" x14ac:dyDescent="0.2">
      <c r="B87" s="23" t="s">
        <v>401</v>
      </c>
      <c r="C87" s="23" t="s">
        <v>402</v>
      </c>
      <c r="D87" s="23" t="s">
        <v>365</v>
      </c>
      <c r="E87" s="28">
        <v>112</v>
      </c>
      <c r="F87" s="25">
        <v>1239.1099999999999</v>
      </c>
      <c r="G87" s="25">
        <v>0.23</v>
      </c>
      <c r="H87" s="25">
        <v>6.52</v>
      </c>
    </row>
    <row r="88" spans="2:8" x14ac:dyDescent="0.2">
      <c r="B88" s="23" t="s">
        <v>403</v>
      </c>
      <c r="C88" s="23" t="s">
        <v>404</v>
      </c>
      <c r="D88" s="23" t="s">
        <v>365</v>
      </c>
      <c r="E88" s="28">
        <v>100</v>
      </c>
      <c r="F88" s="25">
        <v>1077.8499999999999</v>
      </c>
      <c r="G88" s="25">
        <v>0.2</v>
      </c>
      <c r="H88" s="25">
        <v>5.45</v>
      </c>
    </row>
    <row r="89" spans="2:8" x14ac:dyDescent="0.2">
      <c r="B89" s="23" t="s">
        <v>405</v>
      </c>
      <c r="C89" s="23" t="s">
        <v>406</v>
      </c>
      <c r="D89" s="23" t="s">
        <v>365</v>
      </c>
      <c r="E89" s="28">
        <v>100</v>
      </c>
      <c r="F89" s="25">
        <v>1067.3399999999999</v>
      </c>
      <c r="G89" s="25">
        <v>0.2</v>
      </c>
      <c r="H89" s="25">
        <v>5.54</v>
      </c>
    </row>
    <row r="90" spans="2:8" x14ac:dyDescent="0.2">
      <c r="B90" s="23" t="s">
        <v>407</v>
      </c>
      <c r="C90" s="23" t="s">
        <v>408</v>
      </c>
      <c r="D90" s="23" t="s">
        <v>365</v>
      </c>
      <c r="E90" s="28">
        <v>100</v>
      </c>
      <c r="F90" s="25">
        <v>1036.3</v>
      </c>
      <c r="G90" s="25">
        <v>0.19</v>
      </c>
      <c r="H90" s="25">
        <v>4.5599999999999996</v>
      </c>
    </row>
    <row r="91" spans="2:8" x14ac:dyDescent="0.2">
      <c r="B91" s="23" t="s">
        <v>409</v>
      </c>
      <c r="C91" s="23" t="s">
        <v>410</v>
      </c>
      <c r="D91" s="23" t="s">
        <v>396</v>
      </c>
      <c r="E91" s="28">
        <v>100</v>
      </c>
      <c r="F91" s="25">
        <v>1029.7</v>
      </c>
      <c r="G91" s="25">
        <v>0.19</v>
      </c>
      <c r="H91" s="25">
        <v>4.45</v>
      </c>
    </row>
    <row r="92" spans="2:8" x14ac:dyDescent="0.2">
      <c r="B92" s="23" t="s">
        <v>411</v>
      </c>
      <c r="C92" s="23" t="s">
        <v>412</v>
      </c>
      <c r="D92" s="23" t="s">
        <v>365</v>
      </c>
      <c r="E92" s="28">
        <v>100</v>
      </c>
      <c r="F92" s="25">
        <v>1001.91</v>
      </c>
      <c r="G92" s="25">
        <v>0.19</v>
      </c>
      <c r="H92" s="25">
        <v>3.73</v>
      </c>
    </row>
    <row r="93" spans="2:8" x14ac:dyDescent="0.2">
      <c r="B93" s="23" t="s">
        <v>413</v>
      </c>
      <c r="C93" s="23" t="s">
        <v>414</v>
      </c>
      <c r="D93" s="23" t="s">
        <v>365</v>
      </c>
      <c r="E93" s="28">
        <v>69</v>
      </c>
      <c r="F93" s="25">
        <v>697.33</v>
      </c>
      <c r="G93" s="25">
        <v>0.13</v>
      </c>
      <c r="H93" s="25">
        <v>3.65</v>
      </c>
    </row>
    <row r="94" spans="2:8" x14ac:dyDescent="0.2">
      <c r="B94" s="23" t="s">
        <v>415</v>
      </c>
      <c r="C94" s="23" t="s">
        <v>416</v>
      </c>
      <c r="D94" s="23" t="s">
        <v>365</v>
      </c>
      <c r="E94" s="28">
        <v>50</v>
      </c>
      <c r="F94" s="25">
        <v>540.14</v>
      </c>
      <c r="G94" s="25">
        <v>0.1</v>
      </c>
      <c r="H94" s="25">
        <v>5.08</v>
      </c>
    </row>
    <row r="95" spans="2:8" x14ac:dyDescent="0.2">
      <c r="B95" s="23" t="s">
        <v>417</v>
      </c>
      <c r="C95" s="23" t="s">
        <v>418</v>
      </c>
      <c r="D95" s="23" t="s">
        <v>365</v>
      </c>
      <c r="E95" s="28">
        <v>50</v>
      </c>
      <c r="F95" s="25">
        <v>536.71</v>
      </c>
      <c r="G95" s="25">
        <v>0.1</v>
      </c>
      <c r="H95" s="25">
        <v>6.6</v>
      </c>
    </row>
    <row r="96" spans="2:8" x14ac:dyDescent="0.2">
      <c r="B96" s="23" t="s">
        <v>419</v>
      </c>
      <c r="C96" s="23" t="s">
        <v>420</v>
      </c>
      <c r="D96" s="23" t="s">
        <v>365</v>
      </c>
      <c r="E96" s="28">
        <v>50</v>
      </c>
      <c r="F96" s="25">
        <v>531.70000000000005</v>
      </c>
      <c r="G96" s="25">
        <v>0.1</v>
      </c>
      <c r="H96" s="25">
        <v>5.49</v>
      </c>
    </row>
    <row r="97" spans="2:10" x14ac:dyDescent="0.2">
      <c r="B97" s="23" t="s">
        <v>421</v>
      </c>
      <c r="C97" s="23" t="s">
        <v>422</v>
      </c>
      <c r="D97" s="23" t="s">
        <v>365</v>
      </c>
      <c r="E97" s="28">
        <v>10</v>
      </c>
      <c r="F97" s="25">
        <v>102.99</v>
      </c>
      <c r="G97" s="25">
        <v>0.02</v>
      </c>
      <c r="H97" s="25">
        <v>3.92</v>
      </c>
    </row>
    <row r="98" spans="2:10" x14ac:dyDescent="0.2">
      <c r="B98" s="23" t="s">
        <v>782</v>
      </c>
      <c r="C98" s="23" t="s">
        <v>228</v>
      </c>
      <c r="D98" s="23" t="s">
        <v>365</v>
      </c>
      <c r="E98" s="28">
        <v>62266</v>
      </c>
      <c r="F98" s="25">
        <v>18.059999999999999</v>
      </c>
      <c r="G98" s="25">
        <v>0</v>
      </c>
      <c r="H98" s="25">
        <v>5.5</v>
      </c>
    </row>
    <row r="99" spans="2:10" x14ac:dyDescent="0.2">
      <c r="B99" s="30" t="s">
        <v>119</v>
      </c>
      <c r="C99" s="30"/>
      <c r="D99" s="30"/>
      <c r="E99" s="31"/>
      <c r="F99" s="32">
        <f>SUM(F67:F98)</f>
        <v>56236.73</v>
      </c>
      <c r="G99" s="32">
        <f>SUM(G67:G98)</f>
        <v>10.519999999999994</v>
      </c>
      <c r="H99" s="48"/>
      <c r="I99" s="14"/>
      <c r="J99" s="14"/>
    </row>
    <row r="100" spans="2:10" x14ac:dyDescent="0.2">
      <c r="B100" s="49" t="s">
        <v>120</v>
      </c>
      <c r="C100" s="49"/>
      <c r="D100" s="49"/>
      <c r="E100" s="50"/>
      <c r="F100" s="51">
        <f>F99</f>
        <v>56236.73</v>
      </c>
      <c r="G100" s="51">
        <f>G99</f>
        <v>10.519999999999994</v>
      </c>
      <c r="H100" s="51"/>
      <c r="I100" s="14"/>
      <c r="J100" s="14"/>
    </row>
    <row r="101" spans="2:10" x14ac:dyDescent="0.2">
      <c r="B101" s="47" t="s">
        <v>423</v>
      </c>
      <c r="C101" s="23"/>
      <c r="D101" s="23"/>
      <c r="E101" s="24"/>
      <c r="F101" s="25"/>
      <c r="G101" s="25"/>
      <c r="H101" s="25"/>
    </row>
    <row r="102" spans="2:10" x14ac:dyDescent="0.2">
      <c r="B102" s="23" t="s">
        <v>424</v>
      </c>
      <c r="C102" s="23" t="s">
        <v>425</v>
      </c>
      <c r="D102" s="23" t="s">
        <v>426</v>
      </c>
      <c r="E102" s="28">
        <v>10150000</v>
      </c>
      <c r="F102" s="25">
        <v>10152.030000000001</v>
      </c>
      <c r="G102" s="25">
        <v>1.91</v>
      </c>
      <c r="H102" s="25">
        <v>4.47</v>
      </c>
    </row>
    <row r="103" spans="2:10" x14ac:dyDescent="0.2">
      <c r="B103" s="23" t="s">
        <v>427</v>
      </c>
      <c r="C103" s="23" t="s">
        <v>428</v>
      </c>
      <c r="D103" s="23" t="s">
        <v>426</v>
      </c>
      <c r="E103" s="28">
        <v>6000000</v>
      </c>
      <c r="F103" s="25">
        <v>6020.32</v>
      </c>
      <c r="G103" s="25">
        <v>1.1299999999999999</v>
      </c>
      <c r="H103" s="25">
        <v>3.36</v>
      </c>
    </row>
    <row r="104" spans="2:10" x14ac:dyDescent="0.2">
      <c r="B104" s="23" t="s">
        <v>429</v>
      </c>
      <c r="C104" s="23" t="s">
        <v>430</v>
      </c>
      <c r="D104" s="23" t="s">
        <v>426</v>
      </c>
      <c r="E104" s="28">
        <v>5000000</v>
      </c>
      <c r="F104" s="25">
        <v>5275.9</v>
      </c>
      <c r="G104" s="25">
        <v>0.99</v>
      </c>
      <c r="H104" s="25">
        <v>4.28</v>
      </c>
    </row>
    <row r="105" spans="2:10" x14ac:dyDescent="0.2">
      <c r="B105" s="23" t="s">
        <v>431</v>
      </c>
      <c r="C105" s="23" t="s">
        <v>432</v>
      </c>
      <c r="D105" s="23" t="s">
        <v>426</v>
      </c>
      <c r="E105" s="28">
        <v>5000000</v>
      </c>
      <c r="F105" s="25">
        <v>5211</v>
      </c>
      <c r="G105" s="25">
        <v>0.98</v>
      </c>
      <c r="H105" s="25">
        <v>3.93</v>
      </c>
    </row>
    <row r="106" spans="2:10" x14ac:dyDescent="0.2">
      <c r="B106" s="23" t="s">
        <v>433</v>
      </c>
      <c r="C106" s="23" t="s">
        <v>434</v>
      </c>
      <c r="D106" s="23" t="s">
        <v>426</v>
      </c>
      <c r="E106" s="28">
        <v>5000000</v>
      </c>
      <c r="F106" s="25">
        <v>5109.1099999999997</v>
      </c>
      <c r="G106" s="25">
        <v>0.96</v>
      </c>
      <c r="H106" s="25">
        <v>3.7</v>
      </c>
    </row>
    <row r="107" spans="2:10" x14ac:dyDescent="0.2">
      <c r="B107" s="23" t="s">
        <v>435</v>
      </c>
      <c r="C107" s="23" t="s">
        <v>436</v>
      </c>
      <c r="D107" s="23" t="s">
        <v>426</v>
      </c>
      <c r="E107" s="28">
        <v>5000000</v>
      </c>
      <c r="F107" s="25">
        <v>5008.57</v>
      </c>
      <c r="G107" s="25">
        <v>0.94</v>
      </c>
      <c r="H107" s="25">
        <v>5.59</v>
      </c>
    </row>
    <row r="108" spans="2:10" x14ac:dyDescent="0.2">
      <c r="B108" s="23" t="s">
        <v>437</v>
      </c>
      <c r="C108" s="23" t="s">
        <v>438</v>
      </c>
      <c r="D108" s="23" t="s">
        <v>426</v>
      </c>
      <c r="E108" s="28">
        <v>4500000</v>
      </c>
      <c r="F108" s="25">
        <v>4660.2</v>
      </c>
      <c r="G108" s="25">
        <v>0.87</v>
      </c>
      <c r="H108" s="25">
        <v>5.03</v>
      </c>
    </row>
    <row r="109" spans="2:10" x14ac:dyDescent="0.2">
      <c r="B109" s="23" t="s">
        <v>439</v>
      </c>
      <c r="C109" s="23" t="s">
        <v>440</v>
      </c>
      <c r="D109" s="23" t="s">
        <v>426</v>
      </c>
      <c r="E109" s="28">
        <v>3000000</v>
      </c>
      <c r="F109" s="25">
        <v>3091.85</v>
      </c>
      <c r="G109" s="25">
        <v>0.57999999999999996</v>
      </c>
      <c r="H109" s="25">
        <v>3.78</v>
      </c>
    </row>
    <row r="110" spans="2:10" x14ac:dyDescent="0.2">
      <c r="B110" s="23" t="s">
        <v>441</v>
      </c>
      <c r="C110" s="23" t="s">
        <v>442</v>
      </c>
      <c r="D110" s="23" t="s">
        <v>426</v>
      </c>
      <c r="E110" s="28">
        <v>3000000</v>
      </c>
      <c r="F110" s="25">
        <v>2984.6</v>
      </c>
      <c r="G110" s="25">
        <v>0.56000000000000005</v>
      </c>
      <c r="H110" s="25">
        <v>5.36</v>
      </c>
    </row>
    <row r="111" spans="2:10" x14ac:dyDescent="0.2">
      <c r="B111" s="23" t="s">
        <v>443</v>
      </c>
      <c r="C111" s="23" t="s">
        <v>444</v>
      </c>
      <c r="D111" s="23" t="s">
        <v>426</v>
      </c>
      <c r="E111" s="28">
        <v>2500000</v>
      </c>
      <c r="F111" s="25">
        <v>2677.29</v>
      </c>
      <c r="G111" s="25">
        <v>0.5</v>
      </c>
      <c r="H111" s="25">
        <v>4.6900000000000004</v>
      </c>
    </row>
    <row r="112" spans="2:10" x14ac:dyDescent="0.2">
      <c r="B112" s="23" t="s">
        <v>445</v>
      </c>
      <c r="C112" s="23" t="s">
        <v>446</v>
      </c>
      <c r="D112" s="23" t="s">
        <v>426</v>
      </c>
      <c r="E112" s="28">
        <v>2500000</v>
      </c>
      <c r="F112" s="25">
        <v>2661.75</v>
      </c>
      <c r="G112" s="25">
        <v>0.5</v>
      </c>
      <c r="H112" s="25">
        <v>4.7</v>
      </c>
    </row>
    <row r="113" spans="2:10" x14ac:dyDescent="0.2">
      <c r="B113" s="23" t="s">
        <v>447</v>
      </c>
      <c r="C113" s="23" t="s">
        <v>448</v>
      </c>
      <c r="D113" s="23" t="s">
        <v>426</v>
      </c>
      <c r="E113" s="28">
        <v>2500000</v>
      </c>
      <c r="F113" s="25">
        <v>2527.75</v>
      </c>
      <c r="G113" s="25">
        <v>0.47</v>
      </c>
      <c r="H113" s="25">
        <v>3.77</v>
      </c>
    </row>
    <row r="114" spans="2:10" x14ac:dyDescent="0.2">
      <c r="B114" s="23" t="s">
        <v>449</v>
      </c>
      <c r="C114" s="23" t="s">
        <v>450</v>
      </c>
      <c r="D114" s="23" t="s">
        <v>426</v>
      </c>
      <c r="E114" s="28">
        <v>2250000</v>
      </c>
      <c r="F114" s="25">
        <v>2340.9</v>
      </c>
      <c r="G114" s="25">
        <v>0.44</v>
      </c>
      <c r="H114" s="25">
        <v>4.12</v>
      </c>
    </row>
    <row r="115" spans="2:10" x14ac:dyDescent="0.2">
      <c r="B115" s="23" t="s">
        <v>451</v>
      </c>
      <c r="C115" s="23" t="s">
        <v>452</v>
      </c>
      <c r="D115" s="23" t="s">
        <v>426</v>
      </c>
      <c r="E115" s="28">
        <v>1500000</v>
      </c>
      <c r="F115" s="25">
        <v>1612.88</v>
      </c>
      <c r="G115" s="25">
        <v>0.3</v>
      </c>
      <c r="H115" s="25">
        <v>6.22</v>
      </c>
    </row>
    <row r="116" spans="2:10" x14ac:dyDescent="0.2">
      <c r="B116" s="23" t="s">
        <v>453</v>
      </c>
      <c r="C116" s="23" t="s">
        <v>454</v>
      </c>
      <c r="D116" s="23" t="s">
        <v>426</v>
      </c>
      <c r="E116" s="28">
        <v>1500000</v>
      </c>
      <c r="F116" s="25">
        <v>1573.88</v>
      </c>
      <c r="G116" s="25">
        <v>0.3</v>
      </c>
      <c r="H116" s="25">
        <v>5.87</v>
      </c>
    </row>
    <row r="117" spans="2:10" x14ac:dyDescent="0.2">
      <c r="B117" s="23" t="s">
        <v>455</v>
      </c>
      <c r="C117" s="23" t="s">
        <v>456</v>
      </c>
      <c r="D117" s="23" t="s">
        <v>426</v>
      </c>
      <c r="E117" s="28">
        <v>600000</v>
      </c>
      <c r="F117" s="25">
        <v>629.16</v>
      </c>
      <c r="G117" s="25">
        <v>0.12</v>
      </c>
      <c r="H117" s="25">
        <v>6.27</v>
      </c>
    </row>
    <row r="118" spans="2:10" x14ac:dyDescent="0.2">
      <c r="B118" s="23" t="s">
        <v>457</v>
      </c>
      <c r="C118" s="23" t="s">
        <v>458</v>
      </c>
      <c r="D118" s="23" t="s">
        <v>426</v>
      </c>
      <c r="E118" s="28">
        <v>500000</v>
      </c>
      <c r="F118" s="25">
        <v>552.5</v>
      </c>
      <c r="G118" s="25">
        <v>0.1</v>
      </c>
      <c r="H118" s="25">
        <v>6.04</v>
      </c>
    </row>
    <row r="119" spans="2:10" x14ac:dyDescent="0.2">
      <c r="B119" s="23" t="s">
        <v>459</v>
      </c>
      <c r="C119" s="23" t="s">
        <v>460</v>
      </c>
      <c r="D119" s="23" t="s">
        <v>426</v>
      </c>
      <c r="E119" s="28">
        <v>500000</v>
      </c>
      <c r="F119" s="25">
        <v>551.25</v>
      </c>
      <c r="G119" s="25">
        <v>0.1</v>
      </c>
      <c r="H119" s="25">
        <v>5.93</v>
      </c>
    </row>
    <row r="120" spans="2:10" x14ac:dyDescent="0.2">
      <c r="B120" s="23" t="s">
        <v>461</v>
      </c>
      <c r="C120" s="23" t="s">
        <v>462</v>
      </c>
      <c r="D120" s="23" t="s">
        <v>426</v>
      </c>
      <c r="E120" s="28">
        <v>500000</v>
      </c>
      <c r="F120" s="25">
        <v>509.45</v>
      </c>
      <c r="G120" s="25">
        <v>0.1</v>
      </c>
      <c r="H120" s="25">
        <v>6.42</v>
      </c>
    </row>
    <row r="121" spans="2:10" x14ac:dyDescent="0.2">
      <c r="B121" s="52" t="s">
        <v>463</v>
      </c>
      <c r="C121" s="52" t="s">
        <v>464</v>
      </c>
      <c r="D121" s="52" t="s">
        <v>426</v>
      </c>
      <c r="E121" s="53">
        <v>191700</v>
      </c>
      <c r="F121" s="54">
        <v>197.57</v>
      </c>
      <c r="G121" s="54">
        <v>0.04</v>
      </c>
      <c r="H121" s="54">
        <v>4.08</v>
      </c>
    </row>
    <row r="122" spans="2:10" x14ac:dyDescent="0.2">
      <c r="B122" s="55" t="s">
        <v>120</v>
      </c>
      <c r="C122" s="55"/>
      <c r="D122" s="55"/>
      <c r="E122" s="56"/>
      <c r="F122" s="57">
        <f>SUM(F102:F121)</f>
        <v>63347.959999999992</v>
      </c>
      <c r="G122" s="57">
        <f>SUM(G102:G121)</f>
        <v>11.889999999999999</v>
      </c>
      <c r="H122" s="57"/>
      <c r="I122" s="14"/>
      <c r="J122" s="14"/>
    </row>
    <row r="123" spans="2:10" x14ac:dyDescent="0.2">
      <c r="B123" s="47" t="s">
        <v>121</v>
      </c>
      <c r="C123" s="23"/>
      <c r="D123" s="23"/>
      <c r="E123" s="24"/>
      <c r="F123" s="25"/>
      <c r="G123" s="25"/>
      <c r="H123" s="25"/>
    </row>
    <row r="124" spans="2:10" x14ac:dyDescent="0.2">
      <c r="B124" s="23" t="s">
        <v>121</v>
      </c>
      <c r="C124" s="23"/>
      <c r="D124" s="23"/>
      <c r="E124" s="24"/>
      <c r="F124" s="25">
        <v>17605.52</v>
      </c>
      <c r="G124" s="25">
        <v>3.3</v>
      </c>
      <c r="H124" s="25"/>
    </row>
    <row r="125" spans="2:10" x14ac:dyDescent="0.2">
      <c r="B125" s="30" t="s">
        <v>119</v>
      </c>
      <c r="C125" s="30"/>
      <c r="D125" s="30"/>
      <c r="E125" s="31"/>
      <c r="F125" s="32">
        <f>SUM(F123:F124)</f>
        <v>17605.52</v>
      </c>
      <c r="G125" s="32">
        <f>SUM(G123:G124)</f>
        <v>3.3</v>
      </c>
      <c r="H125" s="48"/>
      <c r="I125" s="14"/>
      <c r="J125" s="14"/>
    </row>
    <row r="126" spans="2:10" x14ac:dyDescent="0.2">
      <c r="B126" s="34" t="s">
        <v>120</v>
      </c>
      <c r="C126" s="34"/>
      <c r="D126" s="34"/>
      <c r="E126" s="35"/>
      <c r="F126" s="36">
        <f>F125</f>
        <v>17605.52</v>
      </c>
      <c r="G126" s="36">
        <f>G125</f>
        <v>3.3</v>
      </c>
      <c r="H126" s="36"/>
      <c r="I126" s="14"/>
      <c r="J126" s="14"/>
    </row>
    <row r="127" spans="2:10" x14ac:dyDescent="0.2">
      <c r="B127" s="44" t="s">
        <v>123</v>
      </c>
      <c r="C127" s="44"/>
      <c r="D127" s="44"/>
      <c r="E127" s="45"/>
      <c r="F127" s="16">
        <f>F128-(+F65+F100+F122+F126)</f>
        <v>1876.4899999999907</v>
      </c>
      <c r="G127" s="16">
        <f>G128-(+G65+G100+G122+G126)</f>
        <v>0.43000000000000682</v>
      </c>
      <c r="H127" s="16"/>
      <c r="I127" s="14"/>
      <c r="J127" s="14"/>
    </row>
    <row r="128" spans="2:10" x14ac:dyDescent="0.2">
      <c r="B128" s="44" t="s">
        <v>122</v>
      </c>
      <c r="C128" s="44"/>
      <c r="D128" s="44"/>
      <c r="E128" s="45"/>
      <c r="F128" s="16">
        <v>532697.34</v>
      </c>
      <c r="G128" s="16">
        <v>100</v>
      </c>
      <c r="H128" s="16"/>
      <c r="I128" s="14"/>
      <c r="J128" s="14"/>
    </row>
    <row r="130" spans="2:2" x14ac:dyDescent="0.2">
      <c r="B130" s="14" t="s">
        <v>766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1"/>
  <sheetViews>
    <sheetView workbookViewId="0">
      <selection activeCell="G55" sqref="G55"/>
    </sheetView>
  </sheetViews>
  <sheetFormatPr defaultRowHeight="12" x14ac:dyDescent="0.2"/>
  <cols>
    <col min="1" max="1" width="9.140625" style="1"/>
    <col min="2" max="2" width="55.28515625" style="1" bestFit="1" customWidth="1"/>
    <col min="3" max="3" width="13.4257812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78" t="s">
        <v>17</v>
      </c>
      <c r="C1" s="79"/>
      <c r="D1" s="79"/>
      <c r="E1" s="79"/>
      <c r="F1" s="79"/>
      <c r="G1" s="79"/>
      <c r="H1" s="79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227</v>
      </c>
      <c r="C5" s="18"/>
      <c r="D5" s="18"/>
      <c r="E5" s="19"/>
      <c r="F5" s="20"/>
      <c r="G5" s="20"/>
      <c r="H5" s="20"/>
    </row>
    <row r="6" spans="2:10" x14ac:dyDescent="0.2">
      <c r="B6" s="47" t="s">
        <v>32</v>
      </c>
      <c r="C6" s="23"/>
      <c r="D6" s="23"/>
      <c r="E6" s="24"/>
      <c r="F6" s="25"/>
      <c r="G6" s="25"/>
      <c r="H6" s="25"/>
    </row>
    <row r="7" spans="2:10" x14ac:dyDescent="0.2">
      <c r="B7" s="23" t="s">
        <v>374</v>
      </c>
      <c r="C7" s="23" t="s">
        <v>375</v>
      </c>
      <c r="D7" s="23" t="s">
        <v>365</v>
      </c>
      <c r="E7" s="28">
        <v>50</v>
      </c>
      <c r="F7" s="25">
        <v>518.11</v>
      </c>
      <c r="G7" s="25">
        <v>4.47</v>
      </c>
      <c r="H7" s="25">
        <v>4.75</v>
      </c>
    </row>
    <row r="8" spans="2:10" x14ac:dyDescent="0.2">
      <c r="B8" s="23" t="s">
        <v>465</v>
      </c>
      <c r="C8" s="23" t="s">
        <v>466</v>
      </c>
      <c r="D8" s="23" t="s">
        <v>362</v>
      </c>
      <c r="E8" s="28">
        <v>50</v>
      </c>
      <c r="F8" s="25">
        <v>515.23</v>
      </c>
      <c r="G8" s="25">
        <v>4.45</v>
      </c>
      <c r="H8" s="25">
        <v>3.92</v>
      </c>
    </row>
    <row r="9" spans="2:10" x14ac:dyDescent="0.2">
      <c r="B9" s="30" t="s">
        <v>119</v>
      </c>
      <c r="C9" s="30"/>
      <c r="D9" s="30"/>
      <c r="E9" s="31"/>
      <c r="F9" s="32">
        <f>SUM(F6:F8)</f>
        <v>1033.3400000000001</v>
      </c>
      <c r="G9" s="32">
        <f>SUM(G6:G8)</f>
        <v>8.92</v>
      </c>
      <c r="H9" s="48"/>
      <c r="I9" s="14"/>
      <c r="J9" s="14"/>
    </row>
    <row r="10" spans="2:10" x14ac:dyDescent="0.2">
      <c r="B10" s="49" t="s">
        <v>120</v>
      </c>
      <c r="C10" s="49"/>
      <c r="D10" s="49"/>
      <c r="E10" s="50"/>
      <c r="F10" s="51">
        <f>F9</f>
        <v>1033.3400000000001</v>
      </c>
      <c r="G10" s="51">
        <f>G9</f>
        <v>8.92</v>
      </c>
      <c r="H10" s="51"/>
      <c r="I10" s="14"/>
      <c r="J10" s="14"/>
    </row>
    <row r="11" spans="2:10" x14ac:dyDescent="0.2">
      <c r="B11" s="47" t="s">
        <v>467</v>
      </c>
      <c r="C11" s="23"/>
      <c r="D11" s="23"/>
      <c r="E11" s="24"/>
      <c r="F11" s="25"/>
      <c r="G11" s="25"/>
      <c r="H11" s="25"/>
    </row>
    <row r="12" spans="2:10" x14ac:dyDescent="0.2">
      <c r="B12" s="47" t="s">
        <v>468</v>
      </c>
      <c r="C12" s="23"/>
      <c r="D12" s="23"/>
      <c r="E12" s="24"/>
      <c r="F12" s="25"/>
      <c r="G12" s="25"/>
      <c r="H12" s="25"/>
    </row>
    <row r="13" spans="2:10" x14ac:dyDescent="0.2">
      <c r="B13" s="23" t="s">
        <v>469</v>
      </c>
      <c r="C13" s="23" t="s">
        <v>470</v>
      </c>
      <c r="D13" s="23" t="s">
        <v>471</v>
      </c>
      <c r="E13" s="28">
        <v>3000000</v>
      </c>
      <c r="F13" s="25">
        <v>2989.94</v>
      </c>
      <c r="G13" s="25">
        <v>25.82</v>
      </c>
      <c r="H13" s="25">
        <v>3.32</v>
      </c>
    </row>
    <row r="14" spans="2:10" x14ac:dyDescent="0.2">
      <c r="B14" s="30" t="s">
        <v>119</v>
      </c>
      <c r="C14" s="30"/>
      <c r="D14" s="30"/>
      <c r="E14" s="31"/>
      <c r="F14" s="32">
        <f>SUM(F12:F13)</f>
        <v>2989.94</v>
      </c>
      <c r="G14" s="32">
        <f>SUM(G12:G13)</f>
        <v>25.82</v>
      </c>
      <c r="H14" s="48"/>
      <c r="I14" s="14"/>
      <c r="J14" s="14"/>
    </row>
    <row r="15" spans="2:10" x14ac:dyDescent="0.2">
      <c r="B15" s="49" t="s">
        <v>120</v>
      </c>
      <c r="C15" s="49"/>
      <c r="D15" s="49"/>
      <c r="E15" s="50"/>
      <c r="F15" s="51">
        <f>+F14</f>
        <v>2989.94</v>
      </c>
      <c r="G15" s="51">
        <f>+G14</f>
        <v>25.82</v>
      </c>
      <c r="H15" s="51"/>
      <c r="I15" s="14"/>
      <c r="J15" s="14"/>
    </row>
    <row r="16" spans="2:10" x14ac:dyDescent="0.2">
      <c r="B16" s="47" t="s">
        <v>423</v>
      </c>
      <c r="C16" s="23"/>
      <c r="D16" s="23"/>
      <c r="E16" s="24"/>
      <c r="F16" s="25"/>
      <c r="G16" s="25"/>
      <c r="H16" s="25"/>
    </row>
    <row r="17" spans="2:10" x14ac:dyDescent="0.2">
      <c r="B17" s="23" t="s">
        <v>472</v>
      </c>
      <c r="C17" s="23" t="s">
        <v>473</v>
      </c>
      <c r="D17" s="23" t="s">
        <v>426</v>
      </c>
      <c r="E17" s="28">
        <v>1600000</v>
      </c>
      <c r="F17" s="25">
        <v>1684</v>
      </c>
      <c r="G17" s="25">
        <v>14.54</v>
      </c>
      <c r="H17" s="25">
        <v>6.19</v>
      </c>
    </row>
    <row r="18" spans="2:10" x14ac:dyDescent="0.2">
      <c r="B18" s="23" t="s">
        <v>474</v>
      </c>
      <c r="C18" s="23" t="s">
        <v>475</v>
      </c>
      <c r="D18" s="23" t="s">
        <v>426</v>
      </c>
      <c r="E18" s="28">
        <v>1000000</v>
      </c>
      <c r="F18" s="25">
        <v>1062.8900000000001</v>
      </c>
      <c r="G18" s="25">
        <v>9.18</v>
      </c>
      <c r="H18" s="25">
        <v>5.76</v>
      </c>
    </row>
    <row r="19" spans="2:10" x14ac:dyDescent="0.2">
      <c r="B19" s="23" t="s">
        <v>461</v>
      </c>
      <c r="C19" s="23" t="s">
        <v>462</v>
      </c>
      <c r="D19" s="23" t="s">
        <v>426</v>
      </c>
      <c r="E19" s="28">
        <v>1023200</v>
      </c>
      <c r="F19" s="25">
        <v>1042.54</v>
      </c>
      <c r="G19" s="25">
        <v>9</v>
      </c>
      <c r="H19" s="25">
        <v>6.42</v>
      </c>
    </row>
    <row r="20" spans="2:10" x14ac:dyDescent="0.2">
      <c r="B20" s="23" t="s">
        <v>476</v>
      </c>
      <c r="C20" s="23" t="s">
        <v>477</v>
      </c>
      <c r="D20" s="23" t="s">
        <v>426</v>
      </c>
      <c r="E20" s="28">
        <v>600000</v>
      </c>
      <c r="F20" s="25">
        <v>647.70000000000005</v>
      </c>
      <c r="G20" s="25">
        <v>5.59</v>
      </c>
      <c r="H20" s="25">
        <v>6.6</v>
      </c>
    </row>
    <row r="21" spans="2:10" x14ac:dyDescent="0.2">
      <c r="B21" s="23" t="s">
        <v>455</v>
      </c>
      <c r="C21" s="23" t="s">
        <v>456</v>
      </c>
      <c r="D21" s="23" t="s">
        <v>426</v>
      </c>
      <c r="E21" s="28">
        <v>600000</v>
      </c>
      <c r="F21" s="25">
        <v>629.16</v>
      </c>
      <c r="G21" s="25">
        <v>5.43</v>
      </c>
      <c r="H21" s="25">
        <v>6.27</v>
      </c>
    </row>
    <row r="22" spans="2:10" x14ac:dyDescent="0.2">
      <c r="B22" s="52" t="s">
        <v>478</v>
      </c>
      <c r="C22" s="52" t="s">
        <v>479</v>
      </c>
      <c r="D22" s="52" t="s">
        <v>426</v>
      </c>
      <c r="E22" s="53">
        <v>500000</v>
      </c>
      <c r="F22" s="54">
        <v>494.19</v>
      </c>
      <c r="G22" s="54">
        <v>4.2699999999999996</v>
      </c>
      <c r="H22" s="54">
        <v>5.45</v>
      </c>
    </row>
    <row r="23" spans="2:10" x14ac:dyDescent="0.2">
      <c r="B23" s="55" t="s">
        <v>120</v>
      </c>
      <c r="C23" s="55"/>
      <c r="D23" s="55"/>
      <c r="E23" s="56"/>
      <c r="F23" s="57">
        <f>SUM(F17:F22)</f>
        <v>5560.48</v>
      </c>
      <c r="G23" s="57">
        <f>SUM(G17:G22)</f>
        <v>48.010000000000005</v>
      </c>
      <c r="H23" s="57"/>
      <c r="I23" s="14"/>
      <c r="J23" s="14"/>
    </row>
    <row r="24" spans="2:10" x14ac:dyDescent="0.2">
      <c r="B24" s="47" t="s">
        <v>121</v>
      </c>
      <c r="C24" s="23"/>
      <c r="D24" s="23"/>
      <c r="E24" s="24"/>
      <c r="F24" s="25"/>
      <c r="G24" s="25"/>
      <c r="H24" s="25"/>
    </row>
    <row r="25" spans="2:10" x14ac:dyDescent="0.2">
      <c r="B25" s="23" t="s">
        <v>121</v>
      </c>
      <c r="C25" s="23"/>
      <c r="D25" s="23"/>
      <c r="E25" s="24"/>
      <c r="F25" s="25">
        <v>1790.32</v>
      </c>
      <c r="G25" s="25">
        <v>15.46</v>
      </c>
      <c r="H25" s="25"/>
    </row>
    <row r="26" spans="2:10" x14ac:dyDescent="0.2">
      <c r="B26" s="30" t="s">
        <v>119</v>
      </c>
      <c r="C26" s="30"/>
      <c r="D26" s="30"/>
      <c r="E26" s="31"/>
      <c r="F26" s="32">
        <f>SUM(F24:F25)</f>
        <v>1790.32</v>
      </c>
      <c r="G26" s="32">
        <f>SUM(G24:G25)</f>
        <v>15.46</v>
      </c>
      <c r="H26" s="48"/>
      <c r="I26" s="14"/>
      <c r="J26" s="14"/>
    </row>
    <row r="27" spans="2:10" x14ac:dyDescent="0.2">
      <c r="B27" s="34" t="s">
        <v>120</v>
      </c>
      <c r="C27" s="34"/>
      <c r="D27" s="34"/>
      <c r="E27" s="35"/>
      <c r="F27" s="36">
        <f>F26</f>
        <v>1790.32</v>
      </c>
      <c r="G27" s="36">
        <f>G26</f>
        <v>15.46</v>
      </c>
      <c r="H27" s="36"/>
      <c r="I27" s="14"/>
      <c r="J27" s="14"/>
    </row>
    <row r="28" spans="2:10" x14ac:dyDescent="0.2">
      <c r="B28" s="44" t="s">
        <v>123</v>
      </c>
      <c r="C28" s="44"/>
      <c r="D28" s="44"/>
      <c r="E28" s="45"/>
      <c r="F28" s="16">
        <f>F29-(+F10+F15+F23+F27)</f>
        <v>205.94000000000051</v>
      </c>
      <c r="G28" s="16">
        <f>G29-(+G10+G15+G23+G27)</f>
        <v>1.789999999999992</v>
      </c>
      <c r="H28" s="16"/>
      <c r="I28" s="14"/>
      <c r="J28" s="14"/>
    </row>
    <row r="29" spans="2:10" x14ac:dyDescent="0.2">
      <c r="B29" s="44" t="s">
        <v>122</v>
      </c>
      <c r="C29" s="44"/>
      <c r="D29" s="44"/>
      <c r="E29" s="45"/>
      <c r="F29" s="16">
        <v>11580.02</v>
      </c>
      <c r="G29" s="16">
        <v>100</v>
      </c>
      <c r="H29" s="16"/>
      <c r="I29" s="14"/>
      <c r="J29" s="14"/>
    </row>
    <row r="31" spans="2:10" x14ac:dyDescent="0.2">
      <c r="B31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"/>
  <sheetViews>
    <sheetView workbookViewId="0">
      <selection activeCell="G55" sqref="G55"/>
    </sheetView>
  </sheetViews>
  <sheetFormatPr defaultRowHeight="12" x14ac:dyDescent="0.2"/>
  <cols>
    <col min="1" max="1" width="9.140625" style="1"/>
    <col min="2" max="2" width="53.85546875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78" t="s">
        <v>18</v>
      </c>
      <c r="C1" s="79"/>
      <c r="D1" s="79"/>
      <c r="E1" s="79"/>
      <c r="F1" s="79"/>
      <c r="G1" s="79"/>
      <c r="H1" s="79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423</v>
      </c>
      <c r="C5" s="18"/>
      <c r="D5" s="18"/>
      <c r="E5" s="19"/>
      <c r="F5" s="20"/>
      <c r="G5" s="20"/>
      <c r="H5" s="20"/>
    </row>
    <row r="6" spans="2:10" x14ac:dyDescent="0.2">
      <c r="B6" s="23" t="s">
        <v>427</v>
      </c>
      <c r="C6" s="23" t="s">
        <v>428</v>
      </c>
      <c r="D6" s="23" t="s">
        <v>426</v>
      </c>
      <c r="E6" s="28">
        <v>2500000</v>
      </c>
      <c r="F6" s="25">
        <v>2508.4699999999998</v>
      </c>
      <c r="G6" s="25">
        <v>26.87</v>
      </c>
      <c r="H6" s="25">
        <v>3.36</v>
      </c>
    </row>
    <row r="7" spans="2:10" x14ac:dyDescent="0.2">
      <c r="B7" s="23" t="s">
        <v>472</v>
      </c>
      <c r="C7" s="23" t="s">
        <v>473</v>
      </c>
      <c r="D7" s="23" t="s">
        <v>426</v>
      </c>
      <c r="E7" s="28">
        <v>1573300</v>
      </c>
      <c r="F7" s="25">
        <v>1655.9</v>
      </c>
      <c r="G7" s="25">
        <v>17.739999999999998</v>
      </c>
      <c r="H7" s="25">
        <v>6.19</v>
      </c>
    </row>
    <row r="8" spans="2:10" x14ac:dyDescent="0.2">
      <c r="B8" s="23" t="s">
        <v>474</v>
      </c>
      <c r="C8" s="23" t="s">
        <v>475</v>
      </c>
      <c r="D8" s="23" t="s">
        <v>426</v>
      </c>
      <c r="E8" s="28">
        <v>1000000</v>
      </c>
      <c r="F8" s="25">
        <v>1062.8900000000001</v>
      </c>
      <c r="G8" s="25">
        <v>11.38</v>
      </c>
      <c r="H8" s="25">
        <v>5.76</v>
      </c>
    </row>
    <row r="9" spans="2:10" x14ac:dyDescent="0.2">
      <c r="B9" s="23" t="s">
        <v>476</v>
      </c>
      <c r="C9" s="23" t="s">
        <v>477</v>
      </c>
      <c r="D9" s="23" t="s">
        <v>426</v>
      </c>
      <c r="E9" s="28">
        <v>900000</v>
      </c>
      <c r="F9" s="25">
        <v>971.55</v>
      </c>
      <c r="G9" s="25">
        <v>10.41</v>
      </c>
      <c r="H9" s="25">
        <v>6.6</v>
      </c>
    </row>
    <row r="10" spans="2:10" x14ac:dyDescent="0.2">
      <c r="B10" s="23" t="s">
        <v>455</v>
      </c>
      <c r="C10" s="23" t="s">
        <v>456</v>
      </c>
      <c r="D10" s="23" t="s">
        <v>426</v>
      </c>
      <c r="E10" s="28">
        <v>600000</v>
      </c>
      <c r="F10" s="25">
        <v>629.16</v>
      </c>
      <c r="G10" s="25">
        <v>6.74</v>
      </c>
      <c r="H10" s="25">
        <v>6.27</v>
      </c>
    </row>
    <row r="11" spans="2:10" x14ac:dyDescent="0.2">
      <c r="B11" s="23" t="s">
        <v>453</v>
      </c>
      <c r="C11" s="23" t="s">
        <v>454</v>
      </c>
      <c r="D11" s="23" t="s">
        <v>426</v>
      </c>
      <c r="E11" s="28">
        <v>500000</v>
      </c>
      <c r="F11" s="25">
        <v>524.63</v>
      </c>
      <c r="G11" s="25">
        <v>5.62</v>
      </c>
      <c r="H11" s="25">
        <v>5.87</v>
      </c>
    </row>
    <row r="12" spans="2:10" x14ac:dyDescent="0.2">
      <c r="B12" s="23" t="s">
        <v>461</v>
      </c>
      <c r="C12" s="23" t="s">
        <v>462</v>
      </c>
      <c r="D12" s="23" t="s">
        <v>426</v>
      </c>
      <c r="E12" s="28">
        <v>500000</v>
      </c>
      <c r="F12" s="25">
        <v>509.45</v>
      </c>
      <c r="G12" s="25">
        <v>5.46</v>
      </c>
      <c r="H12" s="25">
        <v>6.42</v>
      </c>
    </row>
    <row r="13" spans="2:10" x14ac:dyDescent="0.2">
      <c r="B13" s="23" t="s">
        <v>480</v>
      </c>
      <c r="C13" s="23" t="s">
        <v>481</v>
      </c>
      <c r="D13" s="23" t="s">
        <v>426</v>
      </c>
      <c r="E13" s="28">
        <v>420100</v>
      </c>
      <c r="F13" s="25">
        <v>403.56</v>
      </c>
      <c r="G13" s="25">
        <v>4.32</v>
      </c>
      <c r="H13" s="25">
        <v>6.66</v>
      </c>
    </row>
    <row r="14" spans="2:10" x14ac:dyDescent="0.2">
      <c r="B14" s="52" t="s">
        <v>482</v>
      </c>
      <c r="C14" s="52" t="s">
        <v>483</v>
      </c>
      <c r="D14" s="52" t="s">
        <v>426</v>
      </c>
      <c r="E14" s="53">
        <v>10000</v>
      </c>
      <c r="F14" s="54">
        <v>11.46</v>
      </c>
      <c r="G14" s="54">
        <v>0.12</v>
      </c>
      <c r="H14" s="54">
        <v>6.88</v>
      </c>
    </row>
    <row r="15" spans="2:10" x14ac:dyDescent="0.2">
      <c r="B15" s="55" t="s">
        <v>120</v>
      </c>
      <c r="C15" s="55"/>
      <c r="D15" s="55"/>
      <c r="E15" s="56"/>
      <c r="F15" s="57">
        <f>SUM(F6:F14)</f>
        <v>8277.07</v>
      </c>
      <c r="G15" s="57">
        <f>SUM(G6:G14)</f>
        <v>88.66</v>
      </c>
      <c r="H15" s="57"/>
      <c r="I15" s="14"/>
      <c r="J15" s="14"/>
    </row>
    <row r="16" spans="2:10" x14ac:dyDescent="0.2">
      <c r="B16" s="47" t="s">
        <v>121</v>
      </c>
      <c r="C16" s="23"/>
      <c r="D16" s="23"/>
      <c r="E16" s="24"/>
      <c r="F16" s="25"/>
      <c r="G16" s="25"/>
      <c r="H16" s="25"/>
    </row>
    <row r="17" spans="2:10" x14ac:dyDescent="0.2">
      <c r="B17" s="23" t="s">
        <v>121</v>
      </c>
      <c r="C17" s="23"/>
      <c r="D17" s="23"/>
      <c r="E17" s="24"/>
      <c r="F17" s="25">
        <v>854.55</v>
      </c>
      <c r="G17" s="25">
        <v>9.15</v>
      </c>
      <c r="H17" s="25"/>
    </row>
    <row r="18" spans="2:10" x14ac:dyDescent="0.2">
      <c r="B18" s="30" t="s">
        <v>119</v>
      </c>
      <c r="C18" s="30"/>
      <c r="D18" s="30"/>
      <c r="E18" s="31"/>
      <c r="F18" s="32">
        <f>SUM(F16:F17)</f>
        <v>854.55</v>
      </c>
      <c r="G18" s="32">
        <f>SUM(G16:G17)</f>
        <v>9.15</v>
      </c>
      <c r="H18" s="48"/>
      <c r="I18" s="14"/>
      <c r="J18" s="14"/>
    </row>
    <row r="19" spans="2:10" x14ac:dyDescent="0.2">
      <c r="B19" s="34" t="s">
        <v>120</v>
      </c>
      <c r="C19" s="34"/>
      <c r="D19" s="34"/>
      <c r="E19" s="35"/>
      <c r="F19" s="36">
        <f>F18</f>
        <v>854.55</v>
      </c>
      <c r="G19" s="36">
        <f>G18</f>
        <v>9.15</v>
      </c>
      <c r="H19" s="36"/>
      <c r="I19" s="14"/>
      <c r="J19" s="14"/>
    </row>
    <row r="20" spans="2:10" x14ac:dyDescent="0.2">
      <c r="B20" s="44" t="s">
        <v>123</v>
      </c>
      <c r="C20" s="44"/>
      <c r="D20" s="44"/>
      <c r="E20" s="45"/>
      <c r="F20" s="16">
        <f>F21-(+F15+F19)</f>
        <v>205.25000000000182</v>
      </c>
      <c r="G20" s="16">
        <f>G21-(+G15+G19)</f>
        <v>2.1899999999999977</v>
      </c>
      <c r="H20" s="16"/>
      <c r="I20" s="14"/>
      <c r="J20" s="14"/>
    </row>
    <row r="21" spans="2:10" x14ac:dyDescent="0.2">
      <c r="B21" s="44" t="s">
        <v>122</v>
      </c>
      <c r="C21" s="44"/>
      <c r="D21" s="44"/>
      <c r="E21" s="45"/>
      <c r="F21" s="16">
        <v>9336.8700000000008</v>
      </c>
      <c r="G21" s="16">
        <v>100</v>
      </c>
      <c r="H21" s="16"/>
      <c r="I21" s="14"/>
      <c r="J21" s="14"/>
    </row>
    <row r="23" spans="2:10" x14ac:dyDescent="0.2">
      <c r="B23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3"/>
  <sheetViews>
    <sheetView workbookViewId="0">
      <selection activeCell="G55" sqref="G55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570312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78" t="s">
        <v>19</v>
      </c>
      <c r="C1" s="79"/>
      <c r="D1" s="79"/>
      <c r="E1" s="79"/>
      <c r="F1" s="79"/>
      <c r="G1" s="79"/>
      <c r="H1" s="79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227</v>
      </c>
      <c r="C5" s="18"/>
      <c r="D5" s="18"/>
      <c r="E5" s="19"/>
      <c r="F5" s="20"/>
      <c r="G5" s="20"/>
      <c r="H5" s="20"/>
    </row>
    <row r="6" spans="2:10" x14ac:dyDescent="0.2">
      <c r="B6" s="47" t="s">
        <v>32</v>
      </c>
      <c r="C6" s="23"/>
      <c r="D6" s="23"/>
      <c r="E6" s="24"/>
      <c r="F6" s="25"/>
      <c r="G6" s="25"/>
      <c r="H6" s="25"/>
    </row>
    <row r="7" spans="2:10" x14ac:dyDescent="0.2">
      <c r="B7" s="23" t="s">
        <v>484</v>
      </c>
      <c r="C7" s="23" t="s">
        <v>485</v>
      </c>
      <c r="D7" s="23" t="s">
        <v>365</v>
      </c>
      <c r="E7" s="28">
        <v>100</v>
      </c>
      <c r="F7" s="25">
        <v>1014.94</v>
      </c>
      <c r="G7" s="25">
        <v>6.95</v>
      </c>
      <c r="H7" s="25">
        <v>3.63</v>
      </c>
    </row>
    <row r="8" spans="2:10" x14ac:dyDescent="0.2">
      <c r="B8" s="23" t="s">
        <v>486</v>
      </c>
      <c r="C8" s="23" t="s">
        <v>487</v>
      </c>
      <c r="D8" s="23" t="s">
        <v>365</v>
      </c>
      <c r="E8" s="28">
        <v>50</v>
      </c>
      <c r="F8" s="25">
        <v>552.80999999999995</v>
      </c>
      <c r="G8" s="25">
        <v>3.78</v>
      </c>
      <c r="H8" s="25">
        <v>5.64</v>
      </c>
    </row>
    <row r="9" spans="2:10" x14ac:dyDescent="0.2">
      <c r="B9" s="23" t="s">
        <v>488</v>
      </c>
      <c r="C9" s="23" t="s">
        <v>489</v>
      </c>
      <c r="D9" s="23" t="s">
        <v>365</v>
      </c>
      <c r="E9" s="28">
        <v>50</v>
      </c>
      <c r="F9" s="25">
        <v>543.04999999999995</v>
      </c>
      <c r="G9" s="25">
        <v>3.72</v>
      </c>
      <c r="H9" s="25">
        <v>5.34</v>
      </c>
    </row>
    <row r="10" spans="2:10" x14ac:dyDescent="0.2">
      <c r="B10" s="23" t="s">
        <v>382</v>
      </c>
      <c r="C10" s="23" t="s">
        <v>383</v>
      </c>
      <c r="D10" s="23" t="s">
        <v>365</v>
      </c>
      <c r="E10" s="28">
        <v>50</v>
      </c>
      <c r="F10" s="25">
        <v>535.86</v>
      </c>
      <c r="G10" s="25">
        <v>3.67</v>
      </c>
      <c r="H10" s="25">
        <v>5.42</v>
      </c>
    </row>
    <row r="11" spans="2:10" x14ac:dyDescent="0.2">
      <c r="B11" s="23" t="s">
        <v>490</v>
      </c>
      <c r="C11" s="23" t="s">
        <v>491</v>
      </c>
      <c r="D11" s="23" t="s">
        <v>365</v>
      </c>
      <c r="E11" s="28">
        <v>50</v>
      </c>
      <c r="F11" s="25">
        <v>531.65</v>
      </c>
      <c r="G11" s="25">
        <v>3.64</v>
      </c>
      <c r="H11" s="25">
        <v>4.5599999999999996</v>
      </c>
    </row>
    <row r="12" spans="2:10" x14ac:dyDescent="0.2">
      <c r="B12" s="23" t="s">
        <v>492</v>
      </c>
      <c r="C12" s="23" t="s">
        <v>493</v>
      </c>
      <c r="D12" s="23" t="s">
        <v>365</v>
      </c>
      <c r="E12" s="28">
        <v>50</v>
      </c>
      <c r="F12" s="25">
        <v>529.27</v>
      </c>
      <c r="G12" s="25">
        <v>3.62</v>
      </c>
      <c r="H12" s="25">
        <v>5.65</v>
      </c>
    </row>
    <row r="13" spans="2:10" x14ac:dyDescent="0.2">
      <c r="B13" s="23" t="s">
        <v>372</v>
      </c>
      <c r="C13" s="23" t="s">
        <v>373</v>
      </c>
      <c r="D13" s="23" t="s">
        <v>365</v>
      </c>
      <c r="E13" s="28">
        <v>50</v>
      </c>
      <c r="F13" s="25">
        <v>518.36</v>
      </c>
      <c r="G13" s="25">
        <v>3.55</v>
      </c>
      <c r="H13" s="25">
        <v>4.45</v>
      </c>
    </row>
    <row r="14" spans="2:10" x14ac:dyDescent="0.2">
      <c r="B14" s="23" t="s">
        <v>494</v>
      </c>
      <c r="C14" s="23" t="s">
        <v>495</v>
      </c>
      <c r="D14" s="23" t="s">
        <v>365</v>
      </c>
      <c r="E14" s="28">
        <v>20</v>
      </c>
      <c r="F14" s="25">
        <v>201.21</v>
      </c>
      <c r="G14" s="25">
        <v>1.38</v>
      </c>
      <c r="H14" s="25">
        <v>3.6</v>
      </c>
    </row>
    <row r="15" spans="2:10" x14ac:dyDescent="0.2">
      <c r="B15" s="30" t="s">
        <v>119</v>
      </c>
      <c r="C15" s="30"/>
      <c r="D15" s="30"/>
      <c r="E15" s="31"/>
      <c r="F15" s="32">
        <f>SUM(F6:F14)</f>
        <v>4427.1500000000005</v>
      </c>
      <c r="G15" s="32">
        <f>SUM(G6:G14)</f>
        <v>30.310000000000002</v>
      </c>
      <c r="H15" s="48"/>
      <c r="I15" s="14"/>
      <c r="J15" s="14"/>
    </row>
    <row r="16" spans="2:10" x14ac:dyDescent="0.2">
      <c r="B16" s="49" t="s">
        <v>120</v>
      </c>
      <c r="C16" s="49"/>
      <c r="D16" s="49"/>
      <c r="E16" s="50"/>
      <c r="F16" s="51">
        <f>F15</f>
        <v>4427.1500000000005</v>
      </c>
      <c r="G16" s="51">
        <f>G15</f>
        <v>30.310000000000002</v>
      </c>
      <c r="H16" s="51"/>
      <c r="I16" s="14"/>
      <c r="J16" s="14"/>
    </row>
    <row r="17" spans="2:10" x14ac:dyDescent="0.2">
      <c r="B17" s="47" t="s">
        <v>467</v>
      </c>
      <c r="C17" s="23"/>
      <c r="D17" s="23"/>
      <c r="E17" s="24"/>
      <c r="F17" s="25"/>
      <c r="G17" s="25"/>
      <c r="H17" s="25"/>
    </row>
    <row r="18" spans="2:10" x14ac:dyDescent="0.2">
      <c r="B18" s="47" t="s">
        <v>468</v>
      </c>
      <c r="C18" s="23"/>
      <c r="D18" s="23"/>
      <c r="E18" s="24"/>
      <c r="F18" s="25"/>
      <c r="G18" s="25"/>
      <c r="H18" s="25"/>
    </row>
    <row r="19" spans="2:10" x14ac:dyDescent="0.2">
      <c r="B19" s="23" t="s">
        <v>496</v>
      </c>
      <c r="C19" s="23" t="s">
        <v>497</v>
      </c>
      <c r="D19" s="23" t="s">
        <v>471</v>
      </c>
      <c r="E19" s="28">
        <v>500000</v>
      </c>
      <c r="F19" s="25">
        <v>497.01</v>
      </c>
      <c r="G19" s="25">
        <v>3.4</v>
      </c>
      <c r="H19" s="25">
        <v>3.37</v>
      </c>
    </row>
    <row r="20" spans="2:10" x14ac:dyDescent="0.2">
      <c r="B20" s="30" t="s">
        <v>119</v>
      </c>
      <c r="C20" s="30"/>
      <c r="D20" s="30"/>
      <c r="E20" s="31"/>
      <c r="F20" s="32">
        <f>SUM(F18:F19)</f>
        <v>497.01</v>
      </c>
      <c r="G20" s="32">
        <f>SUM(G18:G19)</f>
        <v>3.4</v>
      </c>
      <c r="H20" s="48"/>
      <c r="I20" s="14"/>
      <c r="J20" s="14"/>
    </row>
    <row r="21" spans="2:10" x14ac:dyDescent="0.2">
      <c r="B21" s="49" t="s">
        <v>120</v>
      </c>
      <c r="C21" s="49"/>
      <c r="D21" s="49"/>
      <c r="E21" s="50"/>
      <c r="F21" s="51">
        <f>+F20</f>
        <v>497.01</v>
      </c>
      <c r="G21" s="51">
        <f>+G20</f>
        <v>3.4</v>
      </c>
      <c r="H21" s="51"/>
      <c r="I21" s="14"/>
      <c r="J21" s="14"/>
    </row>
    <row r="22" spans="2:10" x14ac:dyDescent="0.2">
      <c r="B22" s="47" t="s">
        <v>423</v>
      </c>
      <c r="C22" s="23"/>
      <c r="D22" s="23"/>
      <c r="E22" s="24"/>
      <c r="F22" s="25"/>
      <c r="G22" s="25"/>
      <c r="H22" s="25"/>
    </row>
    <row r="23" spans="2:10" x14ac:dyDescent="0.2">
      <c r="B23" s="23" t="s">
        <v>445</v>
      </c>
      <c r="C23" s="23" t="s">
        <v>446</v>
      </c>
      <c r="D23" s="23" t="s">
        <v>426</v>
      </c>
      <c r="E23" s="28">
        <v>2000000</v>
      </c>
      <c r="F23" s="25">
        <v>2129.4</v>
      </c>
      <c r="G23" s="25">
        <v>14.57</v>
      </c>
      <c r="H23" s="25">
        <v>4.7</v>
      </c>
    </row>
    <row r="24" spans="2:10" x14ac:dyDescent="0.2">
      <c r="B24" s="23" t="s">
        <v>461</v>
      </c>
      <c r="C24" s="23" t="s">
        <v>462</v>
      </c>
      <c r="D24" s="23" t="s">
        <v>426</v>
      </c>
      <c r="E24" s="28">
        <v>1250000</v>
      </c>
      <c r="F24" s="25">
        <v>1273.6300000000001</v>
      </c>
      <c r="G24" s="25">
        <v>8.7200000000000006</v>
      </c>
      <c r="H24" s="25">
        <v>6.42</v>
      </c>
    </row>
    <row r="25" spans="2:10" x14ac:dyDescent="0.2">
      <c r="B25" s="23" t="s">
        <v>435</v>
      </c>
      <c r="C25" s="23" t="s">
        <v>436</v>
      </c>
      <c r="D25" s="23" t="s">
        <v>426</v>
      </c>
      <c r="E25" s="28">
        <v>1000000</v>
      </c>
      <c r="F25" s="25">
        <v>1001.71</v>
      </c>
      <c r="G25" s="25">
        <v>6.86</v>
      </c>
      <c r="H25" s="25">
        <v>5.59</v>
      </c>
    </row>
    <row r="26" spans="2:10" x14ac:dyDescent="0.2">
      <c r="B26" s="23" t="s">
        <v>498</v>
      </c>
      <c r="C26" s="23" t="s">
        <v>499</v>
      </c>
      <c r="D26" s="23" t="s">
        <v>426</v>
      </c>
      <c r="E26" s="28">
        <v>1000000</v>
      </c>
      <c r="F26" s="25">
        <v>999.28</v>
      </c>
      <c r="G26" s="25">
        <v>6.84</v>
      </c>
      <c r="H26" s="25">
        <v>6.65</v>
      </c>
    </row>
    <row r="27" spans="2:10" x14ac:dyDescent="0.2">
      <c r="B27" s="23" t="s">
        <v>500</v>
      </c>
      <c r="C27" s="23" t="s">
        <v>501</v>
      </c>
      <c r="D27" s="23" t="s">
        <v>426</v>
      </c>
      <c r="E27" s="28">
        <v>750000</v>
      </c>
      <c r="F27" s="25">
        <v>741.41</v>
      </c>
      <c r="G27" s="25">
        <v>5.07</v>
      </c>
      <c r="H27" s="25">
        <v>6.01</v>
      </c>
    </row>
    <row r="28" spans="2:10" x14ac:dyDescent="0.2">
      <c r="B28" s="23" t="s">
        <v>476</v>
      </c>
      <c r="C28" s="23" t="s">
        <v>477</v>
      </c>
      <c r="D28" s="23" t="s">
        <v>426</v>
      </c>
      <c r="E28" s="28">
        <v>500000</v>
      </c>
      <c r="F28" s="25">
        <v>539.75</v>
      </c>
      <c r="G28" s="25">
        <v>3.69</v>
      </c>
      <c r="H28" s="25">
        <v>6.6</v>
      </c>
    </row>
    <row r="29" spans="2:10" x14ac:dyDescent="0.2">
      <c r="B29" s="23" t="s">
        <v>502</v>
      </c>
      <c r="C29" s="23" t="s">
        <v>503</v>
      </c>
      <c r="D29" s="23" t="s">
        <v>426</v>
      </c>
      <c r="E29" s="28">
        <v>500000</v>
      </c>
      <c r="F29" s="25">
        <v>525.89</v>
      </c>
      <c r="G29" s="25">
        <v>3.6</v>
      </c>
      <c r="H29" s="25">
        <v>6.25</v>
      </c>
    </row>
    <row r="30" spans="2:10" x14ac:dyDescent="0.2">
      <c r="B30" s="23" t="s">
        <v>504</v>
      </c>
      <c r="C30" s="23" t="s">
        <v>505</v>
      </c>
      <c r="D30" s="23" t="s">
        <v>426</v>
      </c>
      <c r="E30" s="28">
        <v>500000</v>
      </c>
      <c r="F30" s="25">
        <v>525.27</v>
      </c>
      <c r="G30" s="25">
        <v>3.59</v>
      </c>
      <c r="H30" s="25">
        <v>6.28</v>
      </c>
    </row>
    <row r="31" spans="2:10" x14ac:dyDescent="0.2">
      <c r="B31" s="23" t="s">
        <v>506</v>
      </c>
      <c r="C31" s="23" t="s">
        <v>507</v>
      </c>
      <c r="D31" s="23" t="s">
        <v>426</v>
      </c>
      <c r="E31" s="28">
        <v>500000</v>
      </c>
      <c r="F31" s="25">
        <v>483.14</v>
      </c>
      <c r="G31" s="25">
        <v>3.31</v>
      </c>
      <c r="H31" s="25">
        <v>6.94</v>
      </c>
    </row>
    <row r="32" spans="2:10" x14ac:dyDescent="0.2">
      <c r="B32" s="23" t="s">
        <v>480</v>
      </c>
      <c r="C32" s="23" t="s">
        <v>481</v>
      </c>
      <c r="D32" s="23" t="s">
        <v>426</v>
      </c>
      <c r="E32" s="28">
        <v>500000</v>
      </c>
      <c r="F32" s="25">
        <v>480.31</v>
      </c>
      <c r="G32" s="25">
        <v>3.29</v>
      </c>
      <c r="H32" s="25">
        <v>6.66</v>
      </c>
    </row>
    <row r="33" spans="2:10" x14ac:dyDescent="0.2">
      <c r="B33" s="23" t="s">
        <v>455</v>
      </c>
      <c r="C33" s="23" t="s">
        <v>456</v>
      </c>
      <c r="D33" s="23" t="s">
        <v>426</v>
      </c>
      <c r="E33" s="28">
        <v>300000</v>
      </c>
      <c r="F33" s="25">
        <v>314.58</v>
      </c>
      <c r="G33" s="25">
        <v>2.15</v>
      </c>
      <c r="H33" s="25">
        <v>6.27</v>
      </c>
    </row>
    <row r="34" spans="2:10" x14ac:dyDescent="0.2">
      <c r="B34" s="52" t="s">
        <v>508</v>
      </c>
      <c r="C34" s="52" t="s">
        <v>509</v>
      </c>
      <c r="D34" s="52" t="s">
        <v>426</v>
      </c>
      <c r="E34" s="53">
        <v>28000</v>
      </c>
      <c r="F34" s="54">
        <v>30.66</v>
      </c>
      <c r="G34" s="54">
        <v>0.21</v>
      </c>
      <c r="H34" s="54">
        <v>6.11</v>
      </c>
    </row>
    <row r="35" spans="2:10" x14ac:dyDescent="0.2">
      <c r="B35" s="55" t="s">
        <v>120</v>
      </c>
      <c r="C35" s="55"/>
      <c r="D35" s="55"/>
      <c r="E35" s="56"/>
      <c r="F35" s="57">
        <f>SUM(F23:F34)</f>
        <v>9045.0299999999988</v>
      </c>
      <c r="G35" s="57">
        <f>SUM(G23:G34)</f>
        <v>61.9</v>
      </c>
      <c r="H35" s="57"/>
      <c r="I35" s="14"/>
      <c r="J35" s="14"/>
    </row>
    <row r="36" spans="2:10" x14ac:dyDescent="0.2">
      <c r="B36" s="47" t="s">
        <v>121</v>
      </c>
      <c r="C36" s="23"/>
      <c r="D36" s="23"/>
      <c r="E36" s="24"/>
      <c r="F36" s="25"/>
      <c r="G36" s="25"/>
      <c r="H36" s="25"/>
    </row>
    <row r="37" spans="2:10" x14ac:dyDescent="0.2">
      <c r="B37" s="23" t="s">
        <v>121</v>
      </c>
      <c r="C37" s="23"/>
      <c r="D37" s="23"/>
      <c r="E37" s="24"/>
      <c r="F37" s="25">
        <v>526.61</v>
      </c>
      <c r="G37" s="25">
        <v>3.6</v>
      </c>
      <c r="H37" s="25"/>
    </row>
    <row r="38" spans="2:10" x14ac:dyDescent="0.2">
      <c r="B38" s="30" t="s">
        <v>119</v>
      </c>
      <c r="C38" s="30"/>
      <c r="D38" s="30"/>
      <c r="E38" s="31"/>
      <c r="F38" s="32">
        <f>SUM(F36:F37)</f>
        <v>526.61</v>
      </c>
      <c r="G38" s="32">
        <f>SUM(G36:G37)</f>
        <v>3.6</v>
      </c>
      <c r="H38" s="48"/>
      <c r="I38" s="14"/>
      <c r="J38" s="14"/>
    </row>
    <row r="39" spans="2:10" x14ac:dyDescent="0.2">
      <c r="B39" s="34" t="s">
        <v>120</v>
      </c>
      <c r="C39" s="34"/>
      <c r="D39" s="34"/>
      <c r="E39" s="35"/>
      <c r="F39" s="36">
        <f>F38</f>
        <v>526.61</v>
      </c>
      <c r="G39" s="36">
        <f>G38</f>
        <v>3.6</v>
      </c>
      <c r="H39" s="36"/>
      <c r="I39" s="14"/>
      <c r="J39" s="14"/>
    </row>
    <row r="40" spans="2:10" x14ac:dyDescent="0.2">
      <c r="B40" s="44" t="s">
        <v>123</v>
      </c>
      <c r="C40" s="44"/>
      <c r="D40" s="44"/>
      <c r="E40" s="45"/>
      <c r="F40" s="16">
        <f>F41-(+F16+F21+F35+F39)</f>
        <v>116.27000000000044</v>
      </c>
      <c r="G40" s="16">
        <f>G41-(+G16+G21+G35+G39)</f>
        <v>0.79000000000000625</v>
      </c>
      <c r="H40" s="16"/>
      <c r="I40" s="14"/>
      <c r="J40" s="14"/>
    </row>
    <row r="41" spans="2:10" x14ac:dyDescent="0.2">
      <c r="B41" s="44" t="s">
        <v>122</v>
      </c>
      <c r="C41" s="44"/>
      <c r="D41" s="44"/>
      <c r="E41" s="45"/>
      <c r="F41" s="16">
        <v>14612.07</v>
      </c>
      <c r="G41" s="16">
        <v>100</v>
      </c>
      <c r="H41" s="16"/>
      <c r="I41" s="14"/>
      <c r="J41" s="14"/>
    </row>
    <row r="43" spans="2:10" x14ac:dyDescent="0.2">
      <c r="B43" s="14" t="s">
        <v>766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4"/>
  <sheetViews>
    <sheetView workbookViewId="0">
      <selection activeCell="G55" sqref="G55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8" t="s">
        <v>20</v>
      </c>
      <c r="C1" s="79"/>
      <c r="D1" s="79"/>
      <c r="E1" s="79"/>
      <c r="F1" s="79"/>
      <c r="G1" s="79"/>
      <c r="H1" s="79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227</v>
      </c>
      <c r="C5" s="18"/>
      <c r="D5" s="18"/>
      <c r="E5" s="19"/>
      <c r="F5" s="20"/>
      <c r="G5" s="20"/>
      <c r="H5" s="20"/>
    </row>
    <row r="6" spans="2:8" x14ac:dyDescent="0.2">
      <c r="B6" s="47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390</v>
      </c>
      <c r="C7" s="23" t="s">
        <v>391</v>
      </c>
      <c r="D7" s="23" t="s">
        <v>365</v>
      </c>
      <c r="E7" s="28">
        <v>300</v>
      </c>
      <c r="F7" s="25">
        <v>3121.66</v>
      </c>
      <c r="G7" s="25">
        <v>1.95</v>
      </c>
      <c r="H7" s="25">
        <v>4.5599999999999996</v>
      </c>
    </row>
    <row r="8" spans="2:8" x14ac:dyDescent="0.2">
      <c r="B8" s="23" t="s">
        <v>510</v>
      </c>
      <c r="C8" s="23" t="s">
        <v>511</v>
      </c>
      <c r="D8" s="23" t="s">
        <v>365</v>
      </c>
      <c r="E8" s="28">
        <v>300</v>
      </c>
      <c r="F8" s="25">
        <v>3108.43</v>
      </c>
      <c r="G8" s="25">
        <v>1.94</v>
      </c>
      <c r="H8" s="25">
        <v>4.55</v>
      </c>
    </row>
    <row r="9" spans="2:8" x14ac:dyDescent="0.2">
      <c r="B9" s="23" t="s">
        <v>392</v>
      </c>
      <c r="C9" s="23" t="s">
        <v>393</v>
      </c>
      <c r="D9" s="23" t="s">
        <v>365</v>
      </c>
      <c r="E9" s="28">
        <v>250</v>
      </c>
      <c r="F9" s="25">
        <v>2579.0500000000002</v>
      </c>
      <c r="G9" s="25">
        <v>1.61</v>
      </c>
      <c r="H9" s="25">
        <v>4.03</v>
      </c>
    </row>
    <row r="10" spans="2:8" x14ac:dyDescent="0.2">
      <c r="B10" s="23" t="s">
        <v>512</v>
      </c>
      <c r="C10" s="23" t="s">
        <v>513</v>
      </c>
      <c r="D10" s="23" t="s">
        <v>365</v>
      </c>
      <c r="E10" s="28">
        <v>250</v>
      </c>
      <c r="F10" s="25">
        <v>2548.54</v>
      </c>
      <c r="G10" s="25">
        <v>1.59</v>
      </c>
      <c r="H10" s="25">
        <v>4.0599999999999996</v>
      </c>
    </row>
    <row r="11" spans="2:8" x14ac:dyDescent="0.2">
      <c r="B11" s="23" t="s">
        <v>514</v>
      </c>
      <c r="C11" s="23" t="s">
        <v>515</v>
      </c>
      <c r="D11" s="23" t="s">
        <v>362</v>
      </c>
      <c r="E11" s="28">
        <v>250</v>
      </c>
      <c r="F11" s="25">
        <v>2533.67</v>
      </c>
      <c r="G11" s="25">
        <v>1.58</v>
      </c>
      <c r="H11" s="25">
        <v>3.98</v>
      </c>
    </row>
    <row r="12" spans="2:8" x14ac:dyDescent="0.2">
      <c r="B12" s="23" t="s">
        <v>516</v>
      </c>
      <c r="C12" s="23" t="s">
        <v>517</v>
      </c>
      <c r="D12" s="23" t="s">
        <v>365</v>
      </c>
      <c r="E12" s="28">
        <v>250</v>
      </c>
      <c r="F12" s="25">
        <v>2533.63</v>
      </c>
      <c r="G12" s="25">
        <v>1.58</v>
      </c>
      <c r="H12" s="25">
        <v>3.91</v>
      </c>
    </row>
    <row r="13" spans="2:8" x14ac:dyDescent="0.2">
      <c r="B13" s="23" t="s">
        <v>518</v>
      </c>
      <c r="C13" s="23" t="s">
        <v>519</v>
      </c>
      <c r="D13" s="23" t="s">
        <v>365</v>
      </c>
      <c r="E13" s="28">
        <v>250</v>
      </c>
      <c r="F13" s="25">
        <v>2530.42</v>
      </c>
      <c r="G13" s="25">
        <v>1.58</v>
      </c>
      <c r="H13" s="25">
        <v>3.92</v>
      </c>
    </row>
    <row r="14" spans="2:8" x14ac:dyDescent="0.2">
      <c r="B14" s="23" t="s">
        <v>378</v>
      </c>
      <c r="C14" s="23" t="s">
        <v>379</v>
      </c>
      <c r="D14" s="23" t="s">
        <v>365</v>
      </c>
      <c r="E14" s="28">
        <v>250</v>
      </c>
      <c r="F14" s="25">
        <v>2527.61</v>
      </c>
      <c r="G14" s="25">
        <v>1.58</v>
      </c>
      <c r="H14" s="25">
        <v>3.97</v>
      </c>
    </row>
    <row r="15" spans="2:8" x14ac:dyDescent="0.2">
      <c r="B15" s="23" t="s">
        <v>380</v>
      </c>
      <c r="C15" s="23" t="s">
        <v>381</v>
      </c>
      <c r="D15" s="23" t="s">
        <v>365</v>
      </c>
      <c r="E15" s="28">
        <v>250</v>
      </c>
      <c r="F15" s="25">
        <v>2524.0100000000002</v>
      </c>
      <c r="G15" s="25">
        <v>1.58</v>
      </c>
      <c r="H15" s="25">
        <v>3.68</v>
      </c>
    </row>
    <row r="16" spans="2:8" x14ac:dyDescent="0.2">
      <c r="B16" s="23" t="s">
        <v>520</v>
      </c>
      <c r="C16" s="23" t="s">
        <v>521</v>
      </c>
      <c r="D16" s="23" t="s">
        <v>365</v>
      </c>
      <c r="E16" s="28">
        <v>250</v>
      </c>
      <c r="F16" s="25">
        <v>2522.94</v>
      </c>
      <c r="G16" s="25">
        <v>1.58</v>
      </c>
      <c r="H16" s="25">
        <v>3.64</v>
      </c>
    </row>
    <row r="17" spans="2:8" x14ac:dyDescent="0.2">
      <c r="B17" s="23" t="s">
        <v>522</v>
      </c>
      <c r="C17" s="23" t="s">
        <v>523</v>
      </c>
      <c r="D17" s="23" t="s">
        <v>365</v>
      </c>
      <c r="E17" s="28">
        <v>250</v>
      </c>
      <c r="F17" s="25">
        <v>2511.39</v>
      </c>
      <c r="G17" s="25">
        <v>1.57</v>
      </c>
      <c r="H17" s="25">
        <v>3.65</v>
      </c>
    </row>
    <row r="18" spans="2:8" x14ac:dyDescent="0.2">
      <c r="B18" s="23" t="s">
        <v>524</v>
      </c>
      <c r="C18" s="23" t="s">
        <v>525</v>
      </c>
      <c r="D18" s="23" t="s">
        <v>365</v>
      </c>
      <c r="E18" s="28">
        <v>250</v>
      </c>
      <c r="F18" s="25">
        <v>2510.04</v>
      </c>
      <c r="G18" s="25">
        <v>1.57</v>
      </c>
      <c r="H18" s="25">
        <v>4.5999999999999996</v>
      </c>
    </row>
    <row r="19" spans="2:8" x14ac:dyDescent="0.2">
      <c r="B19" s="23" t="s">
        <v>526</v>
      </c>
      <c r="C19" s="23" t="s">
        <v>527</v>
      </c>
      <c r="D19" s="23" t="s">
        <v>362</v>
      </c>
      <c r="E19" s="28">
        <v>250</v>
      </c>
      <c r="F19" s="25">
        <v>2507.94</v>
      </c>
      <c r="G19" s="25">
        <v>1.57</v>
      </c>
      <c r="H19" s="25">
        <v>3.65</v>
      </c>
    </row>
    <row r="20" spans="2:8" x14ac:dyDescent="0.2">
      <c r="B20" s="23" t="s">
        <v>372</v>
      </c>
      <c r="C20" s="23" t="s">
        <v>373</v>
      </c>
      <c r="D20" s="23" t="s">
        <v>365</v>
      </c>
      <c r="E20" s="28">
        <v>200</v>
      </c>
      <c r="F20" s="25">
        <v>2073.44</v>
      </c>
      <c r="G20" s="25">
        <v>1.3</v>
      </c>
      <c r="H20" s="25">
        <v>4.45</v>
      </c>
    </row>
    <row r="21" spans="2:8" x14ac:dyDescent="0.2">
      <c r="B21" s="23" t="s">
        <v>528</v>
      </c>
      <c r="C21" s="23" t="s">
        <v>529</v>
      </c>
      <c r="D21" s="23" t="s">
        <v>365</v>
      </c>
      <c r="E21" s="28">
        <v>200</v>
      </c>
      <c r="F21" s="25">
        <v>2027.48</v>
      </c>
      <c r="G21" s="25">
        <v>1.27</v>
      </c>
      <c r="H21" s="25">
        <v>3.98</v>
      </c>
    </row>
    <row r="22" spans="2:8" x14ac:dyDescent="0.2">
      <c r="B22" s="23" t="s">
        <v>494</v>
      </c>
      <c r="C22" s="23" t="s">
        <v>495</v>
      </c>
      <c r="D22" s="23" t="s">
        <v>365</v>
      </c>
      <c r="E22" s="28">
        <v>200</v>
      </c>
      <c r="F22" s="25">
        <v>2012.11</v>
      </c>
      <c r="G22" s="25">
        <v>1.26</v>
      </c>
      <c r="H22" s="25">
        <v>3.6</v>
      </c>
    </row>
    <row r="23" spans="2:8" x14ac:dyDescent="0.2">
      <c r="B23" s="23" t="s">
        <v>363</v>
      </c>
      <c r="C23" s="23" t="s">
        <v>364</v>
      </c>
      <c r="D23" s="23" t="s">
        <v>365</v>
      </c>
      <c r="E23" s="28">
        <v>150</v>
      </c>
      <c r="F23" s="25">
        <v>1552.48</v>
      </c>
      <c r="G23" s="25">
        <v>0.97</v>
      </c>
      <c r="H23" s="25">
        <v>4.5999999999999996</v>
      </c>
    </row>
    <row r="24" spans="2:8" x14ac:dyDescent="0.2">
      <c r="B24" s="23" t="s">
        <v>530</v>
      </c>
      <c r="C24" s="23" t="s">
        <v>531</v>
      </c>
      <c r="D24" s="23" t="s">
        <v>362</v>
      </c>
      <c r="E24" s="28">
        <v>150</v>
      </c>
      <c r="F24" s="25">
        <v>1545.73</v>
      </c>
      <c r="G24" s="25">
        <v>0.97</v>
      </c>
      <c r="H24" s="25">
        <v>4.28</v>
      </c>
    </row>
    <row r="25" spans="2:8" x14ac:dyDescent="0.2">
      <c r="B25" s="23" t="s">
        <v>532</v>
      </c>
      <c r="C25" s="23" t="s">
        <v>533</v>
      </c>
      <c r="D25" s="23" t="s">
        <v>396</v>
      </c>
      <c r="E25" s="28">
        <v>150</v>
      </c>
      <c r="F25" s="25">
        <v>1495.2</v>
      </c>
      <c r="G25" s="25">
        <v>0.93</v>
      </c>
      <c r="H25" s="25">
        <v>4.71</v>
      </c>
    </row>
    <row r="26" spans="2:8" x14ac:dyDescent="0.2">
      <c r="B26" s="23" t="s">
        <v>534</v>
      </c>
      <c r="C26" s="23" t="s">
        <v>535</v>
      </c>
      <c r="D26" s="23" t="s">
        <v>365</v>
      </c>
      <c r="E26" s="28">
        <v>400</v>
      </c>
      <c r="F26" s="25">
        <v>1285.81</v>
      </c>
      <c r="G26" s="25">
        <v>0.8</v>
      </c>
      <c r="H26" s="25">
        <v>5.13</v>
      </c>
    </row>
    <row r="27" spans="2:8" x14ac:dyDescent="0.2">
      <c r="B27" s="23" t="s">
        <v>536</v>
      </c>
      <c r="C27" s="23" t="s">
        <v>537</v>
      </c>
      <c r="D27" s="23" t="s">
        <v>365</v>
      </c>
      <c r="E27" s="28">
        <v>100</v>
      </c>
      <c r="F27" s="25">
        <v>1036.1400000000001</v>
      </c>
      <c r="G27" s="25">
        <v>0.65</v>
      </c>
      <c r="H27" s="25">
        <v>4.16</v>
      </c>
    </row>
    <row r="28" spans="2:8" x14ac:dyDescent="0.2">
      <c r="B28" s="23" t="s">
        <v>538</v>
      </c>
      <c r="C28" s="23" t="s">
        <v>539</v>
      </c>
      <c r="D28" s="23" t="s">
        <v>365</v>
      </c>
      <c r="E28" s="28">
        <v>100</v>
      </c>
      <c r="F28" s="25">
        <v>1036.03</v>
      </c>
      <c r="G28" s="25">
        <v>0.65</v>
      </c>
      <c r="H28" s="25">
        <v>4.79</v>
      </c>
    </row>
    <row r="29" spans="2:8" x14ac:dyDescent="0.2">
      <c r="B29" s="23" t="s">
        <v>540</v>
      </c>
      <c r="C29" s="23" t="s">
        <v>541</v>
      </c>
      <c r="D29" s="23" t="s">
        <v>365</v>
      </c>
      <c r="E29" s="28">
        <v>50</v>
      </c>
      <c r="F29" s="25">
        <v>519.84</v>
      </c>
      <c r="G29" s="25">
        <v>0.32</v>
      </c>
      <c r="H29" s="25">
        <v>4.5599999999999996</v>
      </c>
    </row>
    <row r="30" spans="2:8" x14ac:dyDescent="0.2">
      <c r="B30" s="23" t="s">
        <v>542</v>
      </c>
      <c r="C30" s="23" t="s">
        <v>543</v>
      </c>
      <c r="D30" s="23" t="s">
        <v>365</v>
      </c>
      <c r="E30" s="28">
        <v>50</v>
      </c>
      <c r="F30" s="25">
        <v>517.53</v>
      </c>
      <c r="G30" s="25">
        <v>0.32</v>
      </c>
      <c r="H30" s="25">
        <v>4.07</v>
      </c>
    </row>
    <row r="31" spans="2:8" x14ac:dyDescent="0.2">
      <c r="B31" s="23" t="s">
        <v>544</v>
      </c>
      <c r="C31" s="23" t="s">
        <v>545</v>
      </c>
      <c r="D31" s="23" t="s">
        <v>365</v>
      </c>
      <c r="E31" s="28">
        <v>50</v>
      </c>
      <c r="F31" s="25">
        <v>515.75</v>
      </c>
      <c r="G31" s="25">
        <v>0.32</v>
      </c>
      <c r="H31" s="25">
        <v>4.41</v>
      </c>
    </row>
    <row r="32" spans="2:8" x14ac:dyDescent="0.2">
      <c r="B32" s="23" t="s">
        <v>546</v>
      </c>
      <c r="C32" s="23" t="s">
        <v>547</v>
      </c>
      <c r="D32" s="23" t="s">
        <v>365</v>
      </c>
      <c r="E32" s="28">
        <v>50</v>
      </c>
      <c r="F32" s="25">
        <v>503.79</v>
      </c>
      <c r="G32" s="25">
        <v>0.31</v>
      </c>
      <c r="H32" s="25">
        <v>3.71</v>
      </c>
    </row>
    <row r="33" spans="2:10" x14ac:dyDescent="0.2">
      <c r="B33" s="23" t="s">
        <v>548</v>
      </c>
      <c r="C33" s="23" t="s">
        <v>549</v>
      </c>
      <c r="D33" s="23" t="s">
        <v>365</v>
      </c>
      <c r="E33" s="28">
        <v>20</v>
      </c>
      <c r="F33" s="25">
        <v>204.52</v>
      </c>
      <c r="G33" s="25">
        <v>0.13</v>
      </c>
      <c r="H33" s="25">
        <v>3.92</v>
      </c>
    </row>
    <row r="34" spans="2:10" x14ac:dyDescent="0.2">
      <c r="B34" s="30" t="s">
        <v>119</v>
      </c>
      <c r="C34" s="30"/>
      <c r="D34" s="30"/>
      <c r="E34" s="31"/>
      <c r="F34" s="32">
        <f>SUM(F6:F33)</f>
        <v>50385.18</v>
      </c>
      <c r="G34" s="32">
        <f>SUM(G6:G33)</f>
        <v>31.479999999999997</v>
      </c>
      <c r="H34" s="48"/>
      <c r="I34" s="14"/>
      <c r="J34" s="14"/>
    </row>
    <row r="35" spans="2:10" x14ac:dyDescent="0.2">
      <c r="B35" s="49" t="s">
        <v>120</v>
      </c>
      <c r="C35" s="49"/>
      <c r="D35" s="49"/>
      <c r="E35" s="50"/>
      <c r="F35" s="51">
        <f>F34</f>
        <v>50385.18</v>
      </c>
      <c r="G35" s="51">
        <f>G34</f>
        <v>31.479999999999997</v>
      </c>
      <c r="H35" s="51"/>
      <c r="I35" s="14"/>
      <c r="J35" s="14"/>
    </row>
    <row r="36" spans="2:10" x14ac:dyDescent="0.2">
      <c r="B36" s="47" t="s">
        <v>467</v>
      </c>
      <c r="C36" s="23"/>
      <c r="D36" s="23"/>
      <c r="E36" s="24"/>
      <c r="F36" s="25"/>
      <c r="G36" s="25"/>
      <c r="H36" s="25"/>
    </row>
    <row r="37" spans="2:10" x14ac:dyDescent="0.2">
      <c r="B37" s="47" t="s">
        <v>550</v>
      </c>
      <c r="C37" s="23"/>
      <c r="D37" s="23"/>
      <c r="E37" s="24"/>
      <c r="F37" s="25"/>
      <c r="G37" s="25"/>
      <c r="H37" s="25"/>
    </row>
    <row r="38" spans="2:10" x14ac:dyDescent="0.2">
      <c r="B38" s="23" t="s">
        <v>551</v>
      </c>
      <c r="C38" s="23" t="s">
        <v>552</v>
      </c>
      <c r="D38" s="23" t="s">
        <v>553</v>
      </c>
      <c r="E38" s="28">
        <v>10000</v>
      </c>
      <c r="F38" s="25">
        <v>10000</v>
      </c>
      <c r="G38" s="25">
        <v>6.25</v>
      </c>
      <c r="H38" s="25">
        <v>3.54</v>
      </c>
    </row>
    <row r="39" spans="2:10" x14ac:dyDescent="0.2">
      <c r="B39" s="23" t="s">
        <v>554</v>
      </c>
      <c r="C39" s="23" t="s">
        <v>555</v>
      </c>
      <c r="D39" s="23" t="s">
        <v>553</v>
      </c>
      <c r="E39" s="28">
        <v>7500</v>
      </c>
      <c r="F39" s="25">
        <v>7488.99</v>
      </c>
      <c r="G39" s="25">
        <v>4.68</v>
      </c>
      <c r="H39" s="25">
        <v>3.35</v>
      </c>
    </row>
    <row r="40" spans="2:10" x14ac:dyDescent="0.2">
      <c r="B40" s="23" t="s">
        <v>556</v>
      </c>
      <c r="C40" s="23" t="s">
        <v>557</v>
      </c>
      <c r="D40" s="23" t="s">
        <v>558</v>
      </c>
      <c r="E40" s="28">
        <v>7500</v>
      </c>
      <c r="F40" s="25">
        <v>7394.27</v>
      </c>
      <c r="G40" s="25">
        <v>4.62</v>
      </c>
      <c r="H40" s="25">
        <v>3.65</v>
      </c>
    </row>
    <row r="41" spans="2:10" x14ac:dyDescent="0.2">
      <c r="B41" s="23" t="s">
        <v>559</v>
      </c>
      <c r="C41" s="23" t="s">
        <v>560</v>
      </c>
      <c r="D41" s="23" t="s">
        <v>561</v>
      </c>
      <c r="E41" s="28">
        <v>5000</v>
      </c>
      <c r="F41" s="25">
        <v>4853.09</v>
      </c>
      <c r="G41" s="25">
        <v>3.03</v>
      </c>
      <c r="H41" s="25">
        <v>3.81</v>
      </c>
    </row>
    <row r="42" spans="2:10" x14ac:dyDescent="0.2">
      <c r="B42" s="47" t="s">
        <v>119</v>
      </c>
      <c r="C42" s="47"/>
      <c r="D42" s="47"/>
      <c r="E42" s="59"/>
      <c r="F42" s="57">
        <f>SUM(F37:F41)</f>
        <v>29736.35</v>
      </c>
      <c r="G42" s="57">
        <f>SUM(G37:G41)</f>
        <v>18.580000000000002</v>
      </c>
      <c r="H42" s="60"/>
      <c r="I42" s="14"/>
      <c r="J42" s="14"/>
    </row>
    <row r="43" spans="2:10" x14ac:dyDescent="0.2">
      <c r="B43" s="47" t="s">
        <v>562</v>
      </c>
      <c r="C43" s="23"/>
      <c r="D43" s="23"/>
      <c r="E43" s="24"/>
      <c r="F43" s="25"/>
      <c r="G43" s="25"/>
      <c r="H43" s="25"/>
    </row>
    <row r="44" spans="2:10" x14ac:dyDescent="0.2">
      <c r="B44" s="23" t="s">
        <v>779</v>
      </c>
      <c r="C44" s="23" t="s">
        <v>563</v>
      </c>
      <c r="D44" s="23" t="s">
        <v>558</v>
      </c>
      <c r="E44" s="28">
        <v>1000</v>
      </c>
      <c r="F44" s="25">
        <v>4900.2700000000004</v>
      </c>
      <c r="G44" s="25">
        <v>3.06</v>
      </c>
      <c r="H44" s="25">
        <v>3.79</v>
      </c>
    </row>
    <row r="45" spans="2:10" x14ac:dyDescent="0.2">
      <c r="B45" s="23" t="s">
        <v>780</v>
      </c>
      <c r="C45" s="23" t="s">
        <v>564</v>
      </c>
      <c r="D45" s="23" t="s">
        <v>565</v>
      </c>
      <c r="E45" s="28">
        <v>500</v>
      </c>
      <c r="F45" s="25">
        <v>2500</v>
      </c>
      <c r="G45" s="25">
        <v>1.56</v>
      </c>
      <c r="H45" s="25">
        <v>3.53</v>
      </c>
    </row>
    <row r="46" spans="2:10" x14ac:dyDescent="0.2">
      <c r="B46" s="23" t="s">
        <v>781</v>
      </c>
      <c r="C46" s="23" t="s">
        <v>566</v>
      </c>
      <c r="D46" s="23" t="s">
        <v>561</v>
      </c>
      <c r="E46" s="28">
        <v>500</v>
      </c>
      <c r="F46" s="25">
        <v>2496.79</v>
      </c>
      <c r="G46" s="25">
        <v>1.56</v>
      </c>
      <c r="H46" s="25">
        <v>3.35</v>
      </c>
    </row>
    <row r="47" spans="2:10" x14ac:dyDescent="0.2">
      <c r="B47" s="47" t="s">
        <v>119</v>
      </c>
      <c r="C47" s="47"/>
      <c r="D47" s="47"/>
      <c r="E47" s="59"/>
      <c r="F47" s="57">
        <f>SUM(F43:F46)</f>
        <v>9897.0600000000013</v>
      </c>
      <c r="G47" s="57">
        <f>SUM(G43:G46)</f>
        <v>6.18</v>
      </c>
      <c r="H47" s="60"/>
      <c r="I47" s="14"/>
      <c r="J47" s="14"/>
    </row>
    <row r="48" spans="2:10" x14ac:dyDescent="0.2">
      <c r="B48" s="47" t="s">
        <v>468</v>
      </c>
      <c r="C48" s="23"/>
      <c r="D48" s="23"/>
      <c r="E48" s="24"/>
      <c r="F48" s="25"/>
      <c r="G48" s="25"/>
      <c r="H48" s="25"/>
    </row>
    <row r="49" spans="2:10" x14ac:dyDescent="0.2">
      <c r="B49" s="23" t="s">
        <v>567</v>
      </c>
      <c r="C49" s="23" t="s">
        <v>568</v>
      </c>
      <c r="D49" s="23" t="s">
        <v>471</v>
      </c>
      <c r="E49" s="28">
        <v>11614700</v>
      </c>
      <c r="F49" s="25">
        <v>11590.6</v>
      </c>
      <c r="G49" s="25">
        <v>7.24</v>
      </c>
      <c r="H49" s="25">
        <v>3.3</v>
      </c>
    </row>
    <row r="50" spans="2:10" x14ac:dyDescent="0.2">
      <c r="B50" s="23" t="s">
        <v>569</v>
      </c>
      <c r="C50" s="23" t="s">
        <v>570</v>
      </c>
      <c r="D50" s="23" t="s">
        <v>471</v>
      </c>
      <c r="E50" s="28">
        <v>10000000</v>
      </c>
      <c r="F50" s="25">
        <v>9666.99</v>
      </c>
      <c r="G50" s="25">
        <v>6.04</v>
      </c>
      <c r="H50" s="25">
        <v>3.72</v>
      </c>
    </row>
    <row r="51" spans="2:10" x14ac:dyDescent="0.2">
      <c r="B51" s="23" t="s">
        <v>571</v>
      </c>
      <c r="C51" s="23" t="s">
        <v>572</v>
      </c>
      <c r="D51" s="23" t="s">
        <v>471</v>
      </c>
      <c r="E51" s="28">
        <v>7500000</v>
      </c>
      <c r="F51" s="25">
        <v>7470.11</v>
      </c>
      <c r="G51" s="25">
        <v>4.67</v>
      </c>
      <c r="H51" s="25">
        <v>3.32</v>
      </c>
    </row>
    <row r="52" spans="2:10" x14ac:dyDescent="0.2">
      <c r="B52" s="23" t="s">
        <v>573</v>
      </c>
      <c r="C52" s="23" t="s">
        <v>574</v>
      </c>
      <c r="D52" s="23" t="s">
        <v>471</v>
      </c>
      <c r="E52" s="28">
        <v>5000000</v>
      </c>
      <c r="F52" s="25">
        <v>4992.78</v>
      </c>
      <c r="G52" s="25">
        <v>3.12</v>
      </c>
      <c r="H52" s="25">
        <v>3.3</v>
      </c>
    </row>
    <row r="53" spans="2:10" x14ac:dyDescent="0.2">
      <c r="B53" s="23" t="s">
        <v>575</v>
      </c>
      <c r="C53" s="23" t="s">
        <v>576</v>
      </c>
      <c r="D53" s="23" t="s">
        <v>471</v>
      </c>
      <c r="E53" s="28">
        <v>5000000</v>
      </c>
      <c r="F53" s="25">
        <v>4973.53</v>
      </c>
      <c r="G53" s="25">
        <v>3.11</v>
      </c>
      <c r="H53" s="25">
        <v>3.35</v>
      </c>
    </row>
    <row r="54" spans="2:10" x14ac:dyDescent="0.2">
      <c r="B54" s="23" t="s">
        <v>577</v>
      </c>
      <c r="C54" s="23" t="s">
        <v>578</v>
      </c>
      <c r="D54" s="23" t="s">
        <v>471</v>
      </c>
      <c r="E54" s="28">
        <v>4000000</v>
      </c>
      <c r="F54" s="25">
        <v>3981.36</v>
      </c>
      <c r="G54" s="25">
        <v>2.4900000000000002</v>
      </c>
      <c r="H54" s="25">
        <v>3.35</v>
      </c>
    </row>
    <row r="55" spans="2:10" x14ac:dyDescent="0.2">
      <c r="B55" s="30" t="s">
        <v>119</v>
      </c>
      <c r="C55" s="30"/>
      <c r="D55" s="30"/>
      <c r="E55" s="31"/>
      <c r="F55" s="32">
        <f>SUM(F48:F54)</f>
        <v>42675.37</v>
      </c>
      <c r="G55" s="32">
        <f>SUM(G48:G54)</f>
        <v>26.67</v>
      </c>
      <c r="H55" s="48"/>
      <c r="I55" s="14"/>
      <c r="J55" s="14"/>
    </row>
    <row r="56" spans="2:10" x14ac:dyDescent="0.2">
      <c r="B56" s="49" t="s">
        <v>120</v>
      </c>
      <c r="C56" s="49"/>
      <c r="D56" s="49"/>
      <c r="E56" s="50"/>
      <c r="F56" s="51">
        <f>F42+F47+F55</f>
        <v>82308.78</v>
      </c>
      <c r="G56" s="51">
        <f>G42+G47+G55</f>
        <v>51.430000000000007</v>
      </c>
      <c r="H56" s="51"/>
      <c r="I56" s="14"/>
      <c r="J56" s="14"/>
    </row>
    <row r="57" spans="2:10" x14ac:dyDescent="0.2">
      <c r="B57" s="47" t="s">
        <v>423</v>
      </c>
      <c r="C57" s="23"/>
      <c r="D57" s="23"/>
      <c r="E57" s="24"/>
      <c r="F57" s="25"/>
      <c r="G57" s="25"/>
      <c r="H57" s="25"/>
    </row>
    <row r="58" spans="2:10" x14ac:dyDescent="0.2">
      <c r="B58" s="23" t="s">
        <v>579</v>
      </c>
      <c r="C58" s="23" t="s">
        <v>580</v>
      </c>
      <c r="D58" s="23" t="s">
        <v>426</v>
      </c>
      <c r="E58" s="28">
        <v>6500000</v>
      </c>
      <c r="F58" s="25">
        <v>6541.75</v>
      </c>
      <c r="G58" s="25">
        <v>4.09</v>
      </c>
      <c r="H58" s="25">
        <v>3.77</v>
      </c>
    </row>
    <row r="59" spans="2:10" x14ac:dyDescent="0.2">
      <c r="B59" s="23" t="s">
        <v>449</v>
      </c>
      <c r="C59" s="23" t="s">
        <v>450</v>
      </c>
      <c r="D59" s="23" t="s">
        <v>426</v>
      </c>
      <c r="E59" s="28">
        <v>6000000</v>
      </c>
      <c r="F59" s="25">
        <v>6242.4</v>
      </c>
      <c r="G59" s="25">
        <v>3.9</v>
      </c>
      <c r="H59" s="25">
        <v>4.12</v>
      </c>
    </row>
    <row r="60" spans="2:10" x14ac:dyDescent="0.2">
      <c r="B60" s="23" t="s">
        <v>581</v>
      </c>
      <c r="C60" s="23" t="s">
        <v>582</v>
      </c>
      <c r="D60" s="23" t="s">
        <v>426</v>
      </c>
      <c r="E60" s="28">
        <v>2500000</v>
      </c>
      <c r="F60" s="25">
        <v>2603.5</v>
      </c>
      <c r="G60" s="25">
        <v>1.63</v>
      </c>
      <c r="H60" s="25">
        <v>3.88</v>
      </c>
    </row>
    <row r="61" spans="2:10" x14ac:dyDescent="0.2">
      <c r="B61" s="23" t="s">
        <v>433</v>
      </c>
      <c r="C61" s="23" t="s">
        <v>434</v>
      </c>
      <c r="D61" s="23" t="s">
        <v>426</v>
      </c>
      <c r="E61" s="28">
        <v>2500000</v>
      </c>
      <c r="F61" s="25">
        <v>2554.56</v>
      </c>
      <c r="G61" s="25">
        <v>1.6</v>
      </c>
      <c r="H61" s="25">
        <v>3.7</v>
      </c>
    </row>
    <row r="62" spans="2:10" x14ac:dyDescent="0.2">
      <c r="B62" s="23" t="s">
        <v>583</v>
      </c>
      <c r="C62" s="23" t="s">
        <v>584</v>
      </c>
      <c r="D62" s="23" t="s">
        <v>426</v>
      </c>
      <c r="E62" s="28">
        <v>2500000</v>
      </c>
      <c r="F62" s="25">
        <v>2513.5100000000002</v>
      </c>
      <c r="G62" s="25">
        <v>1.57</v>
      </c>
      <c r="H62" s="25">
        <v>3.99</v>
      </c>
    </row>
    <row r="63" spans="2:10" x14ac:dyDescent="0.2">
      <c r="B63" s="23" t="s">
        <v>427</v>
      </c>
      <c r="C63" s="23" t="s">
        <v>428</v>
      </c>
      <c r="D63" s="23" t="s">
        <v>426</v>
      </c>
      <c r="E63" s="28">
        <v>2500000</v>
      </c>
      <c r="F63" s="25">
        <v>2508.4699999999998</v>
      </c>
      <c r="G63" s="25">
        <v>1.57</v>
      </c>
      <c r="H63" s="25">
        <v>3.36</v>
      </c>
    </row>
    <row r="64" spans="2:10" x14ac:dyDescent="0.2">
      <c r="B64" s="52" t="s">
        <v>585</v>
      </c>
      <c r="C64" s="52" t="s">
        <v>586</v>
      </c>
      <c r="D64" s="52" t="s">
        <v>426</v>
      </c>
      <c r="E64" s="53">
        <v>700000</v>
      </c>
      <c r="F64" s="54">
        <v>717.85</v>
      </c>
      <c r="G64" s="54">
        <v>0.45</v>
      </c>
      <c r="H64" s="54">
        <v>3.79</v>
      </c>
    </row>
    <row r="65" spans="2:10" x14ac:dyDescent="0.2">
      <c r="B65" s="55" t="s">
        <v>120</v>
      </c>
      <c r="C65" s="55"/>
      <c r="D65" s="55"/>
      <c r="E65" s="56"/>
      <c r="F65" s="57">
        <f>SUM(F58:F64)</f>
        <v>23682.04</v>
      </c>
      <c r="G65" s="57">
        <f>SUM(G58:G64)</f>
        <v>14.81</v>
      </c>
      <c r="H65" s="57"/>
      <c r="I65" s="14"/>
      <c r="J65" s="14"/>
    </row>
    <row r="66" spans="2:10" x14ac:dyDescent="0.2">
      <c r="B66" s="47" t="s">
        <v>121</v>
      </c>
      <c r="C66" s="23"/>
      <c r="D66" s="23"/>
      <c r="E66" s="24"/>
      <c r="F66" s="25"/>
      <c r="G66" s="25"/>
      <c r="H66" s="25"/>
    </row>
    <row r="67" spans="2:10" x14ac:dyDescent="0.2">
      <c r="B67" s="23" t="s">
        <v>121</v>
      </c>
      <c r="C67" s="23"/>
      <c r="D67" s="23"/>
      <c r="E67" s="24"/>
      <c r="F67" s="25">
        <v>1341.31</v>
      </c>
      <c r="G67" s="25">
        <v>0.84</v>
      </c>
      <c r="H67" s="25"/>
    </row>
    <row r="68" spans="2:10" x14ac:dyDescent="0.2">
      <c r="B68" s="30" t="s">
        <v>119</v>
      </c>
      <c r="C68" s="30"/>
      <c r="D68" s="30"/>
      <c r="E68" s="31"/>
      <c r="F68" s="32">
        <f>SUM(F66:F67)</f>
        <v>1341.31</v>
      </c>
      <c r="G68" s="32">
        <f>SUM(G66:G67)</f>
        <v>0.84</v>
      </c>
      <c r="H68" s="48"/>
      <c r="I68" s="14"/>
      <c r="J68" s="14"/>
    </row>
    <row r="69" spans="2:10" x14ac:dyDescent="0.2">
      <c r="B69" s="34" t="s">
        <v>120</v>
      </c>
      <c r="C69" s="34"/>
      <c r="D69" s="34"/>
      <c r="E69" s="35"/>
      <c r="F69" s="36">
        <f>F68</f>
        <v>1341.31</v>
      </c>
      <c r="G69" s="36">
        <f>G68</f>
        <v>0.84</v>
      </c>
      <c r="H69" s="36"/>
      <c r="I69" s="14"/>
      <c r="J69" s="14"/>
    </row>
    <row r="70" spans="2:10" x14ac:dyDescent="0.2">
      <c r="B70" s="44" t="s">
        <v>123</v>
      </c>
      <c r="C70" s="44"/>
      <c r="D70" s="44"/>
      <c r="E70" s="45"/>
      <c r="F70" s="16">
        <f>F71-(+F35+F56+F65+F69)</f>
        <v>2306.2000000000116</v>
      </c>
      <c r="G70" s="16">
        <f>G71-(+G35+G56+G65+G69)</f>
        <v>1.4399999999999977</v>
      </c>
      <c r="H70" s="16"/>
      <c r="I70" s="14"/>
      <c r="J70" s="14"/>
    </row>
    <row r="71" spans="2:10" x14ac:dyDescent="0.2">
      <c r="B71" s="44" t="s">
        <v>122</v>
      </c>
      <c r="C71" s="44"/>
      <c r="D71" s="44"/>
      <c r="E71" s="45"/>
      <c r="F71" s="16">
        <v>160023.51</v>
      </c>
      <c r="G71" s="16">
        <v>100</v>
      </c>
      <c r="H71" s="16"/>
      <c r="I71" s="14"/>
      <c r="J71" s="14"/>
    </row>
    <row r="73" spans="2:10" x14ac:dyDescent="0.2">
      <c r="B73" s="14" t="s">
        <v>766</v>
      </c>
    </row>
    <row r="74" spans="2:10" x14ac:dyDescent="0.2">
      <c r="B74" s="14" t="s">
        <v>587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9"/>
  <sheetViews>
    <sheetView workbookViewId="0">
      <selection activeCell="G55" sqref="G55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8" t="s">
        <v>21</v>
      </c>
      <c r="C1" s="79"/>
      <c r="D1" s="79"/>
      <c r="E1" s="79"/>
      <c r="F1" s="79"/>
      <c r="G1" s="79"/>
      <c r="H1" s="79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124</v>
      </c>
      <c r="C7" s="23" t="s">
        <v>125</v>
      </c>
      <c r="D7" s="23" t="s">
        <v>38</v>
      </c>
      <c r="E7" s="28">
        <v>65032</v>
      </c>
      <c r="F7" s="25">
        <v>985.79</v>
      </c>
      <c r="G7" s="25">
        <v>1.73</v>
      </c>
      <c r="H7" s="26"/>
    </row>
    <row r="8" spans="2:8" x14ac:dyDescent="0.2">
      <c r="B8" s="27" t="s">
        <v>36</v>
      </c>
      <c r="C8" s="23" t="s">
        <v>37</v>
      </c>
      <c r="D8" s="23" t="s">
        <v>38</v>
      </c>
      <c r="E8" s="28">
        <v>112914</v>
      </c>
      <c r="F8" s="25">
        <v>748.34</v>
      </c>
      <c r="G8" s="25">
        <v>1.32</v>
      </c>
      <c r="H8" s="26"/>
    </row>
    <row r="9" spans="2:8" x14ac:dyDescent="0.2">
      <c r="B9" s="27" t="s">
        <v>133</v>
      </c>
      <c r="C9" s="23" t="s">
        <v>134</v>
      </c>
      <c r="D9" s="23" t="s">
        <v>38</v>
      </c>
      <c r="E9" s="28">
        <v>91062</v>
      </c>
      <c r="F9" s="25">
        <v>683.6</v>
      </c>
      <c r="G9" s="25">
        <v>1.2</v>
      </c>
      <c r="H9" s="26"/>
    </row>
    <row r="10" spans="2:8" x14ac:dyDescent="0.2">
      <c r="B10" s="27" t="s">
        <v>126</v>
      </c>
      <c r="C10" s="23" t="s">
        <v>127</v>
      </c>
      <c r="D10" s="23" t="s">
        <v>128</v>
      </c>
      <c r="E10" s="28">
        <v>46920</v>
      </c>
      <c r="F10" s="25">
        <v>653.95000000000005</v>
      </c>
      <c r="G10" s="25">
        <v>1.1499999999999999</v>
      </c>
      <c r="H10" s="26"/>
    </row>
    <row r="11" spans="2:8" x14ac:dyDescent="0.2">
      <c r="B11" s="27" t="s">
        <v>135</v>
      </c>
      <c r="C11" s="23" t="s">
        <v>136</v>
      </c>
      <c r="D11" s="23" t="s">
        <v>137</v>
      </c>
      <c r="E11" s="28">
        <v>11000</v>
      </c>
      <c r="F11" s="25">
        <v>619.07000000000005</v>
      </c>
      <c r="G11" s="25">
        <v>1.0900000000000001</v>
      </c>
      <c r="H11" s="26"/>
    </row>
    <row r="12" spans="2:8" x14ac:dyDescent="0.2">
      <c r="B12" s="27" t="s">
        <v>165</v>
      </c>
      <c r="C12" s="23" t="s">
        <v>166</v>
      </c>
      <c r="D12" s="23" t="s">
        <v>167</v>
      </c>
      <c r="E12" s="28">
        <v>100000</v>
      </c>
      <c r="F12" s="25">
        <v>615.20000000000005</v>
      </c>
      <c r="G12" s="25">
        <v>1.08</v>
      </c>
      <c r="H12" s="26"/>
    </row>
    <row r="13" spans="2:8" x14ac:dyDescent="0.2">
      <c r="B13" s="27" t="s">
        <v>257</v>
      </c>
      <c r="C13" s="23" t="s">
        <v>258</v>
      </c>
      <c r="D13" s="23" t="s">
        <v>47</v>
      </c>
      <c r="E13" s="28">
        <v>30000</v>
      </c>
      <c r="F13" s="25">
        <v>570.96</v>
      </c>
      <c r="G13" s="25">
        <v>1</v>
      </c>
      <c r="H13" s="26"/>
    </row>
    <row r="14" spans="2:8" x14ac:dyDescent="0.2">
      <c r="B14" s="27" t="s">
        <v>129</v>
      </c>
      <c r="C14" s="23" t="s">
        <v>130</v>
      </c>
      <c r="D14" s="23" t="s">
        <v>83</v>
      </c>
      <c r="E14" s="28">
        <v>26154</v>
      </c>
      <c r="F14" s="25">
        <v>565</v>
      </c>
      <c r="G14" s="25">
        <v>0.99</v>
      </c>
      <c r="H14" s="26"/>
    </row>
    <row r="15" spans="2:8" x14ac:dyDescent="0.2">
      <c r="B15" s="27" t="s">
        <v>162</v>
      </c>
      <c r="C15" s="23" t="s">
        <v>163</v>
      </c>
      <c r="D15" s="23" t="s">
        <v>164</v>
      </c>
      <c r="E15" s="28">
        <v>79500</v>
      </c>
      <c r="F15" s="25">
        <v>481.01</v>
      </c>
      <c r="G15" s="25">
        <v>0.85</v>
      </c>
      <c r="H15" s="26"/>
    </row>
    <row r="16" spans="2:8" x14ac:dyDescent="0.2">
      <c r="B16" s="27" t="s">
        <v>150</v>
      </c>
      <c r="C16" s="23" t="s">
        <v>151</v>
      </c>
      <c r="D16" s="23" t="s">
        <v>152</v>
      </c>
      <c r="E16" s="28">
        <v>15000</v>
      </c>
      <c r="F16" s="25">
        <v>460.41</v>
      </c>
      <c r="G16" s="25">
        <v>0.81</v>
      </c>
      <c r="H16" s="26"/>
    </row>
    <row r="17" spans="2:8" x14ac:dyDescent="0.2">
      <c r="B17" s="27" t="s">
        <v>131</v>
      </c>
      <c r="C17" s="23" t="s">
        <v>132</v>
      </c>
      <c r="D17" s="23" t="s">
        <v>128</v>
      </c>
      <c r="E17" s="28">
        <v>14130</v>
      </c>
      <c r="F17" s="25">
        <v>446.39</v>
      </c>
      <c r="G17" s="25">
        <v>0.79</v>
      </c>
      <c r="H17" s="26"/>
    </row>
    <row r="18" spans="2:8" x14ac:dyDescent="0.2">
      <c r="B18" s="27" t="s">
        <v>191</v>
      </c>
      <c r="C18" s="23" t="s">
        <v>192</v>
      </c>
      <c r="D18" s="23" t="s">
        <v>193</v>
      </c>
      <c r="E18" s="28">
        <v>200000</v>
      </c>
      <c r="F18" s="25">
        <v>444.8</v>
      </c>
      <c r="G18" s="25">
        <v>0.78</v>
      </c>
      <c r="H18" s="26"/>
    </row>
    <row r="19" spans="2:8" x14ac:dyDescent="0.2">
      <c r="B19" s="27" t="s">
        <v>233</v>
      </c>
      <c r="C19" s="23" t="s">
        <v>234</v>
      </c>
      <c r="D19" s="23" t="s">
        <v>152</v>
      </c>
      <c r="E19" s="28">
        <v>10000</v>
      </c>
      <c r="F19" s="25">
        <v>434.55</v>
      </c>
      <c r="G19" s="25">
        <v>0.76</v>
      </c>
      <c r="H19" s="26"/>
    </row>
    <row r="20" spans="2:8" x14ac:dyDescent="0.2">
      <c r="B20" s="27" t="s">
        <v>309</v>
      </c>
      <c r="C20" s="23" t="s">
        <v>310</v>
      </c>
      <c r="D20" s="23" t="s">
        <v>38</v>
      </c>
      <c r="E20" s="28">
        <v>300000</v>
      </c>
      <c r="F20" s="25">
        <v>419.85</v>
      </c>
      <c r="G20" s="25">
        <v>0.74</v>
      </c>
      <c r="H20" s="26"/>
    </row>
    <row r="21" spans="2:8" x14ac:dyDescent="0.2">
      <c r="B21" s="27" t="s">
        <v>203</v>
      </c>
      <c r="C21" s="23" t="s">
        <v>204</v>
      </c>
      <c r="D21" s="23" t="s">
        <v>137</v>
      </c>
      <c r="E21" s="28">
        <v>75000</v>
      </c>
      <c r="F21" s="25">
        <v>411.98</v>
      </c>
      <c r="G21" s="25">
        <v>0.72</v>
      </c>
      <c r="H21" s="26"/>
    </row>
    <row r="22" spans="2:8" x14ac:dyDescent="0.2">
      <c r="B22" s="27" t="s">
        <v>237</v>
      </c>
      <c r="C22" s="23" t="s">
        <v>238</v>
      </c>
      <c r="D22" s="23" t="s">
        <v>149</v>
      </c>
      <c r="E22" s="28">
        <v>12870</v>
      </c>
      <c r="F22" s="25">
        <v>405.9</v>
      </c>
      <c r="G22" s="25">
        <v>0.71</v>
      </c>
      <c r="H22" s="26"/>
    </row>
    <row r="23" spans="2:8" x14ac:dyDescent="0.2">
      <c r="B23" s="27" t="s">
        <v>147</v>
      </c>
      <c r="C23" s="23" t="s">
        <v>148</v>
      </c>
      <c r="D23" s="23" t="s">
        <v>149</v>
      </c>
      <c r="E23" s="28">
        <v>9000</v>
      </c>
      <c r="F23" s="25">
        <v>377.46</v>
      </c>
      <c r="G23" s="25">
        <v>0.66</v>
      </c>
      <c r="H23" s="26"/>
    </row>
    <row r="24" spans="2:8" x14ac:dyDescent="0.2">
      <c r="B24" s="27" t="s">
        <v>265</v>
      </c>
      <c r="C24" s="23" t="s">
        <v>266</v>
      </c>
      <c r="D24" s="23" t="s">
        <v>267</v>
      </c>
      <c r="E24" s="28">
        <v>75000</v>
      </c>
      <c r="F24" s="25">
        <v>377.29</v>
      </c>
      <c r="G24" s="25">
        <v>0.66</v>
      </c>
      <c r="H24" s="26"/>
    </row>
    <row r="25" spans="2:8" x14ac:dyDescent="0.2">
      <c r="B25" s="27" t="s">
        <v>143</v>
      </c>
      <c r="C25" s="23" t="s">
        <v>144</v>
      </c>
      <c r="D25" s="23" t="s">
        <v>38</v>
      </c>
      <c r="E25" s="28">
        <v>17450</v>
      </c>
      <c r="F25" s="25">
        <v>315.44</v>
      </c>
      <c r="G25" s="25">
        <v>0.55000000000000004</v>
      </c>
      <c r="H25" s="26"/>
    </row>
    <row r="26" spans="2:8" x14ac:dyDescent="0.2">
      <c r="B26" s="27" t="s">
        <v>198</v>
      </c>
      <c r="C26" s="23" t="s">
        <v>199</v>
      </c>
      <c r="D26" s="23" t="s">
        <v>137</v>
      </c>
      <c r="E26" s="28">
        <v>29736</v>
      </c>
      <c r="F26" s="25">
        <v>310.74</v>
      </c>
      <c r="G26" s="25">
        <v>0.55000000000000004</v>
      </c>
      <c r="H26" s="26"/>
    </row>
    <row r="27" spans="2:8" x14ac:dyDescent="0.2">
      <c r="B27" s="27" t="s">
        <v>173</v>
      </c>
      <c r="C27" s="23" t="s">
        <v>174</v>
      </c>
      <c r="D27" s="23" t="s">
        <v>175</v>
      </c>
      <c r="E27" s="28">
        <v>30000</v>
      </c>
      <c r="F27" s="25">
        <v>279.93</v>
      </c>
      <c r="G27" s="25">
        <v>0.49</v>
      </c>
      <c r="H27" s="26"/>
    </row>
    <row r="28" spans="2:8" x14ac:dyDescent="0.2">
      <c r="B28" s="27" t="s">
        <v>187</v>
      </c>
      <c r="C28" s="23" t="s">
        <v>188</v>
      </c>
      <c r="D28" s="23" t="s">
        <v>142</v>
      </c>
      <c r="E28" s="28">
        <v>40000</v>
      </c>
      <c r="F28" s="25">
        <v>265.54000000000002</v>
      </c>
      <c r="G28" s="25">
        <v>0.47</v>
      </c>
      <c r="H28" s="26"/>
    </row>
    <row r="29" spans="2:8" x14ac:dyDescent="0.2">
      <c r="B29" s="27" t="s">
        <v>194</v>
      </c>
      <c r="C29" s="23" t="s">
        <v>195</v>
      </c>
      <c r="D29" s="23" t="s">
        <v>184</v>
      </c>
      <c r="E29" s="28">
        <v>15000</v>
      </c>
      <c r="F29" s="25">
        <v>263.24</v>
      </c>
      <c r="G29" s="25">
        <v>0.46</v>
      </c>
      <c r="H29" s="26"/>
    </row>
    <row r="30" spans="2:8" x14ac:dyDescent="0.2">
      <c r="B30" s="27" t="s">
        <v>168</v>
      </c>
      <c r="C30" s="23" t="s">
        <v>169</v>
      </c>
      <c r="D30" s="23" t="s">
        <v>164</v>
      </c>
      <c r="E30" s="28">
        <v>11400</v>
      </c>
      <c r="F30" s="25">
        <v>250.9</v>
      </c>
      <c r="G30" s="25">
        <v>0.44</v>
      </c>
      <c r="H30" s="26"/>
    </row>
    <row r="31" spans="2:8" x14ac:dyDescent="0.2">
      <c r="B31" s="27" t="s">
        <v>45</v>
      </c>
      <c r="C31" s="23" t="s">
        <v>46</v>
      </c>
      <c r="D31" s="23" t="s">
        <v>47</v>
      </c>
      <c r="E31" s="28">
        <v>15966</v>
      </c>
      <c r="F31" s="25">
        <v>232.17</v>
      </c>
      <c r="G31" s="25">
        <v>0.41</v>
      </c>
      <c r="H31" s="26"/>
    </row>
    <row r="32" spans="2:8" x14ac:dyDescent="0.2">
      <c r="B32" s="27" t="s">
        <v>140</v>
      </c>
      <c r="C32" s="23" t="s">
        <v>141</v>
      </c>
      <c r="D32" s="23" t="s">
        <v>142</v>
      </c>
      <c r="E32" s="28">
        <v>9597</v>
      </c>
      <c r="F32" s="25">
        <v>224.57</v>
      </c>
      <c r="G32" s="25">
        <v>0.39</v>
      </c>
      <c r="H32" s="26"/>
    </row>
    <row r="33" spans="2:10" x14ac:dyDescent="0.2">
      <c r="B33" s="27" t="s">
        <v>221</v>
      </c>
      <c r="C33" s="23" t="s">
        <v>222</v>
      </c>
      <c r="D33" s="23" t="s">
        <v>142</v>
      </c>
      <c r="E33" s="28">
        <v>6500</v>
      </c>
      <c r="F33" s="25">
        <v>224.11</v>
      </c>
      <c r="G33" s="25">
        <v>0.39</v>
      </c>
      <c r="H33" s="26"/>
    </row>
    <row r="34" spans="2:10" x14ac:dyDescent="0.2">
      <c r="B34" s="27" t="s">
        <v>223</v>
      </c>
      <c r="C34" s="23" t="s">
        <v>224</v>
      </c>
      <c r="D34" s="23" t="s">
        <v>86</v>
      </c>
      <c r="E34" s="28">
        <v>10000</v>
      </c>
      <c r="F34" s="25">
        <v>216.24</v>
      </c>
      <c r="G34" s="25">
        <v>0.38</v>
      </c>
      <c r="H34" s="26"/>
    </row>
    <row r="35" spans="2:10" x14ac:dyDescent="0.2">
      <c r="B35" s="27" t="s">
        <v>217</v>
      </c>
      <c r="C35" s="23" t="s">
        <v>218</v>
      </c>
      <c r="D35" s="23" t="s">
        <v>149</v>
      </c>
      <c r="E35" s="28">
        <v>10000</v>
      </c>
      <c r="F35" s="25">
        <v>207.06</v>
      </c>
      <c r="G35" s="25">
        <v>0.36</v>
      </c>
      <c r="H35" s="26"/>
    </row>
    <row r="36" spans="2:10" x14ac:dyDescent="0.2">
      <c r="B36" s="27" t="s">
        <v>153</v>
      </c>
      <c r="C36" s="23" t="s">
        <v>154</v>
      </c>
      <c r="D36" s="23" t="s">
        <v>59</v>
      </c>
      <c r="E36" s="28">
        <v>9000</v>
      </c>
      <c r="F36" s="25">
        <v>150.68</v>
      </c>
      <c r="G36" s="25">
        <v>0.27</v>
      </c>
      <c r="H36" s="26"/>
    </row>
    <row r="37" spans="2:10" x14ac:dyDescent="0.2">
      <c r="B37" s="27" t="s">
        <v>182</v>
      </c>
      <c r="C37" s="23" t="s">
        <v>183</v>
      </c>
      <c r="D37" s="23" t="s">
        <v>184</v>
      </c>
      <c r="E37" s="28">
        <v>1715</v>
      </c>
      <c r="F37" s="25">
        <v>147.38999999999999</v>
      </c>
      <c r="G37" s="25">
        <v>0.26</v>
      </c>
      <c r="H37" s="26"/>
    </row>
    <row r="38" spans="2:10" x14ac:dyDescent="0.2">
      <c r="B38" s="27" t="s">
        <v>170</v>
      </c>
      <c r="C38" s="23" t="s">
        <v>171</v>
      </c>
      <c r="D38" s="23" t="s">
        <v>172</v>
      </c>
      <c r="E38" s="28">
        <v>4500</v>
      </c>
      <c r="F38" s="25">
        <v>140</v>
      </c>
      <c r="G38" s="25">
        <v>0.25</v>
      </c>
      <c r="H38" s="26"/>
    </row>
    <row r="39" spans="2:10" x14ac:dyDescent="0.2">
      <c r="B39" s="27" t="s">
        <v>155</v>
      </c>
      <c r="C39" s="23" t="s">
        <v>156</v>
      </c>
      <c r="D39" s="23" t="s">
        <v>86</v>
      </c>
      <c r="E39" s="28">
        <v>8700</v>
      </c>
      <c r="F39" s="25">
        <v>138.87</v>
      </c>
      <c r="G39" s="25">
        <v>0.24</v>
      </c>
      <c r="H39" s="26"/>
    </row>
    <row r="40" spans="2:10" x14ac:dyDescent="0.2">
      <c r="B40" s="29" t="s">
        <v>119</v>
      </c>
      <c r="C40" s="30"/>
      <c r="D40" s="30"/>
      <c r="E40" s="31"/>
      <c r="F40" s="32">
        <f>SUM(F7:F39)</f>
        <v>13068.430000000002</v>
      </c>
      <c r="G40" s="32">
        <f>SUM(G7:G39)</f>
        <v>22.950000000000003</v>
      </c>
      <c r="H40" s="33"/>
      <c r="I40" s="14"/>
      <c r="J40" s="14"/>
    </row>
    <row r="41" spans="2:10" x14ac:dyDescent="0.2">
      <c r="B41" s="37" t="s">
        <v>120</v>
      </c>
      <c r="C41" s="37"/>
      <c r="D41" s="37"/>
      <c r="E41" s="38"/>
      <c r="F41" s="39">
        <f>F40</f>
        <v>13068.430000000002</v>
      </c>
      <c r="G41" s="39">
        <f>G40</f>
        <v>22.950000000000003</v>
      </c>
      <c r="H41" s="15"/>
      <c r="I41" s="14"/>
      <c r="J41" s="14"/>
    </row>
    <row r="42" spans="2:10" x14ac:dyDescent="0.2">
      <c r="B42" s="46" t="s">
        <v>227</v>
      </c>
      <c r="C42" s="41"/>
      <c r="D42" s="41"/>
      <c r="E42" s="42"/>
      <c r="F42" s="43"/>
      <c r="G42" s="43"/>
      <c r="H42" s="43"/>
    </row>
    <row r="43" spans="2:10" x14ac:dyDescent="0.2">
      <c r="B43" s="47" t="s">
        <v>32</v>
      </c>
      <c r="C43" s="23"/>
      <c r="D43" s="23"/>
      <c r="E43" s="24"/>
      <c r="F43" s="25"/>
      <c r="G43" s="25"/>
      <c r="H43" s="25"/>
    </row>
    <row r="44" spans="2:10" x14ac:dyDescent="0.2">
      <c r="B44" s="23" t="s">
        <v>370</v>
      </c>
      <c r="C44" s="23" t="s">
        <v>371</v>
      </c>
      <c r="D44" s="23" t="s">
        <v>365</v>
      </c>
      <c r="E44" s="28">
        <v>350</v>
      </c>
      <c r="F44" s="25">
        <v>3608.62</v>
      </c>
      <c r="G44" s="25">
        <v>6.35</v>
      </c>
      <c r="H44" s="25">
        <v>4.37</v>
      </c>
    </row>
    <row r="45" spans="2:10" x14ac:dyDescent="0.2">
      <c r="B45" s="23" t="s">
        <v>588</v>
      </c>
      <c r="C45" s="23" t="s">
        <v>589</v>
      </c>
      <c r="D45" s="23" t="s">
        <v>365</v>
      </c>
      <c r="E45" s="28">
        <v>150</v>
      </c>
      <c r="F45" s="25">
        <v>1524.03</v>
      </c>
      <c r="G45" s="25">
        <v>2.68</v>
      </c>
      <c r="H45" s="25">
        <v>3.92</v>
      </c>
    </row>
    <row r="46" spans="2:10" x14ac:dyDescent="0.2">
      <c r="B46" s="23" t="s">
        <v>382</v>
      </c>
      <c r="C46" s="23" t="s">
        <v>383</v>
      </c>
      <c r="D46" s="23" t="s">
        <v>365</v>
      </c>
      <c r="E46" s="28">
        <v>100</v>
      </c>
      <c r="F46" s="25">
        <v>1071.72</v>
      </c>
      <c r="G46" s="25">
        <v>1.88</v>
      </c>
      <c r="H46" s="25">
        <v>5.42</v>
      </c>
    </row>
    <row r="47" spans="2:10" x14ac:dyDescent="0.2">
      <c r="B47" s="23" t="s">
        <v>492</v>
      </c>
      <c r="C47" s="23" t="s">
        <v>493</v>
      </c>
      <c r="D47" s="23" t="s">
        <v>365</v>
      </c>
      <c r="E47" s="28">
        <v>100</v>
      </c>
      <c r="F47" s="25">
        <v>1058.54</v>
      </c>
      <c r="G47" s="25">
        <v>1.86</v>
      </c>
      <c r="H47" s="25">
        <v>5.65</v>
      </c>
    </row>
    <row r="48" spans="2:10" x14ac:dyDescent="0.2">
      <c r="B48" s="23" t="s">
        <v>590</v>
      </c>
      <c r="C48" s="23" t="s">
        <v>591</v>
      </c>
      <c r="D48" s="23" t="s">
        <v>365</v>
      </c>
      <c r="E48" s="28">
        <v>100</v>
      </c>
      <c r="F48" s="25">
        <v>1055.03</v>
      </c>
      <c r="G48" s="25">
        <v>1.86</v>
      </c>
      <c r="H48" s="25">
        <v>5.5</v>
      </c>
    </row>
    <row r="49" spans="2:10" x14ac:dyDescent="0.2">
      <c r="B49" s="23" t="s">
        <v>390</v>
      </c>
      <c r="C49" s="23" t="s">
        <v>391</v>
      </c>
      <c r="D49" s="23" t="s">
        <v>365</v>
      </c>
      <c r="E49" s="28">
        <v>100</v>
      </c>
      <c r="F49" s="25">
        <v>1040.55</v>
      </c>
      <c r="G49" s="25">
        <v>1.83</v>
      </c>
      <c r="H49" s="25">
        <v>4.5599999999999996</v>
      </c>
    </row>
    <row r="50" spans="2:10" x14ac:dyDescent="0.2">
      <c r="B50" s="23" t="s">
        <v>392</v>
      </c>
      <c r="C50" s="23" t="s">
        <v>393</v>
      </c>
      <c r="D50" s="23" t="s">
        <v>365</v>
      </c>
      <c r="E50" s="28">
        <v>100</v>
      </c>
      <c r="F50" s="25">
        <v>1031.6199999999999</v>
      </c>
      <c r="G50" s="25">
        <v>1.81</v>
      </c>
      <c r="H50" s="25">
        <v>4.03</v>
      </c>
    </row>
    <row r="51" spans="2:10" x14ac:dyDescent="0.2">
      <c r="B51" s="23" t="s">
        <v>399</v>
      </c>
      <c r="C51" s="23" t="s">
        <v>400</v>
      </c>
      <c r="D51" s="23" t="s">
        <v>365</v>
      </c>
      <c r="E51" s="28">
        <v>100</v>
      </c>
      <c r="F51" s="25">
        <v>1007.61</v>
      </c>
      <c r="G51" s="25">
        <v>1.77</v>
      </c>
      <c r="H51" s="25">
        <v>3.65</v>
      </c>
    </row>
    <row r="52" spans="2:10" x14ac:dyDescent="0.2">
      <c r="B52" s="23" t="s">
        <v>488</v>
      </c>
      <c r="C52" s="23" t="s">
        <v>489</v>
      </c>
      <c r="D52" s="23" t="s">
        <v>365</v>
      </c>
      <c r="E52" s="28">
        <v>50</v>
      </c>
      <c r="F52" s="25">
        <v>543.04999999999995</v>
      </c>
      <c r="G52" s="25">
        <v>0.96</v>
      </c>
      <c r="H52" s="25">
        <v>5.34</v>
      </c>
    </row>
    <row r="53" spans="2:10" x14ac:dyDescent="0.2">
      <c r="B53" s="23" t="s">
        <v>388</v>
      </c>
      <c r="C53" s="23" t="s">
        <v>389</v>
      </c>
      <c r="D53" s="23" t="s">
        <v>365</v>
      </c>
      <c r="E53" s="28">
        <v>50</v>
      </c>
      <c r="F53" s="25">
        <v>534.25</v>
      </c>
      <c r="G53" s="25">
        <v>0.94</v>
      </c>
      <c r="H53" s="25">
        <v>5.16</v>
      </c>
    </row>
    <row r="54" spans="2:10" x14ac:dyDescent="0.2">
      <c r="B54" s="23" t="s">
        <v>366</v>
      </c>
      <c r="C54" s="23" t="s">
        <v>367</v>
      </c>
      <c r="D54" s="23" t="s">
        <v>365</v>
      </c>
      <c r="E54" s="28">
        <v>50</v>
      </c>
      <c r="F54" s="25">
        <v>505.91</v>
      </c>
      <c r="G54" s="25">
        <v>0.89</v>
      </c>
      <c r="H54" s="25">
        <v>3.64</v>
      </c>
      <c r="I54" s="13"/>
    </row>
    <row r="55" spans="2:10" x14ac:dyDescent="0.2">
      <c r="B55" s="23" t="s">
        <v>782</v>
      </c>
      <c r="C55" s="23" t="s">
        <v>228</v>
      </c>
      <c r="D55" s="23" t="s">
        <v>365</v>
      </c>
      <c r="E55" s="28">
        <v>6500</v>
      </c>
      <c r="F55" s="25">
        <v>1.89</v>
      </c>
      <c r="G55" s="25">
        <v>0</v>
      </c>
      <c r="H55" s="25">
        <v>5.5</v>
      </c>
      <c r="I55" s="13"/>
    </row>
    <row r="56" spans="2:10" x14ac:dyDescent="0.2">
      <c r="B56" s="30" t="s">
        <v>119</v>
      </c>
      <c r="C56" s="30"/>
      <c r="D56" s="30"/>
      <c r="E56" s="31"/>
      <c r="F56" s="32">
        <f>SUM(F43:F55)</f>
        <v>12982.82</v>
      </c>
      <c r="G56" s="32">
        <f>SUM(G43:G55)</f>
        <v>22.830000000000002</v>
      </c>
      <c r="H56" s="48"/>
      <c r="I56" s="14"/>
      <c r="J56" s="14"/>
    </row>
    <row r="57" spans="2:10" x14ac:dyDescent="0.2">
      <c r="B57" s="49" t="s">
        <v>120</v>
      </c>
      <c r="C57" s="49"/>
      <c r="D57" s="49"/>
      <c r="E57" s="50"/>
      <c r="F57" s="51">
        <f>F56</f>
        <v>12982.82</v>
      </c>
      <c r="G57" s="51">
        <f>G56</f>
        <v>22.830000000000002</v>
      </c>
      <c r="H57" s="51"/>
      <c r="I57" s="14"/>
      <c r="J57" s="14"/>
    </row>
    <row r="58" spans="2:10" x14ac:dyDescent="0.2">
      <c r="B58" s="47" t="s">
        <v>467</v>
      </c>
      <c r="C58" s="23"/>
      <c r="D58" s="23"/>
      <c r="E58" s="24"/>
      <c r="F58" s="25"/>
      <c r="G58" s="25"/>
      <c r="H58" s="25"/>
    </row>
    <row r="59" spans="2:10" x14ac:dyDescent="0.2">
      <c r="B59" s="47" t="s">
        <v>468</v>
      </c>
      <c r="C59" s="23"/>
      <c r="D59" s="23"/>
      <c r="E59" s="24"/>
      <c r="F59" s="25"/>
      <c r="G59" s="25"/>
      <c r="H59" s="25"/>
    </row>
    <row r="60" spans="2:10" x14ac:dyDescent="0.2">
      <c r="B60" s="23" t="s">
        <v>592</v>
      </c>
      <c r="C60" s="23" t="s">
        <v>593</v>
      </c>
      <c r="D60" s="23" t="s">
        <v>471</v>
      </c>
      <c r="E60" s="28">
        <v>3250000</v>
      </c>
      <c r="F60" s="25">
        <v>3215.6</v>
      </c>
      <c r="G60" s="25">
        <v>5.66</v>
      </c>
      <c r="H60" s="25">
        <v>3.42</v>
      </c>
    </row>
    <row r="61" spans="2:10" x14ac:dyDescent="0.2">
      <c r="B61" s="30" t="s">
        <v>119</v>
      </c>
      <c r="C61" s="30"/>
      <c r="D61" s="30"/>
      <c r="E61" s="31"/>
      <c r="F61" s="32">
        <f>SUM(F59:F60)</f>
        <v>3215.6</v>
      </c>
      <c r="G61" s="32">
        <f>SUM(G59:G60)</f>
        <v>5.66</v>
      </c>
      <c r="H61" s="48"/>
      <c r="I61" s="14"/>
      <c r="J61" s="14"/>
    </row>
    <row r="62" spans="2:10" x14ac:dyDescent="0.2">
      <c r="B62" s="49" t="s">
        <v>120</v>
      </c>
      <c r="C62" s="49"/>
      <c r="D62" s="49"/>
      <c r="E62" s="50"/>
      <c r="F62" s="51">
        <f>+F61</f>
        <v>3215.6</v>
      </c>
      <c r="G62" s="51">
        <f>+G61</f>
        <v>5.66</v>
      </c>
      <c r="H62" s="51"/>
      <c r="I62" s="14"/>
      <c r="J62" s="14"/>
    </row>
    <row r="63" spans="2:10" x14ac:dyDescent="0.2">
      <c r="B63" s="47" t="s">
        <v>423</v>
      </c>
      <c r="C63" s="23"/>
      <c r="D63" s="23"/>
      <c r="E63" s="24"/>
      <c r="F63" s="25"/>
      <c r="G63" s="25"/>
      <c r="H63" s="25"/>
    </row>
    <row r="64" spans="2:10" x14ac:dyDescent="0.2">
      <c r="B64" s="23" t="s">
        <v>424</v>
      </c>
      <c r="C64" s="23" t="s">
        <v>425</v>
      </c>
      <c r="D64" s="23" t="s">
        <v>426</v>
      </c>
      <c r="E64" s="28">
        <v>5100000</v>
      </c>
      <c r="F64" s="25">
        <v>5101.0200000000004</v>
      </c>
      <c r="G64" s="25">
        <v>8.9700000000000006</v>
      </c>
      <c r="H64" s="25">
        <v>4.47</v>
      </c>
    </row>
    <row r="65" spans="2:8" x14ac:dyDescent="0.2">
      <c r="B65" s="23" t="s">
        <v>437</v>
      </c>
      <c r="C65" s="23" t="s">
        <v>438</v>
      </c>
      <c r="D65" s="23" t="s">
        <v>426</v>
      </c>
      <c r="E65" s="28">
        <v>3000000</v>
      </c>
      <c r="F65" s="25">
        <v>3106.8</v>
      </c>
      <c r="G65" s="25">
        <v>5.46</v>
      </c>
      <c r="H65" s="25">
        <v>5.03</v>
      </c>
    </row>
    <row r="66" spans="2:8" x14ac:dyDescent="0.2">
      <c r="B66" s="23" t="s">
        <v>435</v>
      </c>
      <c r="C66" s="23" t="s">
        <v>436</v>
      </c>
      <c r="D66" s="23" t="s">
        <v>426</v>
      </c>
      <c r="E66" s="28">
        <v>3000000</v>
      </c>
      <c r="F66" s="25">
        <v>3005.14</v>
      </c>
      <c r="G66" s="25">
        <v>5.29</v>
      </c>
      <c r="H66" s="25">
        <v>5.59</v>
      </c>
    </row>
    <row r="67" spans="2:8" x14ac:dyDescent="0.2">
      <c r="B67" s="23" t="s">
        <v>445</v>
      </c>
      <c r="C67" s="23" t="s">
        <v>446</v>
      </c>
      <c r="D67" s="23" t="s">
        <v>426</v>
      </c>
      <c r="E67" s="28">
        <v>2000000</v>
      </c>
      <c r="F67" s="25">
        <v>2129.4</v>
      </c>
      <c r="G67" s="25">
        <v>3.75</v>
      </c>
      <c r="H67" s="25">
        <v>4.7</v>
      </c>
    </row>
    <row r="68" spans="2:8" x14ac:dyDescent="0.2">
      <c r="B68" s="23" t="s">
        <v>449</v>
      </c>
      <c r="C68" s="23" t="s">
        <v>450</v>
      </c>
      <c r="D68" s="23" t="s">
        <v>426</v>
      </c>
      <c r="E68" s="28">
        <v>1500000</v>
      </c>
      <c r="F68" s="25">
        <v>1560.6</v>
      </c>
      <c r="G68" s="25">
        <v>2.74</v>
      </c>
      <c r="H68" s="25">
        <v>4.12</v>
      </c>
    </row>
    <row r="69" spans="2:8" x14ac:dyDescent="0.2">
      <c r="B69" s="23" t="s">
        <v>439</v>
      </c>
      <c r="C69" s="23" t="s">
        <v>440</v>
      </c>
      <c r="D69" s="23" t="s">
        <v>426</v>
      </c>
      <c r="E69" s="28">
        <v>1500000</v>
      </c>
      <c r="F69" s="25">
        <v>1545.92</v>
      </c>
      <c r="G69" s="25">
        <v>2.72</v>
      </c>
      <c r="H69" s="25">
        <v>3.78</v>
      </c>
    </row>
    <row r="70" spans="2:8" x14ac:dyDescent="0.2">
      <c r="B70" s="23" t="s">
        <v>433</v>
      </c>
      <c r="C70" s="23" t="s">
        <v>434</v>
      </c>
      <c r="D70" s="23" t="s">
        <v>426</v>
      </c>
      <c r="E70" s="28">
        <v>1500000</v>
      </c>
      <c r="F70" s="25">
        <v>1532.73</v>
      </c>
      <c r="G70" s="25">
        <v>2.7</v>
      </c>
      <c r="H70" s="25">
        <v>3.7</v>
      </c>
    </row>
    <row r="71" spans="2:8" x14ac:dyDescent="0.2">
      <c r="B71" s="23" t="s">
        <v>451</v>
      </c>
      <c r="C71" s="23" t="s">
        <v>452</v>
      </c>
      <c r="D71" s="23" t="s">
        <v>426</v>
      </c>
      <c r="E71" s="28">
        <v>1000000</v>
      </c>
      <c r="F71" s="25">
        <v>1075.25</v>
      </c>
      <c r="G71" s="25">
        <v>1.89</v>
      </c>
      <c r="H71" s="25">
        <v>6.22</v>
      </c>
    </row>
    <row r="72" spans="2:8" x14ac:dyDescent="0.2">
      <c r="B72" s="23" t="s">
        <v>453</v>
      </c>
      <c r="C72" s="23" t="s">
        <v>454</v>
      </c>
      <c r="D72" s="23" t="s">
        <v>426</v>
      </c>
      <c r="E72" s="28">
        <v>1000000</v>
      </c>
      <c r="F72" s="25">
        <v>1049.25</v>
      </c>
      <c r="G72" s="25">
        <v>1.85</v>
      </c>
      <c r="H72" s="25">
        <v>5.87</v>
      </c>
    </row>
    <row r="73" spans="2:8" x14ac:dyDescent="0.2">
      <c r="B73" s="23" t="s">
        <v>441</v>
      </c>
      <c r="C73" s="23" t="s">
        <v>442</v>
      </c>
      <c r="D73" s="23" t="s">
        <v>426</v>
      </c>
      <c r="E73" s="28">
        <v>1000000</v>
      </c>
      <c r="F73" s="25">
        <v>994.87</v>
      </c>
      <c r="G73" s="25">
        <v>1.75</v>
      </c>
      <c r="H73" s="25">
        <v>5.36</v>
      </c>
    </row>
    <row r="74" spans="2:8" x14ac:dyDescent="0.2">
      <c r="B74" s="23" t="s">
        <v>594</v>
      </c>
      <c r="C74" s="23" t="s">
        <v>595</v>
      </c>
      <c r="D74" s="23" t="s">
        <v>426</v>
      </c>
      <c r="E74" s="28">
        <v>800000</v>
      </c>
      <c r="F74" s="25">
        <v>829.15</v>
      </c>
      <c r="G74" s="25">
        <v>1.46</v>
      </c>
      <c r="H74" s="25">
        <v>3.99</v>
      </c>
    </row>
    <row r="75" spans="2:8" x14ac:dyDescent="0.2">
      <c r="B75" s="23" t="s">
        <v>461</v>
      </c>
      <c r="C75" s="23" t="s">
        <v>462</v>
      </c>
      <c r="D75" s="23" t="s">
        <v>426</v>
      </c>
      <c r="E75" s="28">
        <v>750000</v>
      </c>
      <c r="F75" s="25">
        <v>764.18</v>
      </c>
      <c r="G75" s="25">
        <v>1.34</v>
      </c>
      <c r="H75" s="25">
        <v>6.42</v>
      </c>
    </row>
    <row r="76" spans="2:8" x14ac:dyDescent="0.2">
      <c r="B76" s="23" t="s">
        <v>455</v>
      </c>
      <c r="C76" s="23" t="s">
        <v>456</v>
      </c>
      <c r="D76" s="23" t="s">
        <v>426</v>
      </c>
      <c r="E76" s="28">
        <v>600000</v>
      </c>
      <c r="F76" s="25">
        <v>629.16</v>
      </c>
      <c r="G76" s="25">
        <v>1.1100000000000001</v>
      </c>
      <c r="H76" s="25">
        <v>6.27</v>
      </c>
    </row>
    <row r="77" spans="2:8" x14ac:dyDescent="0.2">
      <c r="B77" s="23" t="s">
        <v>596</v>
      </c>
      <c r="C77" s="23" t="s">
        <v>597</v>
      </c>
      <c r="D77" s="23" t="s">
        <v>426</v>
      </c>
      <c r="E77" s="28">
        <v>500000</v>
      </c>
      <c r="F77" s="25">
        <v>549.1</v>
      </c>
      <c r="G77" s="25">
        <v>0.97</v>
      </c>
      <c r="H77" s="25">
        <v>4.79</v>
      </c>
    </row>
    <row r="78" spans="2:8" x14ac:dyDescent="0.2">
      <c r="B78" s="23" t="s">
        <v>498</v>
      </c>
      <c r="C78" s="23" t="s">
        <v>499</v>
      </c>
      <c r="D78" s="23" t="s">
        <v>426</v>
      </c>
      <c r="E78" s="28">
        <v>500000</v>
      </c>
      <c r="F78" s="25">
        <v>499.64</v>
      </c>
      <c r="G78" s="25">
        <v>0.88</v>
      </c>
      <c r="H78" s="25">
        <v>6.65</v>
      </c>
    </row>
    <row r="79" spans="2:8" x14ac:dyDescent="0.2">
      <c r="B79" s="23" t="s">
        <v>500</v>
      </c>
      <c r="C79" s="23" t="s">
        <v>501</v>
      </c>
      <c r="D79" s="23" t="s">
        <v>426</v>
      </c>
      <c r="E79" s="28">
        <v>250000</v>
      </c>
      <c r="F79" s="25">
        <v>247.14</v>
      </c>
      <c r="G79" s="25">
        <v>0.43</v>
      </c>
      <c r="H79" s="25">
        <v>6.01</v>
      </c>
    </row>
    <row r="80" spans="2:8" x14ac:dyDescent="0.2">
      <c r="B80" s="52" t="s">
        <v>598</v>
      </c>
      <c r="C80" s="52" t="s">
        <v>599</v>
      </c>
      <c r="D80" s="52" t="s">
        <v>426</v>
      </c>
      <c r="E80" s="53">
        <v>800</v>
      </c>
      <c r="F80" s="54">
        <v>0.88</v>
      </c>
      <c r="G80" s="54">
        <v>0</v>
      </c>
      <c r="H80" s="54">
        <v>6.95</v>
      </c>
    </row>
    <row r="81" spans="2:10" x14ac:dyDescent="0.2">
      <c r="B81" s="55" t="s">
        <v>120</v>
      </c>
      <c r="C81" s="55"/>
      <c r="D81" s="55"/>
      <c r="E81" s="56"/>
      <c r="F81" s="57">
        <f>SUM(F64:F80)</f>
        <v>24620.229999999996</v>
      </c>
      <c r="G81" s="57">
        <f>SUM(G64:G80)</f>
        <v>43.31</v>
      </c>
      <c r="H81" s="57"/>
      <c r="I81" s="14"/>
      <c r="J81" s="14"/>
    </row>
    <row r="82" spans="2:10" x14ac:dyDescent="0.2">
      <c r="B82" s="47" t="s">
        <v>121</v>
      </c>
      <c r="C82" s="23"/>
      <c r="D82" s="23"/>
      <c r="E82" s="24"/>
      <c r="F82" s="25"/>
      <c r="G82" s="25"/>
      <c r="H82" s="25"/>
    </row>
    <row r="83" spans="2:10" x14ac:dyDescent="0.2">
      <c r="B83" s="23" t="s">
        <v>121</v>
      </c>
      <c r="C83" s="23"/>
      <c r="D83" s="23"/>
      <c r="E83" s="24"/>
      <c r="F83" s="25">
        <v>3242.24</v>
      </c>
      <c r="G83" s="25">
        <v>5.7</v>
      </c>
      <c r="H83" s="25"/>
    </row>
    <row r="84" spans="2:10" x14ac:dyDescent="0.2">
      <c r="B84" s="30" t="s">
        <v>119</v>
      </c>
      <c r="C84" s="30"/>
      <c r="D84" s="30"/>
      <c r="E84" s="31"/>
      <c r="F84" s="32">
        <f>SUM(F82:F83)</f>
        <v>3242.24</v>
      </c>
      <c r="G84" s="32">
        <f>SUM(G82:G83)</f>
        <v>5.7</v>
      </c>
      <c r="H84" s="48"/>
      <c r="I84" s="14"/>
      <c r="J84" s="14"/>
    </row>
    <row r="85" spans="2:10" x14ac:dyDescent="0.2">
      <c r="B85" s="34" t="s">
        <v>120</v>
      </c>
      <c r="C85" s="34"/>
      <c r="D85" s="34"/>
      <c r="E85" s="35"/>
      <c r="F85" s="36">
        <f>F84</f>
        <v>3242.24</v>
      </c>
      <c r="G85" s="36">
        <f>G84</f>
        <v>5.7</v>
      </c>
      <c r="H85" s="36"/>
      <c r="I85" s="14"/>
      <c r="J85" s="14"/>
    </row>
    <row r="86" spans="2:10" x14ac:dyDescent="0.2">
      <c r="B86" s="44" t="s">
        <v>123</v>
      </c>
      <c r="C86" s="44"/>
      <c r="D86" s="44"/>
      <c r="E86" s="45"/>
      <c r="F86" s="16">
        <f>F87-(+F41+F57+F62+F81+F85)</f>
        <v>-271.11999999999534</v>
      </c>
      <c r="G86" s="16">
        <f>G87-(+G41+G57+G62+G81+G85)</f>
        <v>-0.45000000000000284</v>
      </c>
      <c r="H86" s="16"/>
      <c r="I86" s="14"/>
      <c r="J86" s="14"/>
    </row>
    <row r="87" spans="2:10" x14ac:dyDescent="0.2">
      <c r="B87" s="44" t="s">
        <v>122</v>
      </c>
      <c r="C87" s="44"/>
      <c r="D87" s="44"/>
      <c r="E87" s="45"/>
      <c r="F87" s="16">
        <v>56858.2</v>
      </c>
      <c r="G87" s="16">
        <v>100</v>
      </c>
      <c r="H87" s="16"/>
      <c r="I87" s="14"/>
      <c r="J87" s="14"/>
    </row>
    <row r="89" spans="2:10" x14ac:dyDescent="0.2">
      <c r="B89" s="14" t="s">
        <v>766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6"/>
  <sheetViews>
    <sheetView workbookViewId="0">
      <selection activeCell="B16" sqref="A16:IV16"/>
    </sheetView>
  </sheetViews>
  <sheetFormatPr defaultRowHeight="12" x14ac:dyDescent="0.2"/>
  <cols>
    <col min="1" max="1" width="9.140625" style="1"/>
    <col min="2" max="2" width="53.85546875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78" t="s">
        <v>22</v>
      </c>
      <c r="C1" s="79"/>
      <c r="D1" s="79"/>
      <c r="E1" s="79"/>
      <c r="F1" s="79"/>
      <c r="G1" s="79"/>
      <c r="H1" s="79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423</v>
      </c>
      <c r="C5" s="18"/>
      <c r="D5" s="18"/>
      <c r="E5" s="19"/>
      <c r="F5" s="20"/>
      <c r="G5" s="20"/>
      <c r="H5" s="20"/>
    </row>
    <row r="6" spans="2:10" x14ac:dyDescent="0.2">
      <c r="B6" s="23" t="s">
        <v>600</v>
      </c>
      <c r="C6" s="23" t="s">
        <v>601</v>
      </c>
      <c r="D6" s="23" t="s">
        <v>426</v>
      </c>
      <c r="E6" s="28">
        <v>1500000</v>
      </c>
      <c r="F6" s="25">
        <v>1557.06</v>
      </c>
      <c r="G6" s="25">
        <v>49.03</v>
      </c>
      <c r="H6" s="25">
        <v>6.02</v>
      </c>
    </row>
    <row r="7" spans="2:10" x14ac:dyDescent="0.2">
      <c r="B7" s="52" t="s">
        <v>602</v>
      </c>
      <c r="C7" s="52" t="s">
        <v>603</v>
      </c>
      <c r="D7" s="52" t="s">
        <v>426</v>
      </c>
      <c r="E7" s="53">
        <v>1000000</v>
      </c>
      <c r="F7" s="54">
        <v>1074.5</v>
      </c>
      <c r="G7" s="54">
        <v>33.83</v>
      </c>
      <c r="H7" s="54">
        <v>5.73</v>
      </c>
    </row>
    <row r="8" spans="2:10" x14ac:dyDescent="0.2">
      <c r="B8" s="55" t="s">
        <v>120</v>
      </c>
      <c r="C8" s="55"/>
      <c r="D8" s="55"/>
      <c r="E8" s="56"/>
      <c r="F8" s="57">
        <f>SUM(F6:F7)</f>
        <v>2631.56</v>
      </c>
      <c r="G8" s="57">
        <f>SUM(G6:G7)</f>
        <v>82.86</v>
      </c>
      <c r="H8" s="57"/>
      <c r="I8" s="14"/>
      <c r="J8" s="14"/>
    </row>
    <row r="9" spans="2:10" x14ac:dyDescent="0.2">
      <c r="B9" s="47" t="s">
        <v>121</v>
      </c>
      <c r="C9" s="23"/>
      <c r="D9" s="23"/>
      <c r="E9" s="24"/>
      <c r="F9" s="25"/>
      <c r="G9" s="25"/>
      <c r="H9" s="25"/>
    </row>
    <row r="10" spans="2:10" x14ac:dyDescent="0.2">
      <c r="B10" s="23" t="s">
        <v>121</v>
      </c>
      <c r="C10" s="23"/>
      <c r="D10" s="23"/>
      <c r="E10" s="24"/>
      <c r="F10" s="25">
        <v>504.07</v>
      </c>
      <c r="G10" s="25">
        <v>15.87</v>
      </c>
      <c r="H10" s="25"/>
    </row>
    <row r="11" spans="2:10" x14ac:dyDescent="0.2">
      <c r="B11" s="30" t="s">
        <v>119</v>
      </c>
      <c r="C11" s="30"/>
      <c r="D11" s="30"/>
      <c r="E11" s="31"/>
      <c r="F11" s="32">
        <f>SUM(F9:F10)</f>
        <v>504.07</v>
      </c>
      <c r="G11" s="32">
        <f>SUM(G9:G10)</f>
        <v>15.87</v>
      </c>
      <c r="H11" s="48"/>
      <c r="I11" s="14"/>
      <c r="J11" s="14"/>
    </row>
    <row r="12" spans="2:10" x14ac:dyDescent="0.2">
      <c r="B12" s="34" t="s">
        <v>120</v>
      </c>
      <c r="C12" s="34"/>
      <c r="D12" s="34"/>
      <c r="E12" s="35"/>
      <c r="F12" s="36">
        <f>F11</f>
        <v>504.07</v>
      </c>
      <c r="G12" s="36">
        <f>G11</f>
        <v>15.87</v>
      </c>
      <c r="H12" s="36"/>
      <c r="I12" s="14"/>
      <c r="J12" s="14"/>
    </row>
    <row r="13" spans="2:10" x14ac:dyDescent="0.2">
      <c r="B13" s="44" t="s">
        <v>123</v>
      </c>
      <c r="C13" s="44"/>
      <c r="D13" s="44"/>
      <c r="E13" s="45"/>
      <c r="F13" s="16">
        <f>F14-(+F8+F12)</f>
        <v>40.2199999999998</v>
      </c>
      <c r="G13" s="16">
        <f>G14-(+G8+G12)</f>
        <v>1.269999999999996</v>
      </c>
      <c r="H13" s="16"/>
      <c r="I13" s="14"/>
      <c r="J13" s="14"/>
    </row>
    <row r="14" spans="2:10" x14ac:dyDescent="0.2">
      <c r="B14" s="44" t="s">
        <v>122</v>
      </c>
      <c r="C14" s="44"/>
      <c r="D14" s="44"/>
      <c r="E14" s="45"/>
      <c r="F14" s="16">
        <v>3175.85</v>
      </c>
      <c r="G14" s="16">
        <v>100</v>
      </c>
      <c r="H14" s="16"/>
      <c r="I14" s="14"/>
      <c r="J14" s="14"/>
    </row>
    <row r="16" spans="2:10" x14ac:dyDescent="0.2">
      <c r="B16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4"/>
  <sheetViews>
    <sheetView workbookViewId="0">
      <selection activeCell="B12" sqref="B12:B21"/>
    </sheetView>
  </sheetViews>
  <sheetFormatPr defaultRowHeight="12" x14ac:dyDescent="0.2"/>
  <cols>
    <col min="1" max="1" width="9.140625" style="1"/>
    <col min="2" max="2" width="54.140625" style="1" bestFit="1" customWidth="1"/>
    <col min="3" max="3" width="13.5703125" style="1" bestFit="1" customWidth="1"/>
    <col min="4" max="4" width="14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78" t="s">
        <v>23</v>
      </c>
      <c r="C1" s="79"/>
      <c r="D1" s="79"/>
      <c r="E1" s="79"/>
      <c r="F1" s="79"/>
      <c r="G1" s="79"/>
      <c r="H1" s="79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467</v>
      </c>
      <c r="C5" s="18"/>
      <c r="D5" s="18"/>
      <c r="E5" s="19"/>
      <c r="F5" s="20"/>
      <c r="G5" s="20"/>
      <c r="H5" s="20"/>
    </row>
    <row r="6" spans="2:10" x14ac:dyDescent="0.2">
      <c r="B6" s="47" t="s">
        <v>550</v>
      </c>
      <c r="C6" s="23"/>
      <c r="D6" s="23"/>
      <c r="E6" s="24"/>
      <c r="F6" s="25"/>
      <c r="G6" s="25"/>
      <c r="H6" s="25"/>
    </row>
    <row r="7" spans="2:10" x14ac:dyDescent="0.2">
      <c r="B7" s="23" t="s">
        <v>604</v>
      </c>
      <c r="C7" s="23" t="s">
        <v>605</v>
      </c>
      <c r="D7" s="23" t="s">
        <v>558</v>
      </c>
      <c r="E7" s="28">
        <v>10000</v>
      </c>
      <c r="F7" s="25">
        <v>9968.43</v>
      </c>
      <c r="G7" s="25">
        <v>4.28</v>
      </c>
      <c r="H7" s="25">
        <v>3.4</v>
      </c>
    </row>
    <row r="8" spans="2:10" x14ac:dyDescent="0.2">
      <c r="B8" s="23" t="s">
        <v>606</v>
      </c>
      <c r="C8" s="23" t="s">
        <v>607</v>
      </c>
      <c r="D8" s="23" t="s">
        <v>565</v>
      </c>
      <c r="E8" s="28">
        <v>5000</v>
      </c>
      <c r="F8" s="25">
        <v>4995.8999999999996</v>
      </c>
      <c r="G8" s="25">
        <v>2.14</v>
      </c>
      <c r="H8" s="25">
        <v>3.33</v>
      </c>
    </row>
    <row r="9" spans="2:10" x14ac:dyDescent="0.2">
      <c r="B9" s="23" t="s">
        <v>608</v>
      </c>
      <c r="C9" s="23" t="s">
        <v>609</v>
      </c>
      <c r="D9" s="23" t="s">
        <v>553</v>
      </c>
      <c r="E9" s="28">
        <v>5000</v>
      </c>
      <c r="F9" s="25">
        <v>4995.88</v>
      </c>
      <c r="G9" s="25">
        <v>2.14</v>
      </c>
      <c r="H9" s="25">
        <v>3.35</v>
      </c>
    </row>
    <row r="10" spans="2:10" x14ac:dyDescent="0.2">
      <c r="B10" s="47" t="s">
        <v>119</v>
      </c>
      <c r="C10" s="47"/>
      <c r="D10" s="47"/>
      <c r="E10" s="59"/>
      <c r="F10" s="57">
        <f>SUM(F6:F9)</f>
        <v>19960.21</v>
      </c>
      <c r="G10" s="57">
        <f>SUM(G6:G9)</f>
        <v>8.56</v>
      </c>
      <c r="H10" s="60"/>
      <c r="I10" s="14"/>
      <c r="J10" s="14"/>
    </row>
    <row r="11" spans="2:10" x14ac:dyDescent="0.2">
      <c r="B11" s="47" t="s">
        <v>562</v>
      </c>
      <c r="C11" s="23"/>
      <c r="D11" s="23"/>
      <c r="E11" s="24"/>
      <c r="F11" s="25"/>
      <c r="G11" s="25"/>
      <c r="H11" s="25"/>
    </row>
    <row r="12" spans="2:10" x14ac:dyDescent="0.2">
      <c r="B12" s="23" t="s">
        <v>767</v>
      </c>
      <c r="C12" s="23" t="s">
        <v>610</v>
      </c>
      <c r="D12" s="23" t="s">
        <v>561</v>
      </c>
      <c r="E12" s="28">
        <v>3000</v>
      </c>
      <c r="F12" s="25">
        <v>15000</v>
      </c>
      <c r="G12" s="25">
        <v>6.44</v>
      </c>
      <c r="H12" s="25">
        <v>3.36</v>
      </c>
    </row>
    <row r="13" spans="2:10" x14ac:dyDescent="0.2">
      <c r="B13" s="23" t="s">
        <v>768</v>
      </c>
      <c r="C13" s="23" t="s">
        <v>611</v>
      </c>
      <c r="D13" s="23" t="s">
        <v>553</v>
      </c>
      <c r="E13" s="28">
        <v>3000</v>
      </c>
      <c r="F13" s="25">
        <v>14990.49</v>
      </c>
      <c r="G13" s="25">
        <v>6.43</v>
      </c>
      <c r="H13" s="25">
        <v>3.31</v>
      </c>
    </row>
    <row r="14" spans="2:10" x14ac:dyDescent="0.2">
      <c r="B14" s="23" t="s">
        <v>769</v>
      </c>
      <c r="C14" s="23" t="s">
        <v>612</v>
      </c>
      <c r="D14" s="23" t="s">
        <v>565</v>
      </c>
      <c r="E14" s="28">
        <v>2500</v>
      </c>
      <c r="F14" s="25">
        <v>12466.66</v>
      </c>
      <c r="G14" s="25">
        <v>5.35</v>
      </c>
      <c r="H14" s="25">
        <v>3.37</v>
      </c>
    </row>
    <row r="15" spans="2:10" x14ac:dyDescent="0.2">
      <c r="B15" s="23" t="s">
        <v>770</v>
      </c>
      <c r="C15" s="23" t="s">
        <v>613</v>
      </c>
      <c r="D15" s="23" t="s">
        <v>565</v>
      </c>
      <c r="E15" s="28">
        <v>2000</v>
      </c>
      <c r="F15" s="25">
        <v>9990.8799999999992</v>
      </c>
      <c r="G15" s="25">
        <v>4.29</v>
      </c>
      <c r="H15" s="25">
        <v>3.33</v>
      </c>
    </row>
    <row r="16" spans="2:10" x14ac:dyDescent="0.2">
      <c r="B16" s="23" t="s">
        <v>771</v>
      </c>
      <c r="C16" s="23" t="s">
        <v>614</v>
      </c>
      <c r="D16" s="23" t="s">
        <v>561</v>
      </c>
      <c r="E16" s="28">
        <v>1000</v>
      </c>
      <c r="F16" s="25">
        <v>4997.24</v>
      </c>
      <c r="G16" s="25">
        <v>2.14</v>
      </c>
      <c r="H16" s="25">
        <v>3.36</v>
      </c>
    </row>
    <row r="17" spans="2:10" x14ac:dyDescent="0.2">
      <c r="B17" s="23" t="s">
        <v>772</v>
      </c>
      <c r="C17" s="23" t="s">
        <v>615</v>
      </c>
      <c r="D17" s="23" t="s">
        <v>565</v>
      </c>
      <c r="E17" s="28">
        <v>1000</v>
      </c>
      <c r="F17" s="25">
        <v>4993.96</v>
      </c>
      <c r="G17" s="25">
        <v>2.14</v>
      </c>
      <c r="H17" s="25">
        <v>3.4</v>
      </c>
    </row>
    <row r="18" spans="2:10" x14ac:dyDescent="0.2">
      <c r="B18" s="23" t="s">
        <v>773</v>
      </c>
      <c r="C18" s="23" t="s">
        <v>616</v>
      </c>
      <c r="D18" s="23" t="s">
        <v>558</v>
      </c>
      <c r="E18" s="28">
        <v>1000</v>
      </c>
      <c r="F18" s="25">
        <v>4990.6499999999996</v>
      </c>
      <c r="G18" s="25">
        <v>2.14</v>
      </c>
      <c r="H18" s="25">
        <v>3.42</v>
      </c>
    </row>
    <row r="19" spans="2:10" x14ac:dyDescent="0.2">
      <c r="B19" s="23" t="s">
        <v>774</v>
      </c>
      <c r="C19" s="23" t="s">
        <v>617</v>
      </c>
      <c r="D19" s="23" t="s">
        <v>558</v>
      </c>
      <c r="E19" s="28">
        <v>1000</v>
      </c>
      <c r="F19" s="25">
        <v>4976.62</v>
      </c>
      <c r="G19" s="25">
        <v>2.14</v>
      </c>
      <c r="H19" s="25">
        <v>3.5</v>
      </c>
    </row>
    <row r="20" spans="2:10" x14ac:dyDescent="0.2">
      <c r="B20" s="23" t="s">
        <v>775</v>
      </c>
      <c r="C20" s="23" t="s">
        <v>618</v>
      </c>
      <c r="D20" s="23" t="s">
        <v>561</v>
      </c>
      <c r="E20" s="28">
        <v>500</v>
      </c>
      <c r="F20" s="25">
        <v>2493.8200000000002</v>
      </c>
      <c r="G20" s="25">
        <v>1.07</v>
      </c>
      <c r="H20" s="25">
        <v>3.35</v>
      </c>
    </row>
    <row r="21" spans="2:10" x14ac:dyDescent="0.2">
      <c r="B21" s="23" t="s">
        <v>776</v>
      </c>
      <c r="C21" s="23" t="s">
        <v>619</v>
      </c>
      <c r="D21" s="23" t="s">
        <v>558</v>
      </c>
      <c r="E21" s="28">
        <v>500</v>
      </c>
      <c r="F21" s="25">
        <v>2486.02</v>
      </c>
      <c r="G21" s="25">
        <v>1.07</v>
      </c>
      <c r="H21" s="25">
        <v>3.48</v>
      </c>
    </row>
    <row r="22" spans="2:10" x14ac:dyDescent="0.2">
      <c r="B22" s="47" t="s">
        <v>119</v>
      </c>
      <c r="C22" s="47"/>
      <c r="D22" s="47"/>
      <c r="E22" s="59"/>
      <c r="F22" s="57">
        <f>SUM(F11:F21)</f>
        <v>77386.34</v>
      </c>
      <c r="G22" s="57">
        <f>SUM(G11:G21)</f>
        <v>33.21</v>
      </c>
      <c r="H22" s="60"/>
      <c r="I22" s="14"/>
      <c r="J22" s="14"/>
    </row>
    <row r="23" spans="2:10" x14ac:dyDescent="0.2">
      <c r="B23" s="47" t="s">
        <v>468</v>
      </c>
      <c r="C23" s="23"/>
      <c r="D23" s="23"/>
      <c r="E23" s="24"/>
      <c r="F23" s="25"/>
      <c r="G23" s="25"/>
      <c r="H23" s="25"/>
    </row>
    <row r="24" spans="2:10" x14ac:dyDescent="0.2">
      <c r="B24" s="23" t="s">
        <v>620</v>
      </c>
      <c r="C24" s="23" t="s">
        <v>621</v>
      </c>
      <c r="D24" s="23" t="s">
        <v>471</v>
      </c>
      <c r="E24" s="28">
        <v>20000000</v>
      </c>
      <c r="F24" s="25">
        <v>19932.919999999998</v>
      </c>
      <c r="G24" s="25">
        <v>8.5500000000000007</v>
      </c>
      <c r="H24" s="25">
        <v>3.32</v>
      </c>
    </row>
    <row r="25" spans="2:10" x14ac:dyDescent="0.2">
      <c r="B25" s="23" t="s">
        <v>571</v>
      </c>
      <c r="C25" s="23" t="s">
        <v>572</v>
      </c>
      <c r="D25" s="23" t="s">
        <v>471</v>
      </c>
      <c r="E25" s="28">
        <v>20000000</v>
      </c>
      <c r="F25" s="25">
        <v>19920.28</v>
      </c>
      <c r="G25" s="25">
        <v>8.5500000000000007</v>
      </c>
      <c r="H25" s="25">
        <v>3.32</v>
      </c>
    </row>
    <row r="26" spans="2:10" x14ac:dyDescent="0.2">
      <c r="B26" s="23" t="s">
        <v>622</v>
      </c>
      <c r="C26" s="23" t="s">
        <v>623</v>
      </c>
      <c r="D26" s="23" t="s">
        <v>471</v>
      </c>
      <c r="E26" s="28">
        <v>15000000</v>
      </c>
      <c r="F26" s="25">
        <v>14997.29</v>
      </c>
      <c r="G26" s="25">
        <v>6.43</v>
      </c>
      <c r="H26" s="25">
        <v>3.3</v>
      </c>
    </row>
    <row r="27" spans="2:10" x14ac:dyDescent="0.2">
      <c r="B27" s="23" t="s">
        <v>624</v>
      </c>
      <c r="C27" s="23" t="s">
        <v>625</v>
      </c>
      <c r="D27" s="23" t="s">
        <v>471</v>
      </c>
      <c r="E27" s="28">
        <v>13500000</v>
      </c>
      <c r="F27" s="25">
        <v>13480.51</v>
      </c>
      <c r="G27" s="25">
        <v>5.78</v>
      </c>
      <c r="H27" s="25">
        <v>3.3</v>
      </c>
    </row>
    <row r="28" spans="2:10" x14ac:dyDescent="0.2">
      <c r="B28" s="23" t="s">
        <v>469</v>
      </c>
      <c r="C28" s="23" t="s">
        <v>470</v>
      </c>
      <c r="D28" s="23" t="s">
        <v>471</v>
      </c>
      <c r="E28" s="28">
        <v>11000000</v>
      </c>
      <c r="F28" s="25">
        <v>10963.11</v>
      </c>
      <c r="G28" s="25">
        <v>4.7</v>
      </c>
      <c r="H28" s="25">
        <v>3.32</v>
      </c>
    </row>
    <row r="29" spans="2:10" x14ac:dyDescent="0.2">
      <c r="B29" s="23" t="s">
        <v>626</v>
      </c>
      <c r="C29" s="23" t="s">
        <v>627</v>
      </c>
      <c r="D29" s="23" t="s">
        <v>471</v>
      </c>
      <c r="E29" s="28">
        <v>10000000</v>
      </c>
      <c r="F29" s="25">
        <v>9998.19</v>
      </c>
      <c r="G29" s="25">
        <v>4.29</v>
      </c>
      <c r="H29" s="25">
        <v>3.3</v>
      </c>
    </row>
    <row r="30" spans="2:10" x14ac:dyDescent="0.2">
      <c r="B30" s="23" t="s">
        <v>573</v>
      </c>
      <c r="C30" s="23" t="s">
        <v>574</v>
      </c>
      <c r="D30" s="23" t="s">
        <v>471</v>
      </c>
      <c r="E30" s="28">
        <v>10000000</v>
      </c>
      <c r="F30" s="25">
        <v>9985.56</v>
      </c>
      <c r="G30" s="25">
        <v>4.28</v>
      </c>
      <c r="H30" s="25">
        <v>3.3</v>
      </c>
    </row>
    <row r="31" spans="2:10" x14ac:dyDescent="0.2">
      <c r="B31" s="23" t="s">
        <v>628</v>
      </c>
      <c r="C31" s="23" t="s">
        <v>629</v>
      </c>
      <c r="D31" s="23" t="s">
        <v>471</v>
      </c>
      <c r="E31" s="28">
        <v>7500000</v>
      </c>
      <c r="F31" s="25">
        <v>7493.23</v>
      </c>
      <c r="G31" s="25">
        <v>3.21</v>
      </c>
      <c r="H31" s="25">
        <v>3.3</v>
      </c>
    </row>
    <row r="32" spans="2:10" x14ac:dyDescent="0.2">
      <c r="B32" s="23" t="s">
        <v>630</v>
      </c>
      <c r="C32" s="23" t="s">
        <v>631</v>
      </c>
      <c r="D32" s="23" t="s">
        <v>471</v>
      </c>
      <c r="E32" s="28">
        <v>5500000</v>
      </c>
      <c r="F32" s="25">
        <v>5481.55</v>
      </c>
      <c r="G32" s="25">
        <v>2.35</v>
      </c>
      <c r="H32" s="25">
        <v>3.32</v>
      </c>
    </row>
    <row r="33" spans="2:10" x14ac:dyDescent="0.2">
      <c r="B33" s="23" t="s">
        <v>632</v>
      </c>
      <c r="C33" s="23" t="s">
        <v>633</v>
      </c>
      <c r="D33" s="23" t="s">
        <v>471</v>
      </c>
      <c r="E33" s="28">
        <v>3500000</v>
      </c>
      <c r="F33" s="25">
        <v>3483.69</v>
      </c>
      <c r="G33" s="25">
        <v>1.49</v>
      </c>
      <c r="H33" s="25">
        <v>3.35</v>
      </c>
    </row>
    <row r="34" spans="2:10" x14ac:dyDescent="0.2">
      <c r="B34" s="30" t="s">
        <v>119</v>
      </c>
      <c r="C34" s="30"/>
      <c r="D34" s="30"/>
      <c r="E34" s="31"/>
      <c r="F34" s="32">
        <f>SUM(F23:F33)</f>
        <v>115736.33</v>
      </c>
      <c r="G34" s="32">
        <f>SUM(G23:G33)</f>
        <v>49.63000000000001</v>
      </c>
      <c r="H34" s="48"/>
      <c r="I34" s="14"/>
      <c r="J34" s="14"/>
    </row>
    <row r="35" spans="2:10" x14ac:dyDescent="0.2">
      <c r="B35" s="49" t="s">
        <v>120</v>
      </c>
      <c r="C35" s="49"/>
      <c r="D35" s="49"/>
      <c r="E35" s="50"/>
      <c r="F35" s="51">
        <f>F10+F22+F34</f>
        <v>213082.88</v>
      </c>
      <c r="G35" s="51">
        <f>G10+G22+G34</f>
        <v>91.4</v>
      </c>
      <c r="H35" s="51"/>
      <c r="I35" s="14"/>
      <c r="J35" s="14"/>
    </row>
    <row r="36" spans="2:10" x14ac:dyDescent="0.2">
      <c r="B36" s="47" t="s">
        <v>121</v>
      </c>
      <c r="C36" s="23"/>
      <c r="D36" s="23"/>
      <c r="E36" s="24"/>
      <c r="F36" s="25"/>
      <c r="G36" s="25"/>
      <c r="H36" s="25"/>
    </row>
    <row r="37" spans="2:10" x14ac:dyDescent="0.2">
      <c r="B37" s="23" t="s">
        <v>121</v>
      </c>
      <c r="C37" s="23"/>
      <c r="D37" s="23"/>
      <c r="E37" s="24"/>
      <c r="F37" s="25">
        <v>39472.35</v>
      </c>
      <c r="G37" s="25">
        <v>16.93</v>
      </c>
      <c r="H37" s="25"/>
    </row>
    <row r="38" spans="2:10" x14ac:dyDescent="0.2">
      <c r="B38" s="30" t="s">
        <v>119</v>
      </c>
      <c r="C38" s="30"/>
      <c r="D38" s="30"/>
      <c r="E38" s="31"/>
      <c r="F38" s="32">
        <f>SUM(F36:F37)</f>
        <v>39472.35</v>
      </c>
      <c r="G38" s="32">
        <f>SUM(G36:G37)</f>
        <v>16.93</v>
      </c>
      <c r="H38" s="48"/>
      <c r="I38" s="14"/>
      <c r="J38" s="14"/>
    </row>
    <row r="39" spans="2:10" x14ac:dyDescent="0.2">
      <c r="B39" s="34" t="s">
        <v>120</v>
      </c>
      <c r="C39" s="34"/>
      <c r="D39" s="34"/>
      <c r="E39" s="35"/>
      <c r="F39" s="36">
        <f>F38</f>
        <v>39472.35</v>
      </c>
      <c r="G39" s="36">
        <f>G38</f>
        <v>16.93</v>
      </c>
      <c r="H39" s="36"/>
      <c r="I39" s="14"/>
      <c r="J39" s="14"/>
    </row>
    <row r="40" spans="2:10" x14ac:dyDescent="0.2">
      <c r="B40" s="44" t="s">
        <v>123</v>
      </c>
      <c r="C40" s="44"/>
      <c r="D40" s="44"/>
      <c r="E40" s="45"/>
      <c r="F40" s="16">
        <f>F41-(+F35+F39)</f>
        <v>-19475.120000000024</v>
      </c>
      <c r="G40" s="16">
        <f>G41-(+G35+G39)</f>
        <v>-8.3300000000000125</v>
      </c>
      <c r="H40" s="16"/>
      <c r="I40" s="14"/>
      <c r="J40" s="14"/>
    </row>
    <row r="41" spans="2:10" x14ac:dyDescent="0.2">
      <c r="B41" s="44" t="s">
        <v>122</v>
      </c>
      <c r="C41" s="44"/>
      <c r="D41" s="44"/>
      <c r="E41" s="45"/>
      <c r="F41" s="16">
        <v>233080.11</v>
      </c>
      <c r="G41" s="16">
        <v>100</v>
      </c>
      <c r="H41" s="16"/>
      <c r="I41" s="14"/>
      <c r="J41" s="14"/>
    </row>
    <row r="43" spans="2:10" x14ac:dyDescent="0.2">
      <c r="B43" s="14" t="s">
        <v>766</v>
      </c>
    </row>
    <row r="44" spans="2:10" x14ac:dyDescent="0.2">
      <c r="B44" s="14" t="s">
        <v>587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3"/>
  <sheetViews>
    <sheetView workbookViewId="0">
      <selection activeCell="H51" sqref="H51"/>
    </sheetView>
  </sheetViews>
  <sheetFormatPr defaultRowHeight="12" x14ac:dyDescent="0.2"/>
  <cols>
    <col min="1" max="1" width="9.140625" style="1"/>
    <col min="2" max="2" width="57.140625" style="1" bestFit="1" customWidth="1"/>
    <col min="3" max="3" width="13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8" t="s">
        <v>24</v>
      </c>
      <c r="C1" s="79"/>
      <c r="D1" s="79"/>
      <c r="E1" s="79"/>
      <c r="F1" s="79"/>
      <c r="G1" s="79"/>
      <c r="H1" s="79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227</v>
      </c>
      <c r="C5" s="18"/>
      <c r="D5" s="18"/>
      <c r="E5" s="19"/>
      <c r="F5" s="20"/>
      <c r="G5" s="20"/>
      <c r="H5" s="20"/>
    </row>
    <row r="6" spans="2:8" x14ac:dyDescent="0.2">
      <c r="B6" s="47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516</v>
      </c>
      <c r="C7" s="23" t="s">
        <v>517</v>
      </c>
      <c r="D7" s="23" t="s">
        <v>365</v>
      </c>
      <c r="E7" s="28">
        <v>450</v>
      </c>
      <c r="F7" s="25">
        <v>4560.53</v>
      </c>
      <c r="G7" s="25">
        <v>7.29</v>
      </c>
      <c r="H7" s="25">
        <v>3.91</v>
      </c>
    </row>
    <row r="8" spans="2:8" x14ac:dyDescent="0.2">
      <c r="B8" s="23" t="s">
        <v>399</v>
      </c>
      <c r="C8" s="23" t="s">
        <v>400</v>
      </c>
      <c r="D8" s="23" t="s">
        <v>365</v>
      </c>
      <c r="E8" s="28">
        <v>300</v>
      </c>
      <c r="F8" s="25">
        <v>3022.83</v>
      </c>
      <c r="G8" s="25">
        <v>4.83</v>
      </c>
      <c r="H8" s="25">
        <v>3.65</v>
      </c>
    </row>
    <row r="9" spans="2:8" x14ac:dyDescent="0.2">
      <c r="B9" s="23" t="s">
        <v>378</v>
      </c>
      <c r="C9" s="23" t="s">
        <v>379</v>
      </c>
      <c r="D9" s="23" t="s">
        <v>365</v>
      </c>
      <c r="E9" s="28">
        <v>250</v>
      </c>
      <c r="F9" s="25">
        <v>2527.61</v>
      </c>
      <c r="G9" s="25">
        <v>4.04</v>
      </c>
      <c r="H9" s="25">
        <v>3.97</v>
      </c>
    </row>
    <row r="10" spans="2:8" x14ac:dyDescent="0.2">
      <c r="B10" s="23" t="s">
        <v>634</v>
      </c>
      <c r="C10" s="23" t="s">
        <v>635</v>
      </c>
      <c r="D10" s="23" t="s">
        <v>365</v>
      </c>
      <c r="E10" s="28">
        <v>150</v>
      </c>
      <c r="F10" s="25">
        <v>1509.12</v>
      </c>
      <c r="G10" s="25">
        <v>2.41</v>
      </c>
      <c r="H10" s="25">
        <v>3.65</v>
      </c>
    </row>
    <row r="11" spans="2:8" x14ac:dyDescent="0.2">
      <c r="B11" s="23" t="s">
        <v>636</v>
      </c>
      <c r="C11" s="23" t="s">
        <v>637</v>
      </c>
      <c r="D11" s="23" t="s">
        <v>365</v>
      </c>
      <c r="E11" s="28">
        <v>100</v>
      </c>
      <c r="F11" s="25">
        <v>1018.74</v>
      </c>
      <c r="G11" s="25">
        <v>1.63</v>
      </c>
      <c r="H11" s="25">
        <v>3.66</v>
      </c>
    </row>
    <row r="12" spans="2:8" x14ac:dyDescent="0.2">
      <c r="B12" s="23" t="s">
        <v>638</v>
      </c>
      <c r="C12" s="23" t="s">
        <v>639</v>
      </c>
      <c r="D12" s="23" t="s">
        <v>365</v>
      </c>
      <c r="E12" s="28">
        <v>100</v>
      </c>
      <c r="F12" s="25">
        <v>1015.54</v>
      </c>
      <c r="G12" s="25">
        <v>1.62</v>
      </c>
      <c r="H12" s="25">
        <v>3.97</v>
      </c>
    </row>
    <row r="13" spans="2:8" x14ac:dyDescent="0.2">
      <c r="B13" s="23" t="s">
        <v>640</v>
      </c>
      <c r="C13" s="23" t="s">
        <v>641</v>
      </c>
      <c r="D13" s="23" t="s">
        <v>365</v>
      </c>
      <c r="E13" s="28">
        <v>50</v>
      </c>
      <c r="F13" s="25">
        <v>514.46</v>
      </c>
      <c r="G13" s="25">
        <v>0.82</v>
      </c>
      <c r="H13" s="25">
        <v>4.5199999999999996</v>
      </c>
    </row>
    <row r="14" spans="2:8" x14ac:dyDescent="0.2">
      <c r="B14" s="23" t="s">
        <v>528</v>
      </c>
      <c r="C14" s="23" t="s">
        <v>529</v>
      </c>
      <c r="D14" s="23" t="s">
        <v>365</v>
      </c>
      <c r="E14" s="28">
        <v>50</v>
      </c>
      <c r="F14" s="25">
        <v>506.87</v>
      </c>
      <c r="G14" s="25">
        <v>0.81</v>
      </c>
      <c r="H14" s="25">
        <v>3.98</v>
      </c>
    </row>
    <row r="15" spans="2:8" x14ac:dyDescent="0.2">
      <c r="B15" s="23" t="s">
        <v>366</v>
      </c>
      <c r="C15" s="23" t="s">
        <v>367</v>
      </c>
      <c r="D15" s="23" t="s">
        <v>365</v>
      </c>
      <c r="E15" s="28">
        <v>50</v>
      </c>
      <c r="F15" s="25">
        <v>505.91</v>
      </c>
      <c r="G15" s="25">
        <v>0.81</v>
      </c>
      <c r="H15" s="25">
        <v>3.64</v>
      </c>
    </row>
    <row r="16" spans="2:8" x14ac:dyDescent="0.2">
      <c r="B16" s="23" t="s">
        <v>642</v>
      </c>
      <c r="C16" s="23" t="s">
        <v>643</v>
      </c>
      <c r="D16" s="23" t="s">
        <v>365</v>
      </c>
      <c r="E16" s="28">
        <v>50</v>
      </c>
      <c r="F16" s="25">
        <v>503</v>
      </c>
      <c r="G16" s="25">
        <v>0.8</v>
      </c>
      <c r="H16" s="25">
        <v>3.64</v>
      </c>
    </row>
    <row r="17" spans="2:10" x14ac:dyDescent="0.2">
      <c r="B17" s="23" t="s">
        <v>522</v>
      </c>
      <c r="C17" s="23" t="s">
        <v>523</v>
      </c>
      <c r="D17" s="23" t="s">
        <v>365</v>
      </c>
      <c r="E17" s="28">
        <v>50</v>
      </c>
      <c r="F17" s="25">
        <v>502.28</v>
      </c>
      <c r="G17" s="25">
        <v>0.8</v>
      </c>
      <c r="H17" s="25">
        <v>3.65</v>
      </c>
    </row>
    <row r="18" spans="2:10" x14ac:dyDescent="0.2">
      <c r="B18" s="23" t="s">
        <v>644</v>
      </c>
      <c r="C18" s="23" t="s">
        <v>645</v>
      </c>
      <c r="D18" s="23" t="s">
        <v>396</v>
      </c>
      <c r="E18" s="28">
        <v>20</v>
      </c>
      <c r="F18" s="25">
        <v>204.04</v>
      </c>
      <c r="G18" s="25">
        <v>0.33</v>
      </c>
      <c r="H18" s="25">
        <v>3.05</v>
      </c>
    </row>
    <row r="19" spans="2:10" x14ac:dyDescent="0.2">
      <c r="B19" s="30" t="s">
        <v>119</v>
      </c>
      <c r="C19" s="30"/>
      <c r="D19" s="30"/>
      <c r="E19" s="31"/>
      <c r="F19" s="32">
        <f>SUM(F6:F18)</f>
        <v>16390.93</v>
      </c>
      <c r="G19" s="32">
        <f>SUM(G6:G18)</f>
        <v>26.189999999999998</v>
      </c>
      <c r="H19" s="48"/>
      <c r="I19" s="14"/>
      <c r="J19" s="14"/>
    </row>
    <row r="20" spans="2:10" x14ac:dyDescent="0.2">
      <c r="B20" s="49" t="s">
        <v>120</v>
      </c>
      <c r="C20" s="49"/>
      <c r="D20" s="49"/>
      <c r="E20" s="50"/>
      <c r="F20" s="51">
        <f>F19</f>
        <v>16390.93</v>
      </c>
      <c r="G20" s="51">
        <f>G19</f>
        <v>26.189999999999998</v>
      </c>
      <c r="H20" s="51"/>
      <c r="I20" s="14"/>
      <c r="J20" s="14"/>
    </row>
    <row r="21" spans="2:10" x14ac:dyDescent="0.2">
      <c r="B21" s="47" t="s">
        <v>467</v>
      </c>
      <c r="C21" s="23"/>
      <c r="D21" s="23"/>
      <c r="E21" s="24"/>
      <c r="F21" s="25"/>
      <c r="G21" s="25"/>
      <c r="H21" s="25"/>
    </row>
    <row r="22" spans="2:10" x14ac:dyDescent="0.2">
      <c r="B22" s="47" t="s">
        <v>550</v>
      </c>
      <c r="C22" s="23"/>
      <c r="D22" s="23"/>
      <c r="E22" s="24"/>
      <c r="F22" s="25"/>
      <c r="G22" s="25"/>
      <c r="H22" s="25"/>
    </row>
    <row r="23" spans="2:10" x14ac:dyDescent="0.2">
      <c r="B23" s="23" t="s">
        <v>551</v>
      </c>
      <c r="C23" s="23" t="s">
        <v>552</v>
      </c>
      <c r="D23" s="23" t="s">
        <v>553</v>
      </c>
      <c r="E23" s="28">
        <v>2500</v>
      </c>
      <c r="F23" s="25">
        <v>2500</v>
      </c>
      <c r="G23" s="25">
        <v>4</v>
      </c>
      <c r="H23" s="25">
        <v>3.54</v>
      </c>
    </row>
    <row r="24" spans="2:10" x14ac:dyDescent="0.2">
      <c r="B24" s="23" t="s">
        <v>646</v>
      </c>
      <c r="C24" s="23" t="s">
        <v>647</v>
      </c>
      <c r="D24" s="23" t="s">
        <v>553</v>
      </c>
      <c r="E24" s="28">
        <v>2500</v>
      </c>
      <c r="F24" s="25">
        <v>2486.9699999999998</v>
      </c>
      <c r="G24" s="25">
        <v>3.98</v>
      </c>
      <c r="H24" s="25">
        <v>3.41</v>
      </c>
    </row>
    <row r="25" spans="2:10" x14ac:dyDescent="0.2">
      <c r="B25" s="23" t="s">
        <v>648</v>
      </c>
      <c r="C25" s="23" t="s">
        <v>649</v>
      </c>
      <c r="D25" s="23" t="s">
        <v>558</v>
      </c>
      <c r="E25" s="28">
        <v>2500</v>
      </c>
      <c r="F25" s="25">
        <v>2474.4899999999998</v>
      </c>
      <c r="G25" s="25">
        <v>3.96</v>
      </c>
      <c r="H25" s="25">
        <v>3.48</v>
      </c>
    </row>
    <row r="26" spans="2:10" x14ac:dyDescent="0.2">
      <c r="B26" s="23" t="s">
        <v>556</v>
      </c>
      <c r="C26" s="23" t="s">
        <v>557</v>
      </c>
      <c r="D26" s="23" t="s">
        <v>558</v>
      </c>
      <c r="E26" s="28">
        <v>2500</v>
      </c>
      <c r="F26" s="25">
        <v>2464.7600000000002</v>
      </c>
      <c r="G26" s="25">
        <v>3.94</v>
      </c>
      <c r="H26" s="25">
        <v>3.65</v>
      </c>
    </row>
    <row r="27" spans="2:10" x14ac:dyDescent="0.2">
      <c r="B27" s="23" t="s">
        <v>559</v>
      </c>
      <c r="C27" s="23" t="s">
        <v>560</v>
      </c>
      <c r="D27" s="23" t="s">
        <v>561</v>
      </c>
      <c r="E27" s="28">
        <v>2500</v>
      </c>
      <c r="F27" s="25">
        <v>2426.5500000000002</v>
      </c>
      <c r="G27" s="25">
        <v>3.88</v>
      </c>
      <c r="H27" s="25">
        <v>3.81</v>
      </c>
    </row>
    <row r="28" spans="2:10" x14ac:dyDescent="0.2">
      <c r="B28" s="47" t="s">
        <v>119</v>
      </c>
      <c r="C28" s="47"/>
      <c r="D28" s="47"/>
      <c r="E28" s="59"/>
      <c r="F28" s="57">
        <f>SUM(F22:F27)</f>
        <v>12352.77</v>
      </c>
      <c r="G28" s="57">
        <f>SUM(G22:G27)</f>
        <v>19.760000000000002</v>
      </c>
      <c r="H28" s="60"/>
      <c r="I28" s="14"/>
      <c r="J28" s="14"/>
    </row>
    <row r="29" spans="2:10" x14ac:dyDescent="0.2">
      <c r="B29" s="47" t="s">
        <v>562</v>
      </c>
      <c r="C29" s="23"/>
      <c r="D29" s="23"/>
      <c r="E29" s="24"/>
      <c r="F29" s="25"/>
      <c r="G29" s="25"/>
      <c r="H29" s="25"/>
    </row>
    <row r="30" spans="2:10" x14ac:dyDescent="0.2">
      <c r="B30" s="23" t="s">
        <v>777</v>
      </c>
      <c r="C30" s="23" t="s">
        <v>650</v>
      </c>
      <c r="D30" s="23" t="s">
        <v>561</v>
      </c>
      <c r="E30" s="28">
        <v>500</v>
      </c>
      <c r="F30" s="25">
        <v>2497.91</v>
      </c>
      <c r="G30" s="25">
        <v>3.99</v>
      </c>
      <c r="H30" s="25">
        <v>3.4</v>
      </c>
    </row>
    <row r="31" spans="2:10" x14ac:dyDescent="0.2">
      <c r="B31" s="23" t="s">
        <v>772</v>
      </c>
      <c r="C31" s="23" t="s">
        <v>615</v>
      </c>
      <c r="D31" s="23" t="s">
        <v>565</v>
      </c>
      <c r="E31" s="28">
        <v>500</v>
      </c>
      <c r="F31" s="25">
        <v>2496.98</v>
      </c>
      <c r="G31" s="25">
        <v>3.99</v>
      </c>
      <c r="H31" s="25">
        <v>3.4</v>
      </c>
    </row>
    <row r="32" spans="2:10" x14ac:dyDescent="0.2">
      <c r="B32" s="23" t="s">
        <v>778</v>
      </c>
      <c r="C32" s="23" t="s">
        <v>651</v>
      </c>
      <c r="D32" s="23" t="s">
        <v>558</v>
      </c>
      <c r="E32" s="28">
        <v>500</v>
      </c>
      <c r="F32" s="25">
        <v>2483.7600000000002</v>
      </c>
      <c r="G32" s="25">
        <v>3.97</v>
      </c>
      <c r="H32" s="25">
        <v>3.46</v>
      </c>
    </row>
    <row r="33" spans="2:10" x14ac:dyDescent="0.2">
      <c r="B33" s="47" t="s">
        <v>119</v>
      </c>
      <c r="C33" s="47"/>
      <c r="D33" s="47"/>
      <c r="E33" s="59"/>
      <c r="F33" s="57">
        <f>SUM(F29:F32)</f>
        <v>7478.65</v>
      </c>
      <c r="G33" s="57">
        <f>SUM(G29:G32)</f>
        <v>11.950000000000001</v>
      </c>
      <c r="H33" s="60"/>
      <c r="I33" s="14"/>
      <c r="J33" s="14"/>
    </row>
    <row r="34" spans="2:10" x14ac:dyDescent="0.2">
      <c r="B34" s="47" t="s">
        <v>468</v>
      </c>
      <c r="C34" s="23"/>
      <c r="D34" s="23"/>
      <c r="E34" s="24"/>
      <c r="F34" s="25"/>
      <c r="G34" s="25"/>
      <c r="H34" s="25"/>
    </row>
    <row r="35" spans="2:10" x14ac:dyDescent="0.2">
      <c r="B35" s="23" t="s">
        <v>632</v>
      </c>
      <c r="C35" s="23" t="s">
        <v>633</v>
      </c>
      <c r="D35" s="23" t="s">
        <v>471</v>
      </c>
      <c r="E35" s="28">
        <v>8000000</v>
      </c>
      <c r="F35" s="25">
        <v>7962.73</v>
      </c>
      <c r="G35" s="25">
        <v>12.73</v>
      </c>
      <c r="H35" s="25">
        <v>3.35</v>
      </c>
    </row>
    <row r="36" spans="2:10" x14ac:dyDescent="0.2">
      <c r="B36" s="23" t="s">
        <v>652</v>
      </c>
      <c r="C36" s="23" t="s">
        <v>653</v>
      </c>
      <c r="D36" s="23" t="s">
        <v>471</v>
      </c>
      <c r="E36" s="28">
        <v>5000000</v>
      </c>
      <c r="F36" s="25">
        <v>4963.8</v>
      </c>
      <c r="G36" s="25">
        <v>7.94</v>
      </c>
      <c r="H36" s="25">
        <v>3.37</v>
      </c>
    </row>
    <row r="37" spans="2:10" x14ac:dyDescent="0.2">
      <c r="B37" s="23" t="s">
        <v>654</v>
      </c>
      <c r="C37" s="23" t="s">
        <v>655</v>
      </c>
      <c r="D37" s="23" t="s">
        <v>471</v>
      </c>
      <c r="E37" s="28">
        <v>5000000</v>
      </c>
      <c r="F37" s="25">
        <v>4936.1000000000004</v>
      </c>
      <c r="G37" s="25">
        <v>7.89</v>
      </c>
      <c r="H37" s="25">
        <v>3.5</v>
      </c>
    </row>
    <row r="38" spans="2:10" x14ac:dyDescent="0.2">
      <c r="B38" s="23" t="s">
        <v>496</v>
      </c>
      <c r="C38" s="23" t="s">
        <v>497</v>
      </c>
      <c r="D38" s="23" t="s">
        <v>471</v>
      </c>
      <c r="E38" s="28">
        <v>2500000</v>
      </c>
      <c r="F38" s="25">
        <v>2485.0700000000002</v>
      </c>
      <c r="G38" s="25">
        <v>3.97</v>
      </c>
      <c r="H38" s="25">
        <v>3.37</v>
      </c>
    </row>
    <row r="39" spans="2:10" x14ac:dyDescent="0.2">
      <c r="B39" s="23" t="s">
        <v>656</v>
      </c>
      <c r="C39" s="23" t="s">
        <v>657</v>
      </c>
      <c r="D39" s="23" t="s">
        <v>471</v>
      </c>
      <c r="E39" s="28">
        <v>500000</v>
      </c>
      <c r="F39" s="25">
        <v>496.04</v>
      </c>
      <c r="G39" s="25">
        <v>0.79</v>
      </c>
      <c r="H39" s="25">
        <v>3.39</v>
      </c>
    </row>
    <row r="40" spans="2:10" x14ac:dyDescent="0.2">
      <c r="B40" s="30" t="s">
        <v>119</v>
      </c>
      <c r="C40" s="30"/>
      <c r="D40" s="30"/>
      <c r="E40" s="31"/>
      <c r="F40" s="32">
        <f>SUM(F34:F39)</f>
        <v>20843.739999999998</v>
      </c>
      <c r="G40" s="32">
        <f>SUM(G34:G39)</f>
        <v>33.32</v>
      </c>
      <c r="H40" s="48"/>
      <c r="I40" s="14"/>
      <c r="J40" s="14"/>
    </row>
    <row r="41" spans="2:10" x14ac:dyDescent="0.2">
      <c r="B41" s="49" t="s">
        <v>120</v>
      </c>
      <c r="C41" s="49"/>
      <c r="D41" s="49"/>
      <c r="E41" s="50"/>
      <c r="F41" s="51">
        <f>F28+F33+F40</f>
        <v>40675.159999999996</v>
      </c>
      <c r="G41" s="51">
        <f>G28+G33+G40</f>
        <v>65.03</v>
      </c>
      <c r="H41" s="51"/>
      <c r="I41" s="14"/>
      <c r="J41" s="14"/>
    </row>
    <row r="42" spans="2:10" x14ac:dyDescent="0.2">
      <c r="B42" s="47" t="s">
        <v>423</v>
      </c>
      <c r="C42" s="23"/>
      <c r="D42" s="23"/>
      <c r="E42" s="24"/>
      <c r="F42" s="25"/>
      <c r="G42" s="25"/>
      <c r="H42" s="25"/>
    </row>
    <row r="43" spans="2:10" x14ac:dyDescent="0.2">
      <c r="B43" s="52" t="s">
        <v>433</v>
      </c>
      <c r="C43" s="52" t="s">
        <v>434</v>
      </c>
      <c r="D43" s="52" t="s">
        <v>426</v>
      </c>
      <c r="E43" s="53">
        <v>2500000</v>
      </c>
      <c r="F43" s="54">
        <v>2554.56</v>
      </c>
      <c r="G43" s="54">
        <v>4.09</v>
      </c>
      <c r="H43" s="54">
        <v>3.7</v>
      </c>
    </row>
    <row r="44" spans="2:10" x14ac:dyDescent="0.2">
      <c r="B44" s="55" t="s">
        <v>120</v>
      </c>
      <c r="C44" s="55"/>
      <c r="D44" s="55"/>
      <c r="E44" s="56"/>
      <c r="F44" s="57">
        <f>SUM(F43:F43)</f>
        <v>2554.56</v>
      </c>
      <c r="G44" s="57">
        <f>SUM(G43:G43)</f>
        <v>4.09</v>
      </c>
      <c r="H44" s="57"/>
      <c r="I44" s="14"/>
      <c r="J44" s="14"/>
    </row>
    <row r="45" spans="2:10" x14ac:dyDescent="0.2">
      <c r="B45" s="47" t="s">
        <v>121</v>
      </c>
      <c r="C45" s="23"/>
      <c r="D45" s="23"/>
      <c r="E45" s="24"/>
      <c r="F45" s="25"/>
      <c r="G45" s="25"/>
      <c r="H45" s="25"/>
    </row>
    <row r="46" spans="2:10" x14ac:dyDescent="0.2">
      <c r="B46" s="23" t="s">
        <v>121</v>
      </c>
      <c r="C46" s="23"/>
      <c r="D46" s="23"/>
      <c r="E46" s="24"/>
      <c r="F46" s="25">
        <v>2606.2600000000002</v>
      </c>
      <c r="G46" s="25">
        <v>4.17</v>
      </c>
      <c r="H46" s="25"/>
    </row>
    <row r="47" spans="2:10" x14ac:dyDescent="0.2">
      <c r="B47" s="30" t="s">
        <v>119</v>
      </c>
      <c r="C47" s="30"/>
      <c r="D47" s="30"/>
      <c r="E47" s="31"/>
      <c r="F47" s="32">
        <f>SUM(F45:F46)</f>
        <v>2606.2600000000002</v>
      </c>
      <c r="G47" s="32">
        <f>SUM(G45:G46)</f>
        <v>4.17</v>
      </c>
      <c r="H47" s="48"/>
      <c r="I47" s="14"/>
      <c r="J47" s="14"/>
    </row>
    <row r="48" spans="2:10" x14ac:dyDescent="0.2">
      <c r="B48" s="34" t="s">
        <v>120</v>
      </c>
      <c r="C48" s="34"/>
      <c r="D48" s="34"/>
      <c r="E48" s="35"/>
      <c r="F48" s="36">
        <f>F47</f>
        <v>2606.2600000000002</v>
      </c>
      <c r="G48" s="36">
        <f>G47</f>
        <v>4.17</v>
      </c>
      <c r="H48" s="36"/>
      <c r="I48" s="14"/>
      <c r="J48" s="14"/>
    </row>
    <row r="49" spans="2:10" x14ac:dyDescent="0.2">
      <c r="B49" s="44" t="s">
        <v>123</v>
      </c>
      <c r="C49" s="44"/>
      <c r="D49" s="44"/>
      <c r="E49" s="45"/>
      <c r="F49" s="16">
        <f>F50-(+F20+F41+F44+F48)</f>
        <v>301.12000000000262</v>
      </c>
      <c r="G49" s="16">
        <f>G50-(+G20+G41+G44+G48)</f>
        <v>0.51999999999999602</v>
      </c>
      <c r="H49" s="16"/>
      <c r="I49" s="14"/>
      <c r="J49" s="14"/>
    </row>
    <row r="50" spans="2:10" x14ac:dyDescent="0.2">
      <c r="B50" s="44" t="s">
        <v>122</v>
      </c>
      <c r="C50" s="44"/>
      <c r="D50" s="44"/>
      <c r="E50" s="45"/>
      <c r="F50" s="16">
        <v>62528.03</v>
      </c>
      <c r="G50" s="16">
        <v>100</v>
      </c>
      <c r="H50" s="16"/>
      <c r="I50" s="14"/>
      <c r="J50" s="14"/>
    </row>
    <row r="52" spans="2:10" x14ac:dyDescent="0.2">
      <c r="B52" s="14" t="s">
        <v>766</v>
      </c>
    </row>
    <row r="53" spans="2:10" x14ac:dyDescent="0.2">
      <c r="B53" s="14" t="s">
        <v>587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2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53.85546875" style="1" bestFit="1" customWidth="1"/>
    <col min="3" max="3" width="4.14062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9" ht="21" customHeight="1" x14ac:dyDescent="0.2">
      <c r="B1" s="78" t="s">
        <v>25</v>
      </c>
      <c r="C1" s="79"/>
      <c r="D1" s="79"/>
      <c r="E1" s="79"/>
      <c r="F1" s="79"/>
      <c r="G1" s="79"/>
    </row>
    <row r="3" spans="2:9" ht="16.5" thickBot="1" x14ac:dyDescent="0.25">
      <c r="B3" s="2" t="s">
        <v>7</v>
      </c>
      <c r="C3" s="3"/>
      <c r="D3" s="4"/>
      <c r="E3" s="5"/>
      <c r="F3" s="6"/>
      <c r="G3" s="6"/>
    </row>
    <row r="4" spans="2:9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9" x14ac:dyDescent="0.2">
      <c r="B5" s="17" t="s">
        <v>121</v>
      </c>
      <c r="C5" s="18"/>
      <c r="D5" s="18"/>
      <c r="E5" s="19"/>
      <c r="F5" s="20"/>
      <c r="G5" s="20"/>
    </row>
    <row r="6" spans="2:9" x14ac:dyDescent="0.2">
      <c r="B6" s="27" t="s">
        <v>121</v>
      </c>
      <c r="C6" s="23"/>
      <c r="D6" s="23"/>
      <c r="E6" s="24"/>
      <c r="F6" s="25">
        <v>12057.5</v>
      </c>
      <c r="G6" s="25">
        <v>99.33</v>
      </c>
    </row>
    <row r="7" spans="2:9" x14ac:dyDescent="0.2">
      <c r="B7" s="29" t="s">
        <v>119</v>
      </c>
      <c r="C7" s="30"/>
      <c r="D7" s="30"/>
      <c r="E7" s="31"/>
      <c r="F7" s="32">
        <f>SUM(F5:F6)</f>
        <v>12057.5</v>
      </c>
      <c r="G7" s="32">
        <f>SUM(G5:G6)</f>
        <v>99.33</v>
      </c>
      <c r="H7" s="14"/>
      <c r="I7" s="14"/>
    </row>
    <row r="8" spans="2:9" x14ac:dyDescent="0.2">
      <c r="B8" s="34" t="s">
        <v>120</v>
      </c>
      <c r="C8" s="34"/>
      <c r="D8" s="34"/>
      <c r="E8" s="35"/>
      <c r="F8" s="36">
        <f>F7</f>
        <v>12057.5</v>
      </c>
      <c r="G8" s="36">
        <f>G7</f>
        <v>99.33</v>
      </c>
      <c r="H8" s="14"/>
      <c r="I8" s="14"/>
    </row>
    <row r="9" spans="2:9" x14ac:dyDescent="0.2">
      <c r="B9" s="44" t="s">
        <v>123</v>
      </c>
      <c r="C9" s="44"/>
      <c r="D9" s="44"/>
      <c r="E9" s="45"/>
      <c r="F9" s="16">
        <f>F10-(+F8)</f>
        <v>80.700000000000728</v>
      </c>
      <c r="G9" s="16">
        <f>G10-(+G8)</f>
        <v>0.67000000000000171</v>
      </c>
      <c r="H9" s="14"/>
      <c r="I9" s="14"/>
    </row>
    <row r="10" spans="2:9" x14ac:dyDescent="0.2">
      <c r="B10" s="44" t="s">
        <v>122</v>
      </c>
      <c r="C10" s="44"/>
      <c r="D10" s="44"/>
      <c r="E10" s="45"/>
      <c r="F10" s="16">
        <v>12138.2</v>
      </c>
      <c r="G10" s="16">
        <v>100</v>
      </c>
      <c r="H10" s="14"/>
      <c r="I10" s="14"/>
    </row>
    <row r="12" spans="2:9" x14ac:dyDescent="0.2">
      <c r="B12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9"/>
  <sheetViews>
    <sheetView workbookViewId="0">
      <selection activeCell="A44" sqref="A44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8" t="s">
        <v>26</v>
      </c>
      <c r="C1" s="79"/>
      <c r="D1" s="79"/>
      <c r="E1" s="79"/>
      <c r="F1" s="79"/>
      <c r="G1" s="79"/>
      <c r="H1" s="79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227</v>
      </c>
      <c r="C5" s="18"/>
      <c r="D5" s="18"/>
      <c r="E5" s="19"/>
      <c r="F5" s="20"/>
      <c r="G5" s="20"/>
      <c r="H5" s="20"/>
    </row>
    <row r="6" spans="2:8" x14ac:dyDescent="0.2">
      <c r="B6" s="47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658</v>
      </c>
      <c r="C7" s="23" t="s">
        <v>659</v>
      </c>
      <c r="D7" s="23" t="s">
        <v>365</v>
      </c>
      <c r="E7" s="28">
        <v>650</v>
      </c>
      <c r="F7" s="25">
        <v>6562.88</v>
      </c>
      <c r="G7" s="25">
        <v>6.13</v>
      </c>
      <c r="H7" s="25">
        <v>4.38</v>
      </c>
    </row>
    <row r="8" spans="2:8" x14ac:dyDescent="0.2">
      <c r="B8" s="23" t="s">
        <v>407</v>
      </c>
      <c r="C8" s="23" t="s">
        <v>408</v>
      </c>
      <c r="D8" s="23" t="s">
        <v>365</v>
      </c>
      <c r="E8" s="28">
        <v>450</v>
      </c>
      <c r="F8" s="25">
        <v>4663.33</v>
      </c>
      <c r="G8" s="25">
        <v>4.3600000000000003</v>
      </c>
      <c r="H8" s="25">
        <v>4.5599999999999996</v>
      </c>
    </row>
    <row r="9" spans="2:8" x14ac:dyDescent="0.2">
      <c r="B9" s="23" t="s">
        <v>372</v>
      </c>
      <c r="C9" s="23" t="s">
        <v>373</v>
      </c>
      <c r="D9" s="23" t="s">
        <v>365</v>
      </c>
      <c r="E9" s="28">
        <v>350</v>
      </c>
      <c r="F9" s="25">
        <v>3628.52</v>
      </c>
      <c r="G9" s="25">
        <v>3.39</v>
      </c>
      <c r="H9" s="25">
        <v>4.45</v>
      </c>
    </row>
    <row r="10" spans="2:8" x14ac:dyDescent="0.2">
      <c r="B10" s="23" t="s">
        <v>660</v>
      </c>
      <c r="C10" s="23" t="s">
        <v>661</v>
      </c>
      <c r="D10" s="23" t="s">
        <v>362</v>
      </c>
      <c r="E10" s="28">
        <v>350</v>
      </c>
      <c r="F10" s="25">
        <v>3624.22</v>
      </c>
      <c r="G10" s="25">
        <v>3.38</v>
      </c>
      <c r="H10" s="25">
        <v>4.57</v>
      </c>
    </row>
    <row r="11" spans="2:8" x14ac:dyDescent="0.2">
      <c r="B11" s="23" t="s">
        <v>370</v>
      </c>
      <c r="C11" s="23" t="s">
        <v>371</v>
      </c>
      <c r="D11" s="23" t="s">
        <v>365</v>
      </c>
      <c r="E11" s="28">
        <v>350</v>
      </c>
      <c r="F11" s="25">
        <v>3608.62</v>
      </c>
      <c r="G11" s="25">
        <v>3.37</v>
      </c>
      <c r="H11" s="25">
        <v>4.37</v>
      </c>
    </row>
    <row r="12" spans="2:8" x14ac:dyDescent="0.2">
      <c r="B12" s="23" t="s">
        <v>662</v>
      </c>
      <c r="C12" s="23" t="s">
        <v>663</v>
      </c>
      <c r="D12" s="23" t="s">
        <v>365</v>
      </c>
      <c r="E12" s="28">
        <v>300</v>
      </c>
      <c r="F12" s="25">
        <v>3109.01</v>
      </c>
      <c r="G12" s="25">
        <v>2.9</v>
      </c>
      <c r="H12" s="25">
        <v>4.79</v>
      </c>
    </row>
    <row r="13" spans="2:8" x14ac:dyDescent="0.2">
      <c r="B13" s="23" t="s">
        <v>664</v>
      </c>
      <c r="C13" s="23" t="s">
        <v>665</v>
      </c>
      <c r="D13" s="23" t="s">
        <v>365</v>
      </c>
      <c r="E13" s="28">
        <v>250</v>
      </c>
      <c r="F13" s="25">
        <v>2600.6</v>
      </c>
      <c r="G13" s="25">
        <v>2.4300000000000002</v>
      </c>
      <c r="H13" s="25">
        <v>4.88</v>
      </c>
    </row>
    <row r="14" spans="2:8" x14ac:dyDescent="0.2">
      <c r="B14" s="23" t="s">
        <v>666</v>
      </c>
      <c r="C14" s="23" t="s">
        <v>667</v>
      </c>
      <c r="D14" s="23" t="s">
        <v>365</v>
      </c>
      <c r="E14" s="28">
        <v>250</v>
      </c>
      <c r="F14" s="25">
        <v>2598.1</v>
      </c>
      <c r="G14" s="25">
        <v>2.4300000000000002</v>
      </c>
      <c r="H14" s="25">
        <v>4.84</v>
      </c>
    </row>
    <row r="15" spans="2:8" x14ac:dyDescent="0.2">
      <c r="B15" s="23" t="s">
        <v>544</v>
      </c>
      <c r="C15" s="23" t="s">
        <v>545</v>
      </c>
      <c r="D15" s="23" t="s">
        <v>365</v>
      </c>
      <c r="E15" s="28">
        <v>250</v>
      </c>
      <c r="F15" s="25">
        <v>2578.77</v>
      </c>
      <c r="G15" s="25">
        <v>2.41</v>
      </c>
      <c r="H15" s="25">
        <v>4.41</v>
      </c>
    </row>
    <row r="16" spans="2:8" x14ac:dyDescent="0.2">
      <c r="B16" s="23" t="s">
        <v>668</v>
      </c>
      <c r="C16" s="23" t="s">
        <v>669</v>
      </c>
      <c r="D16" s="23" t="s">
        <v>365</v>
      </c>
      <c r="E16" s="28">
        <v>250</v>
      </c>
      <c r="F16" s="25">
        <v>2576.4299999999998</v>
      </c>
      <c r="G16" s="25">
        <v>2.41</v>
      </c>
      <c r="H16" s="25">
        <v>4.45</v>
      </c>
    </row>
    <row r="17" spans="2:8" x14ac:dyDescent="0.2">
      <c r="B17" s="23" t="s">
        <v>670</v>
      </c>
      <c r="C17" s="23" t="s">
        <v>671</v>
      </c>
      <c r="D17" s="23" t="s">
        <v>365</v>
      </c>
      <c r="E17" s="28">
        <v>250</v>
      </c>
      <c r="F17" s="25">
        <v>2559.6999999999998</v>
      </c>
      <c r="G17" s="25">
        <v>2.39</v>
      </c>
      <c r="H17" s="25">
        <v>5.85</v>
      </c>
    </row>
    <row r="18" spans="2:8" x14ac:dyDescent="0.2">
      <c r="B18" s="23" t="s">
        <v>672</v>
      </c>
      <c r="C18" s="23" t="s">
        <v>673</v>
      </c>
      <c r="D18" s="23" t="s">
        <v>365</v>
      </c>
      <c r="E18" s="28">
        <v>250</v>
      </c>
      <c r="F18" s="25">
        <v>2537.94</v>
      </c>
      <c r="G18" s="25">
        <v>2.37</v>
      </c>
      <c r="H18" s="25">
        <v>4.5999999999999996</v>
      </c>
    </row>
    <row r="19" spans="2:8" x14ac:dyDescent="0.2">
      <c r="B19" s="23" t="s">
        <v>674</v>
      </c>
      <c r="C19" s="23" t="s">
        <v>675</v>
      </c>
      <c r="D19" s="23" t="s">
        <v>365</v>
      </c>
      <c r="E19" s="28">
        <v>200</v>
      </c>
      <c r="F19" s="25">
        <v>2103.37</v>
      </c>
      <c r="G19" s="25">
        <v>1.96</v>
      </c>
      <c r="H19" s="25">
        <v>5.64</v>
      </c>
    </row>
    <row r="20" spans="2:8" x14ac:dyDescent="0.2">
      <c r="B20" s="23" t="s">
        <v>676</v>
      </c>
      <c r="C20" s="23" t="s">
        <v>677</v>
      </c>
      <c r="D20" s="23" t="s">
        <v>396</v>
      </c>
      <c r="E20" s="28">
        <v>200</v>
      </c>
      <c r="F20" s="25">
        <v>2065.56</v>
      </c>
      <c r="G20" s="25">
        <v>1.93</v>
      </c>
      <c r="H20" s="25">
        <v>4.16</v>
      </c>
    </row>
    <row r="21" spans="2:8" x14ac:dyDescent="0.2">
      <c r="B21" s="23" t="s">
        <v>532</v>
      </c>
      <c r="C21" s="23" t="s">
        <v>533</v>
      </c>
      <c r="D21" s="23" t="s">
        <v>396</v>
      </c>
      <c r="E21" s="28">
        <v>200</v>
      </c>
      <c r="F21" s="25">
        <v>1993.6</v>
      </c>
      <c r="G21" s="25">
        <v>1.86</v>
      </c>
      <c r="H21" s="25">
        <v>4.71</v>
      </c>
    </row>
    <row r="22" spans="2:8" x14ac:dyDescent="0.2">
      <c r="B22" s="23" t="s">
        <v>405</v>
      </c>
      <c r="C22" s="23" t="s">
        <v>406</v>
      </c>
      <c r="D22" s="23" t="s">
        <v>365</v>
      </c>
      <c r="E22" s="28">
        <v>150</v>
      </c>
      <c r="F22" s="25">
        <v>1601.01</v>
      </c>
      <c r="G22" s="25">
        <v>1.5</v>
      </c>
      <c r="H22" s="25">
        <v>5.54</v>
      </c>
    </row>
    <row r="23" spans="2:8" x14ac:dyDescent="0.2">
      <c r="B23" s="23" t="s">
        <v>590</v>
      </c>
      <c r="C23" s="23" t="s">
        <v>591</v>
      </c>
      <c r="D23" s="23" t="s">
        <v>365</v>
      </c>
      <c r="E23" s="28">
        <v>150</v>
      </c>
      <c r="F23" s="25">
        <v>1582.55</v>
      </c>
      <c r="G23" s="25">
        <v>1.48</v>
      </c>
      <c r="H23" s="25">
        <v>5.5</v>
      </c>
    </row>
    <row r="24" spans="2:8" x14ac:dyDescent="0.2">
      <c r="B24" s="23" t="s">
        <v>678</v>
      </c>
      <c r="C24" s="23" t="s">
        <v>679</v>
      </c>
      <c r="D24" s="23" t="s">
        <v>365</v>
      </c>
      <c r="E24" s="28">
        <v>150</v>
      </c>
      <c r="F24" s="25">
        <v>1555.35</v>
      </c>
      <c r="G24" s="25">
        <v>1.45</v>
      </c>
      <c r="H24" s="25">
        <v>4.3899999999999997</v>
      </c>
    </row>
    <row r="25" spans="2:8" x14ac:dyDescent="0.2">
      <c r="B25" s="23" t="s">
        <v>680</v>
      </c>
      <c r="C25" s="23" t="s">
        <v>681</v>
      </c>
      <c r="D25" s="23" t="s">
        <v>362</v>
      </c>
      <c r="E25" s="28">
        <v>150</v>
      </c>
      <c r="F25" s="25">
        <v>1547.37</v>
      </c>
      <c r="G25" s="25">
        <v>1.45</v>
      </c>
      <c r="H25" s="25">
        <v>4.28</v>
      </c>
    </row>
    <row r="26" spans="2:8" x14ac:dyDescent="0.2">
      <c r="B26" s="23" t="s">
        <v>682</v>
      </c>
      <c r="C26" s="23" t="s">
        <v>683</v>
      </c>
      <c r="D26" s="23" t="s">
        <v>365</v>
      </c>
      <c r="E26" s="28">
        <v>150</v>
      </c>
      <c r="F26" s="25">
        <v>1546.92</v>
      </c>
      <c r="G26" s="25">
        <v>1.44</v>
      </c>
      <c r="H26" s="25">
        <v>4.16</v>
      </c>
    </row>
    <row r="27" spans="2:8" x14ac:dyDescent="0.2">
      <c r="B27" s="23" t="s">
        <v>380</v>
      </c>
      <c r="C27" s="23" t="s">
        <v>381</v>
      </c>
      <c r="D27" s="23" t="s">
        <v>365</v>
      </c>
      <c r="E27" s="28">
        <v>150</v>
      </c>
      <c r="F27" s="25">
        <v>1514.4</v>
      </c>
      <c r="G27" s="25">
        <v>1.41</v>
      </c>
      <c r="H27" s="25">
        <v>3.68</v>
      </c>
    </row>
    <row r="28" spans="2:8" x14ac:dyDescent="0.2">
      <c r="B28" s="23" t="s">
        <v>684</v>
      </c>
      <c r="C28" s="23" t="s">
        <v>685</v>
      </c>
      <c r="D28" s="23" t="s">
        <v>365</v>
      </c>
      <c r="E28" s="28">
        <v>150</v>
      </c>
      <c r="F28" s="25">
        <v>1512.8</v>
      </c>
      <c r="G28" s="25">
        <v>1.41</v>
      </c>
      <c r="H28" s="25">
        <v>4.97</v>
      </c>
    </row>
    <row r="29" spans="2:8" x14ac:dyDescent="0.2">
      <c r="B29" s="23" t="s">
        <v>686</v>
      </c>
      <c r="C29" s="23" t="s">
        <v>687</v>
      </c>
      <c r="D29" s="23" t="s">
        <v>365</v>
      </c>
      <c r="E29" s="28">
        <v>100</v>
      </c>
      <c r="F29" s="25">
        <v>1059.1099999999999</v>
      </c>
      <c r="G29" s="25">
        <v>0.99</v>
      </c>
      <c r="H29" s="25">
        <v>5.17</v>
      </c>
    </row>
    <row r="30" spans="2:8" x14ac:dyDescent="0.2">
      <c r="B30" s="23" t="s">
        <v>688</v>
      </c>
      <c r="C30" s="23" t="s">
        <v>689</v>
      </c>
      <c r="D30" s="23" t="s">
        <v>365</v>
      </c>
      <c r="E30" s="28">
        <v>100</v>
      </c>
      <c r="F30" s="25">
        <v>1047.22</v>
      </c>
      <c r="G30" s="25">
        <v>0.98</v>
      </c>
      <c r="H30" s="25">
        <v>6.25</v>
      </c>
    </row>
    <row r="31" spans="2:8" x14ac:dyDescent="0.2">
      <c r="B31" s="23" t="s">
        <v>540</v>
      </c>
      <c r="C31" s="23" t="s">
        <v>541</v>
      </c>
      <c r="D31" s="23" t="s">
        <v>365</v>
      </c>
      <c r="E31" s="28">
        <v>100</v>
      </c>
      <c r="F31" s="25">
        <v>1039.68</v>
      </c>
      <c r="G31" s="25">
        <v>0.97</v>
      </c>
      <c r="H31" s="25">
        <v>4.5599999999999996</v>
      </c>
    </row>
    <row r="32" spans="2:8" x14ac:dyDescent="0.2">
      <c r="B32" s="23" t="s">
        <v>536</v>
      </c>
      <c r="C32" s="23" t="s">
        <v>537</v>
      </c>
      <c r="D32" s="23" t="s">
        <v>365</v>
      </c>
      <c r="E32" s="28">
        <v>100</v>
      </c>
      <c r="F32" s="25">
        <v>1036.1400000000001</v>
      </c>
      <c r="G32" s="25">
        <v>0.97</v>
      </c>
      <c r="H32" s="25">
        <v>4.16</v>
      </c>
    </row>
    <row r="33" spans="2:10" x14ac:dyDescent="0.2">
      <c r="B33" s="23" t="s">
        <v>690</v>
      </c>
      <c r="C33" s="23" t="s">
        <v>691</v>
      </c>
      <c r="D33" s="23" t="s">
        <v>365</v>
      </c>
      <c r="E33" s="28">
        <v>100</v>
      </c>
      <c r="F33" s="25">
        <v>1034.32</v>
      </c>
      <c r="G33" s="25">
        <v>0.97</v>
      </c>
      <c r="H33" s="25">
        <v>4.1900000000000004</v>
      </c>
    </row>
    <row r="34" spans="2:10" x14ac:dyDescent="0.2">
      <c r="B34" s="23" t="s">
        <v>530</v>
      </c>
      <c r="C34" s="23" t="s">
        <v>531</v>
      </c>
      <c r="D34" s="23" t="s">
        <v>362</v>
      </c>
      <c r="E34" s="28">
        <v>100</v>
      </c>
      <c r="F34" s="25">
        <v>1030.49</v>
      </c>
      <c r="G34" s="25">
        <v>0.96</v>
      </c>
      <c r="H34" s="25">
        <v>4.28</v>
      </c>
    </row>
    <row r="35" spans="2:10" x14ac:dyDescent="0.2">
      <c r="B35" s="23" t="s">
        <v>692</v>
      </c>
      <c r="C35" s="23" t="s">
        <v>693</v>
      </c>
      <c r="D35" s="23" t="s">
        <v>365</v>
      </c>
      <c r="E35" s="28">
        <v>100</v>
      </c>
      <c r="F35" s="25">
        <v>1014.48</v>
      </c>
      <c r="G35" s="25">
        <v>0.95</v>
      </c>
      <c r="H35" s="25">
        <v>3.77</v>
      </c>
    </row>
    <row r="36" spans="2:10" x14ac:dyDescent="0.2">
      <c r="B36" s="23" t="s">
        <v>694</v>
      </c>
      <c r="C36" s="23" t="s">
        <v>695</v>
      </c>
      <c r="D36" s="23" t="s">
        <v>365</v>
      </c>
      <c r="E36" s="28">
        <v>70</v>
      </c>
      <c r="F36" s="25">
        <v>709.46</v>
      </c>
      <c r="G36" s="25">
        <v>0.66</v>
      </c>
      <c r="H36" s="25">
        <v>3.49</v>
      </c>
    </row>
    <row r="37" spans="2:10" x14ac:dyDescent="0.2">
      <c r="B37" s="23" t="s">
        <v>696</v>
      </c>
      <c r="C37" s="23" t="s">
        <v>697</v>
      </c>
      <c r="D37" s="23" t="s">
        <v>365</v>
      </c>
      <c r="E37" s="28">
        <v>50</v>
      </c>
      <c r="F37" s="25">
        <v>555.15</v>
      </c>
      <c r="G37" s="25">
        <v>0.52</v>
      </c>
      <c r="H37" s="25">
        <v>5.79</v>
      </c>
    </row>
    <row r="38" spans="2:10" x14ac:dyDescent="0.2">
      <c r="B38" s="23" t="s">
        <v>698</v>
      </c>
      <c r="C38" s="23" t="s">
        <v>699</v>
      </c>
      <c r="D38" s="23" t="s">
        <v>365</v>
      </c>
      <c r="E38" s="28">
        <v>50</v>
      </c>
      <c r="F38" s="25">
        <v>552.33000000000004</v>
      </c>
      <c r="G38" s="25">
        <v>0.52</v>
      </c>
      <c r="H38" s="25">
        <v>6.25</v>
      </c>
    </row>
    <row r="39" spans="2:10" x14ac:dyDescent="0.2">
      <c r="B39" s="23" t="s">
        <v>382</v>
      </c>
      <c r="C39" s="23" t="s">
        <v>383</v>
      </c>
      <c r="D39" s="23" t="s">
        <v>365</v>
      </c>
      <c r="E39" s="28">
        <v>50</v>
      </c>
      <c r="F39" s="25">
        <v>535.86</v>
      </c>
      <c r="G39" s="25">
        <v>0.5</v>
      </c>
      <c r="H39" s="25">
        <v>5.42</v>
      </c>
    </row>
    <row r="40" spans="2:10" x14ac:dyDescent="0.2">
      <c r="B40" s="23" t="s">
        <v>700</v>
      </c>
      <c r="C40" s="23" t="s">
        <v>701</v>
      </c>
      <c r="D40" s="23" t="s">
        <v>365</v>
      </c>
      <c r="E40" s="28">
        <v>50</v>
      </c>
      <c r="F40" s="25">
        <v>530.35</v>
      </c>
      <c r="G40" s="25">
        <v>0.5</v>
      </c>
      <c r="H40" s="25">
        <v>4.6100000000000003</v>
      </c>
    </row>
    <row r="41" spans="2:10" x14ac:dyDescent="0.2">
      <c r="B41" s="23" t="s">
        <v>702</v>
      </c>
      <c r="C41" s="23" t="s">
        <v>703</v>
      </c>
      <c r="D41" s="23" t="s">
        <v>365</v>
      </c>
      <c r="E41" s="28">
        <v>50</v>
      </c>
      <c r="F41" s="25">
        <v>520.25</v>
      </c>
      <c r="G41" s="25">
        <v>0.49</v>
      </c>
      <c r="H41" s="25">
        <v>4.47</v>
      </c>
    </row>
    <row r="42" spans="2:10" x14ac:dyDescent="0.2">
      <c r="B42" s="23" t="s">
        <v>704</v>
      </c>
      <c r="C42" s="23" t="s">
        <v>705</v>
      </c>
      <c r="D42" s="23" t="s">
        <v>365</v>
      </c>
      <c r="E42" s="28">
        <v>50</v>
      </c>
      <c r="F42" s="25">
        <v>506.72</v>
      </c>
      <c r="G42" s="25">
        <v>0.47</v>
      </c>
      <c r="H42" s="25">
        <v>3.77</v>
      </c>
    </row>
    <row r="43" spans="2:10" x14ac:dyDescent="0.2">
      <c r="B43" s="23" t="s">
        <v>534</v>
      </c>
      <c r="C43" s="23" t="s">
        <v>535</v>
      </c>
      <c r="D43" s="23" t="s">
        <v>365</v>
      </c>
      <c r="E43" s="28">
        <v>100</v>
      </c>
      <c r="F43" s="25">
        <v>321.45</v>
      </c>
      <c r="G43" s="25">
        <v>0.3</v>
      </c>
      <c r="H43" s="25">
        <v>5.13</v>
      </c>
    </row>
    <row r="44" spans="2:10" x14ac:dyDescent="0.2">
      <c r="B44" s="23" t="s">
        <v>634</v>
      </c>
      <c r="C44" s="23" t="s">
        <v>635</v>
      </c>
      <c r="D44" s="23" t="s">
        <v>365</v>
      </c>
      <c r="E44" s="28">
        <v>20</v>
      </c>
      <c r="F44" s="25">
        <v>201.22</v>
      </c>
      <c r="G44" s="25">
        <v>0.19</v>
      </c>
      <c r="H44" s="25">
        <v>3.65</v>
      </c>
    </row>
    <row r="45" spans="2:10" x14ac:dyDescent="0.2">
      <c r="B45" s="23" t="s">
        <v>706</v>
      </c>
      <c r="C45" s="23" t="s">
        <v>707</v>
      </c>
      <c r="D45" s="23" t="s">
        <v>365</v>
      </c>
      <c r="E45" s="28">
        <v>10</v>
      </c>
      <c r="F45" s="25">
        <v>103.36</v>
      </c>
      <c r="G45" s="25">
        <v>0.1</v>
      </c>
      <c r="H45" s="25">
        <v>4.1500000000000004</v>
      </c>
    </row>
    <row r="46" spans="2:10" x14ac:dyDescent="0.2">
      <c r="B46" s="30" t="s">
        <v>119</v>
      </c>
      <c r="C46" s="30"/>
      <c r="D46" s="30"/>
      <c r="E46" s="31"/>
      <c r="F46" s="32">
        <f>SUM(F6:F45)</f>
        <v>69468.640000000014</v>
      </c>
      <c r="G46" s="32">
        <f>SUM(G6:G45)</f>
        <v>64.899999999999991</v>
      </c>
      <c r="H46" s="48"/>
      <c r="I46" s="14"/>
      <c r="J46" s="14"/>
    </row>
    <row r="47" spans="2:10" x14ac:dyDescent="0.2">
      <c r="B47" s="49" t="s">
        <v>120</v>
      </c>
      <c r="C47" s="49"/>
      <c r="D47" s="49"/>
      <c r="E47" s="50"/>
      <c r="F47" s="51">
        <f>F46</f>
        <v>69468.640000000014</v>
      </c>
      <c r="G47" s="51">
        <f>G46</f>
        <v>64.899999999999991</v>
      </c>
      <c r="H47" s="51"/>
      <c r="I47" s="14"/>
      <c r="J47" s="14"/>
    </row>
    <row r="48" spans="2:10" x14ac:dyDescent="0.2">
      <c r="B48" s="47" t="s">
        <v>467</v>
      </c>
      <c r="C48" s="23"/>
      <c r="D48" s="23"/>
      <c r="E48" s="24"/>
      <c r="F48" s="25"/>
      <c r="G48" s="25"/>
      <c r="H48" s="25"/>
    </row>
    <row r="49" spans="2:10" x14ac:dyDescent="0.2">
      <c r="B49" s="47" t="s">
        <v>468</v>
      </c>
      <c r="C49" s="23"/>
      <c r="D49" s="23"/>
      <c r="E49" s="24"/>
      <c r="F49" s="25"/>
      <c r="G49" s="25"/>
      <c r="H49" s="25"/>
    </row>
    <row r="50" spans="2:10" x14ac:dyDescent="0.2">
      <c r="B50" s="23" t="s">
        <v>575</v>
      </c>
      <c r="C50" s="23" t="s">
        <v>576</v>
      </c>
      <c r="D50" s="23" t="s">
        <v>471</v>
      </c>
      <c r="E50" s="28">
        <v>5000000</v>
      </c>
      <c r="F50" s="25">
        <v>4973.53</v>
      </c>
      <c r="G50" s="25">
        <v>4.6399999999999997</v>
      </c>
      <c r="H50" s="25">
        <v>3.35</v>
      </c>
    </row>
    <row r="51" spans="2:10" x14ac:dyDescent="0.2">
      <c r="B51" s="23" t="s">
        <v>708</v>
      </c>
      <c r="C51" s="23" t="s">
        <v>709</v>
      </c>
      <c r="D51" s="23" t="s">
        <v>471</v>
      </c>
      <c r="E51" s="28">
        <v>5000000</v>
      </c>
      <c r="F51" s="25">
        <v>4950.3</v>
      </c>
      <c r="G51" s="25">
        <v>4.62</v>
      </c>
      <c r="H51" s="25">
        <v>3.42</v>
      </c>
    </row>
    <row r="52" spans="2:10" x14ac:dyDescent="0.2">
      <c r="B52" s="23" t="s">
        <v>710</v>
      </c>
      <c r="C52" s="23" t="s">
        <v>711</v>
      </c>
      <c r="D52" s="23" t="s">
        <v>471</v>
      </c>
      <c r="E52" s="28">
        <v>2500000</v>
      </c>
      <c r="F52" s="25">
        <v>2486.7600000000002</v>
      </c>
      <c r="G52" s="25">
        <v>2.3199999999999998</v>
      </c>
      <c r="H52" s="25">
        <v>3.35</v>
      </c>
    </row>
    <row r="53" spans="2:10" x14ac:dyDescent="0.2">
      <c r="B53" s="23" t="s">
        <v>654</v>
      </c>
      <c r="C53" s="23" t="s">
        <v>655</v>
      </c>
      <c r="D53" s="23" t="s">
        <v>471</v>
      </c>
      <c r="E53" s="28">
        <v>2500000</v>
      </c>
      <c r="F53" s="25">
        <v>2468.0500000000002</v>
      </c>
      <c r="G53" s="25">
        <v>2.2999999999999998</v>
      </c>
      <c r="H53" s="25">
        <v>3.5</v>
      </c>
    </row>
    <row r="54" spans="2:10" x14ac:dyDescent="0.2">
      <c r="B54" s="23" t="s">
        <v>712</v>
      </c>
      <c r="C54" s="23" t="s">
        <v>713</v>
      </c>
      <c r="D54" s="23" t="s">
        <v>471</v>
      </c>
      <c r="E54" s="28">
        <v>1000000</v>
      </c>
      <c r="F54" s="25">
        <v>994.03</v>
      </c>
      <c r="G54" s="25">
        <v>0.93</v>
      </c>
      <c r="H54" s="25">
        <v>3.37</v>
      </c>
    </row>
    <row r="55" spans="2:10" x14ac:dyDescent="0.2">
      <c r="B55" s="30" t="s">
        <v>119</v>
      </c>
      <c r="C55" s="30"/>
      <c r="D55" s="30"/>
      <c r="E55" s="31"/>
      <c r="F55" s="32">
        <f>SUM(F49:F54)</f>
        <v>15872.67</v>
      </c>
      <c r="G55" s="32">
        <f>SUM(G49:G54)</f>
        <v>14.809999999999999</v>
      </c>
      <c r="H55" s="48"/>
      <c r="I55" s="14"/>
      <c r="J55" s="14"/>
    </row>
    <row r="56" spans="2:10" x14ac:dyDescent="0.2">
      <c r="B56" s="49" t="s">
        <v>120</v>
      </c>
      <c r="C56" s="49"/>
      <c r="D56" s="49"/>
      <c r="E56" s="50"/>
      <c r="F56" s="51">
        <f>+F55</f>
        <v>15872.67</v>
      </c>
      <c r="G56" s="51">
        <f>+G55</f>
        <v>14.809999999999999</v>
      </c>
      <c r="H56" s="51"/>
      <c r="I56" s="14"/>
      <c r="J56" s="14"/>
    </row>
    <row r="57" spans="2:10" x14ac:dyDescent="0.2">
      <c r="B57" s="47" t="s">
        <v>423</v>
      </c>
      <c r="C57" s="23"/>
      <c r="D57" s="23"/>
      <c r="E57" s="24"/>
      <c r="F57" s="25"/>
      <c r="G57" s="25"/>
      <c r="H57" s="25"/>
    </row>
    <row r="58" spans="2:10" x14ac:dyDescent="0.2">
      <c r="B58" s="23" t="s">
        <v>478</v>
      </c>
      <c r="C58" s="23" t="s">
        <v>479</v>
      </c>
      <c r="D58" s="23" t="s">
        <v>426</v>
      </c>
      <c r="E58" s="28">
        <v>3000000</v>
      </c>
      <c r="F58" s="25">
        <v>2965.13</v>
      </c>
      <c r="G58" s="25">
        <v>2.77</v>
      </c>
      <c r="H58" s="25">
        <v>5.45</v>
      </c>
    </row>
    <row r="59" spans="2:10" x14ac:dyDescent="0.2">
      <c r="B59" s="23" t="s">
        <v>424</v>
      </c>
      <c r="C59" s="23" t="s">
        <v>425</v>
      </c>
      <c r="D59" s="23" t="s">
        <v>426</v>
      </c>
      <c r="E59" s="28">
        <v>2750000</v>
      </c>
      <c r="F59" s="25">
        <v>2750.55</v>
      </c>
      <c r="G59" s="25">
        <v>2.57</v>
      </c>
      <c r="H59" s="25">
        <v>4.47</v>
      </c>
    </row>
    <row r="60" spans="2:10" x14ac:dyDescent="0.2">
      <c r="B60" s="23" t="s">
        <v>449</v>
      </c>
      <c r="C60" s="23" t="s">
        <v>450</v>
      </c>
      <c r="D60" s="23" t="s">
        <v>426</v>
      </c>
      <c r="E60" s="28">
        <v>2250000</v>
      </c>
      <c r="F60" s="25">
        <v>2340.9</v>
      </c>
      <c r="G60" s="25">
        <v>2.19</v>
      </c>
      <c r="H60" s="25">
        <v>4.12</v>
      </c>
    </row>
    <row r="61" spans="2:10" x14ac:dyDescent="0.2">
      <c r="B61" s="23" t="s">
        <v>714</v>
      </c>
      <c r="C61" s="23" t="s">
        <v>715</v>
      </c>
      <c r="D61" s="23" t="s">
        <v>426</v>
      </c>
      <c r="E61" s="28">
        <v>2000000</v>
      </c>
      <c r="F61" s="25">
        <v>2133.4</v>
      </c>
      <c r="G61" s="25">
        <v>1.99</v>
      </c>
      <c r="H61" s="25">
        <v>4.97</v>
      </c>
    </row>
    <row r="62" spans="2:10" x14ac:dyDescent="0.2">
      <c r="B62" s="23" t="s">
        <v>716</v>
      </c>
      <c r="C62" s="23" t="s">
        <v>717</v>
      </c>
      <c r="D62" s="23" t="s">
        <v>426</v>
      </c>
      <c r="E62" s="28">
        <v>2000000</v>
      </c>
      <c r="F62" s="25">
        <v>2058.37</v>
      </c>
      <c r="G62" s="25">
        <v>1.92</v>
      </c>
      <c r="H62" s="25">
        <v>3.88</v>
      </c>
    </row>
    <row r="63" spans="2:10" x14ac:dyDescent="0.2">
      <c r="B63" s="23" t="s">
        <v>718</v>
      </c>
      <c r="C63" s="23" t="s">
        <v>719</v>
      </c>
      <c r="D63" s="23" t="s">
        <v>426</v>
      </c>
      <c r="E63" s="28">
        <v>1000000</v>
      </c>
      <c r="F63" s="25">
        <v>1069.95</v>
      </c>
      <c r="G63" s="25">
        <v>1</v>
      </c>
      <c r="H63" s="25">
        <v>4.45</v>
      </c>
    </row>
    <row r="64" spans="2:10" x14ac:dyDescent="0.2">
      <c r="B64" s="23" t="s">
        <v>720</v>
      </c>
      <c r="C64" s="23" t="s">
        <v>721</v>
      </c>
      <c r="D64" s="23" t="s">
        <v>426</v>
      </c>
      <c r="E64" s="28">
        <v>500000</v>
      </c>
      <c r="F64" s="25">
        <v>525.62</v>
      </c>
      <c r="G64" s="25">
        <v>0.49</v>
      </c>
      <c r="H64" s="25">
        <v>4.16</v>
      </c>
    </row>
    <row r="65" spans="2:10" x14ac:dyDescent="0.2">
      <c r="B65" s="23" t="s">
        <v>722</v>
      </c>
      <c r="C65" s="23" t="s">
        <v>723</v>
      </c>
      <c r="D65" s="23" t="s">
        <v>426</v>
      </c>
      <c r="E65" s="28">
        <v>500000</v>
      </c>
      <c r="F65" s="25">
        <v>525.58000000000004</v>
      </c>
      <c r="G65" s="25">
        <v>0.49</v>
      </c>
      <c r="H65" s="25">
        <v>4.16</v>
      </c>
    </row>
    <row r="66" spans="2:10" x14ac:dyDescent="0.2">
      <c r="B66" s="23" t="s">
        <v>724</v>
      </c>
      <c r="C66" s="23" t="s">
        <v>725</v>
      </c>
      <c r="D66" s="23" t="s">
        <v>426</v>
      </c>
      <c r="E66" s="28">
        <v>500000</v>
      </c>
      <c r="F66" s="25">
        <v>520.41999999999996</v>
      </c>
      <c r="G66" s="25">
        <v>0.49</v>
      </c>
      <c r="H66" s="25">
        <v>4.3</v>
      </c>
    </row>
    <row r="67" spans="2:10" x14ac:dyDescent="0.2">
      <c r="B67" s="23" t="s">
        <v>594</v>
      </c>
      <c r="C67" s="23" t="s">
        <v>595</v>
      </c>
      <c r="D67" s="23" t="s">
        <v>426</v>
      </c>
      <c r="E67" s="28">
        <v>500000</v>
      </c>
      <c r="F67" s="25">
        <v>518.22</v>
      </c>
      <c r="G67" s="25">
        <v>0.48</v>
      </c>
      <c r="H67" s="25">
        <v>3.99</v>
      </c>
    </row>
    <row r="68" spans="2:10" x14ac:dyDescent="0.2">
      <c r="B68" s="23" t="s">
        <v>726</v>
      </c>
      <c r="C68" s="23" t="s">
        <v>727</v>
      </c>
      <c r="D68" s="23" t="s">
        <v>426</v>
      </c>
      <c r="E68" s="28">
        <v>500000</v>
      </c>
      <c r="F68" s="25">
        <v>517.11</v>
      </c>
      <c r="G68" s="25">
        <v>0.48</v>
      </c>
      <c r="H68" s="25">
        <v>3.98</v>
      </c>
    </row>
    <row r="69" spans="2:10" x14ac:dyDescent="0.2">
      <c r="B69" s="23" t="s">
        <v>728</v>
      </c>
      <c r="C69" s="23" t="s">
        <v>729</v>
      </c>
      <c r="D69" s="23" t="s">
        <v>426</v>
      </c>
      <c r="E69" s="28">
        <v>400000</v>
      </c>
      <c r="F69" s="25">
        <v>418.81</v>
      </c>
      <c r="G69" s="25">
        <v>0.39</v>
      </c>
      <c r="H69" s="25">
        <v>4.1100000000000003</v>
      </c>
    </row>
    <row r="70" spans="2:10" x14ac:dyDescent="0.2">
      <c r="B70" s="52" t="s">
        <v>730</v>
      </c>
      <c r="C70" s="52" t="s">
        <v>731</v>
      </c>
      <c r="D70" s="52" t="s">
        <v>426</v>
      </c>
      <c r="E70" s="53">
        <v>28300</v>
      </c>
      <c r="F70" s="54">
        <v>30.23</v>
      </c>
      <c r="G70" s="54">
        <v>0.03</v>
      </c>
      <c r="H70" s="54">
        <v>6.43</v>
      </c>
    </row>
    <row r="71" spans="2:10" x14ac:dyDescent="0.2">
      <c r="B71" s="55" t="s">
        <v>120</v>
      </c>
      <c r="C71" s="55"/>
      <c r="D71" s="55"/>
      <c r="E71" s="56"/>
      <c r="F71" s="57">
        <f>SUM(F58:F70)</f>
        <v>16374.289999999999</v>
      </c>
      <c r="G71" s="57">
        <f>SUM(G58:G70)</f>
        <v>15.290000000000001</v>
      </c>
      <c r="H71" s="57"/>
      <c r="I71" s="14"/>
      <c r="J71" s="14"/>
    </row>
    <row r="72" spans="2:10" x14ac:dyDescent="0.2">
      <c r="B72" s="47" t="s">
        <v>121</v>
      </c>
      <c r="C72" s="23"/>
      <c r="D72" s="23"/>
      <c r="E72" s="24"/>
      <c r="F72" s="25"/>
      <c r="G72" s="25"/>
      <c r="H72" s="25"/>
    </row>
    <row r="73" spans="2:10" x14ac:dyDescent="0.2">
      <c r="B73" s="23" t="s">
        <v>121</v>
      </c>
      <c r="C73" s="23"/>
      <c r="D73" s="23"/>
      <c r="E73" s="24"/>
      <c r="F73" s="25">
        <v>2882.69</v>
      </c>
      <c r="G73" s="25">
        <v>2.69</v>
      </c>
      <c r="H73" s="25"/>
    </row>
    <row r="74" spans="2:10" x14ac:dyDescent="0.2">
      <c r="B74" s="30" t="s">
        <v>119</v>
      </c>
      <c r="C74" s="30"/>
      <c r="D74" s="30"/>
      <c r="E74" s="31"/>
      <c r="F74" s="32">
        <f>SUM(F72:F73)</f>
        <v>2882.69</v>
      </c>
      <c r="G74" s="32">
        <f>SUM(G72:G73)</f>
        <v>2.69</v>
      </c>
      <c r="H74" s="48"/>
      <c r="I74" s="14"/>
      <c r="J74" s="14"/>
    </row>
    <row r="75" spans="2:10" x14ac:dyDescent="0.2">
      <c r="B75" s="34" t="s">
        <v>120</v>
      </c>
      <c r="C75" s="34"/>
      <c r="D75" s="34"/>
      <c r="E75" s="35"/>
      <c r="F75" s="36">
        <f>F74</f>
        <v>2882.69</v>
      </c>
      <c r="G75" s="36">
        <f>G74</f>
        <v>2.69</v>
      </c>
      <c r="H75" s="36"/>
      <c r="I75" s="14"/>
      <c r="J75" s="14"/>
    </row>
    <row r="76" spans="2:10" x14ac:dyDescent="0.2">
      <c r="B76" s="44" t="s">
        <v>123</v>
      </c>
      <c r="C76" s="44"/>
      <c r="D76" s="44"/>
      <c r="E76" s="45"/>
      <c r="F76" s="16">
        <f>F77-(+F47+F56+F71+F75)</f>
        <v>2478.3999999999942</v>
      </c>
      <c r="G76" s="16">
        <f>G77-(+G47+G56+G71+G75)</f>
        <v>2.3100000000000023</v>
      </c>
      <c r="H76" s="16"/>
      <c r="I76" s="14"/>
      <c r="J76" s="14"/>
    </row>
    <row r="77" spans="2:10" x14ac:dyDescent="0.2">
      <c r="B77" s="44" t="s">
        <v>122</v>
      </c>
      <c r="C77" s="44"/>
      <c r="D77" s="44"/>
      <c r="E77" s="45"/>
      <c r="F77" s="16">
        <v>107076.69</v>
      </c>
      <c r="G77" s="16">
        <v>100</v>
      </c>
      <c r="H77" s="16"/>
      <c r="I77" s="14"/>
      <c r="J77" s="14"/>
    </row>
    <row r="79" spans="2:10" x14ac:dyDescent="0.2">
      <c r="B79" s="14" t="s">
        <v>766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7"/>
  <sheetViews>
    <sheetView workbookViewId="0">
      <selection activeCell="B53" sqref="B53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8" t="s">
        <v>27</v>
      </c>
      <c r="C1" s="79"/>
      <c r="D1" s="79"/>
      <c r="E1" s="79"/>
      <c r="F1" s="79"/>
      <c r="G1" s="79"/>
      <c r="H1" s="79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227</v>
      </c>
      <c r="C5" s="18"/>
      <c r="D5" s="18"/>
      <c r="E5" s="19"/>
      <c r="F5" s="20"/>
      <c r="G5" s="20"/>
      <c r="H5" s="20"/>
    </row>
    <row r="6" spans="2:8" x14ac:dyDescent="0.2">
      <c r="B6" s="47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388</v>
      </c>
      <c r="C7" s="23" t="s">
        <v>389</v>
      </c>
      <c r="D7" s="23" t="s">
        <v>365</v>
      </c>
      <c r="E7" s="28">
        <v>150</v>
      </c>
      <c r="F7" s="25">
        <v>1602.75</v>
      </c>
      <c r="G7" s="25">
        <v>5.21</v>
      </c>
      <c r="H7" s="25">
        <v>5.16</v>
      </c>
    </row>
    <row r="8" spans="2:8" x14ac:dyDescent="0.2">
      <c r="B8" s="23" t="s">
        <v>686</v>
      </c>
      <c r="C8" s="23" t="s">
        <v>687</v>
      </c>
      <c r="D8" s="23" t="s">
        <v>365</v>
      </c>
      <c r="E8" s="28">
        <v>150</v>
      </c>
      <c r="F8" s="25">
        <v>1588.67</v>
      </c>
      <c r="G8" s="25">
        <v>5.16</v>
      </c>
      <c r="H8" s="25">
        <v>5.17</v>
      </c>
    </row>
    <row r="9" spans="2:8" x14ac:dyDescent="0.2">
      <c r="B9" s="23" t="s">
        <v>407</v>
      </c>
      <c r="C9" s="23" t="s">
        <v>408</v>
      </c>
      <c r="D9" s="23" t="s">
        <v>365</v>
      </c>
      <c r="E9" s="28">
        <v>150</v>
      </c>
      <c r="F9" s="25">
        <v>1554.44</v>
      </c>
      <c r="G9" s="25">
        <v>5.05</v>
      </c>
      <c r="H9" s="25">
        <v>4.5599999999999996</v>
      </c>
    </row>
    <row r="10" spans="2:8" x14ac:dyDescent="0.2">
      <c r="B10" s="23" t="s">
        <v>370</v>
      </c>
      <c r="C10" s="23" t="s">
        <v>371</v>
      </c>
      <c r="D10" s="23" t="s">
        <v>365</v>
      </c>
      <c r="E10" s="28">
        <v>150</v>
      </c>
      <c r="F10" s="25">
        <v>1546.55</v>
      </c>
      <c r="G10" s="25">
        <v>5.0199999999999996</v>
      </c>
      <c r="H10" s="25">
        <v>4.37</v>
      </c>
    </row>
    <row r="11" spans="2:8" x14ac:dyDescent="0.2">
      <c r="B11" s="23" t="s">
        <v>484</v>
      </c>
      <c r="C11" s="23" t="s">
        <v>485</v>
      </c>
      <c r="D11" s="23" t="s">
        <v>365</v>
      </c>
      <c r="E11" s="28">
        <v>150</v>
      </c>
      <c r="F11" s="25">
        <v>1522.41</v>
      </c>
      <c r="G11" s="25">
        <v>4.95</v>
      </c>
      <c r="H11" s="25">
        <v>3.63</v>
      </c>
    </row>
    <row r="12" spans="2:8" x14ac:dyDescent="0.2">
      <c r="B12" s="23" t="s">
        <v>658</v>
      </c>
      <c r="C12" s="23" t="s">
        <v>659</v>
      </c>
      <c r="D12" s="23" t="s">
        <v>365</v>
      </c>
      <c r="E12" s="28">
        <v>150</v>
      </c>
      <c r="F12" s="25">
        <v>1514.51</v>
      </c>
      <c r="G12" s="25">
        <v>4.92</v>
      </c>
      <c r="H12" s="25">
        <v>4.38</v>
      </c>
    </row>
    <row r="13" spans="2:8" x14ac:dyDescent="0.2">
      <c r="B13" s="23" t="s">
        <v>532</v>
      </c>
      <c r="C13" s="23" t="s">
        <v>533</v>
      </c>
      <c r="D13" s="23" t="s">
        <v>396</v>
      </c>
      <c r="E13" s="28">
        <v>150</v>
      </c>
      <c r="F13" s="25">
        <v>1495.2</v>
      </c>
      <c r="G13" s="25">
        <v>4.8600000000000003</v>
      </c>
      <c r="H13" s="25">
        <v>4.71</v>
      </c>
    </row>
    <row r="14" spans="2:8" x14ac:dyDescent="0.2">
      <c r="B14" s="23" t="s">
        <v>732</v>
      </c>
      <c r="C14" s="23" t="s">
        <v>733</v>
      </c>
      <c r="D14" s="23" t="s">
        <v>365</v>
      </c>
      <c r="E14" s="28">
        <v>100</v>
      </c>
      <c r="F14" s="25">
        <v>1070.78</v>
      </c>
      <c r="G14" s="25">
        <v>3.48</v>
      </c>
      <c r="H14" s="25">
        <v>4.45</v>
      </c>
    </row>
    <row r="15" spans="2:8" x14ac:dyDescent="0.2">
      <c r="B15" s="23" t="s">
        <v>590</v>
      </c>
      <c r="C15" s="23" t="s">
        <v>591</v>
      </c>
      <c r="D15" s="23" t="s">
        <v>365</v>
      </c>
      <c r="E15" s="28">
        <v>100</v>
      </c>
      <c r="F15" s="25">
        <v>1055.03</v>
      </c>
      <c r="G15" s="25">
        <v>3.43</v>
      </c>
      <c r="H15" s="25">
        <v>5.5</v>
      </c>
    </row>
    <row r="16" spans="2:8" x14ac:dyDescent="0.2">
      <c r="B16" s="23" t="s">
        <v>662</v>
      </c>
      <c r="C16" s="23" t="s">
        <v>663</v>
      </c>
      <c r="D16" s="23" t="s">
        <v>365</v>
      </c>
      <c r="E16" s="28">
        <v>100</v>
      </c>
      <c r="F16" s="25">
        <v>1036.3399999999999</v>
      </c>
      <c r="G16" s="25">
        <v>3.37</v>
      </c>
      <c r="H16" s="25">
        <v>4.79</v>
      </c>
    </row>
    <row r="17" spans="2:8" x14ac:dyDescent="0.2">
      <c r="B17" s="23" t="s">
        <v>734</v>
      </c>
      <c r="C17" s="23" t="s">
        <v>735</v>
      </c>
      <c r="D17" s="23" t="s">
        <v>365</v>
      </c>
      <c r="E17" s="28">
        <v>50</v>
      </c>
      <c r="F17" s="25">
        <v>548.69000000000005</v>
      </c>
      <c r="G17" s="25">
        <v>1.78</v>
      </c>
      <c r="H17" s="25">
        <v>4.66</v>
      </c>
    </row>
    <row r="18" spans="2:8" x14ac:dyDescent="0.2">
      <c r="B18" s="23" t="s">
        <v>382</v>
      </c>
      <c r="C18" s="23" t="s">
        <v>383</v>
      </c>
      <c r="D18" s="23" t="s">
        <v>365</v>
      </c>
      <c r="E18" s="28">
        <v>50</v>
      </c>
      <c r="F18" s="25">
        <v>535.86</v>
      </c>
      <c r="G18" s="25">
        <v>1.74</v>
      </c>
      <c r="H18" s="25">
        <v>5.42</v>
      </c>
    </row>
    <row r="19" spans="2:8" x14ac:dyDescent="0.2">
      <c r="B19" s="23" t="s">
        <v>419</v>
      </c>
      <c r="C19" s="23" t="s">
        <v>420</v>
      </c>
      <c r="D19" s="23" t="s">
        <v>365</v>
      </c>
      <c r="E19" s="28">
        <v>50</v>
      </c>
      <c r="F19" s="25">
        <v>531.70000000000005</v>
      </c>
      <c r="G19" s="25">
        <v>1.73</v>
      </c>
      <c r="H19" s="25">
        <v>5.49</v>
      </c>
    </row>
    <row r="20" spans="2:8" x14ac:dyDescent="0.2">
      <c r="B20" s="23" t="s">
        <v>700</v>
      </c>
      <c r="C20" s="23" t="s">
        <v>701</v>
      </c>
      <c r="D20" s="23" t="s">
        <v>365</v>
      </c>
      <c r="E20" s="28">
        <v>50</v>
      </c>
      <c r="F20" s="25">
        <v>530.35</v>
      </c>
      <c r="G20" s="25">
        <v>1.72</v>
      </c>
      <c r="H20" s="25">
        <v>4.6100000000000003</v>
      </c>
    </row>
    <row r="21" spans="2:8" x14ac:dyDescent="0.2">
      <c r="B21" s="23" t="s">
        <v>736</v>
      </c>
      <c r="C21" s="23" t="s">
        <v>737</v>
      </c>
      <c r="D21" s="23" t="s">
        <v>365</v>
      </c>
      <c r="E21" s="28">
        <v>50</v>
      </c>
      <c r="F21" s="25">
        <v>529.22</v>
      </c>
      <c r="G21" s="25">
        <v>1.72</v>
      </c>
      <c r="H21" s="25">
        <v>5.44</v>
      </c>
    </row>
    <row r="22" spans="2:8" x14ac:dyDescent="0.2">
      <c r="B22" s="23" t="s">
        <v>674</v>
      </c>
      <c r="C22" s="23" t="s">
        <v>675</v>
      </c>
      <c r="D22" s="23" t="s">
        <v>365</v>
      </c>
      <c r="E22" s="28">
        <v>50</v>
      </c>
      <c r="F22" s="25">
        <v>525.84</v>
      </c>
      <c r="G22" s="25">
        <v>1.71</v>
      </c>
      <c r="H22" s="25">
        <v>5.64</v>
      </c>
    </row>
    <row r="23" spans="2:8" x14ac:dyDescent="0.2">
      <c r="B23" s="23" t="s">
        <v>372</v>
      </c>
      <c r="C23" s="23" t="s">
        <v>373</v>
      </c>
      <c r="D23" s="23" t="s">
        <v>365</v>
      </c>
      <c r="E23" s="28">
        <v>50</v>
      </c>
      <c r="F23" s="25">
        <v>518.36</v>
      </c>
      <c r="G23" s="25">
        <v>1.68</v>
      </c>
      <c r="H23" s="25">
        <v>4.45</v>
      </c>
    </row>
    <row r="24" spans="2:8" x14ac:dyDescent="0.2">
      <c r="B24" s="23" t="s">
        <v>542</v>
      </c>
      <c r="C24" s="23" t="s">
        <v>543</v>
      </c>
      <c r="D24" s="23" t="s">
        <v>365</v>
      </c>
      <c r="E24" s="28">
        <v>50</v>
      </c>
      <c r="F24" s="25">
        <v>517.53</v>
      </c>
      <c r="G24" s="25">
        <v>1.68</v>
      </c>
      <c r="H24" s="25">
        <v>4.07</v>
      </c>
    </row>
    <row r="25" spans="2:8" x14ac:dyDescent="0.2">
      <c r="B25" s="23" t="s">
        <v>363</v>
      </c>
      <c r="C25" s="23" t="s">
        <v>364</v>
      </c>
      <c r="D25" s="23" t="s">
        <v>365</v>
      </c>
      <c r="E25" s="28">
        <v>50</v>
      </c>
      <c r="F25" s="25">
        <v>517.49</v>
      </c>
      <c r="G25" s="25">
        <v>1.68</v>
      </c>
      <c r="H25" s="25">
        <v>4.5999999999999996</v>
      </c>
    </row>
    <row r="26" spans="2:8" x14ac:dyDescent="0.2">
      <c r="B26" s="23" t="s">
        <v>738</v>
      </c>
      <c r="C26" s="23" t="s">
        <v>739</v>
      </c>
      <c r="D26" s="23" t="s">
        <v>365</v>
      </c>
      <c r="E26" s="28">
        <v>50</v>
      </c>
      <c r="F26" s="25">
        <v>516.62</v>
      </c>
      <c r="G26" s="25">
        <v>1.68</v>
      </c>
      <c r="H26" s="25">
        <v>4.5999999999999996</v>
      </c>
    </row>
    <row r="27" spans="2:8" x14ac:dyDescent="0.2">
      <c r="B27" s="23" t="s">
        <v>740</v>
      </c>
      <c r="C27" s="23" t="s">
        <v>741</v>
      </c>
      <c r="D27" s="23" t="s">
        <v>365</v>
      </c>
      <c r="E27" s="28">
        <v>50</v>
      </c>
      <c r="F27" s="25">
        <v>514.99</v>
      </c>
      <c r="G27" s="25">
        <v>1.67</v>
      </c>
      <c r="H27" s="25">
        <v>4.4000000000000004</v>
      </c>
    </row>
    <row r="28" spans="2:8" x14ac:dyDescent="0.2">
      <c r="B28" s="23" t="s">
        <v>672</v>
      </c>
      <c r="C28" s="23" t="s">
        <v>673</v>
      </c>
      <c r="D28" s="23" t="s">
        <v>365</v>
      </c>
      <c r="E28" s="28">
        <v>50</v>
      </c>
      <c r="F28" s="25">
        <v>507.59</v>
      </c>
      <c r="G28" s="25">
        <v>1.65</v>
      </c>
      <c r="H28" s="25">
        <v>4.5999999999999996</v>
      </c>
    </row>
    <row r="29" spans="2:8" x14ac:dyDescent="0.2">
      <c r="B29" s="23" t="s">
        <v>528</v>
      </c>
      <c r="C29" s="23" t="s">
        <v>529</v>
      </c>
      <c r="D29" s="23" t="s">
        <v>365</v>
      </c>
      <c r="E29" s="28">
        <v>50</v>
      </c>
      <c r="F29" s="25">
        <v>506.87</v>
      </c>
      <c r="G29" s="25">
        <v>1.65</v>
      </c>
      <c r="H29" s="25">
        <v>3.98</v>
      </c>
    </row>
    <row r="30" spans="2:8" x14ac:dyDescent="0.2">
      <c r="B30" s="23" t="s">
        <v>399</v>
      </c>
      <c r="C30" s="23" t="s">
        <v>400</v>
      </c>
      <c r="D30" s="23" t="s">
        <v>365</v>
      </c>
      <c r="E30" s="28">
        <v>50</v>
      </c>
      <c r="F30" s="25">
        <v>503.8</v>
      </c>
      <c r="G30" s="25">
        <v>1.64</v>
      </c>
      <c r="H30" s="25">
        <v>3.65</v>
      </c>
    </row>
    <row r="31" spans="2:8" x14ac:dyDescent="0.2">
      <c r="B31" s="23" t="s">
        <v>742</v>
      </c>
      <c r="C31" s="23" t="s">
        <v>743</v>
      </c>
      <c r="D31" s="23" t="s">
        <v>365</v>
      </c>
      <c r="E31" s="28">
        <v>50</v>
      </c>
      <c r="F31" s="25">
        <v>498.01</v>
      </c>
      <c r="G31" s="25">
        <v>1.62</v>
      </c>
      <c r="H31" s="25">
        <v>5.26</v>
      </c>
    </row>
    <row r="32" spans="2:8" x14ac:dyDescent="0.2">
      <c r="B32" s="23" t="s">
        <v>744</v>
      </c>
      <c r="C32" s="23" t="s">
        <v>745</v>
      </c>
      <c r="D32" s="23" t="s">
        <v>396</v>
      </c>
      <c r="E32" s="28">
        <v>20</v>
      </c>
      <c r="F32" s="25">
        <v>257.69</v>
      </c>
      <c r="G32" s="25">
        <v>0.84</v>
      </c>
      <c r="H32" s="25">
        <v>4.28</v>
      </c>
    </row>
    <row r="33" spans="2:10" x14ac:dyDescent="0.2">
      <c r="B33" s="30" t="s">
        <v>119</v>
      </c>
      <c r="C33" s="30"/>
      <c r="D33" s="30"/>
      <c r="E33" s="31"/>
      <c r="F33" s="32">
        <f>SUM(F6:F32)</f>
        <v>22047.29</v>
      </c>
      <c r="G33" s="32">
        <f>SUM(G6:G32)</f>
        <v>71.640000000000015</v>
      </c>
      <c r="H33" s="48"/>
      <c r="I33" s="14"/>
      <c r="J33" s="14"/>
    </row>
    <row r="34" spans="2:10" x14ac:dyDescent="0.2">
      <c r="B34" s="49" t="s">
        <v>120</v>
      </c>
      <c r="C34" s="49"/>
      <c r="D34" s="49"/>
      <c r="E34" s="50"/>
      <c r="F34" s="51">
        <f>F33</f>
        <v>22047.29</v>
      </c>
      <c r="G34" s="51">
        <f>G33</f>
        <v>71.640000000000015</v>
      </c>
      <c r="H34" s="51"/>
      <c r="I34" s="14"/>
      <c r="J34" s="14"/>
    </row>
    <row r="35" spans="2:10" x14ac:dyDescent="0.2">
      <c r="B35" s="47" t="s">
        <v>467</v>
      </c>
      <c r="C35" s="23"/>
      <c r="D35" s="23"/>
      <c r="E35" s="24"/>
      <c r="F35" s="25"/>
      <c r="G35" s="25"/>
      <c r="H35" s="25"/>
    </row>
    <row r="36" spans="2:10" x14ac:dyDescent="0.2">
      <c r="B36" s="47" t="s">
        <v>468</v>
      </c>
      <c r="C36" s="23"/>
      <c r="D36" s="23"/>
      <c r="E36" s="24"/>
      <c r="F36" s="25"/>
      <c r="G36" s="25"/>
      <c r="H36" s="25"/>
    </row>
    <row r="37" spans="2:10" x14ac:dyDescent="0.2">
      <c r="B37" s="23" t="s">
        <v>496</v>
      </c>
      <c r="C37" s="23" t="s">
        <v>497</v>
      </c>
      <c r="D37" s="23" t="s">
        <v>471</v>
      </c>
      <c r="E37" s="28">
        <v>4000000</v>
      </c>
      <c r="F37" s="25">
        <v>3976.1</v>
      </c>
      <c r="G37" s="25">
        <v>12.92</v>
      </c>
      <c r="H37" s="25">
        <v>3.37</v>
      </c>
    </row>
    <row r="38" spans="2:10" x14ac:dyDescent="0.2">
      <c r="B38" s="30" t="s">
        <v>119</v>
      </c>
      <c r="C38" s="30"/>
      <c r="D38" s="30"/>
      <c r="E38" s="31"/>
      <c r="F38" s="32">
        <f>SUM(F36:F37)</f>
        <v>3976.1</v>
      </c>
      <c r="G38" s="32">
        <f>SUM(G36:G37)</f>
        <v>12.92</v>
      </c>
      <c r="H38" s="48"/>
      <c r="I38" s="14"/>
      <c r="J38" s="14"/>
    </row>
    <row r="39" spans="2:10" x14ac:dyDescent="0.2">
      <c r="B39" s="49" t="s">
        <v>120</v>
      </c>
      <c r="C39" s="49"/>
      <c r="D39" s="49"/>
      <c r="E39" s="50"/>
      <c r="F39" s="51">
        <f>+F38</f>
        <v>3976.1</v>
      </c>
      <c r="G39" s="51">
        <f>+G38</f>
        <v>12.92</v>
      </c>
      <c r="H39" s="51"/>
      <c r="I39" s="14"/>
      <c r="J39" s="14"/>
    </row>
    <row r="40" spans="2:10" x14ac:dyDescent="0.2">
      <c r="B40" s="47" t="s">
        <v>423</v>
      </c>
      <c r="C40" s="23"/>
      <c r="D40" s="23"/>
      <c r="E40" s="24"/>
      <c r="F40" s="25"/>
      <c r="G40" s="25"/>
      <c r="H40" s="25"/>
    </row>
    <row r="41" spans="2:10" x14ac:dyDescent="0.2">
      <c r="B41" s="23" t="s">
        <v>445</v>
      </c>
      <c r="C41" s="23" t="s">
        <v>446</v>
      </c>
      <c r="D41" s="23" t="s">
        <v>426</v>
      </c>
      <c r="E41" s="28">
        <v>500000</v>
      </c>
      <c r="F41" s="25">
        <v>532.35</v>
      </c>
      <c r="G41" s="25">
        <v>1.73</v>
      </c>
      <c r="H41" s="25">
        <v>4.7</v>
      </c>
    </row>
    <row r="42" spans="2:10" x14ac:dyDescent="0.2">
      <c r="B42" s="23" t="s">
        <v>746</v>
      </c>
      <c r="C42" s="23" t="s">
        <v>747</v>
      </c>
      <c r="D42" s="23" t="s">
        <v>426</v>
      </c>
      <c r="E42" s="28">
        <v>500000</v>
      </c>
      <c r="F42" s="25">
        <v>530.27</v>
      </c>
      <c r="G42" s="25">
        <v>1.72</v>
      </c>
      <c r="H42" s="25">
        <v>4.2699999999999996</v>
      </c>
    </row>
    <row r="43" spans="2:10" x14ac:dyDescent="0.2">
      <c r="B43" s="23" t="s">
        <v>748</v>
      </c>
      <c r="C43" s="23" t="s">
        <v>749</v>
      </c>
      <c r="D43" s="23" t="s">
        <v>426</v>
      </c>
      <c r="E43" s="28">
        <v>500000</v>
      </c>
      <c r="F43" s="25">
        <v>514.66</v>
      </c>
      <c r="G43" s="25">
        <v>1.67</v>
      </c>
      <c r="H43" s="25">
        <v>3.83</v>
      </c>
    </row>
    <row r="44" spans="2:10" x14ac:dyDescent="0.2">
      <c r="B44" s="23" t="s">
        <v>750</v>
      </c>
      <c r="C44" s="23" t="s">
        <v>751</v>
      </c>
      <c r="D44" s="23" t="s">
        <v>426</v>
      </c>
      <c r="E44" s="28">
        <v>500000</v>
      </c>
      <c r="F44" s="25">
        <v>512.71</v>
      </c>
      <c r="G44" s="25">
        <v>1.67</v>
      </c>
      <c r="H44" s="25">
        <v>3.83</v>
      </c>
    </row>
    <row r="45" spans="2:10" x14ac:dyDescent="0.2">
      <c r="B45" s="23" t="s">
        <v>447</v>
      </c>
      <c r="C45" s="23" t="s">
        <v>448</v>
      </c>
      <c r="D45" s="23" t="s">
        <v>426</v>
      </c>
      <c r="E45" s="28">
        <v>500000</v>
      </c>
      <c r="F45" s="25">
        <v>505.55</v>
      </c>
      <c r="G45" s="25">
        <v>1.64</v>
      </c>
      <c r="H45" s="25">
        <v>3.77</v>
      </c>
    </row>
    <row r="46" spans="2:10" x14ac:dyDescent="0.2">
      <c r="B46" s="23" t="s">
        <v>435</v>
      </c>
      <c r="C46" s="23" t="s">
        <v>436</v>
      </c>
      <c r="D46" s="23" t="s">
        <v>426</v>
      </c>
      <c r="E46" s="28">
        <v>500000</v>
      </c>
      <c r="F46" s="25">
        <v>500.86</v>
      </c>
      <c r="G46" s="25">
        <v>1.63</v>
      </c>
      <c r="H46" s="25">
        <v>5.59</v>
      </c>
    </row>
    <row r="47" spans="2:10" x14ac:dyDescent="0.2">
      <c r="B47" s="23" t="s">
        <v>455</v>
      </c>
      <c r="C47" s="23" t="s">
        <v>456</v>
      </c>
      <c r="D47" s="23" t="s">
        <v>426</v>
      </c>
      <c r="E47" s="28">
        <v>300000</v>
      </c>
      <c r="F47" s="25">
        <v>314.58</v>
      </c>
      <c r="G47" s="25">
        <v>1.02</v>
      </c>
      <c r="H47" s="25">
        <v>6.27</v>
      </c>
    </row>
    <row r="48" spans="2:10" x14ac:dyDescent="0.2">
      <c r="B48" s="52" t="s">
        <v>724</v>
      </c>
      <c r="C48" s="52" t="s">
        <v>725</v>
      </c>
      <c r="D48" s="52" t="s">
        <v>426</v>
      </c>
      <c r="E48" s="53">
        <v>48000</v>
      </c>
      <c r="F48" s="54">
        <v>49.96</v>
      </c>
      <c r="G48" s="54">
        <v>0.16</v>
      </c>
      <c r="H48" s="54">
        <v>4.3</v>
      </c>
    </row>
    <row r="49" spans="2:10" x14ac:dyDescent="0.2">
      <c r="B49" s="55" t="s">
        <v>120</v>
      </c>
      <c r="C49" s="55"/>
      <c r="D49" s="55"/>
      <c r="E49" s="56"/>
      <c r="F49" s="57">
        <f>SUM(F41:F48)</f>
        <v>3460.94</v>
      </c>
      <c r="G49" s="57">
        <f>SUM(G41:G48)</f>
        <v>11.239999999999998</v>
      </c>
      <c r="H49" s="57"/>
      <c r="I49" s="14"/>
      <c r="J49" s="14"/>
    </row>
    <row r="50" spans="2:10" x14ac:dyDescent="0.2">
      <c r="B50" s="47" t="s">
        <v>121</v>
      </c>
      <c r="C50" s="23"/>
      <c r="D50" s="23"/>
      <c r="E50" s="24"/>
      <c r="F50" s="25"/>
      <c r="G50" s="25"/>
      <c r="H50" s="25"/>
    </row>
    <row r="51" spans="2:10" x14ac:dyDescent="0.2">
      <c r="B51" s="23" t="s">
        <v>121</v>
      </c>
      <c r="C51" s="23"/>
      <c r="D51" s="23"/>
      <c r="E51" s="24"/>
      <c r="F51" s="25">
        <v>511.06</v>
      </c>
      <c r="G51" s="25">
        <v>1.66</v>
      </c>
      <c r="H51" s="25"/>
    </row>
    <row r="52" spans="2:10" x14ac:dyDescent="0.2">
      <c r="B52" s="30" t="s">
        <v>119</v>
      </c>
      <c r="C52" s="30"/>
      <c r="D52" s="30"/>
      <c r="E52" s="31"/>
      <c r="F52" s="32">
        <f>SUM(F50:F51)</f>
        <v>511.06</v>
      </c>
      <c r="G52" s="32">
        <f>SUM(G50:G51)</f>
        <v>1.66</v>
      </c>
      <c r="H52" s="48"/>
      <c r="I52" s="14"/>
      <c r="J52" s="14"/>
    </row>
    <row r="53" spans="2:10" x14ac:dyDescent="0.2">
      <c r="B53" s="34" t="s">
        <v>120</v>
      </c>
      <c r="C53" s="34"/>
      <c r="D53" s="34"/>
      <c r="E53" s="35"/>
      <c r="F53" s="36">
        <f>F52</f>
        <v>511.06</v>
      </c>
      <c r="G53" s="36">
        <f>G52</f>
        <v>1.66</v>
      </c>
      <c r="H53" s="36"/>
      <c r="I53" s="14"/>
      <c r="J53" s="14"/>
    </row>
    <row r="54" spans="2:10" x14ac:dyDescent="0.2">
      <c r="B54" s="44" t="s">
        <v>123</v>
      </c>
      <c r="C54" s="44"/>
      <c r="D54" s="44"/>
      <c r="E54" s="45"/>
      <c r="F54" s="16">
        <f>F55-(+F34+F39+F49+F53)</f>
        <v>791.08000000000175</v>
      </c>
      <c r="G54" s="16">
        <f>G55-(+G34+G39+G49+G53)</f>
        <v>2.539999999999992</v>
      </c>
      <c r="H54" s="16"/>
      <c r="I54" s="14"/>
      <c r="J54" s="14"/>
    </row>
    <row r="55" spans="2:10" x14ac:dyDescent="0.2">
      <c r="B55" s="44" t="s">
        <v>122</v>
      </c>
      <c r="C55" s="44"/>
      <c r="D55" s="44"/>
      <c r="E55" s="45"/>
      <c r="F55" s="16">
        <v>30786.47</v>
      </c>
      <c r="G55" s="16">
        <v>100</v>
      </c>
      <c r="H55" s="16"/>
      <c r="I55" s="14"/>
      <c r="J55" s="14"/>
    </row>
    <row r="57" spans="2:10" x14ac:dyDescent="0.2">
      <c r="B57" s="14" t="s">
        <v>766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4"/>
  <sheetViews>
    <sheetView workbookViewId="0">
      <selection activeCell="H6" sqref="H6"/>
    </sheetView>
  </sheetViews>
  <sheetFormatPr defaultRowHeight="12" x14ac:dyDescent="0.2"/>
  <cols>
    <col min="1" max="1" width="9.140625" style="1"/>
    <col min="2" max="2" width="53.85546875" style="1" bestFit="1" customWidth="1"/>
    <col min="3" max="3" width="13.7109375" style="1" bestFit="1" customWidth="1"/>
    <col min="4" max="4" width="23.425781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8" t="s">
        <v>28</v>
      </c>
      <c r="C1" s="79"/>
      <c r="D1" s="79"/>
      <c r="E1" s="79"/>
      <c r="F1" s="79"/>
      <c r="G1" s="79"/>
      <c r="H1" s="79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126</v>
      </c>
      <c r="C7" s="23" t="s">
        <v>127</v>
      </c>
      <c r="D7" s="23" t="s">
        <v>128</v>
      </c>
      <c r="E7" s="28">
        <v>95000</v>
      </c>
      <c r="F7" s="25">
        <v>1324.06</v>
      </c>
      <c r="G7" s="25">
        <v>2.79</v>
      </c>
      <c r="H7" s="26"/>
    </row>
    <row r="8" spans="2:8" x14ac:dyDescent="0.2">
      <c r="B8" s="27" t="s">
        <v>124</v>
      </c>
      <c r="C8" s="23" t="s">
        <v>125</v>
      </c>
      <c r="D8" s="23" t="s">
        <v>38</v>
      </c>
      <c r="E8" s="28">
        <v>74220</v>
      </c>
      <c r="F8" s="25">
        <v>1125.06</v>
      </c>
      <c r="G8" s="25">
        <v>2.37</v>
      </c>
      <c r="H8" s="26"/>
    </row>
    <row r="9" spans="2:8" x14ac:dyDescent="0.2">
      <c r="B9" s="27" t="s">
        <v>36</v>
      </c>
      <c r="C9" s="23" t="s">
        <v>37</v>
      </c>
      <c r="D9" s="23" t="s">
        <v>38</v>
      </c>
      <c r="E9" s="28">
        <v>167300</v>
      </c>
      <c r="F9" s="25">
        <v>1108.78</v>
      </c>
      <c r="G9" s="25">
        <v>2.33</v>
      </c>
      <c r="H9" s="26"/>
    </row>
    <row r="10" spans="2:8" x14ac:dyDescent="0.2">
      <c r="B10" s="27" t="s">
        <v>133</v>
      </c>
      <c r="C10" s="23" t="s">
        <v>134</v>
      </c>
      <c r="D10" s="23" t="s">
        <v>38</v>
      </c>
      <c r="E10" s="28">
        <v>126600</v>
      </c>
      <c r="F10" s="25">
        <v>950.39</v>
      </c>
      <c r="G10" s="25">
        <v>2</v>
      </c>
      <c r="H10" s="26"/>
    </row>
    <row r="11" spans="2:8" x14ac:dyDescent="0.2">
      <c r="B11" s="27" t="s">
        <v>143</v>
      </c>
      <c r="C11" s="23" t="s">
        <v>144</v>
      </c>
      <c r="D11" s="23" t="s">
        <v>38</v>
      </c>
      <c r="E11" s="28">
        <v>27200</v>
      </c>
      <c r="F11" s="25">
        <v>491.69</v>
      </c>
      <c r="G11" s="25">
        <v>1.03</v>
      </c>
      <c r="H11" s="26"/>
    </row>
    <row r="12" spans="2:8" x14ac:dyDescent="0.2">
      <c r="B12" s="27" t="s">
        <v>131</v>
      </c>
      <c r="C12" s="23" t="s">
        <v>132</v>
      </c>
      <c r="D12" s="23" t="s">
        <v>128</v>
      </c>
      <c r="E12" s="28">
        <v>15183</v>
      </c>
      <c r="F12" s="25">
        <v>479.65</v>
      </c>
      <c r="G12" s="25">
        <v>1.01</v>
      </c>
      <c r="H12" s="26"/>
    </row>
    <row r="13" spans="2:8" x14ac:dyDescent="0.2">
      <c r="B13" s="27" t="s">
        <v>138</v>
      </c>
      <c r="C13" s="23" t="s">
        <v>139</v>
      </c>
      <c r="D13" s="23" t="s">
        <v>137</v>
      </c>
      <c r="E13" s="28">
        <v>12020</v>
      </c>
      <c r="F13" s="25">
        <v>306.85000000000002</v>
      </c>
      <c r="G13" s="25">
        <v>0.65</v>
      </c>
      <c r="H13" s="26"/>
    </row>
    <row r="14" spans="2:8" x14ac:dyDescent="0.2">
      <c r="B14" s="27" t="s">
        <v>33</v>
      </c>
      <c r="C14" s="23" t="s">
        <v>34</v>
      </c>
      <c r="D14" s="23" t="s">
        <v>35</v>
      </c>
      <c r="E14" s="28">
        <v>20460</v>
      </c>
      <c r="F14" s="25">
        <v>300.29000000000002</v>
      </c>
      <c r="G14" s="25">
        <v>0.63</v>
      </c>
      <c r="H14" s="26"/>
    </row>
    <row r="15" spans="2:8" x14ac:dyDescent="0.2">
      <c r="B15" s="27" t="s">
        <v>213</v>
      </c>
      <c r="C15" s="23" t="s">
        <v>214</v>
      </c>
      <c r="D15" s="23" t="s">
        <v>175</v>
      </c>
      <c r="E15" s="28">
        <v>44150</v>
      </c>
      <c r="F15" s="25">
        <v>293.99</v>
      </c>
      <c r="G15" s="25">
        <v>0.62</v>
      </c>
      <c r="H15" s="26"/>
    </row>
    <row r="16" spans="2:8" x14ac:dyDescent="0.2">
      <c r="B16" s="27" t="s">
        <v>157</v>
      </c>
      <c r="C16" s="23" t="s">
        <v>158</v>
      </c>
      <c r="D16" s="23" t="s">
        <v>159</v>
      </c>
      <c r="E16" s="28">
        <v>10000</v>
      </c>
      <c r="F16" s="25">
        <v>261.5</v>
      </c>
      <c r="G16" s="25">
        <v>0.55000000000000004</v>
      </c>
      <c r="H16" s="26"/>
    </row>
    <row r="17" spans="2:10" x14ac:dyDescent="0.2">
      <c r="B17" s="27" t="s">
        <v>69</v>
      </c>
      <c r="C17" s="23" t="s">
        <v>70</v>
      </c>
      <c r="D17" s="23" t="s">
        <v>68</v>
      </c>
      <c r="E17" s="28">
        <v>3200</v>
      </c>
      <c r="F17" s="25">
        <v>214.66</v>
      </c>
      <c r="G17" s="25">
        <v>0.45</v>
      </c>
      <c r="H17" s="26"/>
    </row>
    <row r="18" spans="2:10" x14ac:dyDescent="0.2">
      <c r="B18" s="29" t="s">
        <v>119</v>
      </c>
      <c r="C18" s="30"/>
      <c r="D18" s="30"/>
      <c r="E18" s="31"/>
      <c r="F18" s="32">
        <f>SUM(F7:F17)</f>
        <v>6856.9199999999992</v>
      </c>
      <c r="G18" s="32">
        <f>SUM(G7:G17)</f>
        <v>14.43</v>
      </c>
      <c r="H18" s="33"/>
      <c r="I18" s="14"/>
      <c r="J18" s="14"/>
    </row>
    <row r="19" spans="2:10" x14ac:dyDescent="0.2">
      <c r="B19" s="37" t="s">
        <v>120</v>
      </c>
      <c r="C19" s="37"/>
      <c r="D19" s="37"/>
      <c r="E19" s="38"/>
      <c r="F19" s="39">
        <f>F18</f>
        <v>6856.9199999999992</v>
      </c>
      <c r="G19" s="39">
        <f>G18</f>
        <v>14.43</v>
      </c>
      <c r="H19" s="15"/>
      <c r="I19" s="14"/>
      <c r="J19" s="14"/>
    </row>
    <row r="20" spans="2:10" x14ac:dyDescent="0.2">
      <c r="B20" s="46" t="s">
        <v>227</v>
      </c>
      <c r="C20" s="41"/>
      <c r="D20" s="41"/>
      <c r="E20" s="42"/>
      <c r="F20" s="43"/>
      <c r="G20" s="43"/>
      <c r="H20" s="43"/>
    </row>
    <row r="21" spans="2:10" x14ac:dyDescent="0.2">
      <c r="B21" s="47" t="s">
        <v>32</v>
      </c>
      <c r="C21" s="23"/>
      <c r="D21" s="23"/>
      <c r="E21" s="24"/>
      <c r="F21" s="25"/>
      <c r="G21" s="25"/>
      <c r="H21" s="25"/>
    </row>
    <row r="22" spans="2:10" x14ac:dyDescent="0.2">
      <c r="B22" s="23" t="s">
        <v>394</v>
      </c>
      <c r="C22" s="23" t="s">
        <v>395</v>
      </c>
      <c r="D22" s="23" t="s">
        <v>396</v>
      </c>
      <c r="E22" s="28">
        <v>400</v>
      </c>
      <c r="F22" s="25">
        <v>3994.5</v>
      </c>
      <c r="G22" s="25">
        <v>8.4</v>
      </c>
      <c r="H22" s="25">
        <v>3.35</v>
      </c>
    </row>
    <row r="23" spans="2:10" x14ac:dyDescent="0.2">
      <c r="B23" s="23" t="s">
        <v>752</v>
      </c>
      <c r="C23" s="23" t="s">
        <v>753</v>
      </c>
      <c r="D23" s="23" t="s">
        <v>365</v>
      </c>
      <c r="E23" s="28">
        <v>300</v>
      </c>
      <c r="F23" s="25">
        <v>3004.65</v>
      </c>
      <c r="G23" s="25">
        <v>6.32</v>
      </c>
      <c r="H23" s="25">
        <v>3.68</v>
      </c>
    </row>
    <row r="24" spans="2:10" x14ac:dyDescent="0.2">
      <c r="B24" s="23" t="s">
        <v>411</v>
      </c>
      <c r="C24" s="23" t="s">
        <v>412</v>
      </c>
      <c r="D24" s="23" t="s">
        <v>365</v>
      </c>
      <c r="E24" s="28">
        <v>250</v>
      </c>
      <c r="F24" s="25">
        <v>2504.7800000000002</v>
      </c>
      <c r="G24" s="25">
        <v>5.27</v>
      </c>
      <c r="H24" s="25">
        <v>3.73</v>
      </c>
    </row>
    <row r="25" spans="2:10" x14ac:dyDescent="0.2">
      <c r="B25" s="30" t="s">
        <v>119</v>
      </c>
      <c r="C25" s="30"/>
      <c r="D25" s="30"/>
      <c r="E25" s="31"/>
      <c r="F25" s="32">
        <f>SUM(F21:F24)</f>
        <v>9503.93</v>
      </c>
      <c r="G25" s="32">
        <f>SUM(G21:G24)</f>
        <v>19.990000000000002</v>
      </c>
      <c r="H25" s="48"/>
      <c r="I25" s="14"/>
      <c r="J25" s="14"/>
    </row>
    <row r="26" spans="2:10" x14ac:dyDescent="0.2">
      <c r="B26" s="49" t="s">
        <v>120</v>
      </c>
      <c r="C26" s="49"/>
      <c r="D26" s="49"/>
      <c r="E26" s="50"/>
      <c r="F26" s="51">
        <f>F25</f>
        <v>9503.93</v>
      </c>
      <c r="G26" s="51">
        <f>G25</f>
        <v>19.990000000000002</v>
      </c>
      <c r="H26" s="51"/>
      <c r="I26" s="14"/>
      <c r="J26" s="14"/>
    </row>
    <row r="27" spans="2:10" x14ac:dyDescent="0.2">
      <c r="B27" s="47" t="s">
        <v>121</v>
      </c>
      <c r="C27" s="23"/>
      <c r="D27" s="23"/>
      <c r="E27" s="24"/>
      <c r="F27" s="25"/>
      <c r="G27" s="25"/>
      <c r="H27" s="25"/>
    </row>
    <row r="28" spans="2:10" x14ac:dyDescent="0.2">
      <c r="B28" s="23" t="s">
        <v>121</v>
      </c>
      <c r="C28" s="23"/>
      <c r="D28" s="23"/>
      <c r="E28" s="24"/>
      <c r="F28" s="25">
        <v>30651</v>
      </c>
      <c r="G28" s="25">
        <v>64.489999999999995</v>
      </c>
      <c r="H28" s="25"/>
    </row>
    <row r="29" spans="2:10" x14ac:dyDescent="0.2">
      <c r="B29" s="30" t="s">
        <v>119</v>
      </c>
      <c r="C29" s="30"/>
      <c r="D29" s="30"/>
      <c r="E29" s="31"/>
      <c r="F29" s="32">
        <f>SUM(F27:F28)</f>
        <v>30651</v>
      </c>
      <c r="G29" s="32">
        <f>SUM(G27:G28)</f>
        <v>64.489999999999995</v>
      </c>
      <c r="H29" s="48"/>
      <c r="I29" s="14"/>
      <c r="J29" s="14"/>
    </row>
    <row r="30" spans="2:10" x14ac:dyDescent="0.2">
      <c r="B30" s="34" t="s">
        <v>120</v>
      </c>
      <c r="C30" s="34"/>
      <c r="D30" s="34"/>
      <c r="E30" s="35"/>
      <c r="F30" s="36">
        <f>F29</f>
        <v>30651</v>
      </c>
      <c r="G30" s="36">
        <f>G29</f>
        <v>64.489999999999995</v>
      </c>
      <c r="H30" s="36"/>
      <c r="I30" s="14"/>
      <c r="J30" s="14"/>
    </row>
    <row r="31" spans="2:10" x14ac:dyDescent="0.2">
      <c r="B31" s="44" t="s">
        <v>123</v>
      </c>
      <c r="C31" s="44"/>
      <c r="D31" s="44"/>
      <c r="E31" s="45"/>
      <c r="F31" s="16">
        <f>F32-(+F19+F26+F30)</f>
        <v>515.84999999999854</v>
      </c>
      <c r="G31" s="16">
        <f>G32-(+G19+G26+G30)</f>
        <v>1.0900000000000034</v>
      </c>
      <c r="H31" s="16"/>
      <c r="I31" s="14"/>
      <c r="J31" s="14"/>
    </row>
    <row r="32" spans="2:10" x14ac:dyDescent="0.2">
      <c r="B32" s="44" t="s">
        <v>122</v>
      </c>
      <c r="C32" s="44"/>
      <c r="D32" s="44"/>
      <c r="E32" s="45"/>
      <c r="F32" s="16">
        <v>47527.7</v>
      </c>
      <c r="G32" s="16">
        <v>100</v>
      </c>
      <c r="H32" s="16"/>
      <c r="I32" s="14"/>
      <c r="J32" s="14"/>
    </row>
    <row r="34" spans="2:2" x14ac:dyDescent="0.2">
      <c r="B34" s="14" t="s">
        <v>766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4"/>
  <sheetViews>
    <sheetView workbookViewId="0">
      <selection activeCell="H6" sqref="H6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78" t="s">
        <v>29</v>
      </c>
      <c r="C1" s="79"/>
      <c r="D1" s="79"/>
      <c r="E1" s="79"/>
      <c r="F1" s="79"/>
      <c r="G1" s="79"/>
      <c r="H1" s="79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227</v>
      </c>
      <c r="C5" s="18"/>
      <c r="D5" s="18"/>
      <c r="E5" s="19"/>
      <c r="F5" s="20"/>
      <c r="G5" s="20"/>
      <c r="H5" s="20"/>
    </row>
    <row r="6" spans="2:10" x14ac:dyDescent="0.2">
      <c r="B6" s="47" t="s">
        <v>32</v>
      </c>
      <c r="C6" s="23"/>
      <c r="D6" s="23"/>
      <c r="E6" s="24"/>
      <c r="F6" s="25"/>
      <c r="G6" s="25"/>
      <c r="H6" s="25"/>
    </row>
    <row r="7" spans="2:10" x14ac:dyDescent="0.2">
      <c r="B7" s="23" t="s">
        <v>744</v>
      </c>
      <c r="C7" s="23" t="s">
        <v>745</v>
      </c>
      <c r="D7" s="23" t="s">
        <v>396</v>
      </c>
      <c r="E7" s="28">
        <v>30</v>
      </c>
      <c r="F7" s="25">
        <v>386.53</v>
      </c>
      <c r="G7" s="25">
        <v>10.27</v>
      </c>
      <c r="H7" s="25">
        <v>4.28</v>
      </c>
    </row>
    <row r="8" spans="2:10" x14ac:dyDescent="0.2">
      <c r="B8" s="23" t="s">
        <v>394</v>
      </c>
      <c r="C8" s="23" t="s">
        <v>395</v>
      </c>
      <c r="D8" s="23" t="s">
        <v>396</v>
      </c>
      <c r="E8" s="28">
        <v>38</v>
      </c>
      <c r="F8" s="25">
        <v>379.48</v>
      </c>
      <c r="G8" s="25">
        <v>10.08</v>
      </c>
      <c r="H8" s="25">
        <v>3.35</v>
      </c>
    </row>
    <row r="9" spans="2:10" x14ac:dyDescent="0.2">
      <c r="B9" s="23" t="s">
        <v>413</v>
      </c>
      <c r="C9" s="23" t="s">
        <v>414</v>
      </c>
      <c r="D9" s="23" t="s">
        <v>365</v>
      </c>
      <c r="E9" s="28">
        <v>31</v>
      </c>
      <c r="F9" s="25">
        <v>313.29000000000002</v>
      </c>
      <c r="G9" s="25">
        <v>8.33</v>
      </c>
      <c r="H9" s="25">
        <v>3.65</v>
      </c>
    </row>
    <row r="10" spans="2:10" x14ac:dyDescent="0.2">
      <c r="B10" s="23" t="s">
        <v>644</v>
      </c>
      <c r="C10" s="23" t="s">
        <v>645</v>
      </c>
      <c r="D10" s="23" t="s">
        <v>396</v>
      </c>
      <c r="E10" s="28">
        <v>30</v>
      </c>
      <c r="F10" s="25">
        <v>306.06</v>
      </c>
      <c r="G10" s="25">
        <v>8.1300000000000008</v>
      </c>
      <c r="H10" s="25">
        <v>3.05</v>
      </c>
    </row>
    <row r="11" spans="2:10" x14ac:dyDescent="0.2">
      <c r="B11" s="23" t="s">
        <v>694</v>
      </c>
      <c r="C11" s="23" t="s">
        <v>695</v>
      </c>
      <c r="D11" s="23" t="s">
        <v>365</v>
      </c>
      <c r="E11" s="28">
        <v>30</v>
      </c>
      <c r="F11" s="25">
        <v>304.05</v>
      </c>
      <c r="G11" s="25">
        <v>8.08</v>
      </c>
      <c r="H11" s="25">
        <v>3.49</v>
      </c>
    </row>
    <row r="12" spans="2:10" x14ac:dyDescent="0.2">
      <c r="B12" s="23" t="s">
        <v>634</v>
      </c>
      <c r="C12" s="23" t="s">
        <v>635</v>
      </c>
      <c r="D12" s="23" t="s">
        <v>365</v>
      </c>
      <c r="E12" s="28">
        <v>30</v>
      </c>
      <c r="F12" s="25">
        <v>301.82</v>
      </c>
      <c r="G12" s="25">
        <v>8.02</v>
      </c>
      <c r="H12" s="25">
        <v>3.65</v>
      </c>
    </row>
    <row r="13" spans="2:10" x14ac:dyDescent="0.2">
      <c r="B13" s="23" t="s">
        <v>494</v>
      </c>
      <c r="C13" s="23" t="s">
        <v>495</v>
      </c>
      <c r="D13" s="23" t="s">
        <v>365</v>
      </c>
      <c r="E13" s="28">
        <v>30</v>
      </c>
      <c r="F13" s="25">
        <v>301.82</v>
      </c>
      <c r="G13" s="25">
        <v>8.02</v>
      </c>
      <c r="H13" s="25">
        <v>3.6</v>
      </c>
    </row>
    <row r="14" spans="2:10" x14ac:dyDescent="0.2">
      <c r="B14" s="23" t="s">
        <v>642</v>
      </c>
      <c r="C14" s="23" t="s">
        <v>643</v>
      </c>
      <c r="D14" s="23" t="s">
        <v>365</v>
      </c>
      <c r="E14" s="28">
        <v>23</v>
      </c>
      <c r="F14" s="25">
        <v>231.38</v>
      </c>
      <c r="G14" s="25">
        <v>6.15</v>
      </c>
      <c r="H14" s="25">
        <v>3.64</v>
      </c>
    </row>
    <row r="15" spans="2:10" x14ac:dyDescent="0.2">
      <c r="B15" s="23" t="s">
        <v>522</v>
      </c>
      <c r="C15" s="23" t="s">
        <v>523</v>
      </c>
      <c r="D15" s="23" t="s">
        <v>365</v>
      </c>
      <c r="E15" s="28">
        <v>7</v>
      </c>
      <c r="F15" s="25">
        <v>70.319999999999993</v>
      </c>
      <c r="G15" s="25">
        <v>1.87</v>
      </c>
      <c r="H15" s="25">
        <v>3.65</v>
      </c>
    </row>
    <row r="16" spans="2:10" x14ac:dyDescent="0.2">
      <c r="B16" s="30" t="s">
        <v>119</v>
      </c>
      <c r="C16" s="30"/>
      <c r="D16" s="30"/>
      <c r="E16" s="31"/>
      <c r="F16" s="32">
        <f>SUM(F6:F15)</f>
        <v>2594.75</v>
      </c>
      <c r="G16" s="32">
        <f>SUM(G6:G15)</f>
        <v>68.95</v>
      </c>
      <c r="H16" s="48"/>
      <c r="I16" s="14"/>
      <c r="J16" s="14"/>
    </row>
    <row r="17" spans="2:10" x14ac:dyDescent="0.2">
      <c r="B17" s="49" t="s">
        <v>120</v>
      </c>
      <c r="C17" s="49"/>
      <c r="D17" s="49"/>
      <c r="E17" s="50"/>
      <c r="F17" s="51">
        <f>F16</f>
        <v>2594.75</v>
      </c>
      <c r="G17" s="51">
        <f>G16</f>
        <v>68.95</v>
      </c>
      <c r="H17" s="51"/>
      <c r="I17" s="14"/>
      <c r="J17" s="14"/>
    </row>
    <row r="18" spans="2:10" x14ac:dyDescent="0.2">
      <c r="B18" s="47" t="s">
        <v>467</v>
      </c>
      <c r="C18" s="23"/>
      <c r="D18" s="23"/>
      <c r="E18" s="24"/>
      <c r="F18" s="25"/>
      <c r="G18" s="25"/>
      <c r="H18" s="25"/>
    </row>
    <row r="19" spans="2:10" x14ac:dyDescent="0.2">
      <c r="B19" s="47" t="s">
        <v>468</v>
      </c>
      <c r="C19" s="23"/>
      <c r="D19" s="23"/>
      <c r="E19" s="24"/>
      <c r="F19" s="25"/>
      <c r="G19" s="25"/>
      <c r="H19" s="25"/>
    </row>
    <row r="20" spans="2:10" x14ac:dyDescent="0.2">
      <c r="B20" s="23" t="s">
        <v>592</v>
      </c>
      <c r="C20" s="23" t="s">
        <v>593</v>
      </c>
      <c r="D20" s="23" t="s">
        <v>471</v>
      </c>
      <c r="E20" s="28">
        <v>250000</v>
      </c>
      <c r="F20" s="25">
        <v>247.35</v>
      </c>
      <c r="G20" s="25">
        <v>6.57</v>
      </c>
      <c r="H20" s="25">
        <v>3.42</v>
      </c>
    </row>
    <row r="21" spans="2:10" x14ac:dyDescent="0.2">
      <c r="B21" s="30" t="s">
        <v>119</v>
      </c>
      <c r="C21" s="30"/>
      <c r="D21" s="30"/>
      <c r="E21" s="31"/>
      <c r="F21" s="32">
        <f>SUM(F19:F20)</f>
        <v>247.35</v>
      </c>
      <c r="G21" s="32">
        <f>SUM(G19:G20)</f>
        <v>6.57</v>
      </c>
      <c r="H21" s="48"/>
      <c r="I21" s="14"/>
      <c r="J21" s="14"/>
    </row>
    <row r="22" spans="2:10" x14ac:dyDescent="0.2">
      <c r="B22" s="49" t="s">
        <v>120</v>
      </c>
      <c r="C22" s="49"/>
      <c r="D22" s="49"/>
      <c r="E22" s="50"/>
      <c r="F22" s="51">
        <f>+F21</f>
        <v>247.35</v>
      </c>
      <c r="G22" s="51">
        <f>+G21</f>
        <v>6.57</v>
      </c>
      <c r="H22" s="51"/>
      <c r="I22" s="14"/>
      <c r="J22" s="14"/>
    </row>
    <row r="23" spans="2:10" x14ac:dyDescent="0.2">
      <c r="B23" s="47" t="s">
        <v>423</v>
      </c>
      <c r="C23" s="23"/>
      <c r="D23" s="23"/>
      <c r="E23" s="24"/>
      <c r="F23" s="25"/>
      <c r="G23" s="25"/>
      <c r="H23" s="25"/>
    </row>
    <row r="24" spans="2:10" x14ac:dyDescent="0.2">
      <c r="B24" s="23" t="s">
        <v>754</v>
      </c>
      <c r="C24" s="23" t="s">
        <v>755</v>
      </c>
      <c r="D24" s="23" t="s">
        <v>426</v>
      </c>
      <c r="E24" s="28">
        <v>300000</v>
      </c>
      <c r="F24" s="25">
        <v>304.5</v>
      </c>
      <c r="G24" s="25">
        <v>8.09</v>
      </c>
      <c r="H24" s="25">
        <v>3.65</v>
      </c>
    </row>
    <row r="25" spans="2:10" x14ac:dyDescent="0.2">
      <c r="B25" s="52" t="s">
        <v>756</v>
      </c>
      <c r="C25" s="52" t="s">
        <v>757</v>
      </c>
      <c r="D25" s="52" t="s">
        <v>426</v>
      </c>
      <c r="E25" s="53">
        <v>33300</v>
      </c>
      <c r="F25" s="54">
        <v>33.729999999999997</v>
      </c>
      <c r="G25" s="54">
        <v>0.9</v>
      </c>
      <c r="H25" s="54">
        <v>3.68</v>
      </c>
    </row>
    <row r="26" spans="2:10" x14ac:dyDescent="0.2">
      <c r="B26" s="55" t="s">
        <v>120</v>
      </c>
      <c r="C26" s="55"/>
      <c r="D26" s="55"/>
      <c r="E26" s="56"/>
      <c r="F26" s="57">
        <f>SUM(F24:F25)</f>
        <v>338.23</v>
      </c>
      <c r="G26" s="57">
        <f>SUM(G24:G25)</f>
        <v>8.99</v>
      </c>
      <c r="H26" s="57"/>
      <c r="I26" s="14"/>
      <c r="J26" s="14"/>
    </row>
    <row r="27" spans="2:10" x14ac:dyDescent="0.2">
      <c r="B27" s="47" t="s">
        <v>121</v>
      </c>
      <c r="C27" s="23"/>
      <c r="D27" s="23"/>
      <c r="E27" s="24"/>
      <c r="F27" s="25"/>
      <c r="G27" s="25"/>
      <c r="H27" s="25"/>
    </row>
    <row r="28" spans="2:10" x14ac:dyDescent="0.2">
      <c r="B28" s="23" t="s">
        <v>121</v>
      </c>
      <c r="C28" s="23"/>
      <c r="D28" s="23"/>
      <c r="E28" s="24"/>
      <c r="F28" s="25">
        <v>396.03</v>
      </c>
      <c r="G28" s="25">
        <v>10.52</v>
      </c>
      <c r="H28" s="25"/>
    </row>
    <row r="29" spans="2:10" x14ac:dyDescent="0.2">
      <c r="B29" s="30" t="s">
        <v>119</v>
      </c>
      <c r="C29" s="30"/>
      <c r="D29" s="30"/>
      <c r="E29" s="31"/>
      <c r="F29" s="32">
        <f>SUM(F27:F28)</f>
        <v>396.03</v>
      </c>
      <c r="G29" s="32">
        <f>SUM(G27:G28)</f>
        <v>10.52</v>
      </c>
      <c r="H29" s="48"/>
      <c r="I29" s="14"/>
      <c r="J29" s="14"/>
    </row>
    <row r="30" spans="2:10" x14ac:dyDescent="0.2">
      <c r="B30" s="34" t="s">
        <v>120</v>
      </c>
      <c r="C30" s="34"/>
      <c r="D30" s="34"/>
      <c r="E30" s="35"/>
      <c r="F30" s="36">
        <f>F29</f>
        <v>396.03</v>
      </c>
      <c r="G30" s="36">
        <f>G29</f>
        <v>10.52</v>
      </c>
      <c r="H30" s="36"/>
      <c r="I30" s="14"/>
      <c r="J30" s="14"/>
    </row>
    <row r="31" spans="2:10" x14ac:dyDescent="0.2">
      <c r="B31" s="44" t="s">
        <v>123</v>
      </c>
      <c r="C31" s="44"/>
      <c r="D31" s="44"/>
      <c r="E31" s="45"/>
      <c r="F31" s="16">
        <f>F32-(+F17+F22+F26+F30)</f>
        <v>186.61000000000013</v>
      </c>
      <c r="G31" s="16">
        <f>G32-(+G17+G22+G26+G30)</f>
        <v>4.9699999999999989</v>
      </c>
      <c r="H31" s="16"/>
      <c r="I31" s="14"/>
      <c r="J31" s="14"/>
    </row>
    <row r="32" spans="2:10" x14ac:dyDescent="0.2">
      <c r="B32" s="44" t="s">
        <v>122</v>
      </c>
      <c r="C32" s="44"/>
      <c r="D32" s="44"/>
      <c r="E32" s="45"/>
      <c r="F32" s="16">
        <v>3762.97</v>
      </c>
      <c r="G32" s="16">
        <v>100</v>
      </c>
      <c r="H32" s="16"/>
      <c r="I32" s="14"/>
      <c r="J32" s="14"/>
    </row>
    <row r="34" spans="2:2" x14ac:dyDescent="0.2">
      <c r="B34" s="14" t="s">
        <v>766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5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58.28515625" style="1" bestFit="1" customWidth="1"/>
    <col min="3" max="3" width="13.57031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8" t="s">
        <v>30</v>
      </c>
      <c r="C1" s="79"/>
      <c r="D1" s="79"/>
      <c r="E1" s="79"/>
      <c r="F1" s="79"/>
      <c r="G1" s="79"/>
      <c r="H1" s="79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36</v>
      </c>
      <c r="C7" s="23" t="s">
        <v>37</v>
      </c>
      <c r="D7" s="23" t="s">
        <v>38</v>
      </c>
      <c r="E7" s="28">
        <v>53500</v>
      </c>
      <c r="F7" s="25">
        <v>354.57</v>
      </c>
      <c r="G7" s="25">
        <v>1.68</v>
      </c>
      <c r="H7" s="26"/>
    </row>
    <row r="8" spans="2:8" x14ac:dyDescent="0.2">
      <c r="B8" s="27" t="s">
        <v>124</v>
      </c>
      <c r="C8" s="23" t="s">
        <v>125</v>
      </c>
      <c r="D8" s="23" t="s">
        <v>38</v>
      </c>
      <c r="E8" s="28">
        <v>21240</v>
      </c>
      <c r="F8" s="25">
        <v>321.97000000000003</v>
      </c>
      <c r="G8" s="25">
        <v>1.53</v>
      </c>
      <c r="H8" s="26"/>
    </row>
    <row r="9" spans="2:8" x14ac:dyDescent="0.2">
      <c r="B9" s="27" t="s">
        <v>126</v>
      </c>
      <c r="C9" s="23" t="s">
        <v>127</v>
      </c>
      <c r="D9" s="23" t="s">
        <v>128</v>
      </c>
      <c r="E9" s="28">
        <v>23000</v>
      </c>
      <c r="F9" s="25">
        <v>320.56</v>
      </c>
      <c r="G9" s="25">
        <v>1.52</v>
      </c>
      <c r="H9" s="26"/>
    </row>
    <row r="10" spans="2:8" x14ac:dyDescent="0.2">
      <c r="B10" s="27" t="s">
        <v>129</v>
      </c>
      <c r="C10" s="23" t="s">
        <v>130</v>
      </c>
      <c r="D10" s="23" t="s">
        <v>83</v>
      </c>
      <c r="E10" s="28">
        <v>13500</v>
      </c>
      <c r="F10" s="25">
        <v>291.64</v>
      </c>
      <c r="G10" s="25">
        <v>1.38</v>
      </c>
      <c r="H10" s="26"/>
    </row>
    <row r="11" spans="2:8" x14ac:dyDescent="0.2">
      <c r="B11" s="27" t="s">
        <v>133</v>
      </c>
      <c r="C11" s="23" t="s">
        <v>134</v>
      </c>
      <c r="D11" s="23" t="s">
        <v>38</v>
      </c>
      <c r="E11" s="28">
        <v>22330</v>
      </c>
      <c r="F11" s="25">
        <v>167.63</v>
      </c>
      <c r="G11" s="25">
        <v>0.79</v>
      </c>
      <c r="H11" s="26"/>
    </row>
    <row r="12" spans="2:8" x14ac:dyDescent="0.2">
      <c r="B12" s="27" t="s">
        <v>131</v>
      </c>
      <c r="C12" s="23" t="s">
        <v>132</v>
      </c>
      <c r="D12" s="23" t="s">
        <v>128</v>
      </c>
      <c r="E12" s="28">
        <v>4928</v>
      </c>
      <c r="F12" s="25">
        <v>155.68</v>
      </c>
      <c r="G12" s="25">
        <v>0.74</v>
      </c>
      <c r="H12" s="26"/>
    </row>
    <row r="13" spans="2:8" x14ac:dyDescent="0.2">
      <c r="B13" s="27" t="s">
        <v>140</v>
      </c>
      <c r="C13" s="23" t="s">
        <v>141</v>
      </c>
      <c r="D13" s="23" t="s">
        <v>142</v>
      </c>
      <c r="E13" s="28">
        <v>5730</v>
      </c>
      <c r="F13" s="25">
        <v>134.08000000000001</v>
      </c>
      <c r="G13" s="25">
        <v>0.64</v>
      </c>
      <c r="H13" s="26"/>
    </row>
    <row r="14" spans="2:8" x14ac:dyDescent="0.2">
      <c r="B14" s="27" t="s">
        <v>225</v>
      </c>
      <c r="C14" s="23" t="s">
        <v>226</v>
      </c>
      <c r="D14" s="23" t="s">
        <v>167</v>
      </c>
      <c r="E14" s="28">
        <v>14000</v>
      </c>
      <c r="F14" s="25">
        <v>113.11</v>
      </c>
      <c r="G14" s="25">
        <v>0.54</v>
      </c>
      <c r="H14" s="26"/>
    </row>
    <row r="15" spans="2:8" x14ac:dyDescent="0.2">
      <c r="B15" s="27" t="s">
        <v>138</v>
      </c>
      <c r="C15" s="23" t="s">
        <v>139</v>
      </c>
      <c r="D15" s="23" t="s">
        <v>137</v>
      </c>
      <c r="E15" s="28">
        <v>4400</v>
      </c>
      <c r="F15" s="25">
        <v>112.33</v>
      </c>
      <c r="G15" s="25">
        <v>0.53</v>
      </c>
      <c r="H15" s="26"/>
    </row>
    <row r="16" spans="2:8" x14ac:dyDescent="0.2">
      <c r="B16" s="27" t="s">
        <v>187</v>
      </c>
      <c r="C16" s="23" t="s">
        <v>188</v>
      </c>
      <c r="D16" s="23" t="s">
        <v>142</v>
      </c>
      <c r="E16" s="28">
        <v>15000</v>
      </c>
      <c r="F16" s="25">
        <v>99.58</v>
      </c>
      <c r="G16" s="25">
        <v>0.47</v>
      </c>
      <c r="H16" s="26"/>
    </row>
    <row r="17" spans="2:8" x14ac:dyDescent="0.2">
      <c r="B17" s="27" t="s">
        <v>84</v>
      </c>
      <c r="C17" s="23" t="s">
        <v>85</v>
      </c>
      <c r="D17" s="23" t="s">
        <v>86</v>
      </c>
      <c r="E17" s="28">
        <v>9400</v>
      </c>
      <c r="F17" s="25">
        <v>94.69</v>
      </c>
      <c r="G17" s="25">
        <v>0.45</v>
      </c>
      <c r="H17" s="26"/>
    </row>
    <row r="18" spans="2:8" x14ac:dyDescent="0.2">
      <c r="B18" s="27" t="s">
        <v>33</v>
      </c>
      <c r="C18" s="23" t="s">
        <v>34</v>
      </c>
      <c r="D18" s="23" t="s">
        <v>35</v>
      </c>
      <c r="E18" s="28">
        <v>6370</v>
      </c>
      <c r="F18" s="25">
        <v>93.49</v>
      </c>
      <c r="G18" s="25">
        <v>0.44</v>
      </c>
      <c r="H18" s="26"/>
    </row>
    <row r="19" spans="2:8" x14ac:dyDescent="0.2">
      <c r="B19" s="27" t="s">
        <v>758</v>
      </c>
      <c r="C19" s="23" t="s">
        <v>759</v>
      </c>
      <c r="D19" s="23" t="s">
        <v>149</v>
      </c>
      <c r="E19" s="28">
        <v>3000</v>
      </c>
      <c r="F19" s="25">
        <v>89.68</v>
      </c>
      <c r="G19" s="25">
        <v>0.43</v>
      </c>
      <c r="H19" s="26"/>
    </row>
    <row r="20" spans="2:8" x14ac:dyDescent="0.2">
      <c r="B20" s="27" t="s">
        <v>39</v>
      </c>
      <c r="C20" s="23" t="s">
        <v>40</v>
      </c>
      <c r="D20" s="23" t="s">
        <v>41</v>
      </c>
      <c r="E20" s="28">
        <v>40660</v>
      </c>
      <c r="F20" s="25">
        <v>89.33</v>
      </c>
      <c r="G20" s="25">
        <v>0.42</v>
      </c>
      <c r="H20" s="26"/>
    </row>
    <row r="21" spans="2:8" x14ac:dyDescent="0.2">
      <c r="B21" s="27" t="s">
        <v>91</v>
      </c>
      <c r="C21" s="23" t="s">
        <v>92</v>
      </c>
      <c r="D21" s="23" t="s">
        <v>68</v>
      </c>
      <c r="E21" s="28">
        <v>300</v>
      </c>
      <c r="F21" s="25">
        <v>82.73</v>
      </c>
      <c r="G21" s="25">
        <v>0.39</v>
      </c>
      <c r="H21" s="26"/>
    </row>
    <row r="22" spans="2:8" x14ac:dyDescent="0.2">
      <c r="B22" s="27" t="s">
        <v>71</v>
      </c>
      <c r="C22" s="23" t="s">
        <v>72</v>
      </c>
      <c r="D22" s="23" t="s">
        <v>73</v>
      </c>
      <c r="E22" s="28">
        <v>15000</v>
      </c>
      <c r="F22" s="25">
        <v>80.45</v>
      </c>
      <c r="G22" s="25">
        <v>0.38</v>
      </c>
      <c r="H22" s="26"/>
    </row>
    <row r="23" spans="2:8" x14ac:dyDescent="0.2">
      <c r="B23" s="27" t="s">
        <v>143</v>
      </c>
      <c r="C23" s="23" t="s">
        <v>144</v>
      </c>
      <c r="D23" s="23" t="s">
        <v>38</v>
      </c>
      <c r="E23" s="28">
        <v>4000</v>
      </c>
      <c r="F23" s="25">
        <v>72.31</v>
      </c>
      <c r="G23" s="25">
        <v>0.34</v>
      </c>
      <c r="H23" s="26"/>
    </row>
    <row r="24" spans="2:8" x14ac:dyDescent="0.2">
      <c r="B24" s="27" t="s">
        <v>259</v>
      </c>
      <c r="C24" s="23" t="s">
        <v>260</v>
      </c>
      <c r="D24" s="23" t="s">
        <v>142</v>
      </c>
      <c r="E24" s="28">
        <v>12500</v>
      </c>
      <c r="F24" s="25">
        <v>71.48</v>
      </c>
      <c r="G24" s="25">
        <v>0.34</v>
      </c>
      <c r="H24" s="26"/>
    </row>
    <row r="25" spans="2:8" x14ac:dyDescent="0.2">
      <c r="B25" s="27" t="s">
        <v>48</v>
      </c>
      <c r="C25" s="23" t="s">
        <v>49</v>
      </c>
      <c r="D25" s="23" t="s">
        <v>44</v>
      </c>
      <c r="E25" s="28">
        <v>165</v>
      </c>
      <c r="F25" s="25">
        <v>70.7</v>
      </c>
      <c r="G25" s="25">
        <v>0.34</v>
      </c>
      <c r="H25" s="26"/>
    </row>
    <row r="26" spans="2:8" x14ac:dyDescent="0.2">
      <c r="B26" s="27" t="s">
        <v>135</v>
      </c>
      <c r="C26" s="23" t="s">
        <v>136</v>
      </c>
      <c r="D26" s="23" t="s">
        <v>137</v>
      </c>
      <c r="E26" s="28">
        <v>1250</v>
      </c>
      <c r="F26" s="25">
        <v>70.349999999999994</v>
      </c>
      <c r="G26" s="25">
        <v>0.33</v>
      </c>
      <c r="H26" s="26"/>
    </row>
    <row r="27" spans="2:8" x14ac:dyDescent="0.2">
      <c r="B27" s="27" t="s">
        <v>231</v>
      </c>
      <c r="C27" s="23" t="s">
        <v>232</v>
      </c>
      <c r="D27" s="23" t="s">
        <v>128</v>
      </c>
      <c r="E27" s="28">
        <v>2400</v>
      </c>
      <c r="F27" s="25">
        <v>61.03</v>
      </c>
      <c r="G27" s="25">
        <v>0.28999999999999998</v>
      </c>
      <c r="H27" s="26"/>
    </row>
    <row r="28" spans="2:8" x14ac:dyDescent="0.2">
      <c r="B28" s="27" t="s">
        <v>69</v>
      </c>
      <c r="C28" s="23" t="s">
        <v>70</v>
      </c>
      <c r="D28" s="23" t="s">
        <v>68</v>
      </c>
      <c r="E28" s="28">
        <v>900</v>
      </c>
      <c r="F28" s="25">
        <v>60.37</v>
      </c>
      <c r="G28" s="25">
        <v>0.28999999999999998</v>
      </c>
      <c r="H28" s="26"/>
    </row>
    <row r="29" spans="2:8" x14ac:dyDescent="0.2">
      <c r="B29" s="27" t="s">
        <v>200</v>
      </c>
      <c r="C29" s="23" t="s">
        <v>201</v>
      </c>
      <c r="D29" s="23" t="s">
        <v>202</v>
      </c>
      <c r="E29" s="28">
        <v>10700</v>
      </c>
      <c r="F29" s="25">
        <v>57.23</v>
      </c>
      <c r="G29" s="25">
        <v>0.27</v>
      </c>
      <c r="H29" s="26"/>
    </row>
    <row r="30" spans="2:8" x14ac:dyDescent="0.2">
      <c r="B30" s="27" t="s">
        <v>145</v>
      </c>
      <c r="C30" s="23" t="s">
        <v>146</v>
      </c>
      <c r="D30" s="23" t="s">
        <v>142</v>
      </c>
      <c r="E30" s="28">
        <v>1870</v>
      </c>
      <c r="F30" s="25">
        <v>55.68</v>
      </c>
      <c r="G30" s="25">
        <v>0.26</v>
      </c>
      <c r="H30" s="26"/>
    </row>
    <row r="31" spans="2:8" x14ac:dyDescent="0.2">
      <c r="B31" s="27" t="s">
        <v>196</v>
      </c>
      <c r="C31" s="23" t="s">
        <v>197</v>
      </c>
      <c r="D31" s="23" t="s">
        <v>59</v>
      </c>
      <c r="E31" s="28">
        <v>8000</v>
      </c>
      <c r="F31" s="25">
        <v>54.23</v>
      </c>
      <c r="G31" s="25">
        <v>0.26</v>
      </c>
      <c r="H31" s="26"/>
    </row>
    <row r="32" spans="2:8" x14ac:dyDescent="0.2">
      <c r="B32" s="27" t="s">
        <v>109</v>
      </c>
      <c r="C32" s="23" t="s">
        <v>110</v>
      </c>
      <c r="D32" s="23" t="s">
        <v>73</v>
      </c>
      <c r="E32" s="28">
        <v>10000</v>
      </c>
      <c r="F32" s="25">
        <v>52.89</v>
      </c>
      <c r="G32" s="25">
        <v>0.25</v>
      </c>
      <c r="H32" s="26"/>
    </row>
    <row r="33" spans="2:10" x14ac:dyDescent="0.2">
      <c r="B33" s="27" t="s">
        <v>239</v>
      </c>
      <c r="C33" s="23" t="s">
        <v>240</v>
      </c>
      <c r="D33" s="23" t="s">
        <v>149</v>
      </c>
      <c r="E33" s="28">
        <v>800</v>
      </c>
      <c r="F33" s="25">
        <v>42.47</v>
      </c>
      <c r="G33" s="25">
        <v>0.2</v>
      </c>
      <c r="H33" s="26"/>
    </row>
    <row r="34" spans="2:10" x14ac:dyDescent="0.2">
      <c r="B34" s="27" t="s">
        <v>57</v>
      </c>
      <c r="C34" s="23" t="s">
        <v>58</v>
      </c>
      <c r="D34" s="23" t="s">
        <v>59</v>
      </c>
      <c r="E34" s="28">
        <v>800</v>
      </c>
      <c r="F34" s="25">
        <v>42.31</v>
      </c>
      <c r="G34" s="25">
        <v>0.2</v>
      </c>
      <c r="H34" s="26"/>
    </row>
    <row r="35" spans="2:10" x14ac:dyDescent="0.2">
      <c r="B35" s="27" t="s">
        <v>319</v>
      </c>
      <c r="C35" s="23" t="s">
        <v>320</v>
      </c>
      <c r="D35" s="23" t="s">
        <v>152</v>
      </c>
      <c r="E35" s="28">
        <v>1500</v>
      </c>
      <c r="F35" s="25">
        <v>41.49</v>
      </c>
      <c r="G35" s="25">
        <v>0.2</v>
      </c>
      <c r="H35" s="26"/>
    </row>
    <row r="36" spans="2:10" x14ac:dyDescent="0.2">
      <c r="B36" s="27" t="s">
        <v>760</v>
      </c>
      <c r="C36" s="23" t="s">
        <v>761</v>
      </c>
      <c r="D36" s="23" t="s">
        <v>142</v>
      </c>
      <c r="E36" s="28">
        <v>18000</v>
      </c>
      <c r="F36" s="25">
        <v>38.99</v>
      </c>
      <c r="G36" s="25">
        <v>0.18</v>
      </c>
      <c r="H36" s="26"/>
    </row>
    <row r="37" spans="2:10" x14ac:dyDescent="0.2">
      <c r="B37" s="27" t="s">
        <v>176</v>
      </c>
      <c r="C37" s="23" t="s">
        <v>177</v>
      </c>
      <c r="D37" s="23" t="s">
        <v>167</v>
      </c>
      <c r="E37" s="28">
        <v>500</v>
      </c>
      <c r="F37" s="25">
        <v>35.43</v>
      </c>
      <c r="G37" s="25">
        <v>0.17</v>
      </c>
      <c r="H37" s="26"/>
    </row>
    <row r="38" spans="2:10" x14ac:dyDescent="0.2">
      <c r="B38" s="27" t="s">
        <v>155</v>
      </c>
      <c r="C38" s="23" t="s">
        <v>156</v>
      </c>
      <c r="D38" s="23" t="s">
        <v>86</v>
      </c>
      <c r="E38" s="28">
        <v>1800</v>
      </c>
      <c r="F38" s="25">
        <v>28.73</v>
      </c>
      <c r="G38" s="25">
        <v>0.14000000000000001</v>
      </c>
      <c r="H38" s="26"/>
    </row>
    <row r="39" spans="2:10" x14ac:dyDescent="0.2">
      <c r="B39" s="27" t="s">
        <v>150</v>
      </c>
      <c r="C39" s="23" t="s">
        <v>151</v>
      </c>
      <c r="D39" s="23" t="s">
        <v>152</v>
      </c>
      <c r="E39" s="28">
        <v>700</v>
      </c>
      <c r="F39" s="25">
        <v>21.49</v>
      </c>
      <c r="G39" s="25">
        <v>0.1</v>
      </c>
      <c r="H39" s="26"/>
    </row>
    <row r="40" spans="2:10" x14ac:dyDescent="0.2">
      <c r="B40" s="27" t="s">
        <v>198</v>
      </c>
      <c r="C40" s="23" t="s">
        <v>199</v>
      </c>
      <c r="D40" s="23" t="s">
        <v>137</v>
      </c>
      <c r="E40" s="28">
        <v>1121</v>
      </c>
      <c r="F40" s="25">
        <v>11.71</v>
      </c>
      <c r="G40" s="25">
        <v>0.06</v>
      </c>
      <c r="H40" s="26"/>
    </row>
    <row r="41" spans="2:10" x14ac:dyDescent="0.2">
      <c r="B41" s="29" t="s">
        <v>119</v>
      </c>
      <c r="C41" s="30"/>
      <c r="D41" s="30"/>
      <c r="E41" s="31"/>
      <c r="F41" s="32">
        <f>SUM(F7:F40)</f>
        <v>3490.4099999999976</v>
      </c>
      <c r="G41" s="32">
        <f>SUM(G7:G40)</f>
        <v>16.549999999999997</v>
      </c>
      <c r="H41" s="33"/>
      <c r="I41" s="14"/>
      <c r="J41" s="14"/>
    </row>
    <row r="42" spans="2:10" x14ac:dyDescent="0.2">
      <c r="B42" s="37" t="s">
        <v>120</v>
      </c>
      <c r="C42" s="37"/>
      <c r="D42" s="37"/>
      <c r="E42" s="38"/>
      <c r="F42" s="39">
        <f>F41</f>
        <v>3490.4099999999976</v>
      </c>
      <c r="G42" s="39">
        <f>G41</f>
        <v>16.549999999999997</v>
      </c>
      <c r="H42" s="15"/>
      <c r="I42" s="14"/>
      <c r="J42" s="14"/>
    </row>
    <row r="43" spans="2:10" x14ac:dyDescent="0.2">
      <c r="B43" s="46" t="s">
        <v>227</v>
      </c>
      <c r="C43" s="41"/>
      <c r="D43" s="41"/>
      <c r="E43" s="42"/>
      <c r="F43" s="43"/>
      <c r="G43" s="43"/>
      <c r="H43" s="43"/>
    </row>
    <row r="44" spans="2:10" x14ac:dyDescent="0.2">
      <c r="B44" s="47" t="s">
        <v>32</v>
      </c>
      <c r="C44" s="23"/>
      <c r="D44" s="23"/>
      <c r="E44" s="24"/>
      <c r="F44" s="25"/>
      <c r="G44" s="25"/>
      <c r="H44" s="25"/>
    </row>
    <row r="45" spans="2:10" x14ac:dyDescent="0.2">
      <c r="B45" s="23" t="s">
        <v>392</v>
      </c>
      <c r="C45" s="23" t="s">
        <v>393</v>
      </c>
      <c r="D45" s="23" t="s">
        <v>365</v>
      </c>
      <c r="E45" s="28">
        <v>150</v>
      </c>
      <c r="F45" s="25">
        <v>1547.43</v>
      </c>
      <c r="G45" s="25">
        <v>7.34</v>
      </c>
      <c r="H45" s="25">
        <v>4.03</v>
      </c>
    </row>
    <row r="46" spans="2:10" x14ac:dyDescent="0.2">
      <c r="B46" s="23" t="s">
        <v>368</v>
      </c>
      <c r="C46" s="23" t="s">
        <v>369</v>
      </c>
      <c r="D46" s="23" t="s">
        <v>365</v>
      </c>
      <c r="E46" s="28">
        <v>150</v>
      </c>
      <c r="F46" s="25">
        <v>1547.14</v>
      </c>
      <c r="G46" s="25">
        <v>7.34</v>
      </c>
      <c r="H46" s="25">
        <v>4.01</v>
      </c>
    </row>
    <row r="47" spans="2:10" x14ac:dyDescent="0.2">
      <c r="B47" s="23" t="s">
        <v>762</v>
      </c>
      <c r="C47" s="23" t="s">
        <v>763</v>
      </c>
      <c r="D47" s="23" t="s">
        <v>365</v>
      </c>
      <c r="E47" s="28">
        <v>150</v>
      </c>
      <c r="F47" s="25">
        <v>1543.99</v>
      </c>
      <c r="G47" s="25">
        <v>7.32</v>
      </c>
      <c r="H47" s="25">
        <v>4.16</v>
      </c>
    </row>
    <row r="48" spans="2:10" x14ac:dyDescent="0.2">
      <c r="B48" s="23" t="s">
        <v>421</v>
      </c>
      <c r="C48" s="23" t="s">
        <v>422</v>
      </c>
      <c r="D48" s="23" t="s">
        <v>365</v>
      </c>
      <c r="E48" s="28">
        <v>140</v>
      </c>
      <c r="F48" s="25">
        <v>1441.85</v>
      </c>
      <c r="G48" s="25">
        <v>6.84</v>
      </c>
      <c r="H48" s="25">
        <v>3.92</v>
      </c>
    </row>
    <row r="49" spans="2:10" x14ac:dyDescent="0.2">
      <c r="B49" s="23" t="s">
        <v>706</v>
      </c>
      <c r="C49" s="23" t="s">
        <v>707</v>
      </c>
      <c r="D49" s="23" t="s">
        <v>365</v>
      </c>
      <c r="E49" s="28">
        <v>100</v>
      </c>
      <c r="F49" s="25">
        <v>1033.6300000000001</v>
      </c>
      <c r="G49" s="25">
        <v>4.9000000000000004</v>
      </c>
      <c r="H49" s="25">
        <v>4.1500000000000004</v>
      </c>
    </row>
    <row r="50" spans="2:10" x14ac:dyDescent="0.2">
      <c r="B50" s="23" t="s">
        <v>512</v>
      </c>
      <c r="C50" s="23" t="s">
        <v>513</v>
      </c>
      <c r="D50" s="23" t="s">
        <v>365</v>
      </c>
      <c r="E50" s="28">
        <v>100</v>
      </c>
      <c r="F50" s="25">
        <v>1019.42</v>
      </c>
      <c r="G50" s="25">
        <v>4.83</v>
      </c>
      <c r="H50" s="25">
        <v>4.0599999999999996</v>
      </c>
    </row>
    <row r="51" spans="2:10" x14ac:dyDescent="0.2">
      <c r="B51" s="30" t="s">
        <v>119</v>
      </c>
      <c r="C51" s="30"/>
      <c r="D51" s="30"/>
      <c r="E51" s="31"/>
      <c r="F51" s="32">
        <f>SUM(F44:F50)</f>
        <v>8133.46</v>
      </c>
      <c r="G51" s="32">
        <f>SUM(G44:G50)</f>
        <v>38.57</v>
      </c>
      <c r="H51" s="48"/>
      <c r="I51" s="14"/>
      <c r="J51" s="14"/>
    </row>
    <row r="52" spans="2:10" x14ac:dyDescent="0.2">
      <c r="B52" s="49" t="s">
        <v>120</v>
      </c>
      <c r="C52" s="49"/>
      <c r="D52" s="49"/>
      <c r="E52" s="50"/>
      <c r="F52" s="51">
        <f>F51</f>
        <v>8133.46</v>
      </c>
      <c r="G52" s="51">
        <f>G51</f>
        <v>38.57</v>
      </c>
      <c r="H52" s="51"/>
      <c r="I52" s="14"/>
      <c r="J52" s="14"/>
    </row>
    <row r="53" spans="2:10" x14ac:dyDescent="0.2">
      <c r="B53" s="47" t="s">
        <v>423</v>
      </c>
      <c r="C53" s="23"/>
      <c r="D53" s="23"/>
      <c r="E53" s="24"/>
      <c r="F53" s="25"/>
      <c r="G53" s="25"/>
      <c r="H53" s="25"/>
    </row>
    <row r="54" spans="2:10" x14ac:dyDescent="0.2">
      <c r="B54" s="23" t="s">
        <v>726</v>
      </c>
      <c r="C54" s="23" t="s">
        <v>727</v>
      </c>
      <c r="D54" s="23" t="s">
        <v>426</v>
      </c>
      <c r="E54" s="28">
        <v>4200000</v>
      </c>
      <c r="F54" s="25">
        <v>4343.72</v>
      </c>
      <c r="G54" s="25">
        <v>20.6</v>
      </c>
      <c r="H54" s="25">
        <v>3.98</v>
      </c>
    </row>
    <row r="55" spans="2:10" x14ac:dyDescent="0.2">
      <c r="B55" s="23" t="s">
        <v>594</v>
      </c>
      <c r="C55" s="23" t="s">
        <v>595</v>
      </c>
      <c r="D55" s="23" t="s">
        <v>426</v>
      </c>
      <c r="E55" s="28">
        <v>2200000</v>
      </c>
      <c r="F55" s="25">
        <v>2280.16</v>
      </c>
      <c r="G55" s="25">
        <v>10.81</v>
      </c>
      <c r="H55" s="25">
        <v>3.99</v>
      </c>
    </row>
    <row r="56" spans="2:10" x14ac:dyDescent="0.2">
      <c r="B56" s="52" t="s">
        <v>764</v>
      </c>
      <c r="C56" s="52" t="s">
        <v>765</v>
      </c>
      <c r="D56" s="52" t="s">
        <v>426</v>
      </c>
      <c r="E56" s="53">
        <v>220000</v>
      </c>
      <c r="F56" s="54">
        <v>228.7</v>
      </c>
      <c r="G56" s="54">
        <v>1.08</v>
      </c>
      <c r="H56" s="54">
        <v>3.83</v>
      </c>
    </row>
    <row r="57" spans="2:10" x14ac:dyDescent="0.2">
      <c r="B57" s="55" t="s">
        <v>120</v>
      </c>
      <c r="C57" s="55"/>
      <c r="D57" s="55"/>
      <c r="E57" s="56"/>
      <c r="F57" s="57">
        <f>SUM(F54:F56)</f>
        <v>6852.58</v>
      </c>
      <c r="G57" s="57">
        <f>SUM(G54:G56)</f>
        <v>32.49</v>
      </c>
      <c r="H57" s="57"/>
      <c r="I57" s="14"/>
      <c r="J57" s="14"/>
    </row>
    <row r="58" spans="2:10" x14ac:dyDescent="0.2">
      <c r="B58" s="47" t="s">
        <v>121</v>
      </c>
      <c r="C58" s="23"/>
      <c r="D58" s="23"/>
      <c r="E58" s="24"/>
      <c r="F58" s="25"/>
      <c r="G58" s="25"/>
      <c r="H58" s="25"/>
    </row>
    <row r="59" spans="2:10" x14ac:dyDescent="0.2">
      <c r="B59" s="23" t="s">
        <v>121</v>
      </c>
      <c r="C59" s="23"/>
      <c r="D59" s="23"/>
      <c r="E59" s="24"/>
      <c r="F59" s="25">
        <v>2363.9899999999998</v>
      </c>
      <c r="G59" s="25">
        <v>11.21</v>
      </c>
      <c r="H59" s="25"/>
    </row>
    <row r="60" spans="2:10" x14ac:dyDescent="0.2">
      <c r="B60" s="30" t="s">
        <v>119</v>
      </c>
      <c r="C60" s="30"/>
      <c r="D60" s="30"/>
      <c r="E60" s="31"/>
      <c r="F60" s="32">
        <f>SUM(F58:F59)</f>
        <v>2363.9899999999998</v>
      </c>
      <c r="G60" s="32">
        <f>SUM(G58:G59)</f>
        <v>11.21</v>
      </c>
      <c r="H60" s="48"/>
      <c r="I60" s="14"/>
      <c r="J60" s="14"/>
    </row>
    <row r="61" spans="2:10" x14ac:dyDescent="0.2">
      <c r="B61" s="34" t="s">
        <v>120</v>
      </c>
      <c r="C61" s="34"/>
      <c r="D61" s="34"/>
      <c r="E61" s="35"/>
      <c r="F61" s="36">
        <f>F60</f>
        <v>2363.9899999999998</v>
      </c>
      <c r="G61" s="36">
        <f>G60</f>
        <v>11.21</v>
      </c>
      <c r="H61" s="36"/>
      <c r="I61" s="14"/>
      <c r="J61" s="14"/>
    </row>
    <row r="62" spans="2:10" x14ac:dyDescent="0.2">
      <c r="B62" s="44" t="s">
        <v>123</v>
      </c>
      <c r="C62" s="44"/>
      <c r="D62" s="44"/>
      <c r="E62" s="45"/>
      <c r="F62" s="16">
        <f>F63-(+F42+F52+F57+F61)</f>
        <v>249.2100000000064</v>
      </c>
      <c r="G62" s="16">
        <f>G63-(+G42+G52+G57+G61)</f>
        <v>1.1800000000000068</v>
      </c>
      <c r="H62" s="16"/>
      <c r="I62" s="14"/>
      <c r="J62" s="14"/>
    </row>
    <row r="63" spans="2:10" x14ac:dyDescent="0.2">
      <c r="B63" s="44" t="s">
        <v>122</v>
      </c>
      <c r="C63" s="44"/>
      <c r="D63" s="44"/>
      <c r="E63" s="45"/>
      <c r="F63" s="16">
        <v>21089.65</v>
      </c>
      <c r="G63" s="16">
        <v>100</v>
      </c>
      <c r="H63" s="16"/>
      <c r="I63" s="14"/>
      <c r="J63" s="14"/>
    </row>
    <row r="65" spans="2:2" x14ac:dyDescent="0.2">
      <c r="B65" s="14" t="s">
        <v>766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Riskometer</vt:lpstr>
      <vt:lpstr>CRI</vt:lpstr>
      <vt:lpstr>CREDF</vt:lpstr>
      <vt:lpstr>CRETSF</vt:lpstr>
      <vt:lpstr>CREE</vt:lpstr>
      <vt:lpstr>CRCTF</vt:lpstr>
      <vt:lpstr>CRBCEF</vt:lpstr>
      <vt:lpstr>CRSCF</vt:lpstr>
      <vt:lpstr>CRFEF</vt:lpstr>
      <vt:lpstr>CREHF</vt:lpstr>
      <vt:lpstr>CRDBF</vt:lpstr>
      <vt:lpstr>CRGILT</vt:lpstr>
      <vt:lpstr>CRINC</vt:lpstr>
      <vt:lpstr>CRSF</vt:lpstr>
      <vt:lpstr>CRCHF</vt:lpstr>
      <vt:lpstr>CRG1988</vt:lpstr>
      <vt:lpstr>CRL</vt:lpstr>
      <vt:lpstr>CRUSTF</vt:lpstr>
      <vt:lpstr>CROF</vt:lpstr>
      <vt:lpstr>CRSDF</vt:lpstr>
      <vt:lpstr>CRCBF</vt:lpstr>
      <vt:lpstr>CRDAF1</vt:lpstr>
      <vt:lpstr>CRFMP8</vt:lpstr>
      <vt:lpstr>CRCPOF10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2021-06-09T10:54:00Z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3486a02c-2dfb-4efe-823f-aa2d1f0e6ab7_Enabled">
    <vt:lpwstr>true</vt:lpwstr>
  </property>
  <property fmtid="{D5CDD505-2E9C-101B-9397-08002B2CF9AE}" pid="5" name="MSIP_Label_3486a02c-2dfb-4efe-823f-aa2d1f0e6ab7_SetDate">
    <vt:lpwstr>2021-06-04T09:46:18Z</vt:lpwstr>
  </property>
  <property fmtid="{D5CDD505-2E9C-101B-9397-08002B2CF9AE}" pid="6" name="MSIP_Label_3486a02c-2dfb-4efe-823f-aa2d1f0e6ab7_Method">
    <vt:lpwstr>Standard</vt:lpwstr>
  </property>
  <property fmtid="{D5CDD505-2E9C-101B-9397-08002B2CF9AE}" pid="7" name="MSIP_Label_3486a02c-2dfb-4efe-823f-aa2d1f0e6ab7_Name">
    <vt:lpwstr>CLAPUBLIC</vt:lpwstr>
  </property>
  <property fmtid="{D5CDD505-2E9C-101B-9397-08002B2CF9AE}" pid="8" name="MSIP_Label_3486a02c-2dfb-4efe-823f-aa2d1f0e6ab7_SiteId">
    <vt:lpwstr>e0fd434d-ba64-497b-90d2-859c472e1a92</vt:lpwstr>
  </property>
  <property fmtid="{D5CDD505-2E9C-101B-9397-08002B2CF9AE}" pid="9" name="MSIP_Label_3486a02c-2dfb-4efe-823f-aa2d1f0e6ab7_ActionId">
    <vt:lpwstr>fecd85c4-cb6c-4398-9972-50eb25ccfc69</vt:lpwstr>
  </property>
  <property fmtid="{D5CDD505-2E9C-101B-9397-08002B2CF9AE}" pid="10" name="MSIP_Label_3486a02c-2dfb-4efe-823f-aa2d1f0e6ab7_ContentBits">
    <vt:lpwstr>2</vt:lpwstr>
  </property>
  <property fmtid="{D5CDD505-2E9C-101B-9397-08002B2CF9AE}" pid="11" name="Classification">
    <vt:lpwstr>PUBLIC</vt:lpwstr>
  </property>
</Properties>
</file>