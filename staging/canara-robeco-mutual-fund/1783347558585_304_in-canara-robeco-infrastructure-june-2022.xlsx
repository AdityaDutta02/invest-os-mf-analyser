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June 2022\"/>
    </mc:Choice>
  </mc:AlternateContent>
  <bookViews>
    <workbookView xWindow="0" yWindow="0" windowWidth="20490" windowHeight="7050"/>
  </bookViews>
  <sheets>
    <sheet name="IN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0" i="1" l="1"/>
  <c r="G41" i="1" s="1"/>
  <c r="F40" i="1"/>
  <c r="F41" i="1" s="1"/>
  <c r="G36" i="1"/>
  <c r="G37" i="1" s="1"/>
  <c r="G42" i="1" s="1"/>
  <c r="F36" i="1"/>
  <c r="F37" i="1" s="1"/>
  <c r="F42" i="1" s="1"/>
</calcChain>
</file>

<file path=xl/sharedStrings.xml><?xml version="1.0" encoding="utf-8"?>
<sst xmlns="http://schemas.openxmlformats.org/spreadsheetml/2006/main" count="139" uniqueCount="96">
  <si>
    <t>CANARA ROBECO INFRASTRUCTURE</t>
  </si>
  <si>
    <t>Monthly Portfolio Statement as on June 30,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</si>
  <si>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</si>
  <si>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</si>
  <si>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</si>
  <si>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</si>
  <si>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</si>
  <si>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</si>
  <si>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Market Capitalization</t>
  </si>
  <si>
    <t>Scheme Risk-o-meter Level- Jun'22</t>
  </si>
  <si>
    <t>Benchmark Risk-o-meter Level- Jun'22</t>
  </si>
  <si>
    <t>Previous Scheme Risk-o-meter Level- May'22</t>
  </si>
  <si>
    <t>Equity &amp; Equity related</t>
  </si>
  <si>
    <t>(a) Listed / awaiting listing on Stock Exchanges</t>
  </si>
  <si>
    <t>Larsen &amp; Toubro Ltd</t>
  </si>
  <si>
    <t>INE018A01030</t>
  </si>
  <si>
    <t>Construction</t>
  </si>
  <si>
    <t>Large Cap</t>
  </si>
  <si>
    <t>Bharat Electronics Ltd</t>
  </si>
  <si>
    <t>INE263A01024</t>
  </si>
  <si>
    <t>Aerospace &amp; Defense</t>
  </si>
  <si>
    <t>Schaeffler India Ltd</t>
  </si>
  <si>
    <t>INE513A01022</t>
  </si>
  <si>
    <t>Auto Components</t>
  </si>
  <si>
    <t>Mid Cap</t>
  </si>
  <si>
    <t>ICICI Bank Ltd</t>
  </si>
  <si>
    <t>INE090A01021</t>
  </si>
  <si>
    <t>Banks</t>
  </si>
  <si>
    <t>Siemens Ltd</t>
  </si>
  <si>
    <t>INE003A01024</t>
  </si>
  <si>
    <t>Electrical Equipment</t>
  </si>
  <si>
    <t>Thermax Ltd</t>
  </si>
  <si>
    <t>INE152A01029</t>
  </si>
  <si>
    <t>Timken India Ltd</t>
  </si>
  <si>
    <t>INE325A01013</t>
  </si>
  <si>
    <t>Industrial Products</t>
  </si>
  <si>
    <t>Small Cap</t>
  </si>
  <si>
    <t>Benchmark: S&amp;P BSE India Infrastructure TRI</t>
  </si>
  <si>
    <t>State Bank of India</t>
  </si>
  <si>
    <t>INE062A01020</t>
  </si>
  <si>
    <t>KNR Constructions Ltd</t>
  </si>
  <si>
    <t>INE634I01029</t>
  </si>
  <si>
    <t>ABB India Ltd</t>
  </si>
  <si>
    <t>INE117A01022</t>
  </si>
  <si>
    <t>NTPC Ltd</t>
  </si>
  <si>
    <t>INE733E01010</t>
  </si>
  <si>
    <t>Power</t>
  </si>
  <si>
    <t>Power Grid Corporation of India Ltd</t>
  </si>
  <si>
    <t>INE752E01010</t>
  </si>
  <si>
    <t>Grindwell Norton Ltd</t>
  </si>
  <si>
    <t>INE536A01023</t>
  </si>
  <si>
    <t>Brigade Enterprises Ltd</t>
  </si>
  <si>
    <t>INE791I01019</t>
  </si>
  <si>
    <t>Realty</t>
  </si>
  <si>
    <t>Ahluwalia Contracts (India) Ltd</t>
  </si>
  <si>
    <t>INE758C01029</t>
  </si>
  <si>
    <t>PNC Infratech Ltd</t>
  </si>
  <si>
    <t>INE195J01029</t>
  </si>
  <si>
    <t>Honeywell Automation India Ltd</t>
  </si>
  <si>
    <t>INE671A01010</t>
  </si>
  <si>
    <t>Industrial Manufacturing</t>
  </si>
  <si>
    <t>TCI Express Ltd</t>
  </si>
  <si>
    <t>INE586V01016</t>
  </si>
  <si>
    <t>Transport Services</t>
  </si>
  <si>
    <t>Reliance Industries Ltd</t>
  </si>
  <si>
    <t>INE002A01018</t>
  </si>
  <si>
    <t>Petroleum Products</t>
  </si>
  <si>
    <t>Bosch Ltd</t>
  </si>
  <si>
    <t>INE323A01026</t>
  </si>
  <si>
    <t>Container Corporation Of India Ltd</t>
  </si>
  <si>
    <t>INE111A01025</t>
  </si>
  <si>
    <t>GAIL (India) Ltd</t>
  </si>
  <si>
    <t>INE129A01019</t>
  </si>
  <si>
    <t>Gas</t>
  </si>
  <si>
    <t>Indian Oil Corporation Ltd</t>
  </si>
  <si>
    <t>INE242A01010</t>
  </si>
  <si>
    <t>Hindalco Industries Ltd</t>
  </si>
  <si>
    <t>INE038A01020</t>
  </si>
  <si>
    <t>Non - Ferrous Metals</t>
  </si>
  <si>
    <t>Ambuja Cements Ltd</t>
  </si>
  <si>
    <t>INE079A01024</t>
  </si>
  <si>
    <t>Cement &amp; Cement Products</t>
  </si>
  <si>
    <t>J.K. Cement Ltd</t>
  </si>
  <si>
    <t>INE823G01014</t>
  </si>
  <si>
    <t>Tata Steel Ltd</t>
  </si>
  <si>
    <t>INE081A01012</t>
  </si>
  <si>
    <t>Ferrous Metals</t>
  </si>
  <si>
    <t>Gujarat Gas Ltd</t>
  </si>
  <si>
    <t>INE844O01030</t>
  </si>
  <si>
    <t>Ultratech Cement Ltd</t>
  </si>
  <si>
    <t>INE481G01011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</si>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</sst>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4" fontId="7" fillId="3" borderId="5" xfId="0" applyNumberFormat="1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3" borderId="7" xfId="0" applyFont="1" applyFill="1" applyBorder="1"/>
    <xf numFmtId="0" fontId="3" fillId="3" borderId="8" xfId="0" applyFont="1" applyFill="1" applyBorder="1"/>
    <xf numFmtId="0" fontId="3" fillId="3" borderId="8" xfId="0" applyNumberFormat="1" applyFont="1" applyFill="1" applyBorder="1"/>
    <xf numFmtId="4" fontId="3" fillId="3" borderId="8" xfId="0" applyNumberFormat="1" applyFont="1" applyFill="1" applyBorder="1"/>
    <xf numFmtId="4" fontId="3" fillId="3" borderId="9" xfId="0" applyNumberFormat="1" applyFont="1" applyFill="1" applyBorder="1"/>
    <xf numFmtId="4" fontId="3" fillId="3" borderId="10" xfId="0" applyNumberFormat="1" applyFont="1" applyFill="1" applyBorder="1"/>
    <xf numFmtId="43" fontId="3" fillId="3" borderId="6" xfId="1" applyFont="1" applyFill="1" applyBorder="1" applyAlignment="1">
      <alignment horizontal="center"/>
    </xf>
    <xf numFmtId="0" fontId="9" fillId="3" borderId="11" xfId="0" applyFont="1" applyFill="1" applyBorder="1"/>
    <xf numFmtId="0" fontId="3" fillId="3" borderId="12" xfId="0" applyFont="1" applyFill="1" applyBorder="1"/>
    <xf numFmtId="0" fontId="3" fillId="3" borderId="12" xfId="0" applyNumberFormat="1" applyFont="1" applyFill="1" applyBorder="1"/>
    <xf numFmtId="4" fontId="3" fillId="3" borderId="12" xfId="0" applyNumberFormat="1" applyFont="1" applyFill="1" applyBorder="1"/>
    <xf numFmtId="4" fontId="3" fillId="3" borderId="13" xfId="0" applyNumberFormat="1" applyFont="1" applyFill="1" applyBorder="1"/>
    <xf numFmtId="0" fontId="3" fillId="3" borderId="11" xfId="0" applyFont="1" applyFill="1" applyBorder="1"/>
    <xf numFmtId="3" fontId="3" fillId="3" borderId="12" xfId="0" applyNumberFormat="1" applyFont="1" applyFill="1" applyBorder="1"/>
    <xf numFmtId="0" fontId="3" fillId="3" borderId="0" xfId="0" applyFont="1" applyFill="1" applyAlignment="1">
      <alignment horizontal="left"/>
    </xf>
    <xf numFmtId="4" fontId="3" fillId="3" borderId="14" xfId="0" applyNumberFormat="1" applyFont="1" applyFill="1" applyBorder="1"/>
    <xf numFmtId="0" fontId="9" fillId="3" borderId="15" xfId="0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7" xfId="0" applyNumberFormat="1" applyFont="1" applyFill="1" applyBorder="1"/>
    <xf numFmtId="4" fontId="9" fillId="3" borderId="0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3" fillId="3" borderId="20" xfId="0" applyFont="1" applyFill="1" applyBorder="1"/>
    <xf numFmtId="0" fontId="3" fillId="3" borderId="20" xfId="0" applyNumberFormat="1" applyFont="1" applyFill="1" applyBorder="1"/>
    <xf numFmtId="4" fontId="3" fillId="3" borderId="20" xfId="0" applyNumberFormat="1" applyFont="1" applyFill="1" applyBorder="1"/>
    <xf numFmtId="4" fontId="3" fillId="3" borderId="0" xfId="0" applyNumberFormat="1" applyFont="1" applyFill="1" applyBorder="1"/>
    <xf numFmtId="0" fontId="9" fillId="3" borderId="21" xfId="0" applyFont="1" applyFill="1" applyBorder="1"/>
    <xf numFmtId="0" fontId="9" fillId="3" borderId="21" xfId="0" applyNumberFormat="1" applyFont="1" applyFill="1" applyBorder="1"/>
    <xf numFmtId="4" fontId="9" fillId="3" borderId="21" xfId="0" applyNumberFormat="1" applyFont="1" applyFill="1" applyBorder="1"/>
    <xf numFmtId="0" fontId="9" fillId="3" borderId="6" xfId="0" applyFont="1" applyFill="1" applyBorder="1"/>
    <xf numFmtId="0" fontId="9" fillId="3" borderId="6" xfId="0" applyNumberFormat="1" applyFont="1" applyFill="1" applyBorder="1"/>
    <xf numFmtId="4" fontId="9" fillId="3" borderId="6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51196</xdr:colOff>
      <xdr:row>4</xdr:row>
      <xdr:rowOff>57150</xdr:rowOff>
    </xdr:from>
    <xdr:to>
      <xdr:col>10</xdr:col>
      <xdr:colOff>1695450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4A52F5-11D5-4C6B-AE33-18FE44C55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3671" y="1066800"/>
          <a:ext cx="1644254" cy="1114425"/>
        </a:xfrm>
        <a:prstGeom prst="rect">
          <a:avLst/>
        </a:prstGeom>
      </xdr:spPr>
    </xdr:pic>
    <xdr:clientData/>
  </xdr:twoCellAnchor>
  <xdr:twoCellAnchor editAs="oneCell">
    <xdr:from>
      <xdr:col>9</xdr:col>
      <xdr:colOff>49203</xdr:colOff>
      <xdr:row>4</xdr:row>
      <xdr:rowOff>57150</xdr:rowOff>
    </xdr:from>
    <xdr:to>
      <xdr:col>9</xdr:col>
      <xdr:colOff>1724025</xdr:colOff>
      <xdr:row>11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D06736-FBC5-4A3B-9AE2-37BC41D35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88578" y="1066800"/>
          <a:ext cx="1674822" cy="1104900"/>
        </a:xfrm>
        <a:prstGeom prst="rect">
          <a:avLst/>
        </a:prstGeom>
      </xdr:spPr>
    </xdr:pic>
    <xdr:clientData/>
  </xdr:twoCellAnchor>
  <xdr:oneCellAnchor>
    <xdr:from>
      <xdr:col>11</xdr:col>
      <xdr:colOff>39831</xdr:colOff>
      <xdr:row>4</xdr:row>
      <xdr:rowOff>57150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F6FA7A9D-1979-41DB-B100-AB2A9F2A9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60631" y="1066800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5"/>
  <sheetViews>
    <sheetView tabSelected="1" workbookViewId="0">
      <selection activeCell="H9" sqref="H9"/>
    </sheetView>
  </sheetViews>
  <sheetFormatPr defaultRowHeight="12"/>
  <cols>
    <col min="1" max="1" width="9.140625" style="5"/>
    <col min="2" max="2" width="55" style="5" bestFit="1" customWidth="1"/>
    <col min="3" max="3" width="13.28515625" style="5" bestFit="1" customWidth="1"/>
    <col min="4" max="4" width="23.42578125" style="5" bestFit="1" customWidth="1"/>
    <col min="5" max="5" width="7.7109375" style="54" bestFit="1" customWidth="1"/>
    <col min="6" max="6" width="15.28515625" style="55" bestFit="1" customWidth="1"/>
    <col min="7" max="7" width="7.42578125" style="55" bestFit="1" customWidth="1"/>
    <col min="8" max="8" width="13.28515625" style="55" customWidth="1"/>
    <col min="9" max="9" width="9" style="4" bestFit="1" customWidth="1"/>
    <col min="10" max="10" width="29.140625" style="4" customWidth="1"/>
    <col min="11" max="11" width="27.5703125" style="4" customWidth="1"/>
    <col min="12" max="12" width="27.28515625" style="4" customWidth="1"/>
    <col min="13" max="16384" width="9.140625" style="5"/>
  </cols>
  <sheetData>
    <row r="1" spans="2:12" ht="21" customHeight="1">
      <c r="B1" s="1" t="s">
        <v>0</v>
      </c>
      <c r="C1" s="2"/>
      <c r="D1" s="2"/>
      <c r="E1" s="2"/>
      <c r="F1" s="2"/>
      <c r="G1" s="2"/>
      <c r="H1" s="3"/>
    </row>
    <row r="3" spans="2:12" ht="16.5" thickBot="1">
      <c r="B3" s="6" t="s">
        <v>1</v>
      </c>
      <c r="C3" s="7"/>
      <c r="D3" s="8"/>
      <c r="E3" s="9"/>
      <c r="F3" s="10"/>
      <c r="G3" s="10"/>
      <c r="H3" s="10"/>
    </row>
    <row r="4" spans="2:12" ht="30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6" t="s">
        <v>8</v>
      </c>
      <c r="J4" s="17" t="s">
        <v>9</v>
      </c>
      <c r="K4" s="17" t="s">
        <v>10</v>
      </c>
      <c r="L4" s="17" t="s">
        <v>11</v>
      </c>
    </row>
    <row r="5" spans="2:12">
      <c r="B5" s="18" t="s">
        <v>12</v>
      </c>
      <c r="C5" s="19"/>
      <c r="D5" s="19"/>
      <c r="E5" s="20"/>
      <c r="F5" s="21"/>
      <c r="G5" s="22"/>
      <c r="H5" s="23"/>
      <c r="J5" s="24"/>
      <c r="K5" s="24"/>
      <c r="L5" s="24"/>
    </row>
    <row r="6" spans="2:12">
      <c r="B6" s="25" t="s">
        <v>13</v>
      </c>
      <c r="C6" s="26"/>
      <c r="D6" s="26"/>
      <c r="E6" s="27"/>
      <c r="F6" s="28"/>
      <c r="G6" s="29"/>
      <c r="H6" s="23"/>
      <c r="J6" s="24"/>
      <c r="K6" s="24"/>
      <c r="L6" s="24"/>
    </row>
    <row r="7" spans="2:12">
      <c r="B7" s="30" t="s">
        <v>14</v>
      </c>
      <c r="C7" s="26" t="s">
        <v>15</v>
      </c>
      <c r="D7" s="26" t="s">
        <v>16</v>
      </c>
      <c r="E7" s="31">
        <v>81300</v>
      </c>
      <c r="F7" s="28">
        <v>1266.8599999999999</v>
      </c>
      <c r="G7" s="29">
        <v>6.44</v>
      </c>
      <c r="H7" s="23" t="s">
        <v>17</v>
      </c>
      <c r="J7" s="24"/>
      <c r="K7" s="24"/>
      <c r="L7" s="24"/>
    </row>
    <row r="8" spans="2:12">
      <c r="B8" s="30" t="s">
        <v>18</v>
      </c>
      <c r="C8" s="26" t="s">
        <v>19</v>
      </c>
      <c r="D8" s="26" t="s">
        <v>20</v>
      </c>
      <c r="E8" s="31">
        <v>533000</v>
      </c>
      <c r="F8" s="28">
        <v>1247.75</v>
      </c>
      <c r="G8" s="29">
        <v>6.34</v>
      </c>
      <c r="H8" s="23" t="s">
        <v>17</v>
      </c>
      <c r="J8" s="24"/>
      <c r="K8" s="24"/>
      <c r="L8" s="24"/>
    </row>
    <row r="9" spans="2:12">
      <c r="B9" s="30" t="s">
        <v>21</v>
      </c>
      <c r="C9" s="26" t="s">
        <v>22</v>
      </c>
      <c r="D9" s="26" t="s">
        <v>23</v>
      </c>
      <c r="E9" s="31">
        <v>52950</v>
      </c>
      <c r="F9" s="28">
        <v>1212.82</v>
      </c>
      <c r="G9" s="29">
        <v>6.16</v>
      </c>
      <c r="H9" s="23" t="s">
        <v>24</v>
      </c>
      <c r="J9" s="24"/>
      <c r="K9" s="24"/>
      <c r="L9" s="24"/>
    </row>
    <row r="10" spans="2:12">
      <c r="B10" s="30" t="s">
        <v>25</v>
      </c>
      <c r="C10" s="26" t="s">
        <v>26</v>
      </c>
      <c r="D10" s="26" t="s">
        <v>27</v>
      </c>
      <c r="E10" s="31">
        <v>168500</v>
      </c>
      <c r="F10" s="28">
        <v>1191.6300000000001</v>
      </c>
      <c r="G10" s="29">
        <v>6.06</v>
      </c>
      <c r="H10" s="23" t="s">
        <v>17</v>
      </c>
      <c r="J10" s="24"/>
      <c r="K10" s="24"/>
      <c r="L10" s="24"/>
    </row>
    <row r="11" spans="2:12">
      <c r="B11" s="30" t="s">
        <v>28</v>
      </c>
      <c r="C11" s="26" t="s">
        <v>29</v>
      </c>
      <c r="D11" s="26" t="s">
        <v>30</v>
      </c>
      <c r="E11" s="31">
        <v>49050</v>
      </c>
      <c r="F11" s="28">
        <v>1177.42</v>
      </c>
      <c r="G11" s="29">
        <v>5.98</v>
      </c>
      <c r="H11" s="23" t="s">
        <v>17</v>
      </c>
      <c r="J11" s="24"/>
      <c r="K11" s="24"/>
      <c r="L11" s="24"/>
    </row>
    <row r="12" spans="2:12">
      <c r="B12" s="30" t="s">
        <v>31</v>
      </c>
      <c r="C12" s="26" t="s">
        <v>32</v>
      </c>
      <c r="D12" s="26" t="s">
        <v>30</v>
      </c>
      <c r="E12" s="31">
        <v>48544</v>
      </c>
      <c r="F12" s="28">
        <v>1018.04</v>
      </c>
      <c r="G12" s="29">
        <v>5.17</v>
      </c>
      <c r="H12" s="23" t="s">
        <v>24</v>
      </c>
      <c r="J12" s="24"/>
      <c r="K12" s="24"/>
      <c r="L12" s="24"/>
    </row>
    <row r="13" spans="2:12">
      <c r="B13" s="30" t="s">
        <v>33</v>
      </c>
      <c r="C13" s="26" t="s">
        <v>34</v>
      </c>
      <c r="D13" s="26" t="s">
        <v>35</v>
      </c>
      <c r="E13" s="31">
        <v>39750</v>
      </c>
      <c r="F13" s="28">
        <v>944.98</v>
      </c>
      <c r="G13" s="29">
        <v>4.8</v>
      </c>
      <c r="H13" s="23" t="s">
        <v>36</v>
      </c>
      <c r="K13" s="32" t="s">
        <v>37</v>
      </c>
      <c r="L13" s="5"/>
    </row>
    <row r="14" spans="2:12">
      <c r="B14" s="30" t="s">
        <v>38</v>
      </c>
      <c r="C14" s="26" t="s">
        <v>39</v>
      </c>
      <c r="D14" s="26" t="s">
        <v>27</v>
      </c>
      <c r="E14" s="31">
        <v>194500</v>
      </c>
      <c r="F14" s="28">
        <v>906.18</v>
      </c>
      <c r="G14" s="29">
        <v>4.5999999999999996</v>
      </c>
      <c r="H14" s="23" t="s">
        <v>17</v>
      </c>
    </row>
    <row r="15" spans="2:12">
      <c r="B15" s="30" t="s">
        <v>40</v>
      </c>
      <c r="C15" s="26" t="s">
        <v>41</v>
      </c>
      <c r="D15" s="26" t="s">
        <v>16</v>
      </c>
      <c r="E15" s="31">
        <v>382874</v>
      </c>
      <c r="F15" s="28">
        <v>892.29</v>
      </c>
      <c r="G15" s="29">
        <v>4.53</v>
      </c>
      <c r="H15" s="23" t="s">
        <v>36</v>
      </c>
    </row>
    <row r="16" spans="2:12">
      <c r="B16" s="30" t="s">
        <v>42</v>
      </c>
      <c r="C16" s="26" t="s">
        <v>43</v>
      </c>
      <c r="D16" s="26" t="s">
        <v>30</v>
      </c>
      <c r="E16" s="31">
        <v>37750</v>
      </c>
      <c r="F16" s="28">
        <v>868.59</v>
      </c>
      <c r="G16" s="29">
        <v>4.41</v>
      </c>
      <c r="H16" s="23" t="s">
        <v>24</v>
      </c>
    </row>
    <row r="17" spans="2:8">
      <c r="B17" s="30" t="s">
        <v>44</v>
      </c>
      <c r="C17" s="26" t="s">
        <v>45</v>
      </c>
      <c r="D17" s="26" t="s">
        <v>46</v>
      </c>
      <c r="E17" s="31">
        <v>559600</v>
      </c>
      <c r="F17" s="28">
        <v>799.67</v>
      </c>
      <c r="G17" s="29">
        <v>4.0599999999999996</v>
      </c>
      <c r="H17" s="23" t="s">
        <v>17</v>
      </c>
    </row>
    <row r="18" spans="2:8">
      <c r="B18" s="30" t="s">
        <v>47</v>
      </c>
      <c r="C18" s="26" t="s">
        <v>48</v>
      </c>
      <c r="D18" s="26" t="s">
        <v>46</v>
      </c>
      <c r="E18" s="31">
        <v>319410</v>
      </c>
      <c r="F18" s="28">
        <v>676.83</v>
      </c>
      <c r="G18" s="29">
        <v>3.44</v>
      </c>
      <c r="H18" s="23" t="s">
        <v>17</v>
      </c>
    </row>
    <row r="19" spans="2:8">
      <c r="B19" s="30" t="s">
        <v>49</v>
      </c>
      <c r="C19" s="26" t="s">
        <v>50</v>
      </c>
      <c r="D19" s="26" t="s">
        <v>35</v>
      </c>
      <c r="E19" s="31">
        <v>38500</v>
      </c>
      <c r="F19" s="28">
        <v>647.97</v>
      </c>
      <c r="G19" s="29">
        <v>3.29</v>
      </c>
      <c r="H19" s="23" t="s">
        <v>24</v>
      </c>
    </row>
    <row r="20" spans="2:8">
      <c r="B20" s="30" t="s">
        <v>51</v>
      </c>
      <c r="C20" s="26" t="s">
        <v>52</v>
      </c>
      <c r="D20" s="26" t="s">
        <v>53</v>
      </c>
      <c r="E20" s="31">
        <v>130000</v>
      </c>
      <c r="F20" s="28">
        <v>577.72</v>
      </c>
      <c r="G20" s="29">
        <v>2.94</v>
      </c>
      <c r="H20" s="23" t="s">
        <v>36</v>
      </c>
    </row>
    <row r="21" spans="2:8">
      <c r="B21" s="30" t="s">
        <v>54</v>
      </c>
      <c r="C21" s="26" t="s">
        <v>55</v>
      </c>
      <c r="D21" s="26" t="s">
        <v>16</v>
      </c>
      <c r="E21" s="31">
        <v>131772</v>
      </c>
      <c r="F21" s="28">
        <v>568.6</v>
      </c>
      <c r="G21" s="29">
        <v>2.89</v>
      </c>
      <c r="H21" s="23" t="s">
        <v>36</v>
      </c>
    </row>
    <row r="22" spans="2:8">
      <c r="B22" s="30" t="s">
        <v>56</v>
      </c>
      <c r="C22" s="26" t="s">
        <v>57</v>
      </c>
      <c r="D22" s="26" t="s">
        <v>16</v>
      </c>
      <c r="E22" s="31">
        <v>211000</v>
      </c>
      <c r="F22" s="28">
        <v>510.94</v>
      </c>
      <c r="G22" s="29">
        <v>2.6</v>
      </c>
      <c r="H22" s="23" t="s">
        <v>36</v>
      </c>
    </row>
    <row r="23" spans="2:8">
      <c r="B23" s="30" t="s">
        <v>58</v>
      </c>
      <c r="C23" s="26" t="s">
        <v>59</v>
      </c>
      <c r="D23" s="26" t="s">
        <v>60</v>
      </c>
      <c r="E23" s="31">
        <v>1410</v>
      </c>
      <c r="F23" s="28">
        <v>476.41</v>
      </c>
      <c r="G23" s="29">
        <v>2.42</v>
      </c>
      <c r="H23" s="23" t="s">
        <v>24</v>
      </c>
    </row>
    <row r="24" spans="2:8">
      <c r="B24" s="30" t="s">
        <v>61</v>
      </c>
      <c r="C24" s="26" t="s">
        <v>62</v>
      </c>
      <c r="D24" s="26" t="s">
        <v>63</v>
      </c>
      <c r="E24" s="31">
        <v>28243</v>
      </c>
      <c r="F24" s="28">
        <v>450.31</v>
      </c>
      <c r="G24" s="29">
        <v>2.29</v>
      </c>
      <c r="H24" s="23" t="s">
        <v>36</v>
      </c>
    </row>
    <row r="25" spans="2:8">
      <c r="B25" s="30" t="s">
        <v>64</v>
      </c>
      <c r="C25" s="26" t="s">
        <v>65</v>
      </c>
      <c r="D25" s="26" t="s">
        <v>66</v>
      </c>
      <c r="E25" s="31">
        <v>16750</v>
      </c>
      <c r="F25" s="28">
        <v>434.77</v>
      </c>
      <c r="G25" s="29">
        <v>2.21</v>
      </c>
      <c r="H25" s="23" t="s">
        <v>17</v>
      </c>
    </row>
    <row r="26" spans="2:8">
      <c r="B26" s="30" t="s">
        <v>67</v>
      </c>
      <c r="C26" s="26" t="s">
        <v>68</v>
      </c>
      <c r="D26" s="26" t="s">
        <v>23</v>
      </c>
      <c r="E26" s="31">
        <v>2650</v>
      </c>
      <c r="F26" s="28">
        <v>403.58</v>
      </c>
      <c r="G26" s="29">
        <v>2.0499999999999998</v>
      </c>
      <c r="H26" s="23" t="s">
        <v>24</v>
      </c>
    </row>
    <row r="27" spans="2:8">
      <c r="B27" s="30" t="s">
        <v>69</v>
      </c>
      <c r="C27" s="26" t="s">
        <v>70</v>
      </c>
      <c r="D27" s="26" t="s">
        <v>63</v>
      </c>
      <c r="E27" s="31">
        <v>62500</v>
      </c>
      <c r="F27" s="28">
        <v>371.44</v>
      </c>
      <c r="G27" s="29">
        <v>1.89</v>
      </c>
      <c r="H27" s="23" t="s">
        <v>24</v>
      </c>
    </row>
    <row r="28" spans="2:8">
      <c r="B28" s="30" t="s">
        <v>71</v>
      </c>
      <c r="C28" s="26" t="s">
        <v>72</v>
      </c>
      <c r="D28" s="26" t="s">
        <v>73</v>
      </c>
      <c r="E28" s="31">
        <v>247159</v>
      </c>
      <c r="F28" s="28">
        <v>334.16</v>
      </c>
      <c r="G28" s="29">
        <v>1.7</v>
      </c>
      <c r="H28" s="23" t="s">
        <v>17</v>
      </c>
    </row>
    <row r="29" spans="2:8">
      <c r="B29" s="30" t="s">
        <v>74</v>
      </c>
      <c r="C29" s="26" t="s">
        <v>75</v>
      </c>
      <c r="D29" s="26" t="s">
        <v>66</v>
      </c>
      <c r="E29" s="31">
        <v>427500</v>
      </c>
      <c r="F29" s="28">
        <v>317.42</v>
      </c>
      <c r="G29" s="29">
        <v>1.61</v>
      </c>
      <c r="H29" s="23" t="s">
        <v>17</v>
      </c>
    </row>
    <row r="30" spans="2:8">
      <c r="B30" s="30" t="s">
        <v>76</v>
      </c>
      <c r="C30" s="26" t="s">
        <v>77</v>
      </c>
      <c r="D30" s="26" t="s">
        <v>78</v>
      </c>
      <c r="E30" s="31">
        <v>74800</v>
      </c>
      <c r="F30" s="28">
        <v>253.31</v>
      </c>
      <c r="G30" s="29">
        <v>1.29</v>
      </c>
      <c r="H30" s="23" t="s">
        <v>17</v>
      </c>
    </row>
    <row r="31" spans="2:8">
      <c r="B31" s="30" t="s">
        <v>79</v>
      </c>
      <c r="C31" s="26" t="s">
        <v>80</v>
      </c>
      <c r="D31" s="26" t="s">
        <v>81</v>
      </c>
      <c r="E31" s="31">
        <v>68500</v>
      </c>
      <c r="F31" s="28">
        <v>248.66</v>
      </c>
      <c r="G31" s="29">
        <v>1.26</v>
      </c>
      <c r="H31" s="23" t="s">
        <v>17</v>
      </c>
    </row>
    <row r="32" spans="2:8">
      <c r="B32" s="30" t="s">
        <v>82</v>
      </c>
      <c r="C32" s="26" t="s">
        <v>83</v>
      </c>
      <c r="D32" s="26" t="s">
        <v>81</v>
      </c>
      <c r="E32" s="31">
        <v>9500</v>
      </c>
      <c r="F32" s="28">
        <v>200.35</v>
      </c>
      <c r="G32" s="29">
        <v>1.02</v>
      </c>
      <c r="H32" s="23" t="s">
        <v>24</v>
      </c>
    </row>
    <row r="33" spans="2:8">
      <c r="B33" s="30" t="s">
        <v>84</v>
      </c>
      <c r="C33" s="26" t="s">
        <v>85</v>
      </c>
      <c r="D33" s="26" t="s">
        <v>86</v>
      </c>
      <c r="E33" s="31">
        <v>22750</v>
      </c>
      <c r="F33" s="28">
        <v>197.25</v>
      </c>
      <c r="G33" s="29">
        <v>1</v>
      </c>
      <c r="H33" s="23" t="s">
        <v>17</v>
      </c>
    </row>
    <row r="34" spans="2:8">
      <c r="B34" s="30" t="s">
        <v>87</v>
      </c>
      <c r="C34" s="26" t="s">
        <v>88</v>
      </c>
      <c r="D34" s="26" t="s">
        <v>73</v>
      </c>
      <c r="E34" s="31">
        <v>44726</v>
      </c>
      <c r="F34" s="28">
        <v>187.33</v>
      </c>
      <c r="G34" s="29">
        <v>0.95</v>
      </c>
      <c r="H34" s="23" t="s">
        <v>24</v>
      </c>
    </row>
    <row r="35" spans="2:8" ht="12.75" thickBot="1">
      <c r="B35" s="30" t="s">
        <v>89</v>
      </c>
      <c r="C35" s="26" t="s">
        <v>90</v>
      </c>
      <c r="D35" s="26" t="s">
        <v>81</v>
      </c>
      <c r="E35" s="31">
        <v>2750</v>
      </c>
      <c r="F35" s="28">
        <v>154.19999999999999</v>
      </c>
      <c r="G35" s="29">
        <v>0.78</v>
      </c>
      <c r="H35" s="33" t="s">
        <v>17</v>
      </c>
    </row>
    <row r="36" spans="2:8">
      <c r="B36" s="34" t="s">
        <v>91</v>
      </c>
      <c r="C36" s="35"/>
      <c r="D36" s="35"/>
      <c r="E36" s="36"/>
      <c r="F36" s="37">
        <f>SUM(F7:F35)</f>
        <v>18537.48</v>
      </c>
      <c r="G36" s="37">
        <f>SUM(G7:G35)</f>
        <v>94.18</v>
      </c>
      <c r="H36" s="38"/>
    </row>
    <row r="37" spans="2:8">
      <c r="B37" s="39" t="s">
        <v>92</v>
      </c>
      <c r="C37" s="39"/>
      <c r="D37" s="39"/>
      <c r="E37" s="40"/>
      <c r="F37" s="41">
        <f>F36</f>
        <v>18537.48</v>
      </c>
      <c r="G37" s="41">
        <f>G36</f>
        <v>94.18</v>
      </c>
      <c r="H37" s="38"/>
    </row>
    <row r="38" spans="2:8">
      <c r="B38" s="42" t="s">
        <v>93</v>
      </c>
      <c r="C38" s="43"/>
      <c r="D38" s="43"/>
      <c r="E38" s="44"/>
      <c r="F38" s="45"/>
      <c r="G38" s="45"/>
      <c r="H38" s="46"/>
    </row>
    <row r="39" spans="2:8">
      <c r="B39" s="30" t="s">
        <v>93</v>
      </c>
      <c r="C39" s="30"/>
      <c r="D39" s="26"/>
      <c r="E39" s="27"/>
      <c r="F39" s="28">
        <v>1186.96</v>
      </c>
      <c r="G39" s="28">
        <v>6.03</v>
      </c>
      <c r="H39" s="46"/>
    </row>
    <row r="40" spans="2:8">
      <c r="B40" s="34" t="s">
        <v>91</v>
      </c>
      <c r="C40" s="35"/>
      <c r="D40" s="35"/>
      <c r="E40" s="36"/>
      <c r="F40" s="37">
        <f>SUM(F38:F39)</f>
        <v>1186.96</v>
      </c>
      <c r="G40" s="37">
        <f>SUM(G38:G39)</f>
        <v>6.03</v>
      </c>
      <c r="H40" s="38"/>
    </row>
    <row r="41" spans="2:8">
      <c r="B41" s="47" t="s">
        <v>92</v>
      </c>
      <c r="C41" s="47"/>
      <c r="D41" s="47"/>
      <c r="E41" s="48"/>
      <c r="F41" s="49">
        <f>F40</f>
        <v>1186.96</v>
      </c>
      <c r="G41" s="49">
        <f>G40</f>
        <v>6.03</v>
      </c>
      <c r="H41" s="38"/>
    </row>
    <row r="42" spans="2:8">
      <c r="B42" s="50" t="s">
        <v>94</v>
      </c>
      <c r="C42" s="50"/>
      <c r="D42" s="50"/>
      <c r="E42" s="51"/>
      <c r="F42" s="52">
        <f>F43-(+F37+F41)</f>
        <v>-46.180000000000291</v>
      </c>
      <c r="G42" s="52">
        <f>G43-(+G37+G41)</f>
        <v>-0.21000000000000796</v>
      </c>
      <c r="H42" s="38"/>
    </row>
    <row r="43" spans="2:8">
      <c r="B43" s="50" t="s">
        <v>95</v>
      </c>
      <c r="C43" s="50"/>
      <c r="D43" s="50"/>
      <c r="E43" s="51"/>
      <c r="F43" s="52">
        <v>19678.259999999998</v>
      </c>
      <c r="G43" s="52">
        <v>100</v>
      </c>
      <c r="H43" s="38"/>
    </row>
    <row r="45" spans="2:8">
      <c r="B45" s="53"/>
    </row>
  </sheetData>
  <mergeCells count="4">
    <mergeCell ref="B1:G1"/>
    <mergeCell ref="J5:J12"/>
    <mergeCell ref="K5:K12"/>
    <mergeCell ref="L5:L12"/>
  </mergeCells>
  <printOptions horizontalCentered="1"/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2022-07-07 12:03:59</KDate>
  <Classification>Public</Classification>
  <Subclassification/>
  <HostName>MUMCMP00935</HostName>
  <Domain_User>CANARAROBECOMF/628</Domain_User>
  <IPAdd>192.9.198.194</IPAdd>
  <FilePath>Book1</FilePath>
  <KID>C025A5607E97637927922399410207</KID>
  <UniqueName/>
  <Suggested/>
  <Justification/>
</Klassify>
</file>

<file path=customXml/itemProps1.xml><?xml version="1.0" encoding="utf-8"?>
<ds:datastoreItem xmlns:ds="http://schemas.openxmlformats.org/officeDocument/2006/customXml" ds:itemID="{EE12311C-B570-4936-B657-71B56EB471F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2022-07-07T06:33:50Z</dcterms:created>
  <dcterms:modified xsi:type="dcterms:W3CDTF">2022-07-07T06:34:00Z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C025A5607E97637927922399410207</vt:lpwstr>
  </property>
</Properties>
</file>