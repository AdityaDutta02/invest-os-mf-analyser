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7" i="1"/>
  <c r="G38" i="1" s="1"/>
  <c r="G43" i="1" s="1"/>
  <c r="F37" i="1"/>
  <c r="F38" i="1" s="1"/>
  <c r="F43" i="1" l="1"/>
</calcChain>
</file>

<file path=xl/sharedStrings.xml><?xml version="1.0" encoding="utf-8"?>
<sst xmlns="http://schemas.openxmlformats.org/spreadsheetml/2006/main" count="112" uniqueCount="99">
  <si>
    <t>CANARA ROBECO FOCUSED EQUITY FUND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</si>
  <si>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</si>
  <si>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</si>
  <si>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</si>
  <si>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</si>
  <si>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</si>
  <si>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</si>
  <si>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</si>
  <si>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Feb'22</t>
  </si>
  <si>
    <t>Benchmark Risk-o-meter Level- Feb'22</t>
  </si>
  <si>
    <t>Previous Scheme Risk-o-meter Level- Jan'22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</si>
  <si>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</si>
  <si>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</si>
  <si>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</si>
  <si>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</si>
  <si>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</si>
  <si>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</si>
  <si>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</si>
  <si>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</si>
  <si>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</si>
  <si>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</si>
  <si>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Bajaj Finance Ltd</t>
  </si>
  <si>
    <t>INE296A01024</t>
  </si>
  <si>
    <t>Finance</t>
  </si>
  <si>
    <t>Larsen &amp; Toubro Ltd</t>
  </si>
  <si>
    <t>INE018A01030</t>
  </si>
  <si>
    <t>Construction Project</t>
  </si>
  <si>
    <t>State Bank of India</t>
  </si>
  <si>
    <t>INE062A01020</t>
  </si>
  <si>
    <t>Axis Bank Ltd</t>
  </si>
  <si>
    <t>INE238A01034</t>
  </si>
  <si>
    <t>Benchmark: S&amp;P BSE 500 TRI</t>
  </si>
  <si>
    <t>Ultratech Cement Ltd</t>
  </si>
  <si>
    <t>INE481G01011</t>
  </si>
  <si>
    <t>Cement &amp; Cement Products</t>
  </si>
  <si>
    <t>Tata Consultancy Services Ltd</t>
  </si>
  <si>
    <t>INE467B01029</t>
  </si>
  <si>
    <t>Maruti Suzuki India Ltd</t>
  </si>
  <si>
    <t>INE585B01010</t>
  </si>
  <si>
    <t>Auto</t>
  </si>
  <si>
    <t>Tata Motors Ltd</t>
  </si>
  <si>
    <t>INE155A01022</t>
  </si>
  <si>
    <t>Avenue Supermarts Ltd</t>
  </si>
  <si>
    <t>INE192R01011</t>
  </si>
  <si>
    <t>Retailing</t>
  </si>
  <si>
    <t>Max Healthcare Institute Ltd</t>
  </si>
  <si>
    <t>INE027H01010</t>
  </si>
  <si>
    <t>Healthcare Services</t>
  </si>
  <si>
    <t>SBI Life Insurance Co Ltd</t>
  </si>
  <si>
    <t>INE123W01016</t>
  </si>
  <si>
    <t>Insurance</t>
  </si>
  <si>
    <t>WABCO India Ltd</t>
  </si>
  <si>
    <t>INE342J01019</t>
  </si>
  <si>
    <t>Auto Ancillaries</t>
  </si>
  <si>
    <t>Gland Pharma Ltd</t>
  </si>
  <si>
    <t>INE068V01023</t>
  </si>
  <si>
    <t>Pharmaceuticals</t>
  </si>
  <si>
    <t>Tata Consumer Products Ltd</t>
  </si>
  <si>
    <t>INE192A01025</t>
  </si>
  <si>
    <t>Consumer Non Durables</t>
  </si>
  <si>
    <t>Abbott India Ltd</t>
  </si>
  <si>
    <t>INE358A01014</t>
  </si>
  <si>
    <t>Titan Co Ltd</t>
  </si>
  <si>
    <t>INE280A01028</t>
  </si>
  <si>
    <t>Consumer Durables</t>
  </si>
  <si>
    <t>Polycab India Ltd</t>
  </si>
  <si>
    <t>INE455K01017</t>
  </si>
  <si>
    <t>Industrial Products</t>
  </si>
  <si>
    <t>PI Industries Ltd</t>
  </si>
  <si>
    <t>INE603J01030</t>
  </si>
  <si>
    <t>Pesticides</t>
  </si>
  <si>
    <t>Minda Industries Ltd</t>
  </si>
  <si>
    <t>INE405E01023</t>
  </si>
  <si>
    <t>Honeywell Automation India Ltd</t>
  </si>
  <si>
    <t>INE671A01010</t>
  </si>
  <si>
    <t>Industrial Capital Goods</t>
  </si>
  <si>
    <t>Navin Fluorine International Ltd</t>
  </si>
  <si>
    <t>INE048G01026</t>
  </si>
  <si>
    <t>Chemicals</t>
  </si>
  <si>
    <t>Divi's Laboratories Ltd</t>
  </si>
  <si>
    <t>INE361B01024</t>
  </si>
  <si>
    <t>Gujarat Gas Ltd</t>
  </si>
  <si>
    <t>INE844O01030</t>
  </si>
  <si>
    <t>Gas</t>
  </si>
  <si>
    <t>TCI Express Ltd</t>
  </si>
  <si>
    <t>INE586V01016</t>
  </si>
  <si>
    <t>Transportation</t>
  </si>
  <si>
    <t>Trent Ltd</t>
  </si>
  <si>
    <t>INE849A01020</t>
  </si>
  <si>
    <t>Jubilant Foodworks Ltd</t>
  </si>
  <si>
    <t>INE797F01012</t>
  </si>
  <si>
    <t>Leisure Services</t>
  </si>
  <si>
    <t>Cholamandalam Investment and Finance Co Ltd</t>
  </si>
  <si>
    <t>INE121A01024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</si>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</sst>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85726</xdr:colOff>
      <xdr:row>5</xdr:row>
      <xdr:rowOff>11258</xdr:rowOff>
    </xdr:from>
    <xdr:ext cx="1698047" cy="956646"/>
    <xdr:pic>
      <xdr:nvPicPr>
        <xdr:cNvPr id="2" name="Picture 1">
          <a:extLst>
            <a:ext uri="{FF2B5EF4-FFF2-40B4-BE49-F238E27FC236}">
              <a16:creationId xmlns:a16="http://schemas.microsoft.com/office/drawing/2014/main" id="{3B0874C3-E440-461A-A896-4126A7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0326" y="1173308"/>
          <a:ext cx="1698047" cy="956646"/>
        </a:xfrm>
        <a:prstGeom prst="rect">
          <a:avLst/>
        </a:prstGeom>
      </xdr:spPr>
    </xdr:pic>
    <xdr:clientData/>
  </xdr:oneCellAnchor>
  <xdr:oneCellAnchor>
    <xdr:from>
      <xdr:col>10</xdr:col>
      <xdr:colOff>170584</xdr:colOff>
      <xdr:row>4</xdr:row>
      <xdr:rowOff>101311</xdr:rowOff>
    </xdr:from>
    <xdr:ext cx="1786371" cy="1049277"/>
    <xdr:pic>
      <xdr:nvPicPr>
        <xdr:cNvPr id="3" name="Picture 2">
          <a:extLst>
            <a:ext uri="{FF2B5EF4-FFF2-40B4-BE49-F238E27FC236}">
              <a16:creationId xmlns:a16="http://schemas.microsoft.com/office/drawing/2014/main" id="{7719A7D3-00B7-4D3B-8427-FA14482D5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4934" y="1110961"/>
          <a:ext cx="1786371" cy="1049277"/>
        </a:xfrm>
        <a:prstGeom prst="rect">
          <a:avLst/>
        </a:prstGeom>
      </xdr:spPr>
    </xdr:pic>
    <xdr:clientData/>
  </xdr:oneCellAnchor>
  <xdr:oneCellAnchor>
    <xdr:from>
      <xdr:col>11</xdr:col>
      <xdr:colOff>89188</xdr:colOff>
      <xdr:row>4</xdr:row>
      <xdr:rowOff>128155</xdr:rowOff>
    </xdr:from>
    <xdr:ext cx="1801351" cy="1014845"/>
    <xdr:pic>
      <xdr:nvPicPr>
        <xdr:cNvPr id="4" name="Picture 3">
          <a:extLst>
            <a:ext uri="{FF2B5EF4-FFF2-40B4-BE49-F238E27FC236}">
              <a16:creationId xmlns:a16="http://schemas.microsoft.com/office/drawing/2014/main" id="{3B0874C3-E440-461A-A896-4126A7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71888" y="1137805"/>
          <a:ext cx="1801351" cy="10148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6"/>
  <sheetViews>
    <sheetView tabSelected="1" topLeftCell="G1" zoomScaleNormal="100" workbookViewId="0">
      <selection activeCell="K14" sqref="K14"/>
    </sheetView>
  </sheetViews>
  <sheetFormatPr defaultRowHeight="12"/>
  <cols>
    <col min="1" max="1" width="9.140625" style="4"/>
    <col min="2" max="2" width="59.5703125" style="4" bestFit="1" customWidth="1"/>
    <col min="3" max="3" width="13.57031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10" style="3" bestFit="1" customWidth="1"/>
    <col min="9" max="9" width="4.7109375" style="3" bestFit="1" customWidth="1"/>
    <col min="10" max="10" width="27.140625" style="3" customWidth="1"/>
    <col min="11" max="11" width="30.5703125" style="3" customWidth="1"/>
    <col min="12" max="12" width="29.42578125" style="4" customWidth="1"/>
    <col min="13" max="16384" width="9.140625" style="4"/>
  </cols>
  <sheetData>
    <row r="1" spans="2:19" ht="21" customHeight="1">
      <c r="B1" s="1" t="s">
        <v>0</v>
      </c>
      <c r="C1" s="2"/>
      <c r="D1" s="2"/>
      <c r="E1" s="2"/>
      <c r="F1" s="2"/>
      <c r="G1" s="2"/>
    </row>
    <row r="3" spans="2:19" ht="16.5" thickBot="1">
      <c r="B3" s="5" t="s">
        <v>1</v>
      </c>
      <c r="C3" s="6"/>
      <c r="D3" s="7"/>
      <c r="E3" s="8"/>
      <c r="F3" s="9"/>
      <c r="G3" s="9"/>
    </row>
    <row r="4" spans="2:19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9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9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9">
      <c r="B7" s="27" t="s">
        <v>13</v>
      </c>
      <c r="C7" s="23" t="s">
        <v>14</v>
      </c>
      <c r="D7" s="23" t="s">
        <v>15</v>
      </c>
      <c r="E7" s="28">
        <v>782000</v>
      </c>
      <c r="F7" s="25">
        <v>13415.99</v>
      </c>
      <c r="G7" s="25">
        <v>9.6</v>
      </c>
      <c r="J7" s="20"/>
      <c r="K7" s="20"/>
      <c r="L7" s="26"/>
    </row>
    <row r="8" spans="2:19">
      <c r="B8" s="27" t="s">
        <v>16</v>
      </c>
      <c r="C8" s="23" t="s">
        <v>17</v>
      </c>
      <c r="D8" s="23" t="s">
        <v>18</v>
      </c>
      <c r="E8" s="28">
        <v>877500</v>
      </c>
      <c r="F8" s="25">
        <v>12515.34</v>
      </c>
      <c r="G8" s="25">
        <v>8.9499999999999993</v>
      </c>
      <c r="J8" s="20"/>
      <c r="K8" s="20"/>
      <c r="L8" s="26"/>
    </row>
    <row r="9" spans="2:19">
      <c r="B9" s="27" t="s">
        <v>19</v>
      </c>
      <c r="C9" s="23" t="s">
        <v>20</v>
      </c>
      <c r="D9" s="23" t="s">
        <v>18</v>
      </c>
      <c r="E9" s="28">
        <v>1530000</v>
      </c>
      <c r="F9" s="25">
        <v>11363.31</v>
      </c>
      <c r="G9" s="25">
        <v>8.1300000000000008</v>
      </c>
      <c r="J9" s="20"/>
      <c r="K9" s="20"/>
      <c r="L9" s="26"/>
    </row>
    <row r="10" spans="2:19">
      <c r="B10" s="27" t="s">
        <v>21</v>
      </c>
      <c r="C10" s="23" t="s">
        <v>22</v>
      </c>
      <c r="D10" s="23" t="s">
        <v>23</v>
      </c>
      <c r="E10" s="28">
        <v>126500</v>
      </c>
      <c r="F10" s="25">
        <v>8857.91</v>
      </c>
      <c r="G10" s="25">
        <v>6.34</v>
      </c>
      <c r="J10" s="20"/>
      <c r="K10" s="20"/>
      <c r="L10" s="26"/>
    </row>
    <row r="11" spans="2:19">
      <c r="B11" s="27" t="s">
        <v>24</v>
      </c>
      <c r="C11" s="23" t="s">
        <v>25</v>
      </c>
      <c r="D11" s="23" t="s">
        <v>26</v>
      </c>
      <c r="E11" s="28">
        <v>395000</v>
      </c>
      <c r="F11" s="25">
        <v>7176.16</v>
      </c>
      <c r="G11" s="25">
        <v>5.13</v>
      </c>
      <c r="J11" s="20"/>
      <c r="K11" s="20"/>
      <c r="L11" s="26"/>
    </row>
    <row r="12" spans="2:19">
      <c r="B12" s="27" t="s">
        <v>27</v>
      </c>
      <c r="C12" s="23" t="s">
        <v>28</v>
      </c>
      <c r="D12" s="23" t="s">
        <v>18</v>
      </c>
      <c r="E12" s="28">
        <v>1470000</v>
      </c>
      <c r="F12" s="25">
        <v>7103.04</v>
      </c>
      <c r="G12" s="25">
        <v>5.08</v>
      </c>
      <c r="J12" s="20"/>
      <c r="K12" s="20"/>
      <c r="L12" s="29"/>
    </row>
    <row r="13" spans="2:19">
      <c r="B13" s="27" t="s">
        <v>29</v>
      </c>
      <c r="C13" s="23" t="s">
        <v>30</v>
      </c>
      <c r="D13" s="23" t="s">
        <v>18</v>
      </c>
      <c r="E13" s="28">
        <v>750000</v>
      </c>
      <c r="F13" s="25">
        <v>5568</v>
      </c>
      <c r="G13" s="25">
        <v>3.98</v>
      </c>
      <c r="K13" s="3" t="s">
        <v>31</v>
      </c>
      <c r="M13" s="3"/>
      <c r="O13" s="3"/>
      <c r="S13" s="3"/>
    </row>
    <row r="14" spans="2:19">
      <c r="B14" s="27" t="s">
        <v>32</v>
      </c>
      <c r="C14" s="23" t="s">
        <v>33</v>
      </c>
      <c r="D14" s="23" t="s">
        <v>34</v>
      </c>
      <c r="E14" s="28">
        <v>83000</v>
      </c>
      <c r="F14" s="25">
        <v>5451.36</v>
      </c>
      <c r="G14" s="25">
        <v>3.9</v>
      </c>
    </row>
    <row r="15" spans="2:19">
      <c r="B15" s="27" t="s">
        <v>35</v>
      </c>
      <c r="C15" s="23" t="s">
        <v>36</v>
      </c>
      <c r="D15" s="23" t="s">
        <v>15</v>
      </c>
      <c r="E15" s="28">
        <v>152000</v>
      </c>
      <c r="F15" s="25">
        <v>5402.38</v>
      </c>
      <c r="G15" s="25">
        <v>3.86</v>
      </c>
    </row>
    <row r="16" spans="2:19">
      <c r="B16" s="27" t="s">
        <v>37</v>
      </c>
      <c r="C16" s="23" t="s">
        <v>38</v>
      </c>
      <c r="D16" s="23" t="s">
        <v>39</v>
      </c>
      <c r="E16" s="28">
        <v>53500</v>
      </c>
      <c r="F16" s="25">
        <v>4448.07</v>
      </c>
      <c r="G16" s="25">
        <v>3.18</v>
      </c>
    </row>
    <row r="17" spans="2:7">
      <c r="B17" s="27" t="s">
        <v>40</v>
      </c>
      <c r="C17" s="23" t="s">
        <v>41</v>
      </c>
      <c r="D17" s="23" t="s">
        <v>39</v>
      </c>
      <c r="E17" s="28">
        <v>925000</v>
      </c>
      <c r="F17" s="25">
        <v>4199.96</v>
      </c>
      <c r="G17" s="25">
        <v>3</v>
      </c>
    </row>
    <row r="18" spans="2:7">
      <c r="B18" s="27" t="s">
        <v>42</v>
      </c>
      <c r="C18" s="23" t="s">
        <v>43</v>
      </c>
      <c r="D18" s="23" t="s">
        <v>44</v>
      </c>
      <c r="E18" s="28">
        <v>82500</v>
      </c>
      <c r="F18" s="25">
        <v>3580.79</v>
      </c>
      <c r="G18" s="25">
        <v>2.56</v>
      </c>
    </row>
    <row r="19" spans="2:7">
      <c r="B19" s="27" t="s">
        <v>45</v>
      </c>
      <c r="C19" s="23" t="s">
        <v>46</v>
      </c>
      <c r="D19" s="23" t="s">
        <v>47</v>
      </c>
      <c r="E19" s="28">
        <v>870373</v>
      </c>
      <c r="F19" s="25">
        <v>3258.68</v>
      </c>
      <c r="G19" s="25">
        <v>2.33</v>
      </c>
    </row>
    <row r="20" spans="2:7">
      <c r="B20" s="27" t="s">
        <v>48</v>
      </c>
      <c r="C20" s="23" t="s">
        <v>49</v>
      </c>
      <c r="D20" s="23" t="s">
        <v>50</v>
      </c>
      <c r="E20" s="28">
        <v>300000</v>
      </c>
      <c r="F20" s="25">
        <v>3180.45</v>
      </c>
      <c r="G20" s="25">
        <v>2.27</v>
      </c>
    </row>
    <row r="21" spans="2:7">
      <c r="B21" s="27" t="s">
        <v>51</v>
      </c>
      <c r="C21" s="23" t="s">
        <v>52</v>
      </c>
      <c r="D21" s="23" t="s">
        <v>53</v>
      </c>
      <c r="E21" s="28">
        <v>39891</v>
      </c>
      <c r="F21" s="25">
        <v>3015.72</v>
      </c>
      <c r="G21" s="25">
        <v>2.16</v>
      </c>
    </row>
    <row r="22" spans="2:7">
      <c r="B22" s="27" t="s">
        <v>54</v>
      </c>
      <c r="C22" s="23" t="s">
        <v>55</v>
      </c>
      <c r="D22" s="23" t="s">
        <v>56</v>
      </c>
      <c r="E22" s="28">
        <v>91500</v>
      </c>
      <c r="F22" s="25">
        <v>2985.83</v>
      </c>
      <c r="G22" s="25">
        <v>2.14</v>
      </c>
    </row>
    <row r="23" spans="2:7">
      <c r="B23" s="27" t="s">
        <v>57</v>
      </c>
      <c r="C23" s="23" t="s">
        <v>58</v>
      </c>
      <c r="D23" s="23" t="s">
        <v>59</v>
      </c>
      <c r="E23" s="28">
        <v>390000</v>
      </c>
      <c r="F23" s="25">
        <v>2802.54</v>
      </c>
      <c r="G23" s="25">
        <v>2</v>
      </c>
    </row>
    <row r="24" spans="2:7">
      <c r="B24" s="27" t="s">
        <v>60</v>
      </c>
      <c r="C24" s="23" t="s">
        <v>61</v>
      </c>
      <c r="D24" s="23" t="s">
        <v>56</v>
      </c>
      <c r="E24" s="28">
        <v>15500</v>
      </c>
      <c r="F24" s="25">
        <v>2721.26</v>
      </c>
      <c r="G24" s="25">
        <v>1.95</v>
      </c>
    </row>
    <row r="25" spans="2:7">
      <c r="B25" s="27" t="s">
        <v>62</v>
      </c>
      <c r="C25" s="23" t="s">
        <v>63</v>
      </c>
      <c r="D25" s="23" t="s">
        <v>64</v>
      </c>
      <c r="E25" s="28">
        <v>105000</v>
      </c>
      <c r="F25" s="25">
        <v>2673.88</v>
      </c>
      <c r="G25" s="25">
        <v>1.91</v>
      </c>
    </row>
    <row r="26" spans="2:7">
      <c r="B26" s="27" t="s">
        <v>65</v>
      </c>
      <c r="C26" s="23" t="s">
        <v>66</v>
      </c>
      <c r="D26" s="23" t="s">
        <v>67</v>
      </c>
      <c r="E26" s="28">
        <v>107500</v>
      </c>
      <c r="F26" s="25">
        <v>2552.96</v>
      </c>
      <c r="G26" s="25">
        <v>1.83</v>
      </c>
    </row>
    <row r="27" spans="2:7">
      <c r="B27" s="27" t="s">
        <v>68</v>
      </c>
      <c r="C27" s="23" t="s">
        <v>69</v>
      </c>
      <c r="D27" s="23" t="s">
        <v>70</v>
      </c>
      <c r="E27" s="28">
        <v>102000</v>
      </c>
      <c r="F27" s="25">
        <v>2517.7199999999998</v>
      </c>
      <c r="G27" s="25">
        <v>1.8</v>
      </c>
    </row>
    <row r="28" spans="2:7">
      <c r="B28" s="27" t="s">
        <v>71</v>
      </c>
      <c r="C28" s="23" t="s">
        <v>72</v>
      </c>
      <c r="D28" s="23" t="s">
        <v>53</v>
      </c>
      <c r="E28" s="28">
        <v>271499</v>
      </c>
      <c r="F28" s="25">
        <v>2494.8000000000002</v>
      </c>
      <c r="G28" s="25">
        <v>1.78</v>
      </c>
    </row>
    <row r="29" spans="2:7">
      <c r="B29" s="27" t="s">
        <v>73</v>
      </c>
      <c r="C29" s="23" t="s">
        <v>74</v>
      </c>
      <c r="D29" s="23" t="s">
        <v>75</v>
      </c>
      <c r="E29" s="28">
        <v>6050</v>
      </c>
      <c r="F29" s="25">
        <v>2477.5300000000002</v>
      </c>
      <c r="G29" s="25">
        <v>1.77</v>
      </c>
    </row>
    <row r="30" spans="2:7">
      <c r="B30" s="27" t="s">
        <v>76</v>
      </c>
      <c r="C30" s="23" t="s">
        <v>77</v>
      </c>
      <c r="D30" s="23" t="s">
        <v>78</v>
      </c>
      <c r="E30" s="28">
        <v>63600</v>
      </c>
      <c r="F30" s="25">
        <v>2474.64</v>
      </c>
      <c r="G30" s="25">
        <v>1.77</v>
      </c>
    </row>
    <row r="31" spans="2:7">
      <c r="B31" s="27" t="s">
        <v>79</v>
      </c>
      <c r="C31" s="23" t="s">
        <v>80</v>
      </c>
      <c r="D31" s="23" t="s">
        <v>56</v>
      </c>
      <c r="E31" s="28">
        <v>55500</v>
      </c>
      <c r="F31" s="25">
        <v>2367.08</v>
      </c>
      <c r="G31" s="25">
        <v>1.69</v>
      </c>
    </row>
    <row r="32" spans="2:7">
      <c r="B32" s="27" t="s">
        <v>81</v>
      </c>
      <c r="C32" s="23" t="s">
        <v>82</v>
      </c>
      <c r="D32" s="23" t="s">
        <v>83</v>
      </c>
      <c r="E32" s="28">
        <v>350000</v>
      </c>
      <c r="F32" s="25">
        <v>2042.43</v>
      </c>
      <c r="G32" s="25">
        <v>1.46</v>
      </c>
    </row>
    <row r="33" spans="2:7">
      <c r="B33" s="27" t="s">
        <v>84</v>
      </c>
      <c r="C33" s="23" t="s">
        <v>85</v>
      </c>
      <c r="D33" s="23" t="s">
        <v>86</v>
      </c>
      <c r="E33" s="28">
        <v>90057</v>
      </c>
      <c r="F33" s="25">
        <v>1589.55</v>
      </c>
      <c r="G33" s="25">
        <v>1.1399999999999999</v>
      </c>
    </row>
    <row r="34" spans="2:7">
      <c r="B34" s="27" t="s">
        <v>87</v>
      </c>
      <c r="C34" s="23" t="s">
        <v>88</v>
      </c>
      <c r="D34" s="23" t="s">
        <v>44</v>
      </c>
      <c r="E34" s="28">
        <v>115000</v>
      </c>
      <c r="F34" s="25">
        <v>1274.32</v>
      </c>
      <c r="G34" s="25">
        <v>0.91</v>
      </c>
    </row>
    <row r="35" spans="2:7">
      <c r="B35" s="27" t="s">
        <v>89</v>
      </c>
      <c r="C35" s="23" t="s">
        <v>90</v>
      </c>
      <c r="D35" s="23" t="s">
        <v>91</v>
      </c>
      <c r="E35" s="28">
        <v>42000</v>
      </c>
      <c r="F35" s="25">
        <v>1222.4100000000001</v>
      </c>
      <c r="G35" s="25">
        <v>0.87</v>
      </c>
    </row>
    <row r="36" spans="2:7">
      <c r="B36" s="27" t="s">
        <v>92</v>
      </c>
      <c r="C36" s="23" t="s">
        <v>93</v>
      </c>
      <c r="D36" s="23" t="s">
        <v>23</v>
      </c>
      <c r="E36" s="28">
        <v>40000</v>
      </c>
      <c r="F36" s="25">
        <v>276.38</v>
      </c>
      <c r="G36" s="25">
        <v>0.2</v>
      </c>
    </row>
    <row r="37" spans="2:7">
      <c r="B37" s="30" t="s">
        <v>94</v>
      </c>
      <c r="C37" s="31"/>
      <c r="D37" s="31"/>
      <c r="E37" s="32"/>
      <c r="F37" s="33">
        <f>SUM(F7:F36)</f>
        <v>131010.49</v>
      </c>
      <c r="G37" s="33">
        <f>SUM(G7:G36)</f>
        <v>93.689999999999969</v>
      </c>
    </row>
    <row r="38" spans="2:7">
      <c r="B38" s="34" t="s">
        <v>95</v>
      </c>
      <c r="C38" s="34"/>
      <c r="D38" s="34"/>
      <c r="E38" s="35"/>
      <c r="F38" s="36">
        <f>F37</f>
        <v>131010.49</v>
      </c>
      <c r="G38" s="36">
        <f>G37</f>
        <v>93.689999999999969</v>
      </c>
    </row>
    <row r="39" spans="2:7">
      <c r="B39" s="37" t="s">
        <v>96</v>
      </c>
      <c r="C39" s="38"/>
      <c r="D39" s="38"/>
      <c r="E39" s="39"/>
      <c r="F39" s="40"/>
      <c r="G39" s="40"/>
    </row>
    <row r="40" spans="2:7">
      <c r="B40" s="27" t="s">
        <v>96</v>
      </c>
      <c r="C40" s="23"/>
      <c r="D40" s="23"/>
      <c r="E40" s="24"/>
      <c r="F40" s="25">
        <v>9336.93</v>
      </c>
      <c r="G40" s="25">
        <v>6.68</v>
      </c>
    </row>
    <row r="41" spans="2:7">
      <c r="B41" s="30" t="s">
        <v>94</v>
      </c>
      <c r="C41" s="31"/>
      <c r="D41" s="31"/>
      <c r="E41" s="32"/>
      <c r="F41" s="33">
        <f>SUM(F39:F40)</f>
        <v>9336.93</v>
      </c>
      <c r="G41" s="33">
        <f>SUM(G39:G40)</f>
        <v>6.68</v>
      </c>
    </row>
    <row r="42" spans="2:7">
      <c r="B42" s="41" t="s">
        <v>95</v>
      </c>
      <c r="C42" s="41"/>
      <c r="D42" s="41"/>
      <c r="E42" s="42"/>
      <c r="F42" s="43">
        <f>F41</f>
        <v>9336.93</v>
      </c>
      <c r="G42" s="43">
        <f>G41</f>
        <v>6.68</v>
      </c>
    </row>
    <row r="43" spans="2:7">
      <c r="B43" s="44" t="s">
        <v>97</v>
      </c>
      <c r="C43" s="44"/>
      <c r="D43" s="44"/>
      <c r="E43" s="45"/>
      <c r="F43" s="46">
        <f>F44-(+F38+F42)</f>
        <v>-537.01000000000931</v>
      </c>
      <c r="G43" s="46">
        <f>G44-(+G38+G42)</f>
        <v>-0.36999999999997613</v>
      </c>
    </row>
    <row r="44" spans="2:7">
      <c r="B44" s="44" t="s">
        <v>98</v>
      </c>
      <c r="C44" s="44"/>
      <c r="D44" s="44"/>
      <c r="E44" s="45"/>
      <c r="F44" s="46">
        <v>139810.41</v>
      </c>
      <c r="G44" s="46">
        <v>100</v>
      </c>
    </row>
    <row r="46" spans="2:7">
      <c r="B46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2022-03-07T09:31:36Z</dcterms:created>
  <dcterms:modified xsi:type="dcterms:W3CDTF">2022-03-07T09:31:39Z</dcterms:modified>
</cp:coreProperties>
</file>