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December 2022\"/>
    </mc:Choice>
  </mc:AlternateContent>
  <bookViews>
    <workbookView xWindow="0" yWindow="0" windowWidth="20490" windowHeight="7620"/>
  </bookViews>
  <sheets>
    <sheet name="EQ" sheetId="1" r:id="rId1"/>
  </sheets>
  <calcPr calcId="162913" calcMode="manual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8" i="1" l="1"/>
  <c r="G69" i="1" s="1"/>
  <c r="F68" i="1"/>
  <c r="F69" i="1" s="1"/>
  <c r="G64" i="1"/>
  <c r="G65" i="1" s="1"/>
  <c r="F64" i="1"/>
  <c r="F65" i="1" s="1"/>
  <c r="F70" i="1" s="1"/>
  <c r="G70" i="1" l="1"/>
</calcChain>
</file>

<file path=xl/sharedStrings.xml><?xml version="1.0" encoding="utf-8"?>
<sst xmlns="http://schemas.openxmlformats.org/spreadsheetml/2006/main" count="253" uniqueCount="168">
  <si>
    <t>CANARA ROBECO EMERGING EQUITIES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</si>
  <si>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</si>
  <si>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</si>
  <si>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</si>
  <si>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</si>
  <si>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</si>
  <si>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</si>
  <si>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</si>
  <si>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</si>
  <si>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Dec'22</t>
  </si>
  <si>
    <t>Benchmark Risk-o-meter Level- Dec'22</t>
  </si>
  <si>
    <t>Previous Scheme Risk-o-meter Level- Nov'22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</si>
  <si>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</si>
  <si>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</si>
  <si>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</si>
  <si>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</si>
  <si>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</si>
  <si>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</si>
  <si>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</si>
  <si>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</si>
  <si>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</si>
  <si>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</si>
  <si>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</si>
  <si>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State Bank of India</t>
  </si>
  <si>
    <t>INE062A01020</t>
  </si>
  <si>
    <t>Axis Bank Ltd</t>
  </si>
  <si>
    <t>INE238A01034</t>
  </si>
  <si>
    <t>Reliance Industries Ltd</t>
  </si>
  <si>
    <t>INE002A01018</t>
  </si>
  <si>
    <t>Petroleum Products</t>
  </si>
  <si>
    <t>Max Healthcare Institute Ltd</t>
  </si>
  <si>
    <t>INE027H01010</t>
  </si>
  <si>
    <t>Healthcare Services</t>
  </si>
  <si>
    <t>Mid Cap</t>
  </si>
  <si>
    <t>Benchmark: Nifty Large Midcap 250 TRI</t>
  </si>
  <si>
    <t>Bajaj Finance Ltd</t>
  </si>
  <si>
    <t>INE296A01024</t>
  </si>
  <si>
    <t>Finance</t>
  </si>
  <si>
    <t>Uno Minda Ltd</t>
  </si>
  <si>
    <t>INE405E01023</t>
  </si>
  <si>
    <t>Auto Components</t>
  </si>
  <si>
    <t>Cholamandalam Investment and Finance Co Ltd</t>
  </si>
  <si>
    <t>INE121A01024</t>
  </si>
  <si>
    <t>Ultratech Cement Ltd</t>
  </si>
  <si>
    <t>INE481G01011</t>
  </si>
  <si>
    <t>Cement &amp; Cement Products</t>
  </si>
  <si>
    <t>Bharat Electronics Ltd</t>
  </si>
  <si>
    <t>INE263A01024</t>
  </si>
  <si>
    <t>Aerospace &amp; Defense</t>
  </si>
  <si>
    <t>Indian Hotels Co Ltd</t>
  </si>
  <si>
    <t>INE053A01029</t>
  </si>
  <si>
    <t>Leisure Services</t>
  </si>
  <si>
    <t>Hindustan Unilever Ltd</t>
  </si>
  <si>
    <t>INE030A01027</t>
  </si>
  <si>
    <t>Diversified Fmcg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</si>
  <si>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</si>
  <si>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</si>
  <si>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</si>
  <si>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</si>
  <si>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</si>
  <si>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</si>
  <si>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Sun Pharmaceutical Industries Ltd</t>
  </si>
  <si>
    <t>INE044A01036</t>
  </si>
  <si>
    <t>Pharmaceuticals &amp; Biotechnology</t>
  </si>
  <si>
    <t>Atul Ltd</t>
  </si>
  <si>
    <t>INE100A01010</t>
  </si>
  <si>
    <t>Chemicals &amp; Petrochemicals</t>
  </si>
  <si>
    <t>PI Industries Ltd</t>
  </si>
  <si>
    <t>INE603J01030</t>
  </si>
  <si>
    <t>Fertilizers &amp; Agrochemicals</t>
  </si>
  <si>
    <t>Maruti Suzuki India Ltd</t>
  </si>
  <si>
    <t>INE585B01010</t>
  </si>
  <si>
    <t>Automobiles</t>
  </si>
  <si>
    <t>Avenue Supermarts Ltd</t>
  </si>
  <si>
    <t>INE192R01011</t>
  </si>
  <si>
    <t>Retailing</t>
  </si>
  <si>
    <t>City Union Bank Ltd</t>
  </si>
  <si>
    <t>INE491A01021</t>
  </si>
  <si>
    <t>Small Cap</t>
  </si>
  <si>
    <t>Gujarat Gas Ltd</t>
  </si>
  <si>
    <t>INE844O01030</t>
  </si>
  <si>
    <t>Gas</t>
  </si>
  <si>
    <t>Polycab India Ltd</t>
  </si>
  <si>
    <t>INE455K01017</t>
  </si>
  <si>
    <t>Industrial Products</t>
  </si>
  <si>
    <t>Max Financial Services Ltd</t>
  </si>
  <si>
    <t>INE180A01020</t>
  </si>
  <si>
    <t>Insurance</t>
  </si>
  <si>
    <t>Navin Fluorine International Ltd</t>
  </si>
  <si>
    <t>INE048G01026</t>
  </si>
  <si>
    <t>Abbott India Ltd</t>
  </si>
  <si>
    <t>INE358A01014</t>
  </si>
  <si>
    <t>TVS Motor Co Ltd</t>
  </si>
  <si>
    <t>INE494B01023</t>
  </si>
  <si>
    <t>Ashok Leyland Ltd</t>
  </si>
  <si>
    <t>INE208A01029</t>
  </si>
  <si>
    <t>Agricultural, Commercial &amp; Construction Vehicles</t>
  </si>
  <si>
    <t>Bharat Forge Ltd</t>
  </si>
  <si>
    <t>INE465A01025</t>
  </si>
  <si>
    <t>Oberoi Realty Ltd</t>
  </si>
  <si>
    <t>INE093I01010</t>
  </si>
  <si>
    <t>Realty</t>
  </si>
  <si>
    <t>Vinati Organics Ltd</t>
  </si>
  <si>
    <t>INE410B01037</t>
  </si>
  <si>
    <t>Mphasis Ltd</t>
  </si>
  <si>
    <t>INE356A01018</t>
  </si>
  <si>
    <t>AIA Engineering Ltd</t>
  </si>
  <si>
    <t>INE212H01026</t>
  </si>
  <si>
    <t>Titan Co Ltd</t>
  </si>
  <si>
    <t>INE280A01028</t>
  </si>
  <si>
    <t>Consumer Durables</t>
  </si>
  <si>
    <t>Tata Consultancy Services Ltd</t>
  </si>
  <si>
    <t>INE467B01029</t>
  </si>
  <si>
    <t>ABB India Ltd</t>
  </si>
  <si>
    <t>INE117A01022</t>
  </si>
  <si>
    <t>Electrical Equipment</t>
  </si>
  <si>
    <t>Kotak Mahindra Bank Ltd</t>
  </si>
  <si>
    <t>INE237A01028</t>
  </si>
  <si>
    <t>Tata Consumer Products Ltd</t>
  </si>
  <si>
    <t>INE192A01025</t>
  </si>
  <si>
    <t>Agricultural Food &amp; Other Products</t>
  </si>
  <si>
    <t>Trent Ltd</t>
  </si>
  <si>
    <t>INE849A01020</t>
  </si>
  <si>
    <t>Aditya Birla Fashion and Retail Ltd</t>
  </si>
  <si>
    <t>INE647O01011</t>
  </si>
  <si>
    <t>Sona Blw Precision Forgings Ltd</t>
  </si>
  <si>
    <t>INE073K01018</t>
  </si>
  <si>
    <t>Century Textile &amp; Industries Ltd</t>
  </si>
  <si>
    <t>INE055A01016</t>
  </si>
  <si>
    <t>Paper, Forest &amp; Jute Products</t>
  </si>
  <si>
    <t>Page Industries Ltd</t>
  </si>
  <si>
    <t>INE761H01022</t>
  </si>
  <si>
    <t>Textiles &amp; Apparels</t>
  </si>
  <si>
    <t>TCI Express Ltd</t>
  </si>
  <si>
    <t>INE586V01016</t>
  </si>
  <si>
    <t>Transport Services</t>
  </si>
  <si>
    <t>Honeywell Automation India Ltd</t>
  </si>
  <si>
    <t>INE671A01010</t>
  </si>
  <si>
    <t>Industrial Manufacturing</t>
  </si>
  <si>
    <t>IPCA Laboratories Ltd</t>
  </si>
  <si>
    <t>INE571A01038</t>
  </si>
  <si>
    <t>Kansai Nerolac Paints Ltd</t>
  </si>
  <si>
    <t>INE531A01024</t>
  </si>
  <si>
    <t>Voltas Ltd</t>
  </si>
  <si>
    <t>INE226A01021</t>
  </si>
  <si>
    <t>Whirlpool Of India Ltd</t>
  </si>
  <si>
    <t>INE716A01013</t>
  </si>
  <si>
    <t>Gland Pharma Ltd</t>
  </si>
  <si>
    <t>INE068V01023</t>
  </si>
  <si>
    <t>Schaeffler India Ltd</t>
  </si>
  <si>
    <t>INE513A01022</t>
  </si>
  <si>
    <t>Blue Dart Express Ltd</t>
  </si>
  <si>
    <t>INE233B01017</t>
  </si>
  <si>
    <t>Jubilant Foodworks Ltd</t>
  </si>
  <si>
    <t>INE797F01020</t>
  </si>
  <si>
    <t>Federal Bank Ltd</t>
  </si>
  <si>
    <t>INE171A01029</t>
  </si>
  <si>
    <t>The Ramco Cements Ltd</t>
  </si>
  <si>
    <t>INE331A01037</t>
  </si>
  <si>
    <t>Balkrishna Industries Ltd</t>
  </si>
  <si>
    <t>INE787D01026</t>
  </si>
  <si>
    <t>Sub Total</t>
  </si>
  <si>
    <t>Total</t>
  </si>
  <si>
    <t>TREPS</t>
  </si>
  <si>
    <t>Net Receivables / (Payables)</t>
  </si>
  <si>
    <t>Grand Total</t>
  </si>
  <si>
    <t>Residual Maturity</t>
  </si>
  <si>
    <t>0.008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</si>
</sst>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medium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medium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7" xfId="0" applyFont="1" applyFill="1" applyBorder="1"/>
    <xf numFmtId="0" fontId="3" fillId="3" borderId="8" xfId="0" applyFont="1" applyFill="1" applyBorder="1"/>
    <xf numFmtId="4" fontId="3" fillId="3" borderId="8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43" fontId="3" fillId="3" borderId="6" xfId="1" applyFont="1" applyFill="1" applyBorder="1" applyAlignment="1">
      <alignment horizontal="center"/>
    </xf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3" fillId="3" borderId="13" xfId="0" applyFont="1" applyFill="1" applyBorder="1"/>
    <xf numFmtId="4" fontId="3" fillId="3" borderId="13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0" fontId="3" fillId="3" borderId="12" xfId="0" applyFont="1" applyFill="1" applyBorder="1"/>
    <xf numFmtId="3" fontId="3" fillId="3" borderId="13" xfId="0" applyNumberFormat="1" applyFont="1" applyFill="1" applyBorder="1"/>
    <xf numFmtId="43" fontId="3" fillId="3" borderId="16" xfId="1" applyFont="1" applyFill="1" applyBorder="1" applyAlignment="1">
      <alignment horizontal="center"/>
    </xf>
    <xf numFmtId="43" fontId="3" fillId="3" borderId="17" xfId="1" applyFont="1" applyFill="1" applyBorder="1" applyAlignment="1">
      <alignment horizontal="center"/>
    </xf>
    <xf numFmtId="43" fontId="3" fillId="3" borderId="18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9" xfId="0" applyFont="1" applyFill="1" applyBorder="1"/>
    <xf numFmtId="0" fontId="9" fillId="3" borderId="20" xfId="0" applyFont="1" applyFill="1" applyBorder="1"/>
    <xf numFmtId="4" fontId="9" fillId="3" borderId="21" xfId="0" applyNumberFormat="1" applyFont="1" applyFill="1" applyBorder="1"/>
    <xf numFmtId="4" fontId="9" fillId="3" borderId="22" xfId="0" applyNumberFormat="1" applyFont="1" applyFill="1" applyBorder="1"/>
    <xf numFmtId="0" fontId="9" fillId="3" borderId="0" xfId="0" applyFont="1" applyFill="1"/>
    <xf numFmtId="0" fontId="9" fillId="3" borderId="23" xfId="0" applyFont="1" applyFill="1" applyBorder="1"/>
    <xf numFmtId="0" fontId="9" fillId="3" borderId="24" xfId="0" applyFont="1" applyFill="1" applyBorder="1"/>
    <xf numFmtId="4" fontId="9" fillId="3" borderId="24" xfId="0" applyNumberFormat="1" applyFont="1" applyFill="1" applyBorder="1"/>
    <xf numFmtId="0" fontId="9" fillId="3" borderId="25" xfId="0" applyFont="1" applyFill="1" applyBorder="1"/>
    <xf numFmtId="0" fontId="3" fillId="3" borderId="26" xfId="0" applyFont="1" applyFill="1" applyBorder="1"/>
    <xf numFmtId="4" fontId="3" fillId="3" borderId="26" xfId="0" applyNumberFormat="1" applyFont="1" applyFill="1" applyBorder="1"/>
    <xf numFmtId="4" fontId="3" fillId="3" borderId="22" xfId="0" applyNumberFormat="1" applyFont="1" applyFill="1" applyBorder="1"/>
    <xf numFmtId="0" fontId="9" fillId="3" borderId="27" xfId="0" applyFont="1" applyFill="1" applyBorder="1"/>
    <xf numFmtId="0" fontId="9" fillId="3" borderId="28" xfId="0" applyFont="1" applyFill="1" applyBorder="1"/>
    <xf numFmtId="4" fontId="9" fillId="3" borderId="28" xfId="0" applyNumberFormat="1" applyFont="1" applyFill="1" applyBorder="1"/>
    <xf numFmtId="0" fontId="9" fillId="3" borderId="29" xfId="0" applyFont="1" applyFill="1" applyBorder="1"/>
    <xf numFmtId="0" fontId="9" fillId="3" borderId="30" xfId="0" applyFont="1" applyFill="1" applyBorder="1"/>
    <xf numFmtId="4" fontId="9" fillId="3" borderId="30" xfId="0" applyNumberFormat="1" applyFont="1" applyFill="1" applyBorder="1"/>
    <xf numFmtId="0" fontId="9" fillId="3" borderId="31" xfId="0" applyFont="1" applyFill="1" applyBorder="1"/>
    <xf numFmtId="0" fontId="9" fillId="3" borderId="32" xfId="0" applyFont="1" applyFill="1" applyBorder="1"/>
    <xf numFmtId="4" fontId="9" fillId="3" borderId="32" xfId="0" applyNumberFormat="1" applyFont="1" applyFill="1" applyBorder="1"/>
    <xf numFmtId="4" fontId="9" fillId="3" borderId="33" xfId="0" applyNumberFormat="1" applyFont="1" applyFill="1" applyBorder="1"/>
    <xf numFmtId="4" fontId="3" fillId="3" borderId="0" xfId="0" applyNumberFormat="1" applyFont="1" applyFill="1"/>
    <xf numFmtId="49" fontId="10" fillId="4" borderId="34" xfId="0" applyNumberFormat="1" applyFont="1" applyFill="1" applyBorder="1"/>
    <xf numFmtId="2" fontId="10" fillId="0" borderId="35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1829249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90433" y="1134686"/>
          <a:ext cx="1650066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1848660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23473" y="1127838"/>
          <a:ext cx="167426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36609" y="11360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5"/>
  <sheetViews>
    <sheetView tabSelected="1" workbookViewId="0"/>
  </sheetViews>
  <sheetFormatPr defaultRowHeight="12"/>
  <cols>
    <col min="1" max="1" width="9.140625" style="4"/>
    <col min="2" max="2" width="60.85546875" style="4" bestFit="1" customWidth="1"/>
    <col min="3" max="3" width="13.28515625" style="4" bestFit="1" customWidth="1"/>
    <col min="4" max="4" width="40.42578125" style="4" bestFit="1" customWidth="1"/>
    <col min="5" max="5" width="9.85546875" style="4" bestFit="1" customWidth="1"/>
    <col min="6" max="6" width="15.28515625" style="57" bestFit="1" customWidth="1"/>
    <col min="7" max="7" width="7.42578125" style="57" bestFit="1" customWidth="1"/>
    <col min="8" max="8" width="9.28515625" style="57" bestFit="1" customWidth="1"/>
    <col min="9" max="9" width="9.140625" style="4"/>
    <col min="10" max="10" width="32.42578125" style="5" customWidth="1"/>
    <col min="11" max="11" width="31.42578125" style="5" customWidth="1"/>
    <col min="12" max="12" width="33.42578125" style="5" customWidth="1"/>
    <col min="13" max="13" width="4.7109375" style="5" bestFit="1" customWidth="1"/>
    <col min="14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  <c r="H1" s="3"/>
    </row>
    <row r="3" spans="2:12" ht="16.5" thickBot="1">
      <c r="B3" s="6" t="s">
        <v>1</v>
      </c>
      <c r="C3" s="7"/>
      <c r="D3" s="8"/>
      <c r="E3" s="8"/>
      <c r="F3" s="9"/>
      <c r="G3" s="9"/>
      <c r="H3" s="9"/>
    </row>
    <row r="4" spans="2:12" ht="36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7"/>
      <c r="F5" s="18"/>
      <c r="G5" s="18"/>
      <c r="H5" s="19"/>
      <c r="J5" s="20"/>
      <c r="K5" s="21"/>
      <c r="L5" s="22"/>
    </row>
    <row r="6" spans="2:12">
      <c r="B6" s="23" t="s">
        <v>13</v>
      </c>
      <c r="C6" s="24"/>
      <c r="D6" s="24"/>
      <c r="E6" s="24"/>
      <c r="F6" s="25"/>
      <c r="G6" s="25"/>
      <c r="H6" s="19"/>
      <c r="J6" s="26"/>
      <c r="K6" s="27"/>
      <c r="L6" s="28"/>
    </row>
    <row r="7" spans="2:12">
      <c r="B7" s="29" t="s">
        <v>14</v>
      </c>
      <c r="C7" s="24" t="s">
        <v>15</v>
      </c>
      <c r="D7" s="24" t="s">
        <v>16</v>
      </c>
      <c r="E7" s="30">
        <v>6681000</v>
      </c>
      <c r="F7" s="25">
        <v>108776.7</v>
      </c>
      <c r="G7" s="25">
        <v>7.02</v>
      </c>
      <c r="H7" s="19" t="s">
        <v>17</v>
      </c>
      <c r="J7" s="26"/>
      <c r="K7" s="27"/>
      <c r="L7" s="28"/>
    </row>
    <row r="8" spans="2:12">
      <c r="B8" s="29" t="s">
        <v>18</v>
      </c>
      <c r="C8" s="24" t="s">
        <v>19</v>
      </c>
      <c r="D8" s="24" t="s">
        <v>16</v>
      </c>
      <c r="E8" s="30">
        <v>11698000</v>
      </c>
      <c r="F8" s="25">
        <v>104211.63</v>
      </c>
      <c r="G8" s="25">
        <v>6.72</v>
      </c>
      <c r="H8" s="19" t="s">
        <v>17</v>
      </c>
      <c r="J8" s="26"/>
      <c r="K8" s="27"/>
      <c r="L8" s="28"/>
    </row>
    <row r="9" spans="2:12">
      <c r="B9" s="29" t="s">
        <v>20</v>
      </c>
      <c r="C9" s="24" t="s">
        <v>21</v>
      </c>
      <c r="D9" s="24" t="s">
        <v>22</v>
      </c>
      <c r="E9" s="30">
        <v>4602500</v>
      </c>
      <c r="F9" s="25">
        <v>69414.91</v>
      </c>
      <c r="G9" s="25">
        <v>4.4800000000000004</v>
      </c>
      <c r="H9" s="19" t="s">
        <v>17</v>
      </c>
      <c r="J9" s="26"/>
      <c r="K9" s="27"/>
      <c r="L9" s="28"/>
    </row>
    <row r="10" spans="2:12">
      <c r="B10" s="29" t="s">
        <v>23</v>
      </c>
      <c r="C10" s="24" t="s">
        <v>24</v>
      </c>
      <c r="D10" s="24" t="s">
        <v>16</v>
      </c>
      <c r="E10" s="30">
        <v>10575000</v>
      </c>
      <c r="F10" s="25">
        <v>64898.78</v>
      </c>
      <c r="G10" s="25">
        <v>4.1900000000000004</v>
      </c>
      <c r="H10" s="19" t="s">
        <v>17</v>
      </c>
      <c r="J10" s="26"/>
      <c r="K10" s="27"/>
      <c r="L10" s="28"/>
    </row>
    <row r="11" spans="2:12">
      <c r="B11" s="29" t="s">
        <v>25</v>
      </c>
      <c r="C11" s="24" t="s">
        <v>26</v>
      </c>
      <c r="D11" s="24" t="s">
        <v>16</v>
      </c>
      <c r="E11" s="30">
        <v>6087090</v>
      </c>
      <c r="F11" s="25">
        <v>56838.2</v>
      </c>
      <c r="G11" s="25">
        <v>3.67</v>
      </c>
      <c r="H11" s="19" t="s">
        <v>17</v>
      </c>
      <c r="J11" s="26"/>
      <c r="K11" s="27"/>
      <c r="L11" s="28"/>
    </row>
    <row r="12" spans="2:12">
      <c r="B12" s="29" t="s">
        <v>27</v>
      </c>
      <c r="C12" s="24" t="s">
        <v>28</v>
      </c>
      <c r="D12" s="24" t="s">
        <v>29</v>
      </c>
      <c r="E12" s="30">
        <v>2078000</v>
      </c>
      <c r="F12" s="25">
        <v>52930.82</v>
      </c>
      <c r="G12" s="25">
        <v>3.41</v>
      </c>
      <c r="H12" s="19" t="s">
        <v>17</v>
      </c>
      <c r="J12" s="31"/>
      <c r="K12" s="32"/>
      <c r="L12" s="33"/>
    </row>
    <row r="13" spans="2:12">
      <c r="B13" s="29" t="s">
        <v>30</v>
      </c>
      <c r="C13" s="24" t="s">
        <v>31</v>
      </c>
      <c r="D13" s="24" t="s">
        <v>32</v>
      </c>
      <c r="E13" s="30">
        <v>9595829</v>
      </c>
      <c r="F13" s="25">
        <v>42178.47</v>
      </c>
      <c r="G13" s="25">
        <v>2.72</v>
      </c>
      <c r="H13" s="19" t="s">
        <v>33</v>
      </c>
      <c r="K13" s="34" t="s">
        <v>34</v>
      </c>
    </row>
    <row r="14" spans="2:12">
      <c r="B14" s="29" t="s">
        <v>35</v>
      </c>
      <c r="C14" s="24" t="s">
        <v>36</v>
      </c>
      <c r="D14" s="24" t="s">
        <v>37</v>
      </c>
      <c r="E14" s="30">
        <v>626500</v>
      </c>
      <c r="F14" s="25">
        <v>41193.629999999997</v>
      </c>
      <c r="G14" s="25">
        <v>2.66</v>
      </c>
      <c r="H14" s="19" t="s">
        <v>17</v>
      </c>
    </row>
    <row r="15" spans="2:12">
      <c r="B15" s="29" t="s">
        <v>38</v>
      </c>
      <c r="C15" s="24" t="s">
        <v>39</v>
      </c>
      <c r="D15" s="24" t="s">
        <v>40</v>
      </c>
      <c r="E15" s="30">
        <v>7672118</v>
      </c>
      <c r="F15" s="25">
        <v>39987.08</v>
      </c>
      <c r="G15" s="25">
        <v>2.58</v>
      </c>
      <c r="H15" s="19" t="s">
        <v>33</v>
      </c>
    </row>
    <row r="16" spans="2:12">
      <c r="B16" s="29" t="s">
        <v>41</v>
      </c>
      <c r="C16" s="24" t="s">
        <v>42</v>
      </c>
      <c r="D16" s="24" t="s">
        <v>37</v>
      </c>
      <c r="E16" s="30">
        <v>5198109</v>
      </c>
      <c r="F16" s="25">
        <v>37577.129999999997</v>
      </c>
      <c r="G16" s="25">
        <v>2.42</v>
      </c>
      <c r="H16" s="19" t="s">
        <v>17</v>
      </c>
    </row>
    <row r="17" spans="2:8">
      <c r="B17" s="29" t="s">
        <v>43</v>
      </c>
      <c r="C17" s="24" t="s">
        <v>44</v>
      </c>
      <c r="D17" s="24" t="s">
        <v>45</v>
      </c>
      <c r="E17" s="30">
        <v>534661</v>
      </c>
      <c r="F17" s="25">
        <v>37207.33</v>
      </c>
      <c r="G17" s="25">
        <v>2.4</v>
      </c>
      <c r="H17" s="19" t="s">
        <v>17</v>
      </c>
    </row>
    <row r="18" spans="2:8">
      <c r="B18" s="29" t="s">
        <v>46</v>
      </c>
      <c r="C18" s="24" t="s">
        <v>47</v>
      </c>
      <c r="D18" s="24" t="s">
        <v>48</v>
      </c>
      <c r="E18" s="30">
        <v>36700000</v>
      </c>
      <c r="F18" s="25">
        <v>36663.300000000003</v>
      </c>
      <c r="G18" s="25">
        <v>2.37</v>
      </c>
      <c r="H18" s="19" t="s">
        <v>17</v>
      </c>
    </row>
    <row r="19" spans="2:8">
      <c r="B19" s="29" t="s">
        <v>49</v>
      </c>
      <c r="C19" s="24" t="s">
        <v>50</v>
      </c>
      <c r="D19" s="24" t="s">
        <v>51</v>
      </c>
      <c r="E19" s="30">
        <v>11457567</v>
      </c>
      <c r="F19" s="25">
        <v>36509.54</v>
      </c>
      <c r="G19" s="25">
        <v>2.36</v>
      </c>
      <c r="H19" s="19" t="s">
        <v>33</v>
      </c>
    </row>
    <row r="20" spans="2:8">
      <c r="B20" s="29" t="s">
        <v>52</v>
      </c>
      <c r="C20" s="24" t="s">
        <v>53</v>
      </c>
      <c r="D20" s="24" t="s">
        <v>54</v>
      </c>
      <c r="E20" s="30">
        <v>1352000</v>
      </c>
      <c r="F20" s="25">
        <v>34625.4</v>
      </c>
      <c r="G20" s="25">
        <v>2.23</v>
      </c>
      <c r="H20" s="19" t="s">
        <v>17</v>
      </c>
    </row>
    <row r="21" spans="2:8">
      <c r="B21" s="29" t="s">
        <v>55</v>
      </c>
      <c r="C21" s="24" t="s">
        <v>56</v>
      </c>
      <c r="D21" s="24" t="s">
        <v>57</v>
      </c>
      <c r="E21" s="30">
        <v>1508000</v>
      </c>
      <c r="F21" s="25">
        <v>31453.86</v>
      </c>
      <c r="G21" s="25">
        <v>2.0299999999999998</v>
      </c>
      <c r="H21" s="19" t="s">
        <v>17</v>
      </c>
    </row>
    <row r="22" spans="2:8">
      <c r="B22" s="29" t="s">
        <v>58</v>
      </c>
      <c r="C22" s="24" t="s">
        <v>59</v>
      </c>
      <c r="D22" s="24" t="s">
        <v>60</v>
      </c>
      <c r="E22" s="30">
        <v>3569000</v>
      </c>
      <c r="F22" s="25">
        <v>28769.71</v>
      </c>
      <c r="G22" s="25">
        <v>1.86</v>
      </c>
      <c r="H22" s="19" t="s">
        <v>17</v>
      </c>
    </row>
    <row r="23" spans="2:8">
      <c r="B23" s="29" t="s">
        <v>61</v>
      </c>
      <c r="C23" s="24" t="s">
        <v>62</v>
      </c>
      <c r="D23" s="24" t="s">
        <v>63</v>
      </c>
      <c r="E23" s="30">
        <v>2775000</v>
      </c>
      <c r="F23" s="25">
        <v>27788.85</v>
      </c>
      <c r="G23" s="25">
        <v>1.79</v>
      </c>
      <c r="H23" s="19" t="s">
        <v>17</v>
      </c>
    </row>
    <row r="24" spans="2:8">
      <c r="B24" s="29" t="s">
        <v>64</v>
      </c>
      <c r="C24" s="24" t="s">
        <v>65</v>
      </c>
      <c r="D24" s="24" t="s">
        <v>66</v>
      </c>
      <c r="E24" s="30">
        <v>335105</v>
      </c>
      <c r="F24" s="25">
        <v>27672.97</v>
      </c>
      <c r="G24" s="25">
        <v>1.79</v>
      </c>
      <c r="H24" s="19" t="s">
        <v>33</v>
      </c>
    </row>
    <row r="25" spans="2:8">
      <c r="B25" s="29" t="s">
        <v>67</v>
      </c>
      <c r="C25" s="24" t="s">
        <v>68</v>
      </c>
      <c r="D25" s="24" t="s">
        <v>69</v>
      </c>
      <c r="E25" s="30">
        <v>711383</v>
      </c>
      <c r="F25" s="25">
        <v>24328.59</v>
      </c>
      <c r="G25" s="25">
        <v>1.57</v>
      </c>
      <c r="H25" s="19" t="s">
        <v>17</v>
      </c>
    </row>
    <row r="26" spans="2:8">
      <c r="B26" s="29" t="s">
        <v>70</v>
      </c>
      <c r="C26" s="24" t="s">
        <v>71</v>
      </c>
      <c r="D26" s="24" t="s">
        <v>72</v>
      </c>
      <c r="E26" s="30">
        <v>280000</v>
      </c>
      <c r="F26" s="25">
        <v>23504.880000000001</v>
      </c>
      <c r="G26" s="25">
        <v>1.52</v>
      </c>
      <c r="H26" s="19" t="s">
        <v>17</v>
      </c>
    </row>
    <row r="27" spans="2:8">
      <c r="B27" s="29" t="s">
        <v>73</v>
      </c>
      <c r="C27" s="24" t="s">
        <v>74</v>
      </c>
      <c r="D27" s="24" t="s">
        <v>75</v>
      </c>
      <c r="E27" s="30">
        <v>566505</v>
      </c>
      <c r="F27" s="25">
        <v>23049.67</v>
      </c>
      <c r="G27" s="25">
        <v>1.49</v>
      </c>
      <c r="H27" s="19" t="s">
        <v>17</v>
      </c>
    </row>
    <row r="28" spans="2:8">
      <c r="B28" s="29" t="s">
        <v>76</v>
      </c>
      <c r="C28" s="24" t="s">
        <v>77</v>
      </c>
      <c r="D28" s="24" t="s">
        <v>16</v>
      </c>
      <c r="E28" s="30">
        <v>12098290</v>
      </c>
      <c r="F28" s="25">
        <v>21825.32</v>
      </c>
      <c r="G28" s="25">
        <v>1.41</v>
      </c>
      <c r="H28" s="19" t="s">
        <v>78</v>
      </c>
    </row>
    <row r="29" spans="2:8">
      <c r="B29" s="29" t="s">
        <v>79</v>
      </c>
      <c r="C29" s="24" t="s">
        <v>80</v>
      </c>
      <c r="D29" s="24" t="s">
        <v>81</v>
      </c>
      <c r="E29" s="30">
        <v>4409300</v>
      </c>
      <c r="F29" s="25">
        <v>21435.81</v>
      </c>
      <c r="G29" s="25">
        <v>1.38</v>
      </c>
      <c r="H29" s="19" t="s">
        <v>33</v>
      </c>
    </row>
    <row r="30" spans="2:8">
      <c r="B30" s="29" t="s">
        <v>82</v>
      </c>
      <c r="C30" s="24" t="s">
        <v>83</v>
      </c>
      <c r="D30" s="24" t="s">
        <v>84</v>
      </c>
      <c r="E30" s="30">
        <v>830180</v>
      </c>
      <c r="F30" s="25">
        <v>21328.15</v>
      </c>
      <c r="G30" s="25">
        <v>1.38</v>
      </c>
      <c r="H30" s="19" t="s">
        <v>33</v>
      </c>
    </row>
    <row r="31" spans="2:8">
      <c r="B31" s="29" t="s">
        <v>85</v>
      </c>
      <c r="C31" s="24" t="s">
        <v>86</v>
      </c>
      <c r="D31" s="24" t="s">
        <v>87</v>
      </c>
      <c r="E31" s="30">
        <v>3143502</v>
      </c>
      <c r="F31" s="25">
        <v>21297.23</v>
      </c>
      <c r="G31" s="25">
        <v>1.37</v>
      </c>
      <c r="H31" s="19" t="s">
        <v>33</v>
      </c>
    </row>
    <row r="32" spans="2:8">
      <c r="B32" s="29" t="s">
        <v>88</v>
      </c>
      <c r="C32" s="24" t="s">
        <v>89</v>
      </c>
      <c r="D32" s="24" t="s">
        <v>66</v>
      </c>
      <c r="E32" s="30">
        <v>518298</v>
      </c>
      <c r="F32" s="25">
        <v>21090.84</v>
      </c>
      <c r="G32" s="25">
        <v>1.36</v>
      </c>
      <c r="H32" s="19" t="s">
        <v>33</v>
      </c>
    </row>
    <row r="33" spans="2:8">
      <c r="B33" s="29" t="s">
        <v>90</v>
      </c>
      <c r="C33" s="24" t="s">
        <v>91</v>
      </c>
      <c r="D33" s="24" t="s">
        <v>63</v>
      </c>
      <c r="E33" s="30">
        <v>98029</v>
      </c>
      <c r="F33" s="25">
        <v>20946.05</v>
      </c>
      <c r="G33" s="25">
        <v>1.35</v>
      </c>
      <c r="H33" s="19" t="s">
        <v>33</v>
      </c>
    </row>
    <row r="34" spans="2:8">
      <c r="B34" s="29" t="s">
        <v>92</v>
      </c>
      <c r="C34" s="24" t="s">
        <v>93</v>
      </c>
      <c r="D34" s="24" t="s">
        <v>72</v>
      </c>
      <c r="E34" s="30">
        <v>1925000</v>
      </c>
      <c r="F34" s="25">
        <v>20893.95</v>
      </c>
      <c r="G34" s="25">
        <v>1.35</v>
      </c>
      <c r="H34" s="19" t="s">
        <v>33</v>
      </c>
    </row>
    <row r="35" spans="2:8">
      <c r="B35" s="29" t="s">
        <v>94</v>
      </c>
      <c r="C35" s="24" t="s">
        <v>95</v>
      </c>
      <c r="D35" s="24" t="s">
        <v>96</v>
      </c>
      <c r="E35" s="30">
        <v>14400000</v>
      </c>
      <c r="F35" s="25">
        <v>20649.599999999999</v>
      </c>
      <c r="G35" s="25">
        <v>1.33</v>
      </c>
      <c r="H35" s="19" t="s">
        <v>33</v>
      </c>
    </row>
    <row r="36" spans="2:8">
      <c r="B36" s="29" t="s">
        <v>97</v>
      </c>
      <c r="C36" s="24" t="s">
        <v>98</v>
      </c>
      <c r="D36" s="24" t="s">
        <v>84</v>
      </c>
      <c r="E36" s="30">
        <v>2306703</v>
      </c>
      <c r="F36" s="25">
        <v>20295.53</v>
      </c>
      <c r="G36" s="25">
        <v>1.31</v>
      </c>
      <c r="H36" s="19" t="s">
        <v>33</v>
      </c>
    </row>
    <row r="37" spans="2:8">
      <c r="B37" s="29" t="s">
        <v>99</v>
      </c>
      <c r="C37" s="24" t="s">
        <v>100</v>
      </c>
      <c r="D37" s="24" t="s">
        <v>101</v>
      </c>
      <c r="E37" s="30">
        <v>2335000</v>
      </c>
      <c r="F37" s="25">
        <v>20266.63</v>
      </c>
      <c r="G37" s="25">
        <v>1.31</v>
      </c>
      <c r="H37" s="19" t="s">
        <v>33</v>
      </c>
    </row>
    <row r="38" spans="2:8">
      <c r="B38" s="29" t="s">
        <v>102</v>
      </c>
      <c r="C38" s="24" t="s">
        <v>103</v>
      </c>
      <c r="D38" s="24" t="s">
        <v>66</v>
      </c>
      <c r="E38" s="30">
        <v>1001435</v>
      </c>
      <c r="F38" s="25">
        <v>19977.63</v>
      </c>
      <c r="G38" s="25">
        <v>1.29</v>
      </c>
      <c r="H38" s="19" t="s">
        <v>33</v>
      </c>
    </row>
    <row r="39" spans="2:8">
      <c r="B39" s="29" t="s">
        <v>104</v>
      </c>
      <c r="C39" s="24" t="s">
        <v>105</v>
      </c>
      <c r="D39" s="24" t="s">
        <v>22</v>
      </c>
      <c r="E39" s="30">
        <v>981087</v>
      </c>
      <c r="F39" s="25">
        <v>19354.88</v>
      </c>
      <c r="G39" s="25">
        <v>1.25</v>
      </c>
      <c r="H39" s="19" t="s">
        <v>33</v>
      </c>
    </row>
    <row r="40" spans="2:8">
      <c r="B40" s="29" t="s">
        <v>106</v>
      </c>
      <c r="C40" s="24" t="s">
        <v>107</v>
      </c>
      <c r="D40" s="24" t="s">
        <v>84</v>
      </c>
      <c r="E40" s="30">
        <v>748300</v>
      </c>
      <c r="F40" s="25">
        <v>19193.52</v>
      </c>
      <c r="G40" s="25">
        <v>1.24</v>
      </c>
      <c r="H40" s="19" t="s">
        <v>33</v>
      </c>
    </row>
    <row r="41" spans="2:8">
      <c r="B41" s="29" t="s">
        <v>108</v>
      </c>
      <c r="C41" s="24" t="s">
        <v>109</v>
      </c>
      <c r="D41" s="24" t="s">
        <v>110</v>
      </c>
      <c r="E41" s="30">
        <v>715000</v>
      </c>
      <c r="F41" s="25">
        <v>18572.13</v>
      </c>
      <c r="G41" s="25">
        <v>1.2</v>
      </c>
      <c r="H41" s="19" t="s">
        <v>17</v>
      </c>
    </row>
    <row r="42" spans="2:8">
      <c r="B42" s="29" t="s">
        <v>111</v>
      </c>
      <c r="C42" s="24" t="s">
        <v>112</v>
      </c>
      <c r="D42" s="24" t="s">
        <v>22</v>
      </c>
      <c r="E42" s="30">
        <v>546911</v>
      </c>
      <c r="F42" s="25">
        <v>17811.25</v>
      </c>
      <c r="G42" s="25">
        <v>1.1499999999999999</v>
      </c>
      <c r="H42" s="19" t="s">
        <v>17</v>
      </c>
    </row>
    <row r="43" spans="2:8">
      <c r="B43" s="29" t="s">
        <v>113</v>
      </c>
      <c r="C43" s="24" t="s">
        <v>114</v>
      </c>
      <c r="D43" s="24" t="s">
        <v>115</v>
      </c>
      <c r="E43" s="30">
        <v>638500</v>
      </c>
      <c r="F43" s="25">
        <v>17130.96</v>
      </c>
      <c r="G43" s="25">
        <v>1.1100000000000001</v>
      </c>
      <c r="H43" s="19" t="s">
        <v>17</v>
      </c>
    </row>
    <row r="44" spans="2:8">
      <c r="B44" s="29" t="s">
        <v>116</v>
      </c>
      <c r="C44" s="24" t="s">
        <v>117</v>
      </c>
      <c r="D44" s="24" t="s">
        <v>16</v>
      </c>
      <c r="E44" s="30">
        <v>934657</v>
      </c>
      <c r="F44" s="25">
        <v>17078.52</v>
      </c>
      <c r="G44" s="25">
        <v>1.1000000000000001</v>
      </c>
      <c r="H44" s="19" t="s">
        <v>17</v>
      </c>
    </row>
    <row r="45" spans="2:8">
      <c r="B45" s="29" t="s">
        <v>118</v>
      </c>
      <c r="C45" s="24" t="s">
        <v>119</v>
      </c>
      <c r="D45" s="24" t="s">
        <v>120</v>
      </c>
      <c r="E45" s="30">
        <v>2205000</v>
      </c>
      <c r="F45" s="25">
        <v>16911.25</v>
      </c>
      <c r="G45" s="25">
        <v>1.0900000000000001</v>
      </c>
      <c r="H45" s="19" t="s">
        <v>17</v>
      </c>
    </row>
    <row r="46" spans="2:8">
      <c r="B46" s="29" t="s">
        <v>121</v>
      </c>
      <c r="C46" s="24" t="s">
        <v>122</v>
      </c>
      <c r="D46" s="24" t="s">
        <v>75</v>
      </c>
      <c r="E46" s="30">
        <v>1224601</v>
      </c>
      <c r="F46" s="25">
        <v>16548.650000000001</v>
      </c>
      <c r="G46" s="25">
        <v>1.07</v>
      </c>
      <c r="H46" s="19" t="s">
        <v>17</v>
      </c>
    </row>
    <row r="47" spans="2:8">
      <c r="B47" s="29" t="s">
        <v>123</v>
      </c>
      <c r="C47" s="24" t="s">
        <v>124</v>
      </c>
      <c r="D47" s="24" t="s">
        <v>75</v>
      </c>
      <c r="E47" s="30">
        <v>5223869</v>
      </c>
      <c r="F47" s="25">
        <v>15018.62</v>
      </c>
      <c r="G47" s="25">
        <v>0.97</v>
      </c>
      <c r="H47" s="19" t="s">
        <v>33</v>
      </c>
    </row>
    <row r="48" spans="2:8">
      <c r="B48" s="29" t="s">
        <v>125</v>
      </c>
      <c r="C48" s="24" t="s">
        <v>126</v>
      </c>
      <c r="D48" s="24" t="s">
        <v>40</v>
      </c>
      <c r="E48" s="30">
        <v>3561563</v>
      </c>
      <c r="F48" s="25">
        <v>14940.76</v>
      </c>
      <c r="G48" s="25">
        <v>0.96</v>
      </c>
      <c r="H48" s="19" t="s">
        <v>33</v>
      </c>
    </row>
    <row r="49" spans="2:9">
      <c r="B49" s="29" t="s">
        <v>127</v>
      </c>
      <c r="C49" s="24" t="s">
        <v>128</v>
      </c>
      <c r="D49" s="24" t="s">
        <v>129</v>
      </c>
      <c r="E49" s="30">
        <v>1949805</v>
      </c>
      <c r="F49" s="25">
        <v>13971.33</v>
      </c>
      <c r="G49" s="25">
        <v>0.9</v>
      </c>
      <c r="H49" s="19" t="s">
        <v>78</v>
      </c>
    </row>
    <row r="50" spans="2:9">
      <c r="B50" s="29" t="s">
        <v>130</v>
      </c>
      <c r="C50" s="24" t="s">
        <v>131</v>
      </c>
      <c r="D50" s="24" t="s">
        <v>132</v>
      </c>
      <c r="E50" s="30">
        <v>31000</v>
      </c>
      <c r="F50" s="25">
        <v>13279.38</v>
      </c>
      <c r="G50" s="25">
        <v>0.86</v>
      </c>
      <c r="H50" s="19" t="s">
        <v>17</v>
      </c>
    </row>
    <row r="51" spans="2:9">
      <c r="B51" s="29" t="s">
        <v>133</v>
      </c>
      <c r="C51" s="24" t="s">
        <v>134</v>
      </c>
      <c r="D51" s="24" t="s">
        <v>135</v>
      </c>
      <c r="E51" s="30">
        <v>740075</v>
      </c>
      <c r="F51" s="25">
        <v>13274.36</v>
      </c>
      <c r="G51" s="25">
        <v>0.86</v>
      </c>
      <c r="H51" s="19" t="s">
        <v>78</v>
      </c>
    </row>
    <row r="52" spans="2:9">
      <c r="B52" s="29" t="s">
        <v>136</v>
      </c>
      <c r="C52" s="24" t="s">
        <v>137</v>
      </c>
      <c r="D52" s="24" t="s">
        <v>138</v>
      </c>
      <c r="E52" s="30">
        <v>29761</v>
      </c>
      <c r="F52" s="25">
        <v>12410.92</v>
      </c>
      <c r="G52" s="25">
        <v>0.8</v>
      </c>
      <c r="H52" s="19" t="s">
        <v>33</v>
      </c>
    </row>
    <row r="53" spans="2:9">
      <c r="B53" s="29" t="s">
        <v>139</v>
      </c>
      <c r="C53" s="24" t="s">
        <v>140</v>
      </c>
      <c r="D53" s="24" t="s">
        <v>63</v>
      </c>
      <c r="E53" s="30">
        <v>1397876</v>
      </c>
      <c r="F53" s="25">
        <v>11785.49</v>
      </c>
      <c r="G53" s="25">
        <v>0.76</v>
      </c>
      <c r="H53" s="19" t="s">
        <v>33</v>
      </c>
    </row>
    <row r="54" spans="2:9">
      <c r="B54" s="29" t="s">
        <v>141</v>
      </c>
      <c r="C54" s="24" t="s">
        <v>142</v>
      </c>
      <c r="D54" s="24" t="s">
        <v>110</v>
      </c>
      <c r="E54" s="30">
        <v>2483216</v>
      </c>
      <c r="F54" s="25">
        <v>10907.53</v>
      </c>
      <c r="G54" s="25">
        <v>0.7</v>
      </c>
      <c r="H54" s="19" t="s">
        <v>33</v>
      </c>
    </row>
    <row r="55" spans="2:9">
      <c r="B55" s="29" t="s">
        <v>143</v>
      </c>
      <c r="C55" s="24" t="s">
        <v>144</v>
      </c>
      <c r="D55" s="24" t="s">
        <v>110</v>
      </c>
      <c r="E55" s="30">
        <v>1317175</v>
      </c>
      <c r="F55" s="25">
        <v>10535.42</v>
      </c>
      <c r="G55" s="25">
        <v>0.68</v>
      </c>
      <c r="H55" s="19" t="s">
        <v>33</v>
      </c>
    </row>
    <row r="56" spans="2:9">
      <c r="B56" s="29" t="s">
        <v>145</v>
      </c>
      <c r="C56" s="24" t="s">
        <v>146</v>
      </c>
      <c r="D56" s="24" t="s">
        <v>110</v>
      </c>
      <c r="E56" s="30">
        <v>630416</v>
      </c>
      <c r="F56" s="25">
        <v>9437.9599999999991</v>
      </c>
      <c r="G56" s="25">
        <v>0.61</v>
      </c>
      <c r="H56" s="19" t="s">
        <v>33</v>
      </c>
    </row>
    <row r="57" spans="2:9">
      <c r="B57" s="29" t="s">
        <v>147</v>
      </c>
      <c r="C57" s="24" t="s">
        <v>148</v>
      </c>
      <c r="D57" s="24" t="s">
        <v>63</v>
      </c>
      <c r="E57" s="30">
        <v>591709</v>
      </c>
      <c r="F57" s="25">
        <v>9328.59</v>
      </c>
      <c r="G57" s="25">
        <v>0.6</v>
      </c>
      <c r="H57" s="19" t="s">
        <v>33</v>
      </c>
    </row>
    <row r="58" spans="2:9">
      <c r="B58" s="29" t="s">
        <v>149</v>
      </c>
      <c r="C58" s="24" t="s">
        <v>150</v>
      </c>
      <c r="D58" s="24" t="s">
        <v>40</v>
      </c>
      <c r="E58" s="30">
        <v>330091</v>
      </c>
      <c r="F58" s="25">
        <v>9066.44</v>
      </c>
      <c r="G58" s="25">
        <v>0.57999999999999996</v>
      </c>
      <c r="H58" s="19" t="s">
        <v>33</v>
      </c>
    </row>
    <row r="59" spans="2:9">
      <c r="B59" s="29" t="s">
        <v>151</v>
      </c>
      <c r="C59" s="24" t="s">
        <v>152</v>
      </c>
      <c r="D59" s="24" t="s">
        <v>135</v>
      </c>
      <c r="E59" s="30">
        <v>110000</v>
      </c>
      <c r="F59" s="25">
        <v>8476.66</v>
      </c>
      <c r="G59" s="25">
        <v>0.55000000000000004</v>
      </c>
      <c r="H59" s="19" t="s">
        <v>33</v>
      </c>
    </row>
    <row r="60" spans="2:9">
      <c r="B60" s="29" t="s">
        <v>153</v>
      </c>
      <c r="C60" s="24" t="s">
        <v>154</v>
      </c>
      <c r="D60" s="24" t="s">
        <v>51</v>
      </c>
      <c r="E60" s="30">
        <v>1430872</v>
      </c>
      <c r="F60" s="25">
        <v>7312.47</v>
      </c>
      <c r="G60" s="25">
        <v>0.47</v>
      </c>
      <c r="H60" s="19" t="s">
        <v>33</v>
      </c>
    </row>
    <row r="61" spans="2:9">
      <c r="B61" s="29" t="s">
        <v>155</v>
      </c>
      <c r="C61" s="24" t="s">
        <v>156</v>
      </c>
      <c r="D61" s="24" t="s">
        <v>16</v>
      </c>
      <c r="E61" s="30">
        <v>4000000</v>
      </c>
      <c r="F61" s="25">
        <v>5562</v>
      </c>
      <c r="G61" s="25">
        <v>0.36</v>
      </c>
      <c r="H61" s="19" t="s">
        <v>33</v>
      </c>
    </row>
    <row r="62" spans="2:9">
      <c r="B62" s="29" t="s">
        <v>157</v>
      </c>
      <c r="C62" s="24" t="s">
        <v>158</v>
      </c>
      <c r="D62" s="24" t="s">
        <v>45</v>
      </c>
      <c r="E62" s="30">
        <v>724043</v>
      </c>
      <c r="F62" s="25">
        <v>5070.1099999999997</v>
      </c>
      <c r="G62" s="25">
        <v>0.33</v>
      </c>
      <c r="H62" s="19" t="s">
        <v>33</v>
      </c>
    </row>
    <row r="63" spans="2:9">
      <c r="B63" s="29" t="s">
        <v>159</v>
      </c>
      <c r="C63" s="24" t="s">
        <v>160</v>
      </c>
      <c r="D63" s="24" t="s">
        <v>40</v>
      </c>
      <c r="E63" s="30">
        <v>211072</v>
      </c>
      <c r="F63" s="25">
        <v>4498.47</v>
      </c>
      <c r="G63" s="25">
        <v>0.28999999999999998</v>
      </c>
      <c r="H63" s="19" t="s">
        <v>33</v>
      </c>
    </row>
    <row r="64" spans="2:9">
      <c r="B64" s="35" t="s">
        <v>161</v>
      </c>
      <c r="C64" s="36"/>
      <c r="D64" s="36"/>
      <c r="E64" s="36"/>
      <c r="F64" s="37">
        <f>SUM(F7:F63)</f>
        <v>1497065.8599999996</v>
      </c>
      <c r="G64" s="37">
        <f>SUM(G7:G63)</f>
        <v>96.609999999999985</v>
      </c>
      <c r="H64" s="38"/>
      <c r="I64" s="39"/>
    </row>
    <row r="65" spans="2:9">
      <c r="B65" s="40" t="s">
        <v>162</v>
      </c>
      <c r="C65" s="41"/>
      <c r="D65" s="41"/>
      <c r="E65" s="41"/>
      <c r="F65" s="42">
        <f>F64</f>
        <v>1497065.8599999996</v>
      </c>
      <c r="G65" s="42">
        <f>G64</f>
        <v>96.609999999999985</v>
      </c>
      <c r="H65" s="38"/>
      <c r="I65" s="39"/>
    </row>
    <row r="66" spans="2:9">
      <c r="B66" s="43" t="s">
        <v>163</v>
      </c>
      <c r="C66" s="44"/>
      <c r="D66" s="44"/>
      <c r="E66" s="44"/>
      <c r="F66" s="45"/>
      <c r="G66" s="45"/>
      <c r="H66" s="46"/>
    </row>
    <row r="67" spans="2:9">
      <c r="B67" s="29" t="s">
        <v>163</v>
      </c>
      <c r="C67" s="24"/>
      <c r="D67" s="24"/>
      <c r="E67" s="24"/>
      <c r="F67" s="25">
        <v>55821.11</v>
      </c>
      <c r="G67" s="25">
        <v>3.6</v>
      </c>
      <c r="H67" s="46"/>
    </row>
    <row r="68" spans="2:9">
      <c r="B68" s="35" t="s">
        <v>161</v>
      </c>
      <c r="C68" s="36"/>
      <c r="D68" s="36"/>
      <c r="E68" s="36"/>
      <c r="F68" s="37">
        <f>SUM(F66:F67)</f>
        <v>55821.11</v>
      </c>
      <c r="G68" s="37">
        <f>SUM(G66:G67)</f>
        <v>3.6</v>
      </c>
      <c r="H68" s="38"/>
      <c r="I68" s="39"/>
    </row>
    <row r="69" spans="2:9">
      <c r="B69" s="47" t="s">
        <v>162</v>
      </c>
      <c r="C69" s="48"/>
      <c r="D69" s="48"/>
      <c r="E69" s="48"/>
      <c r="F69" s="49">
        <f>F68</f>
        <v>55821.11</v>
      </c>
      <c r="G69" s="49">
        <f>G68</f>
        <v>3.6</v>
      </c>
      <c r="H69" s="38"/>
      <c r="I69" s="39"/>
    </row>
    <row r="70" spans="2:9">
      <c r="B70" s="50" t="s">
        <v>164</v>
      </c>
      <c r="C70" s="51"/>
      <c r="D70" s="51"/>
      <c r="E70" s="51"/>
      <c r="F70" s="52">
        <f>F71-(+F65+F69)</f>
        <v>-2920.6999999997206</v>
      </c>
      <c r="G70" s="52">
        <f>G71-(+G65+G69)</f>
        <v>-0.20999999999997954</v>
      </c>
      <c r="H70" s="38"/>
      <c r="I70" s="39"/>
    </row>
    <row r="71" spans="2:9" ht="12.75" thickBot="1">
      <c r="B71" s="53" t="s">
        <v>165</v>
      </c>
      <c r="C71" s="54"/>
      <c r="D71" s="54"/>
      <c r="E71" s="54"/>
      <c r="F71" s="55">
        <v>1549966.27</v>
      </c>
      <c r="G71" s="55">
        <v>100</v>
      </c>
      <c r="H71" s="56"/>
      <c r="I71" s="39"/>
    </row>
    <row r="73" spans="2:9" ht="12.75" thickBot="1"/>
    <row r="74" spans="2:9" ht="13.5" thickTop="1" thickBot="1">
      <c r="B74" s="58" t="s">
        <v>166</v>
      </c>
      <c r="C74" s="59" t="s">
        <v>167</v>
      </c>
    </row>
    <row r="75" spans="2:9" ht="12.75" thickTop="1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2023-01-05 12:41:58</KDate>
  <Classification>Public</Classification>
  <Subclassification/>
  <HostName>MUMCMP00935</HostName>
  <Domain_User>CANARAROBECOMF/628</Domain_User>
  <IPAdd>192.9.198.194</IPAdd>
  <FilePath>Book4</FilePath>
  <KID>C025A5607E97638085193188782140</KID>
  <UniqueName/>
  <Suggested/>
  <Justification/>
</Klassify>
</file>

<file path=customXml/itemProps1.xml><?xml version="1.0" encoding="utf-8"?>
<ds:datastoreItem xmlns:ds="http://schemas.openxmlformats.org/officeDocument/2006/customXml" ds:itemID="{05646454-58FE-4AA5-92C7-FEF13DA9ED9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2023-01-05T07:11:53Z</dcterms:created>
  <dcterms:modified xsi:type="dcterms:W3CDTF">2023-01-05T07:11:59Z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C025A5607E97638085193188782140</vt:lpwstr>
  </property>
</Properties>
</file>