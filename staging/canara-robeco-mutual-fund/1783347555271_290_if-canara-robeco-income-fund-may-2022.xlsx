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y 2022\"/>
    </mc:Choice>
  </mc:AlternateContent>
  <bookViews>
    <workbookView xWindow="0" yWindow="0" windowWidth="20490" windowHeight="7050"/>
  </bookViews>
  <sheets>
    <sheet name="I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G28" i="1" s="1"/>
  <c r="F27" i="1"/>
  <c r="F28" i="1" s="1"/>
  <c r="G24" i="1"/>
  <c r="F24" i="1"/>
  <c r="G13" i="1"/>
  <c r="G29" i="1" s="1"/>
  <c r="G12" i="1"/>
  <c r="F12" i="1"/>
  <c r="F13" i="1" s="1"/>
  <c r="F29" i="1" s="1"/>
</calcChain>
</file>

<file path=xl/sharedStrings.xml><?xml version="1.0" encoding="utf-8"?>
<sst xmlns="http://schemas.openxmlformats.org/spreadsheetml/2006/main" count="78" uniqueCount="62">
  <si>
    <t>CANARA ROBECO INCOME FUND</t>
  </si>
  <si>
    <t>Monthly Portfolio Statement as on May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</si>
  <si>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</si>
  <si>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</si>
  <si>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</si>
  <si>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</si>
  <si>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</si>
  <si>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</si>
  <si>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</si>
  <si>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May'22</t>
  </si>
  <si>
    <t>Benchmark Risk-o-meter Level- May'22</t>
  </si>
  <si>
    <t>Previous Scheme Risk-o-meter Level- Apr'22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</si>
  <si>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</si>
  <si>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</si>
  <si>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</si>
  <si>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</si>
  <si>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</si>
  <si>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</si>
  <si>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</si>
  <si>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</si>
  <si>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8.70% Power Finance Corporation Ltd (14/05/2025) **</t>
  </si>
  <si>
    <t>INE134E08CY2</t>
  </si>
  <si>
    <t>CRISIL AAA</t>
  </si>
  <si>
    <t>Relatively Low (Class I)</t>
  </si>
  <si>
    <t>8.79% LIC Housing Finance Ltd (05/03/2024) **</t>
  </si>
  <si>
    <t>INE115A07NY8</t>
  </si>
  <si>
    <t>7.99% Housing Development Finance Corporation Ltd (11/07/2024)</t>
  </si>
  <si>
    <t>INE001A07RV7</t>
  </si>
  <si>
    <t>Moderate 
(Class II)</t>
  </si>
  <si>
    <t>8.13% Power Grid Corporation of India Ltd (25/04/2023) **</t>
  </si>
  <si>
    <t>INE752E07NP8</t>
  </si>
  <si>
    <t>7.17% Reliance Industries Ltd (08/11/2022)</t>
  </si>
  <si>
    <t>INE002A08500</t>
  </si>
  <si>
    <t>Relatively High (Class III)</t>
  </si>
  <si>
    <t>B-III</t>
  </si>
  <si>
    <t>Sub Total</t>
  </si>
  <si>
    <t>Total</t>
  </si>
  <si>
    <t>Benchmark: CRISIL Medium to Long Duration Fund B-III Index</t>
  </si>
  <si>
    <t>Government Bonds</t>
  </si>
  <si>
    <t>6.54% GOI 17-JAN-32</t>
  </si>
  <si>
    <t>IN0020210244</t>
  </si>
  <si>
    <t>Sovereign</t>
  </si>
  <si>
    <t>7.59% GOI (11/01/2026)</t>
  </si>
  <si>
    <t>IN0020150093</t>
  </si>
  <si>
    <t>5.63% GOI (12/04/2026)</t>
  </si>
  <si>
    <t>IN0020210012</t>
  </si>
  <si>
    <t>5.74% GOI (15/11/2026)</t>
  </si>
  <si>
    <t>IN0020210186</t>
  </si>
  <si>
    <t>7.32% GOI (28/01/2024)</t>
  </si>
  <si>
    <t>IN0020180488</t>
  </si>
  <si>
    <t>5.22% INDIA GOVERNMENT 15-JUN-25</t>
  </si>
  <si>
    <t>IN0020200112</t>
  </si>
  <si>
    <t>7.27% INDIA GOVERNMENT 08-APR-26</t>
  </si>
  <si>
    <t>IN0020190016</t>
  </si>
  <si>
    <t>4.48% GOI (02/11/2023)</t>
  </si>
  <si>
    <t>IN0020200211</t>
  </si>
  <si>
    <t>8.47% Maharashtra SDL 10-Feb-26</t>
  </si>
  <si>
    <t>IN2220150188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</si>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</sst>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4" borderId="12" xfId="0" applyFont="1" applyFill="1" applyBorder="1" applyAlignment="1">
      <alignment horizontal="center" vertical="center"/>
    </xf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4</xdr:row>
      <xdr:rowOff>85725</xdr:rowOff>
    </xdr:from>
    <xdr:ext cx="1552575" cy="1323975"/>
    <xdr:pic>
      <xdr:nvPicPr>
        <xdr:cNvPr id="2" name="Picture 1">
          <a:extLst>
            <a:ext uri="{FF2B5EF4-FFF2-40B4-BE49-F238E27FC236}">
              <a16:creationId xmlns:a16="http://schemas.microsoft.com/office/drawing/2014/main" id="{EE3C405C-E7DF-4C30-A63D-554CBF47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3075" y="1095375"/>
          <a:ext cx="1552575" cy="1323975"/>
        </a:xfrm>
        <a:prstGeom prst="rect">
          <a:avLst/>
        </a:prstGeom>
      </xdr:spPr>
    </xdr:pic>
    <xdr:clientData/>
  </xdr:oneCellAnchor>
  <xdr:oneCellAnchor>
    <xdr:from>
      <xdr:col>10</xdr:col>
      <xdr:colOff>76201</xdr:colOff>
      <xdr:row>4</xdr:row>
      <xdr:rowOff>95250</xdr:rowOff>
    </xdr:from>
    <xdr:ext cx="1590674" cy="1295399"/>
    <xdr:pic>
      <xdr:nvPicPr>
        <xdr:cNvPr id="3" name="Picture 2">
          <a:extLst>
            <a:ext uri="{FF2B5EF4-FFF2-40B4-BE49-F238E27FC236}">
              <a16:creationId xmlns:a16="http://schemas.microsoft.com/office/drawing/2014/main" id="{76B4E38D-EC74-40F8-B925-75EE5B28B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1" y="1104900"/>
          <a:ext cx="1590674" cy="1295399"/>
        </a:xfrm>
        <a:prstGeom prst="rect">
          <a:avLst/>
        </a:prstGeom>
      </xdr:spPr>
    </xdr:pic>
    <xdr:clientData/>
  </xdr:oneCellAnchor>
  <xdr:oneCellAnchor>
    <xdr:from>
      <xdr:col>11</xdr:col>
      <xdr:colOff>104775</xdr:colOff>
      <xdr:row>4</xdr:row>
      <xdr:rowOff>104774</xdr:rowOff>
    </xdr:from>
    <xdr:ext cx="1552575" cy="1362075"/>
    <xdr:pic>
      <xdr:nvPicPr>
        <xdr:cNvPr id="4" name="Picture 3">
          <a:extLst>
            <a:ext uri="{FF2B5EF4-FFF2-40B4-BE49-F238E27FC236}">
              <a16:creationId xmlns:a16="http://schemas.microsoft.com/office/drawing/2014/main" id="{FD0252F7-6BD7-4808-99DA-6986676CD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39700" y="1114424"/>
          <a:ext cx="1552575" cy="1362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5"/>
  <sheetViews>
    <sheetView tabSelected="1" topLeftCell="C1" workbookViewId="0">
      <selection activeCell="J15" sqref="J15"/>
    </sheetView>
  </sheetViews>
  <sheetFormatPr defaultRowHeight="12"/>
  <cols>
    <col min="1" max="1" width="9.140625" style="3"/>
    <col min="2" max="2" width="55.28515625" style="3" bestFit="1" customWidth="1"/>
    <col min="3" max="3" width="13.5703125" style="3" bestFit="1" customWidth="1"/>
    <col min="4" max="4" width="14.140625" style="3" bestFit="1" customWidth="1"/>
    <col min="5" max="5" width="8.85546875" style="57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1" width="25.85546875" style="3" customWidth="1"/>
    <col min="12" max="12" width="26.140625" style="3" customWidth="1"/>
    <col min="13" max="13" width="9.140625" style="3"/>
    <col min="14" max="14" width="11.28515625" style="3" customWidth="1"/>
    <col min="15" max="15" width="12.7109375" style="3" customWidth="1"/>
    <col min="16" max="16" width="12.28515625" style="3" customWidth="1"/>
    <col min="17" max="17" width="12.5703125" style="3" customWidth="1"/>
    <col min="18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customHeight="1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24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 ht="12" customHeight="1">
      <c r="B7" s="27" t="s">
        <v>20</v>
      </c>
      <c r="C7" s="27" t="s">
        <v>21</v>
      </c>
      <c r="D7" s="27" t="s">
        <v>22</v>
      </c>
      <c r="E7" s="31">
        <v>50</v>
      </c>
      <c r="F7" s="29">
        <v>518.46</v>
      </c>
      <c r="G7" s="29">
        <v>4.0999999999999996</v>
      </c>
      <c r="H7" s="29">
        <v>7.26</v>
      </c>
      <c r="I7" s="32"/>
      <c r="J7" s="23"/>
      <c r="K7" s="23"/>
      <c r="L7" s="23"/>
      <c r="N7" s="33" t="s">
        <v>23</v>
      </c>
      <c r="O7" s="34"/>
      <c r="P7" s="34"/>
      <c r="Q7" s="34"/>
    </row>
    <row r="8" spans="2:17">
      <c r="B8" s="27" t="s">
        <v>24</v>
      </c>
      <c r="C8" s="27" t="s">
        <v>25</v>
      </c>
      <c r="D8" s="27" t="s">
        <v>22</v>
      </c>
      <c r="E8" s="31">
        <v>50</v>
      </c>
      <c r="F8" s="29">
        <v>513.89</v>
      </c>
      <c r="G8" s="29">
        <v>4.0599999999999996</v>
      </c>
      <c r="H8" s="29">
        <v>7.02</v>
      </c>
      <c r="I8" s="32"/>
      <c r="J8" s="23"/>
      <c r="K8" s="23"/>
      <c r="L8" s="23"/>
      <c r="N8" s="33"/>
      <c r="O8" s="35"/>
      <c r="P8" s="35"/>
      <c r="Q8" s="35"/>
    </row>
    <row r="9" spans="2:17" ht="12" customHeight="1">
      <c r="B9" s="27" t="s">
        <v>26</v>
      </c>
      <c r="C9" s="27" t="s">
        <v>27</v>
      </c>
      <c r="D9" s="27" t="s">
        <v>22</v>
      </c>
      <c r="E9" s="31">
        <v>50</v>
      </c>
      <c r="F9" s="29">
        <v>508.31</v>
      </c>
      <c r="G9" s="29">
        <v>4.0199999999999996</v>
      </c>
      <c r="H9" s="29">
        <v>7.1</v>
      </c>
      <c r="I9" s="32"/>
      <c r="J9" s="23"/>
      <c r="K9" s="23"/>
      <c r="L9" s="23"/>
      <c r="N9" s="33" t="s">
        <v>28</v>
      </c>
      <c r="O9" s="34"/>
      <c r="P9" s="34"/>
      <c r="Q9" s="34"/>
    </row>
    <row r="10" spans="2:17">
      <c r="B10" s="27" t="s">
        <v>29</v>
      </c>
      <c r="C10" s="27" t="s">
        <v>30</v>
      </c>
      <c r="D10" s="27" t="s">
        <v>22</v>
      </c>
      <c r="E10" s="31">
        <v>50</v>
      </c>
      <c r="F10" s="29">
        <v>507.54</v>
      </c>
      <c r="G10" s="29">
        <v>4.01</v>
      </c>
      <c r="H10" s="29">
        <v>6.31</v>
      </c>
      <c r="I10" s="32"/>
      <c r="J10" s="23"/>
      <c r="K10" s="23"/>
      <c r="L10" s="23"/>
      <c r="N10" s="33"/>
      <c r="O10" s="35"/>
      <c r="P10" s="35"/>
      <c r="Q10" s="35"/>
    </row>
    <row r="11" spans="2:17" ht="12" customHeight="1">
      <c r="B11" s="27" t="s">
        <v>31</v>
      </c>
      <c r="C11" s="27" t="s">
        <v>32</v>
      </c>
      <c r="D11" s="27" t="s">
        <v>22</v>
      </c>
      <c r="E11" s="31">
        <v>50</v>
      </c>
      <c r="F11" s="29">
        <v>502.43</v>
      </c>
      <c r="G11" s="29">
        <v>3.97</v>
      </c>
      <c r="H11" s="29">
        <v>5.8</v>
      </c>
      <c r="I11" s="32"/>
      <c r="J11" s="23"/>
      <c r="K11" s="23"/>
      <c r="L11" s="23"/>
      <c r="N11" s="33" t="s">
        <v>33</v>
      </c>
      <c r="O11" s="34"/>
      <c r="P11" s="36" t="s">
        <v>34</v>
      </c>
      <c r="Q11" s="34"/>
    </row>
    <row r="12" spans="2:17">
      <c r="B12" s="37" t="s">
        <v>35</v>
      </c>
      <c r="C12" s="37"/>
      <c r="D12" s="37"/>
      <c r="E12" s="38"/>
      <c r="F12" s="39">
        <f>SUM(F6:F11)</f>
        <v>2550.6299999999997</v>
      </c>
      <c r="G12" s="39">
        <f>SUM(G6:G11)</f>
        <v>20.159999999999997</v>
      </c>
      <c r="H12" s="40"/>
      <c r="I12" s="32"/>
      <c r="J12" s="23"/>
      <c r="K12" s="23"/>
      <c r="L12" s="23"/>
      <c r="N12" s="33"/>
      <c r="O12" s="35"/>
      <c r="P12" s="41"/>
      <c r="Q12" s="35"/>
    </row>
    <row r="13" spans="2:17">
      <c r="B13" s="42" t="s">
        <v>36</v>
      </c>
      <c r="C13" s="42"/>
      <c r="D13" s="42"/>
      <c r="E13" s="43"/>
      <c r="F13" s="44">
        <f>F12</f>
        <v>2550.6299999999997</v>
      </c>
      <c r="G13" s="44">
        <f>G12</f>
        <v>20.159999999999997</v>
      </c>
      <c r="H13" s="44"/>
      <c r="I13" s="32"/>
      <c r="J13" s="32"/>
      <c r="K13" s="32" t="s">
        <v>37</v>
      </c>
      <c r="L13" s="32"/>
    </row>
    <row r="14" spans="2:17">
      <c r="B14" s="26" t="s">
        <v>38</v>
      </c>
      <c r="C14" s="27"/>
      <c r="D14" s="27"/>
      <c r="E14" s="28"/>
      <c r="F14" s="29"/>
      <c r="G14" s="29"/>
      <c r="H14" s="29"/>
      <c r="I14" s="32"/>
      <c r="J14" s="32"/>
      <c r="K14" s="32"/>
      <c r="L14" s="32"/>
    </row>
    <row r="15" spans="2:17">
      <c r="B15" s="27" t="s">
        <v>39</v>
      </c>
      <c r="C15" s="27" t="s">
        <v>40</v>
      </c>
      <c r="D15" s="27" t="s">
        <v>41</v>
      </c>
      <c r="E15" s="31">
        <v>1750000</v>
      </c>
      <c r="F15" s="29">
        <v>1645.21</v>
      </c>
      <c r="G15" s="29">
        <v>13.01</v>
      </c>
      <c r="H15" s="29">
        <v>7.42</v>
      </c>
      <c r="I15" s="32"/>
      <c r="J15" s="32"/>
      <c r="K15" s="32"/>
      <c r="L15" s="32"/>
    </row>
    <row r="16" spans="2:17">
      <c r="B16" s="27" t="s">
        <v>42</v>
      </c>
      <c r="C16" s="27" t="s">
        <v>43</v>
      </c>
      <c r="D16" s="27" t="s">
        <v>41</v>
      </c>
      <c r="E16" s="31">
        <v>1500000</v>
      </c>
      <c r="F16" s="29">
        <v>1524.3</v>
      </c>
      <c r="G16" s="29">
        <v>12.05</v>
      </c>
      <c r="H16" s="29">
        <v>7.07</v>
      </c>
      <c r="I16" s="32"/>
      <c r="J16" s="32"/>
      <c r="K16" s="32"/>
      <c r="L16" s="32"/>
    </row>
    <row r="17" spans="2:12">
      <c r="B17" s="27" t="s">
        <v>44</v>
      </c>
      <c r="C17" s="27" t="s">
        <v>45</v>
      </c>
      <c r="D17" s="27" t="s">
        <v>41</v>
      </c>
      <c r="E17" s="31">
        <v>1500000</v>
      </c>
      <c r="F17" s="29">
        <v>1427.99</v>
      </c>
      <c r="G17" s="29">
        <v>11.29</v>
      </c>
      <c r="H17" s="29">
        <v>7.07</v>
      </c>
      <c r="I17" s="32"/>
      <c r="J17" s="32"/>
      <c r="K17" s="32"/>
      <c r="L17" s="32"/>
    </row>
    <row r="18" spans="2:12">
      <c r="B18" s="27" t="s">
        <v>46</v>
      </c>
      <c r="C18" s="27" t="s">
        <v>47</v>
      </c>
      <c r="D18" s="27" t="s">
        <v>41</v>
      </c>
      <c r="E18" s="31">
        <v>1500000</v>
      </c>
      <c r="F18" s="29">
        <v>1421.35</v>
      </c>
      <c r="G18" s="29">
        <v>11.24</v>
      </c>
      <c r="H18" s="29">
        <v>7.13</v>
      </c>
      <c r="I18" s="32"/>
      <c r="J18" s="32"/>
      <c r="K18" s="32"/>
      <c r="L18" s="32"/>
    </row>
    <row r="19" spans="2:12">
      <c r="B19" s="27" t="s">
        <v>48</v>
      </c>
      <c r="C19" s="27" t="s">
        <v>49</v>
      </c>
      <c r="D19" s="27" t="s">
        <v>41</v>
      </c>
      <c r="E19" s="31">
        <v>1000000</v>
      </c>
      <c r="F19" s="29">
        <v>1014.57</v>
      </c>
      <c r="G19" s="29">
        <v>8.02</v>
      </c>
      <c r="H19" s="29">
        <v>6.37</v>
      </c>
      <c r="I19" s="32"/>
      <c r="J19" s="32"/>
      <c r="K19" s="32"/>
      <c r="L19" s="32"/>
    </row>
    <row r="20" spans="2:12">
      <c r="B20" s="27" t="s">
        <v>50</v>
      </c>
      <c r="C20" s="27" t="s">
        <v>51</v>
      </c>
      <c r="D20" s="27" t="s">
        <v>41</v>
      </c>
      <c r="E20" s="31">
        <v>1000000</v>
      </c>
      <c r="F20" s="29">
        <v>953.84</v>
      </c>
      <c r="G20" s="29">
        <v>7.54</v>
      </c>
      <c r="H20" s="29">
        <v>6.93</v>
      </c>
      <c r="I20" s="32"/>
      <c r="J20" s="32"/>
      <c r="K20" s="32"/>
      <c r="L20" s="32"/>
    </row>
    <row r="21" spans="2:12">
      <c r="B21" s="27" t="s">
        <v>52</v>
      </c>
      <c r="C21" s="27" t="s">
        <v>53</v>
      </c>
      <c r="D21" s="27" t="s">
        <v>41</v>
      </c>
      <c r="E21" s="31">
        <v>500000</v>
      </c>
      <c r="F21" s="29">
        <v>502.58</v>
      </c>
      <c r="G21" s="29">
        <v>3.97</v>
      </c>
      <c r="H21" s="29">
        <v>7.11</v>
      </c>
      <c r="I21" s="32"/>
      <c r="J21" s="32"/>
      <c r="K21" s="32"/>
      <c r="L21" s="32"/>
    </row>
    <row r="22" spans="2:12">
      <c r="B22" s="27" t="s">
        <v>54</v>
      </c>
      <c r="C22" s="27" t="s">
        <v>55</v>
      </c>
      <c r="D22" s="27" t="s">
        <v>41</v>
      </c>
      <c r="E22" s="31">
        <v>500000</v>
      </c>
      <c r="F22" s="29">
        <v>489.06</v>
      </c>
      <c r="G22" s="29">
        <v>3.87</v>
      </c>
      <c r="H22" s="29">
        <v>6.11</v>
      </c>
      <c r="I22" s="32"/>
      <c r="J22" s="32"/>
      <c r="K22" s="32"/>
      <c r="L22" s="32"/>
    </row>
    <row r="23" spans="2:12">
      <c r="B23" s="45" t="s">
        <v>56</v>
      </c>
      <c r="C23" s="45" t="s">
        <v>57</v>
      </c>
      <c r="D23" s="45" t="s">
        <v>41</v>
      </c>
      <c r="E23" s="46">
        <v>28000</v>
      </c>
      <c r="F23" s="47">
        <v>28.97</v>
      </c>
      <c r="G23" s="47">
        <v>0.23</v>
      </c>
      <c r="H23" s="47">
        <v>7.38</v>
      </c>
      <c r="I23" s="32"/>
      <c r="J23" s="32"/>
      <c r="K23" s="32"/>
      <c r="L23" s="32"/>
    </row>
    <row r="24" spans="2:12">
      <c r="B24" s="48" t="s">
        <v>36</v>
      </c>
      <c r="C24" s="48"/>
      <c r="D24" s="48"/>
      <c r="E24" s="49"/>
      <c r="F24" s="50">
        <f>SUM(F15:F23)</f>
        <v>9007.869999999999</v>
      </c>
      <c r="G24" s="50">
        <f>SUM(G15:G23)</f>
        <v>71.220000000000013</v>
      </c>
      <c r="H24" s="50"/>
      <c r="I24" s="32"/>
      <c r="J24" s="32"/>
      <c r="K24" s="32"/>
      <c r="L24" s="32"/>
    </row>
    <row r="25" spans="2:12">
      <c r="B25" s="26" t="s">
        <v>58</v>
      </c>
      <c r="C25" s="27"/>
      <c r="D25" s="27"/>
      <c r="E25" s="28"/>
      <c r="F25" s="29"/>
      <c r="G25" s="29"/>
      <c r="H25" s="29"/>
      <c r="I25" s="32"/>
      <c r="J25" s="32"/>
      <c r="K25" s="32"/>
      <c r="L25" s="32"/>
    </row>
    <row r="26" spans="2:12">
      <c r="B26" s="27" t="s">
        <v>58</v>
      </c>
      <c r="C26" s="27"/>
      <c r="D26" s="27"/>
      <c r="E26" s="28"/>
      <c r="F26" s="29">
        <v>1077.0999999999999</v>
      </c>
      <c r="G26" s="29">
        <v>8.52</v>
      </c>
      <c r="H26" s="29"/>
      <c r="I26" s="32"/>
      <c r="J26" s="32"/>
      <c r="K26" s="32"/>
      <c r="L26" s="32"/>
    </row>
    <row r="27" spans="2:12">
      <c r="B27" s="37" t="s">
        <v>35</v>
      </c>
      <c r="C27" s="37"/>
      <c r="D27" s="37"/>
      <c r="E27" s="38"/>
      <c r="F27" s="39">
        <f>SUM(F25:F26)</f>
        <v>1077.0999999999999</v>
      </c>
      <c r="G27" s="39">
        <f>SUM(G25:G26)</f>
        <v>8.52</v>
      </c>
      <c r="H27" s="40"/>
      <c r="I27" s="32"/>
      <c r="J27" s="32"/>
      <c r="K27" s="32"/>
      <c r="L27" s="32"/>
    </row>
    <row r="28" spans="2:12">
      <c r="B28" s="51" t="s">
        <v>36</v>
      </c>
      <c r="C28" s="51"/>
      <c r="D28" s="51"/>
      <c r="E28" s="52"/>
      <c r="F28" s="53">
        <f>F27</f>
        <v>1077.0999999999999</v>
      </c>
      <c r="G28" s="53">
        <f>G27</f>
        <v>8.52</v>
      </c>
      <c r="H28" s="53"/>
      <c r="I28" s="32"/>
      <c r="J28" s="32"/>
      <c r="K28" s="32"/>
      <c r="L28" s="32"/>
    </row>
    <row r="29" spans="2:12">
      <c r="B29" s="54" t="s">
        <v>59</v>
      </c>
      <c r="C29" s="54"/>
      <c r="D29" s="54"/>
      <c r="E29" s="55"/>
      <c r="F29" s="56">
        <f>F30-(+F13+F24+F28)</f>
        <v>9.2700000000022555</v>
      </c>
      <c r="G29" s="56">
        <f>G30-(+G13+G24+G28)</f>
        <v>9.9999999999994316E-2</v>
      </c>
      <c r="H29" s="56"/>
      <c r="I29" s="32"/>
      <c r="J29" s="32"/>
      <c r="K29" s="32"/>
      <c r="L29" s="32"/>
    </row>
    <row r="30" spans="2:12">
      <c r="B30" s="54" t="s">
        <v>60</v>
      </c>
      <c r="C30" s="54"/>
      <c r="D30" s="54"/>
      <c r="E30" s="55"/>
      <c r="F30" s="56">
        <v>12644.87</v>
      </c>
      <c r="G30" s="56">
        <v>100</v>
      </c>
      <c r="H30" s="56"/>
      <c r="I30" s="32"/>
      <c r="J30" s="32"/>
      <c r="K30" s="32"/>
      <c r="L30" s="32"/>
    </row>
    <row r="31" spans="2:12">
      <c r="I31" s="32"/>
      <c r="J31" s="32"/>
      <c r="K31" s="32"/>
      <c r="L31" s="32"/>
    </row>
    <row r="32" spans="2:12">
      <c r="B32" s="58" t="s">
        <v>61</v>
      </c>
      <c r="I32" s="32"/>
      <c r="J32" s="32"/>
      <c r="K32" s="32"/>
      <c r="L32" s="32"/>
    </row>
    <row r="33" spans="9:12">
      <c r="I33" s="32"/>
      <c r="J33" s="32"/>
      <c r="K33" s="32"/>
      <c r="L33" s="32"/>
    </row>
    <row r="34" spans="9:12">
      <c r="I34" s="32"/>
      <c r="J34" s="32"/>
      <c r="K34" s="32"/>
      <c r="L34" s="32"/>
    </row>
    <row r="35" spans="9:12">
      <c r="I35" s="32"/>
      <c r="J35" s="32"/>
      <c r="K35" s="32"/>
      <c r="L35" s="32"/>
    </row>
    <row r="36" spans="9:12">
      <c r="I36" s="32"/>
      <c r="J36" s="32"/>
      <c r="K36" s="32"/>
      <c r="L36" s="32"/>
    </row>
    <row r="37" spans="9:12">
      <c r="I37" s="32"/>
      <c r="J37" s="32"/>
      <c r="K37" s="32"/>
      <c r="L37" s="32"/>
    </row>
    <row r="38" spans="9:12">
      <c r="I38" s="32"/>
      <c r="J38" s="32"/>
      <c r="K38" s="32"/>
      <c r="L38" s="32"/>
    </row>
    <row r="39" spans="9:12">
      <c r="I39" s="32"/>
      <c r="J39" s="32"/>
      <c r="K39" s="32"/>
      <c r="L39" s="32"/>
    </row>
    <row r="40" spans="9:12">
      <c r="I40" s="32"/>
      <c r="J40" s="32"/>
      <c r="K40" s="32"/>
      <c r="L40" s="32"/>
    </row>
    <row r="41" spans="9:12">
      <c r="I41" s="32"/>
      <c r="J41" s="32"/>
      <c r="K41" s="32"/>
      <c r="L41" s="32"/>
    </row>
    <row r="42" spans="9:12">
      <c r="I42" s="32"/>
      <c r="J42" s="32"/>
      <c r="K42" s="32"/>
      <c r="L42" s="32"/>
    </row>
    <row r="43" spans="9:12">
      <c r="I43" s="32"/>
      <c r="J43" s="32"/>
      <c r="K43" s="32"/>
      <c r="L43" s="32"/>
    </row>
    <row r="44" spans="9:12">
      <c r="I44" s="32"/>
      <c r="J44" s="32"/>
      <c r="K44" s="32"/>
      <c r="L44" s="32"/>
    </row>
    <row r="45" spans="9:12">
      <c r="I45" s="32"/>
      <c r="J45" s="32"/>
      <c r="K45" s="32"/>
      <c r="L45" s="32"/>
    </row>
    <row r="46" spans="9:12">
      <c r="I46" s="32"/>
      <c r="J46" s="32"/>
      <c r="K46" s="32"/>
      <c r="L46" s="32"/>
    </row>
    <row r="47" spans="9:12">
      <c r="I47" s="32"/>
      <c r="J47" s="32"/>
      <c r="K47" s="32"/>
      <c r="L47" s="32"/>
    </row>
    <row r="48" spans="9:12">
      <c r="I48" s="32"/>
      <c r="J48" s="32"/>
      <c r="K48" s="32"/>
      <c r="L48" s="32"/>
    </row>
    <row r="49" spans="9:12">
      <c r="I49" s="32"/>
      <c r="J49" s="32"/>
      <c r="K49" s="32"/>
      <c r="L49" s="32"/>
    </row>
    <row r="50" spans="9:12">
      <c r="I50" s="32"/>
      <c r="J50" s="32"/>
      <c r="K50" s="32"/>
      <c r="L50" s="32"/>
    </row>
    <row r="51" spans="9:12">
      <c r="I51" s="32"/>
      <c r="J51" s="32"/>
      <c r="K51" s="32"/>
      <c r="L51" s="32"/>
    </row>
    <row r="52" spans="9:12">
      <c r="I52" s="32"/>
      <c r="J52" s="32"/>
      <c r="K52" s="32"/>
      <c r="L52" s="32"/>
    </row>
    <row r="53" spans="9:12">
      <c r="I53" s="32"/>
      <c r="J53" s="32"/>
      <c r="K53" s="32"/>
      <c r="L53" s="32"/>
    </row>
    <row r="54" spans="9:12">
      <c r="I54" s="32"/>
      <c r="J54" s="32"/>
      <c r="K54" s="32"/>
      <c r="L54" s="32"/>
    </row>
    <row r="55" spans="9:12">
      <c r="I55" s="32"/>
      <c r="J55" s="32"/>
      <c r="K55" s="32"/>
      <c r="L55" s="32"/>
    </row>
    <row r="56" spans="9:12">
      <c r="I56" s="32"/>
      <c r="J56" s="32"/>
      <c r="K56" s="32"/>
      <c r="L56" s="32"/>
    </row>
    <row r="57" spans="9:12">
      <c r="I57" s="32"/>
      <c r="J57" s="32"/>
      <c r="K57" s="32"/>
      <c r="L57" s="32"/>
    </row>
    <row r="58" spans="9:12">
      <c r="I58" s="32"/>
      <c r="J58" s="32"/>
      <c r="K58" s="32"/>
      <c r="L58" s="32"/>
    </row>
    <row r="59" spans="9:12">
      <c r="I59" s="32"/>
      <c r="J59" s="32"/>
      <c r="K59" s="32"/>
      <c r="L59" s="32"/>
    </row>
    <row r="60" spans="9:12">
      <c r="I60" s="32"/>
      <c r="J60" s="32"/>
      <c r="K60" s="32"/>
      <c r="L60" s="32"/>
    </row>
    <row r="61" spans="9:12">
      <c r="I61" s="32"/>
      <c r="J61" s="32"/>
      <c r="K61" s="32"/>
      <c r="L61" s="32"/>
    </row>
    <row r="62" spans="9:12">
      <c r="I62" s="32"/>
      <c r="J62" s="32"/>
      <c r="K62" s="32"/>
      <c r="L62" s="32"/>
    </row>
    <row r="63" spans="9:12">
      <c r="I63" s="32"/>
      <c r="J63" s="32"/>
      <c r="K63" s="32"/>
      <c r="L63" s="32"/>
    </row>
    <row r="64" spans="9:12">
      <c r="I64" s="32"/>
      <c r="J64" s="32"/>
      <c r="K64" s="32"/>
      <c r="L64" s="32"/>
    </row>
    <row r="65" spans="9:12">
      <c r="I65" s="32"/>
      <c r="J65" s="32"/>
      <c r="K65" s="32"/>
      <c r="L65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2022-06-07 14:59:46</KDate>
  <Classification>Public</Classification>
  <Subclassification/>
  <HostName>MUMCMP00935</HostName>
  <Domain_User>CANARAROBECOMF/628</Domain_User>
  <IPAdd>192.9.198.194</IPAdd>
  <FilePath>Book13</FilePath>
  <KID>C025A5607E97637902107862800924</KID>
  <UniqueName/>
  <Suggested/>
  <Justification/>
</Klassify>
</file>

<file path=customXml/itemProps1.xml><?xml version="1.0" encoding="utf-8"?>
<ds:datastoreItem xmlns:ds="http://schemas.openxmlformats.org/officeDocument/2006/customXml" ds:itemID="{8B010B51-DC42-493E-A466-7468881C9E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2022-06-07T09:29:41Z</dcterms:created>
  <dcterms:modified xsi:type="dcterms:W3CDTF">2022-06-07T09:29:46Z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C025A5607E97637902107862800924</vt:lpwstr>
  </property>
</Properties>
</file>