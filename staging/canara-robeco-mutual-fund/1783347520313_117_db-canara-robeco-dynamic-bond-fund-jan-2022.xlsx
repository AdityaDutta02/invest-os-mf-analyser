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Jan 22\"/>
    </mc:Choice>
  </mc:AlternateContent>
  <bookViews>
    <workbookView xWindow="0" yWindow="0" windowWidth="20490" windowHeight="7350"/>
  </bookViews>
  <sheets>
    <sheet name="D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  <c r="G19" i="1"/>
  <c r="G20" i="1" s="1"/>
  <c r="F19" i="1"/>
  <c r="G16" i="1"/>
  <c r="F16" i="1"/>
  <c r="G8" i="1"/>
  <c r="G9" i="1" s="1"/>
  <c r="G21" i="1" s="1"/>
  <c r="F8" i="1"/>
  <c r="F9" i="1" s="1"/>
  <c r="F21" i="1" s="1"/>
</calcChain>
</file>

<file path=xl/sharedStrings.xml><?xml version="1.0" encoding="utf-8"?>
<sst xmlns="http://schemas.openxmlformats.org/spreadsheetml/2006/main" count="54" uniqueCount="46">
  <si>
    <t>CANARA ROBECO DYNAMIC BOND FUND</t>
  </si>
  <si>
    <t>Monthly Portfolio Statement as on January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</si>
  <si>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</si>
  <si>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</si>
  <si>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</si>
  <si>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</si>
  <si>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</si>
  <si>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</si>
  <si>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</si>
  <si>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Jan'22</t>
  </si>
  <si>
    <t>Benchmark Risk-o-meter Level- Jan'22</t>
  </si>
  <si>
    <t>Previous Scheme Risk-o-meter Level- Dec'21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</si>
  <si>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</si>
  <si>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</si>
  <si>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</si>
  <si>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</si>
  <si>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</si>
  <si>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</si>
  <si>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</si>
  <si>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</si>
  <si>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7.21% Housing Development Finance Corporation Ltd (30/12/2022) **</t>
  </si>
  <si>
    <t>INE001A07SD3</t>
  </si>
  <si>
    <t>CRISIL AAA</t>
  </si>
  <si>
    <t>Relatively Low (Class I)</t>
  </si>
  <si>
    <t>Sub Total</t>
  </si>
  <si>
    <t>Total</t>
  </si>
  <si>
    <t>Moderate 
(Class II)</t>
  </si>
  <si>
    <t>Government Bonds</t>
  </si>
  <si>
    <t>8.20% GOI (15/02/2022)</t>
  </si>
  <si>
    <t>IN0020060037</t>
  </si>
  <si>
    <t>Sovereign</t>
  </si>
  <si>
    <t>Relatively High (Class III)</t>
  </si>
  <si>
    <t>B-III</t>
  </si>
  <si>
    <t>7.59% GOI (11/01/2026)</t>
  </si>
  <si>
    <t>IN0020150093</t>
  </si>
  <si>
    <t>7.17% GOI (08/01/2028)</t>
  </si>
  <si>
    <t>IN0020170174</t>
  </si>
  <si>
    <t>Benchmark: CRISIL Composite Bond Fund Index</t>
  </si>
  <si>
    <t>8.34% UTTAR PRADESH SDL 13-JAN-26</t>
  </si>
  <si>
    <t>IN3320150359</t>
  </si>
  <si>
    <t>6.68% GOI (17/09/2031)</t>
  </si>
  <si>
    <t>IN0020170042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</si>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</sst>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5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3" fillId="0" borderId="15" xfId="0" applyFont="1" applyBorder="1" applyAlignment="1">
      <alignment horizontal="center"/>
    </xf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4" borderId="1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 vertical="center"/>
    </xf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319405</xdr:colOff>
      <xdr:row>4</xdr:row>
      <xdr:rowOff>219075</xdr:rowOff>
    </xdr:from>
    <xdr:to>
      <xdr:col>12</xdr:col>
      <xdr:colOff>2066925</xdr:colOff>
      <xdr:row>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6F270-1C4A-407E-9945-62751D23B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5680" y="1152525"/>
          <a:ext cx="174752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152400</xdr:colOff>
      <xdr:row>4</xdr:row>
      <xdr:rowOff>200025</xdr:rowOff>
    </xdr:from>
    <xdr:to>
      <xdr:col>11</xdr:col>
      <xdr:colOff>1815771</xdr:colOff>
      <xdr:row>10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8E4619-4D6D-4CF2-87C4-CD8D210CB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5100" y="1152525"/>
          <a:ext cx="1663371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114300</xdr:colOff>
      <xdr:row>4</xdr:row>
      <xdr:rowOff>200025</xdr:rowOff>
    </xdr:from>
    <xdr:to>
      <xdr:col>13</xdr:col>
      <xdr:colOff>1777671</xdr:colOff>
      <xdr:row>10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E4619-4D6D-4CF2-87C4-CD8D210CB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92300" y="1152525"/>
          <a:ext cx="1663371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4"/>
  <sheetViews>
    <sheetView tabSelected="1" topLeftCell="D1" workbookViewId="0">
      <selection activeCell="O21" sqref="O21"/>
    </sheetView>
  </sheetViews>
  <sheetFormatPr defaultRowHeight="12"/>
  <cols>
    <col min="1" max="1" width="9.140625" style="4"/>
    <col min="2" max="2" width="58.42578125" style="4" bestFit="1" customWidth="1"/>
    <col min="3" max="3" width="13.42578125" style="4" bestFit="1" customWidth="1"/>
    <col min="4" max="4" width="14.140625" style="4" bestFit="1" customWidth="1"/>
    <col min="5" max="5" width="8.85546875" style="63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4.7109375" style="3" bestFit="1" customWidth="1"/>
    <col min="11" max="11" width="5.5703125" style="3" bestFit="1" customWidth="1"/>
    <col min="12" max="12" width="29" style="3" customWidth="1"/>
    <col min="13" max="13" width="35.5703125" style="4" customWidth="1"/>
    <col min="14" max="14" width="28.140625" style="4" customWidth="1"/>
    <col min="15" max="15" width="9.140625" style="4"/>
    <col min="16" max="16" width="12.42578125" style="4" customWidth="1"/>
    <col min="17" max="16384" width="9.140625" style="4"/>
  </cols>
  <sheetData>
    <row r="1" spans="2:19" ht="20.25">
      <c r="B1" s="1" t="s">
        <v>0</v>
      </c>
      <c r="C1" s="2"/>
      <c r="D1" s="2"/>
      <c r="E1" s="2"/>
      <c r="F1" s="2"/>
      <c r="G1" s="2"/>
      <c r="H1" s="2"/>
    </row>
    <row r="3" spans="2:19" ht="16.5" thickBot="1">
      <c r="B3" s="5" t="s">
        <v>1</v>
      </c>
      <c r="C3" s="6"/>
      <c r="D3" s="7"/>
      <c r="E3" s="8"/>
      <c r="F3" s="9"/>
      <c r="G3" s="9"/>
      <c r="M3" s="3"/>
    </row>
    <row r="4" spans="2:19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L4" s="16" t="s">
        <v>9</v>
      </c>
      <c r="M4" s="16" t="s">
        <v>10</v>
      </c>
      <c r="N4" s="16" t="s">
        <v>11</v>
      </c>
      <c r="P4" s="17" t="s">
        <v>12</v>
      </c>
      <c r="Q4" s="18"/>
      <c r="R4" s="18"/>
      <c r="S4" s="19"/>
    </row>
    <row r="5" spans="2:19">
      <c r="B5" s="20" t="s">
        <v>13</v>
      </c>
      <c r="C5" s="21"/>
      <c r="D5" s="21"/>
      <c r="E5" s="22"/>
      <c r="F5" s="23"/>
      <c r="G5" s="23"/>
      <c r="H5" s="23"/>
      <c r="L5" s="24"/>
      <c r="M5" s="25"/>
      <c r="N5" s="24"/>
      <c r="P5" s="26" t="s">
        <v>14</v>
      </c>
      <c r="Q5" s="27" t="s">
        <v>15</v>
      </c>
      <c r="R5" s="27" t="s">
        <v>16</v>
      </c>
      <c r="S5" s="27" t="s">
        <v>17</v>
      </c>
    </row>
    <row r="6" spans="2:19" ht="24">
      <c r="B6" s="28" t="s">
        <v>18</v>
      </c>
      <c r="C6" s="29"/>
      <c r="D6" s="29"/>
      <c r="E6" s="30"/>
      <c r="F6" s="31"/>
      <c r="G6" s="31"/>
      <c r="H6" s="31"/>
      <c r="L6" s="32"/>
      <c r="M6" s="33"/>
      <c r="N6" s="32"/>
      <c r="P6" s="34" t="s">
        <v>19</v>
      </c>
      <c r="Q6" s="27"/>
      <c r="R6" s="27"/>
      <c r="S6" s="27"/>
    </row>
    <row r="7" spans="2:19">
      <c r="B7" s="29" t="s">
        <v>20</v>
      </c>
      <c r="C7" s="29" t="s">
        <v>21</v>
      </c>
      <c r="D7" s="29" t="s">
        <v>22</v>
      </c>
      <c r="E7" s="35">
        <v>50</v>
      </c>
      <c r="F7" s="31">
        <v>509.43</v>
      </c>
      <c r="G7" s="31">
        <v>4.1399999999999997</v>
      </c>
      <c r="H7" s="31">
        <v>5.0199999999999996</v>
      </c>
      <c r="L7" s="32"/>
      <c r="M7" s="33"/>
      <c r="N7" s="32"/>
      <c r="P7" s="36" t="s">
        <v>23</v>
      </c>
      <c r="Q7" s="37"/>
      <c r="R7" s="37"/>
      <c r="S7" s="37"/>
    </row>
    <row r="8" spans="2:19">
      <c r="B8" s="38" t="s">
        <v>24</v>
      </c>
      <c r="C8" s="38"/>
      <c r="D8" s="38"/>
      <c r="E8" s="39"/>
      <c r="F8" s="40">
        <f>SUM(F6:F7)</f>
        <v>509.43</v>
      </c>
      <c r="G8" s="40">
        <f>SUM(G6:G7)</f>
        <v>4.1399999999999997</v>
      </c>
      <c r="H8" s="41"/>
      <c r="L8" s="32"/>
      <c r="M8" s="33"/>
      <c r="N8" s="32"/>
      <c r="P8" s="36"/>
      <c r="Q8" s="42"/>
      <c r="R8" s="42"/>
      <c r="S8" s="42"/>
    </row>
    <row r="9" spans="2:19">
      <c r="B9" s="43" t="s">
        <v>25</v>
      </c>
      <c r="C9" s="43"/>
      <c r="D9" s="43"/>
      <c r="E9" s="44"/>
      <c r="F9" s="45">
        <f>F8</f>
        <v>509.43</v>
      </c>
      <c r="G9" s="45">
        <f>G8</f>
        <v>4.1399999999999997</v>
      </c>
      <c r="H9" s="45"/>
      <c r="L9" s="32"/>
      <c r="M9" s="33"/>
      <c r="N9" s="32"/>
      <c r="P9" s="36" t="s">
        <v>26</v>
      </c>
      <c r="Q9" s="37"/>
      <c r="R9" s="37"/>
      <c r="S9" s="37"/>
    </row>
    <row r="10" spans="2:19">
      <c r="B10" s="28" t="s">
        <v>27</v>
      </c>
      <c r="C10" s="29"/>
      <c r="D10" s="29"/>
      <c r="E10" s="30"/>
      <c r="F10" s="31"/>
      <c r="G10" s="31"/>
      <c r="H10" s="31"/>
      <c r="L10" s="32"/>
      <c r="M10" s="33"/>
      <c r="N10" s="32"/>
      <c r="P10" s="36"/>
      <c r="Q10" s="42"/>
      <c r="R10" s="42"/>
      <c r="S10" s="42"/>
    </row>
    <row r="11" spans="2:19">
      <c r="B11" s="29" t="s">
        <v>28</v>
      </c>
      <c r="C11" s="29" t="s">
        <v>29</v>
      </c>
      <c r="D11" s="29" t="s">
        <v>30</v>
      </c>
      <c r="E11" s="35">
        <v>5000000</v>
      </c>
      <c r="F11" s="31">
        <v>5008.72</v>
      </c>
      <c r="G11" s="31">
        <v>40.700000000000003</v>
      </c>
      <c r="H11" s="31">
        <v>3.77</v>
      </c>
      <c r="L11" s="32"/>
      <c r="M11" s="33"/>
      <c r="N11" s="32"/>
      <c r="P11" s="36" t="s">
        <v>31</v>
      </c>
      <c r="Q11" s="37"/>
      <c r="R11" s="46" t="s">
        <v>32</v>
      </c>
      <c r="S11" s="37"/>
    </row>
    <row r="12" spans="2:19">
      <c r="B12" s="29" t="s">
        <v>33</v>
      </c>
      <c r="C12" s="29" t="s">
        <v>34</v>
      </c>
      <c r="D12" s="29" t="s">
        <v>30</v>
      </c>
      <c r="E12" s="35">
        <v>1500000</v>
      </c>
      <c r="F12" s="31">
        <v>1587.96</v>
      </c>
      <c r="G12" s="31">
        <v>12.9</v>
      </c>
      <c r="H12" s="31">
        <v>5.9</v>
      </c>
      <c r="L12" s="47"/>
      <c r="M12" s="48"/>
      <c r="N12" s="47"/>
      <c r="P12" s="36"/>
      <c r="Q12" s="42"/>
      <c r="R12" s="49"/>
      <c r="S12" s="42"/>
    </row>
    <row r="13" spans="2:19">
      <c r="B13" s="29" t="s">
        <v>35</v>
      </c>
      <c r="C13" s="29" t="s">
        <v>36</v>
      </c>
      <c r="D13" s="29" t="s">
        <v>30</v>
      </c>
      <c r="E13" s="35">
        <v>1100000</v>
      </c>
      <c r="F13" s="31">
        <v>1141.8</v>
      </c>
      <c r="G13" s="31">
        <v>9.2799999999999994</v>
      </c>
      <c r="H13" s="31">
        <v>6.39</v>
      </c>
      <c r="M13" s="3" t="s">
        <v>37</v>
      </c>
    </row>
    <row r="14" spans="2:19">
      <c r="B14" s="29" t="s">
        <v>38</v>
      </c>
      <c r="C14" s="29" t="s">
        <v>39</v>
      </c>
      <c r="D14" s="29" t="s">
        <v>30</v>
      </c>
      <c r="E14" s="35">
        <v>500000</v>
      </c>
      <c r="F14" s="31">
        <v>535.97</v>
      </c>
      <c r="G14" s="31">
        <v>4.3600000000000003</v>
      </c>
      <c r="H14" s="31">
        <v>6.25</v>
      </c>
    </row>
    <row r="15" spans="2:19">
      <c r="B15" s="50" t="s">
        <v>40</v>
      </c>
      <c r="C15" s="50" t="s">
        <v>41</v>
      </c>
      <c r="D15" s="50" t="s">
        <v>30</v>
      </c>
      <c r="E15" s="51">
        <v>23200</v>
      </c>
      <c r="F15" s="52">
        <v>23.12</v>
      </c>
      <c r="G15" s="52">
        <v>0.19</v>
      </c>
      <c r="H15" s="52">
        <v>6.73</v>
      </c>
    </row>
    <row r="16" spans="2:19">
      <c r="B16" s="53" t="s">
        <v>25</v>
      </c>
      <c r="C16" s="53"/>
      <c r="D16" s="53"/>
      <c r="E16" s="54"/>
      <c r="F16" s="55">
        <f>SUM(F11:F15)</f>
        <v>8297.5700000000015</v>
      </c>
      <c r="G16" s="55">
        <f>SUM(G11:G15)</f>
        <v>67.430000000000007</v>
      </c>
      <c r="H16" s="55"/>
    </row>
    <row r="17" spans="2:8">
      <c r="B17" s="28" t="s">
        <v>42</v>
      </c>
      <c r="C17" s="29"/>
      <c r="D17" s="29"/>
      <c r="E17" s="30"/>
      <c r="F17" s="31"/>
      <c r="G17" s="31"/>
      <c r="H17" s="31"/>
    </row>
    <row r="18" spans="2:8">
      <c r="B18" s="29" t="s">
        <v>42</v>
      </c>
      <c r="C18" s="29"/>
      <c r="D18" s="29"/>
      <c r="E18" s="30"/>
      <c r="F18" s="31">
        <v>2628.1</v>
      </c>
      <c r="G18" s="31">
        <v>21.35</v>
      </c>
      <c r="H18" s="31"/>
    </row>
    <row r="19" spans="2:8">
      <c r="B19" s="38" t="s">
        <v>24</v>
      </c>
      <c r="C19" s="38"/>
      <c r="D19" s="38"/>
      <c r="E19" s="39"/>
      <c r="F19" s="40">
        <f>SUM(F17:F18)</f>
        <v>2628.1</v>
      </c>
      <c r="G19" s="40">
        <f>SUM(G17:G18)</f>
        <v>21.35</v>
      </c>
      <c r="H19" s="41"/>
    </row>
    <row r="20" spans="2:8">
      <c r="B20" s="56" t="s">
        <v>25</v>
      </c>
      <c r="C20" s="56"/>
      <c r="D20" s="56"/>
      <c r="E20" s="57"/>
      <c r="F20" s="58">
        <f>F19</f>
        <v>2628.1</v>
      </c>
      <c r="G20" s="58">
        <f>G19</f>
        <v>21.35</v>
      </c>
      <c r="H20" s="58"/>
    </row>
    <row r="21" spans="2:8">
      <c r="B21" s="59" t="s">
        <v>43</v>
      </c>
      <c r="C21" s="59"/>
      <c r="D21" s="59"/>
      <c r="E21" s="60"/>
      <c r="F21" s="61">
        <f>F22-(+F9+F16+F20)</f>
        <v>871.72999999999774</v>
      </c>
      <c r="G21" s="61">
        <f>G22-(+G9+G16+G20)</f>
        <v>7.0799999999999841</v>
      </c>
      <c r="H21" s="61"/>
    </row>
    <row r="22" spans="2:8">
      <c r="B22" s="59" t="s">
        <v>44</v>
      </c>
      <c r="C22" s="59"/>
      <c r="D22" s="59"/>
      <c r="E22" s="60"/>
      <c r="F22" s="61">
        <v>12306.83</v>
      </c>
      <c r="G22" s="61">
        <v>100</v>
      </c>
      <c r="H22" s="61"/>
    </row>
    <row r="24" spans="2:8">
      <c r="B24" s="62" t="s">
        <v>45</v>
      </c>
    </row>
  </sheetData>
  <mergeCells count="19">
    <mergeCell ref="S7:S8"/>
    <mergeCell ref="P9:P10"/>
    <mergeCell ref="Q9:Q10"/>
    <mergeCell ref="R9:R10"/>
    <mergeCell ref="S9:S10"/>
    <mergeCell ref="P11:P12"/>
    <mergeCell ref="Q11:Q12"/>
    <mergeCell ref="R11:R12"/>
    <mergeCell ref="S11:S12"/>
    <mergeCell ref="B1:H1"/>
    <mergeCell ref="P4:S4"/>
    <mergeCell ref="L5:L12"/>
    <mergeCell ref="N5:N12"/>
    <mergeCell ref="Q5:Q6"/>
    <mergeCell ref="R5:R6"/>
    <mergeCell ref="S5:S6"/>
    <mergeCell ref="P7:P8"/>
    <mergeCell ref="Q7:Q8"/>
    <mergeCell ref="R7:R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2022-02-08T11:11:53Z</dcterms:created>
  <dcterms:modified xsi:type="dcterms:W3CDTF">2022-02-08T11:11:56Z</dcterms:modified>
</cp:coreProperties>
</file>