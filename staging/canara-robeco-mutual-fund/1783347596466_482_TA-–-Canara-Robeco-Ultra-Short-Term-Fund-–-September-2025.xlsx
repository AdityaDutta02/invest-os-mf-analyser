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Sep 25\"/>
    </mc:Choice>
  </mc:AlternateContent>
  <xr:revisionPtr revIDLastSave="0" documentId="8_{375C5000-FB4E-442B-9C74-0D932DCE794D}" xr6:coauthVersionLast="47" xr6:coauthVersionMax="47" xr10:uidLastSave="{00000000-0000-0000-0000-000000000000}"/>
  <bookViews>
    <workbookView xWindow="-120" yWindow="-120" windowWidth="20730" windowHeight="11040" xr2:uid="{E2F60DE9-9D9F-44D3-9C5A-B9148D79C9F7}"/>
  </bookViews>
  <sheets>
    <sheet name="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5" i="1" s="1"/>
  <c r="F44" i="1"/>
  <c r="F45" i="1" s="1"/>
  <c r="G41" i="1"/>
  <c r="F41" i="1"/>
  <c r="G38" i="1"/>
  <c r="F38" i="1"/>
  <c r="G35" i="1"/>
  <c r="G34" i="1"/>
  <c r="F34" i="1"/>
  <c r="G29" i="1"/>
  <c r="F29" i="1"/>
  <c r="F35" i="1" s="1"/>
  <c r="G17" i="1"/>
  <c r="G18" i="1" s="1"/>
  <c r="F17" i="1"/>
  <c r="F18" i="1" s="1"/>
  <c r="F46" i="1" l="1"/>
  <c r="G4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<sst xmlns="http://schemas.openxmlformats.org/spreadsheetml/2006/main" count="120" uniqueCount="95">
  <si>
    <t>CANARA ROBECO ULTRA SHORT TERM FUND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</si>
  <si>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</si>
  <si>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</si>
  <si>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</si>
  <si>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</si>
  <si>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</si>
  <si>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</si>
  <si>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</si>
  <si>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</si>
  <si>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September'25</t>
  </si>
  <si>
    <t>Benchmark Risk-O-Meter Level- September'25</t>
  </si>
  <si>
    <t>Scheme Risk-O-Meter Level- August'25</t>
  </si>
  <si>
    <t>Benchmark Risk-O-Meter Level- August'25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</si>
  <si>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</si>
  <si>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</si>
  <si>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</si>
  <si>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</si>
  <si>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</si>
  <si>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</si>
  <si>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</si>
  <si>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</si>
  <si>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7.55% Small Industries Development Bank Of India (22/09/2026) **</t>
  </si>
  <si>
    <t>INE556F08KJ7</t>
  </si>
  <si>
    <t>CRISIL AAA</t>
  </si>
  <si>
    <t>Relatively Low (Class I)</t>
  </si>
  <si>
    <t>B-I</t>
  </si>
  <si>
    <t>7.63% Power Finance Corporation Ltd (14/08/2026) **</t>
  </si>
  <si>
    <t>INE134E08II2</t>
  </si>
  <si>
    <t>7.58% National Bank For Agriculture &amp; Rural Development (31/07/2026)</t>
  </si>
  <si>
    <t>INE261F08DX0</t>
  </si>
  <si>
    <t>Moderate 
(Class II)</t>
  </si>
  <si>
    <t>7.9237% BAJAJ HOUSING FINANCE LTD 16-MAR-26 **</t>
  </si>
  <si>
    <t>INE377Y07375</t>
  </si>
  <si>
    <t>7.44% REC Ltd (30/04/2026) **</t>
  </si>
  <si>
    <t>INE020B08EL2</t>
  </si>
  <si>
    <t>IND AAA</t>
  </si>
  <si>
    <t>Relatively High (Class III)</t>
  </si>
  <si>
    <t>8.00% Bajaj Housing Finance Ltd (16/02/2026) **</t>
  </si>
  <si>
    <t>INE377Y07466</t>
  </si>
  <si>
    <t>7.40% National Bank For Agriculture &amp; Rural Development (30/01/2026) **</t>
  </si>
  <si>
    <t>INE261F08DO9</t>
  </si>
  <si>
    <t>Benchmark: CRISIL Ultra Short Duration Debt A-I Index</t>
  </si>
  <si>
    <t>6.40% LIC Housing Finance Ltd (30/11/2026) **</t>
  </si>
  <si>
    <t>INE115A07PN6</t>
  </si>
  <si>
    <t>7.64% Power Finance Corporation Ltd (25/08/2026)</t>
  </si>
  <si>
    <t>INE134E08MT1</t>
  </si>
  <si>
    <t>7.82% LIC Housing Finance Ltd (14/01/2026)</t>
  </si>
  <si>
    <t>INE115A07QE3</t>
  </si>
  <si>
    <t>Sub Total</t>
  </si>
  <si>
    <t>Total</t>
  </si>
  <si>
    <t>Money Market Instruments</t>
  </si>
  <si>
    <t>Certificate of Deposit</t>
  </si>
  <si>
    <t>Union Bank of India (10/12/2025) ** #</t>
  </si>
  <si>
    <t>INE692A16IF6</t>
  </si>
  <si>
    <t>IND A1+</t>
  </si>
  <si>
    <t>Kotak Mahindra Bank Ltd (11/12/2025) #</t>
  </si>
  <si>
    <t>INE237A160Z6</t>
  </si>
  <si>
    <t>CRISIL A1+</t>
  </si>
  <si>
    <t>Axis Bank Ltd (16/12/2025) ** #</t>
  </si>
  <si>
    <t>INE238AD6AX9</t>
  </si>
  <si>
    <t>Axis Bank Ltd (04/03/2026) ** #</t>
  </si>
  <si>
    <t>INE238AD6AN0</t>
  </si>
  <si>
    <t>Indian Bank (12/03/2026) #</t>
  </si>
  <si>
    <t>INE562A16OI3</t>
  </si>
  <si>
    <t>HDFC Bank Ltd (12/03/2026) ** #</t>
  </si>
  <si>
    <t>INE040A16GN6</t>
  </si>
  <si>
    <t>CARE A1+</t>
  </si>
  <si>
    <t>Punjab National Bank (18/03/2026) #</t>
  </si>
  <si>
    <t>INE160A16RK5</t>
  </si>
  <si>
    <t>HDFC Bank Ltd (24/03/2026) ** #</t>
  </si>
  <si>
    <t>INE040A16GS5</t>
  </si>
  <si>
    <t>Commercial Paper</t>
  </si>
  <si>
    <t>SBI Cards and Payment Services Ltd (12/12/2025) **</t>
  </si>
  <si>
    <t>INE018E14PQ3</t>
  </si>
  <si>
    <t>ICICI Securities Ltd (27/02/2026) **</t>
  </si>
  <si>
    <t>INE763G14XI0</t>
  </si>
  <si>
    <t>ICICI Securities Ltd (20/03/2026) **</t>
  </si>
  <si>
    <t>INE763G14XY7</t>
  </si>
  <si>
    <t>Government Bonds</t>
  </si>
  <si>
    <t>GOI FRB 2033 (22-SEP-2033)</t>
  </si>
  <si>
    <t>IN0020200120</t>
  </si>
  <si>
    <t>Sovereign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</si>
  <si>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</si>
  <si>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</si>
  <si>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</si>
  <si>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</si>
  <si>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</si>
  <si>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</si>
  <si>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</si>
  <si>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</si>
  <si>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</si>
  <si>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</si>
  <si>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</si>
  <si>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</si>
  <si>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https://www.canararobeco.com/images/default-source/default-album/Scheme_Performance_September_25.pdf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</si>
</sst>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5" xfId="1" applyFont="1" applyFill="1" applyBorder="1" applyAlignment="1">
      <alignment horizontal="center" vertical="center"/>
    </xf>
    <xf numFmtId="164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164" fontId="4" fillId="3" borderId="13" xfId="1" applyFont="1" applyFill="1" applyBorder="1" applyAlignment="1">
      <alignment horizontal="center" vertical="center"/>
    </xf>
    <xf numFmtId="164" fontId="4" fillId="3" borderId="0" xfId="1" applyFont="1" applyFill="1" applyAlignment="1"/>
    <xf numFmtId="164" fontId="4" fillId="3" borderId="0" xfId="1" applyFont="1" applyFill="1"/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17" xfId="0" applyNumberFormat="1" applyFont="1" applyFill="1" applyBorder="1"/>
    <xf numFmtId="4" fontId="10" fillId="3" borderId="11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7" xfId="0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D567-E51B-45CC-80D4-21BE92C39002}">
  <dimension ref="B1:S60"/>
  <sheetViews>
    <sheetView tabSelected="1" workbookViewId="0">
      <selection activeCell="C15" sqref="C15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5703125" style="3" bestFit="1" customWidth="1"/>
    <col min="4" max="4" width="22.85546875" style="3" bestFit="1" customWidth="1"/>
    <col min="5" max="5" width="7.71093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10" width="9.140625" style="3"/>
    <col min="11" max="11" width="31.5703125" style="3" customWidth="1"/>
    <col min="12" max="12" width="35.5703125" style="3" customWidth="1"/>
    <col min="13" max="14" width="31.42578125" style="3" customWidth="1"/>
    <col min="15" max="15" width="9.140625" style="3"/>
    <col min="16" max="16" width="12.5703125" style="3" customWidth="1"/>
    <col min="17" max="16384" width="9.140625" style="3"/>
  </cols>
  <sheetData>
    <row r="1" spans="2:1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9" ht="16.5" thickBot="1" x14ac:dyDescent="0.25">
      <c r="B3" s="4" t="s">
        <v>1</v>
      </c>
      <c r="C3" s="5"/>
      <c r="D3" s="6"/>
      <c r="E3" s="6"/>
      <c r="F3" s="7"/>
      <c r="G3" s="7"/>
    </row>
    <row r="4" spans="2:19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4" x14ac:dyDescent="0.2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9"/>
      <c r="R6" s="29"/>
      <c r="S6" s="29"/>
    </row>
    <row r="7" spans="2:19" x14ac:dyDescent="0.2">
      <c r="B7" s="25" t="s">
        <v>21</v>
      </c>
      <c r="C7" s="25" t="s">
        <v>22</v>
      </c>
      <c r="D7" s="25" t="s">
        <v>23</v>
      </c>
      <c r="E7" s="30">
        <v>5000</v>
      </c>
      <c r="F7" s="26">
        <v>5042.97</v>
      </c>
      <c r="G7" s="26">
        <v>8.9</v>
      </c>
      <c r="H7" s="26">
        <v>6.6</v>
      </c>
      <c r="K7" s="27"/>
      <c r="L7" s="21"/>
      <c r="M7" s="27"/>
      <c r="N7" s="21"/>
      <c r="P7" s="31" t="s">
        <v>24</v>
      </c>
      <c r="Q7" s="32"/>
      <c r="R7" s="33" t="s">
        <v>25</v>
      </c>
      <c r="S7" s="32"/>
    </row>
    <row r="8" spans="2:19" x14ac:dyDescent="0.2">
      <c r="B8" s="25" t="s">
        <v>26</v>
      </c>
      <c r="C8" s="25" t="s">
        <v>27</v>
      </c>
      <c r="D8" s="25" t="s">
        <v>23</v>
      </c>
      <c r="E8" s="30">
        <v>250</v>
      </c>
      <c r="F8" s="26">
        <v>2521.44</v>
      </c>
      <c r="G8" s="26">
        <v>4.45</v>
      </c>
      <c r="H8" s="26">
        <v>6.53</v>
      </c>
      <c r="K8" s="27"/>
      <c r="L8" s="21"/>
      <c r="M8" s="27"/>
      <c r="N8" s="21"/>
      <c r="P8" s="31"/>
      <c r="Q8" s="34"/>
      <c r="R8" s="35"/>
      <c r="S8" s="34"/>
    </row>
    <row r="9" spans="2:19" x14ac:dyDescent="0.2">
      <c r="B9" s="25" t="s">
        <v>28</v>
      </c>
      <c r="C9" s="25" t="s">
        <v>29</v>
      </c>
      <c r="D9" s="25" t="s">
        <v>23</v>
      </c>
      <c r="E9" s="30">
        <v>2500</v>
      </c>
      <c r="F9" s="26">
        <v>2515.91</v>
      </c>
      <c r="G9" s="26">
        <v>4.4400000000000004</v>
      </c>
      <c r="H9" s="26">
        <v>6.69</v>
      </c>
      <c r="K9" s="27"/>
      <c r="L9" s="21"/>
      <c r="M9" s="27"/>
      <c r="N9" s="21"/>
      <c r="P9" s="31" t="s">
        <v>30</v>
      </c>
      <c r="Q9" s="32"/>
      <c r="R9" s="32"/>
      <c r="S9" s="32"/>
    </row>
    <row r="10" spans="2:19" x14ac:dyDescent="0.2">
      <c r="B10" s="25" t="s">
        <v>31</v>
      </c>
      <c r="C10" s="25" t="s">
        <v>32</v>
      </c>
      <c r="D10" s="25" t="s">
        <v>23</v>
      </c>
      <c r="E10" s="30">
        <v>250</v>
      </c>
      <c r="F10" s="26">
        <v>2514.0300000000002</v>
      </c>
      <c r="G10" s="26">
        <v>4.4400000000000004</v>
      </c>
      <c r="H10" s="26">
        <v>6.38</v>
      </c>
      <c r="K10" s="27"/>
      <c r="L10" s="21"/>
      <c r="M10" s="27"/>
      <c r="N10" s="21"/>
      <c r="P10" s="31"/>
      <c r="Q10" s="34"/>
      <c r="R10" s="34"/>
      <c r="S10" s="34"/>
    </row>
    <row r="11" spans="2:19" x14ac:dyDescent="0.2">
      <c r="B11" s="25" t="s">
        <v>33</v>
      </c>
      <c r="C11" s="25" t="s">
        <v>34</v>
      </c>
      <c r="D11" s="25" t="s">
        <v>35</v>
      </c>
      <c r="E11" s="30">
        <v>2500</v>
      </c>
      <c r="F11" s="26">
        <v>2512.38</v>
      </c>
      <c r="G11" s="26">
        <v>4.43</v>
      </c>
      <c r="H11" s="26">
        <v>6.43</v>
      </c>
      <c r="K11" s="27"/>
      <c r="L11" s="21"/>
      <c r="M11" s="27"/>
      <c r="N11" s="21"/>
      <c r="P11" s="31" t="s">
        <v>36</v>
      </c>
      <c r="Q11" s="32"/>
      <c r="R11" s="32"/>
      <c r="S11" s="32"/>
    </row>
    <row r="12" spans="2:19" x14ac:dyDescent="0.2">
      <c r="B12" s="25" t="s">
        <v>37</v>
      </c>
      <c r="C12" s="25" t="s">
        <v>38</v>
      </c>
      <c r="D12" s="25" t="s">
        <v>23</v>
      </c>
      <c r="E12" s="30">
        <v>2500</v>
      </c>
      <c r="F12" s="26">
        <v>2512.04</v>
      </c>
      <c r="G12" s="26">
        <v>4.43</v>
      </c>
      <c r="H12" s="26">
        <v>6.38</v>
      </c>
      <c r="K12" s="36"/>
      <c r="L12" s="21"/>
      <c r="M12" s="36"/>
      <c r="N12" s="21"/>
      <c r="P12" s="31"/>
      <c r="Q12" s="34"/>
      <c r="R12" s="34"/>
      <c r="S12" s="34"/>
    </row>
    <row r="13" spans="2:19" x14ac:dyDescent="0.2">
      <c r="B13" s="25" t="s">
        <v>39</v>
      </c>
      <c r="C13" s="25" t="s">
        <v>40</v>
      </c>
      <c r="D13" s="25" t="s">
        <v>23</v>
      </c>
      <c r="E13" s="30">
        <v>250</v>
      </c>
      <c r="F13" s="26">
        <v>2506.87</v>
      </c>
      <c r="G13" s="26">
        <v>4.42</v>
      </c>
      <c r="H13" s="26">
        <v>6.25</v>
      </c>
      <c r="K13" s="37"/>
      <c r="L13" s="37" t="s">
        <v>41</v>
      </c>
      <c r="M13" s="38"/>
      <c r="N13" s="38"/>
    </row>
    <row r="14" spans="2:19" x14ac:dyDescent="0.2">
      <c r="B14" s="25" t="s">
        <v>42</v>
      </c>
      <c r="C14" s="25" t="s">
        <v>43</v>
      </c>
      <c r="D14" s="25" t="s">
        <v>23</v>
      </c>
      <c r="E14" s="30">
        <v>250</v>
      </c>
      <c r="F14" s="26">
        <v>2489.5100000000002</v>
      </c>
      <c r="G14" s="26">
        <v>4.3899999999999997</v>
      </c>
      <c r="H14" s="26">
        <v>6.76</v>
      </c>
    </row>
    <row r="15" spans="2:19" x14ac:dyDescent="0.2">
      <c r="B15" s="25" t="s">
        <v>44</v>
      </c>
      <c r="C15" s="25" t="s">
        <v>45</v>
      </c>
      <c r="D15" s="25" t="s">
        <v>23</v>
      </c>
      <c r="E15" s="30">
        <v>2000</v>
      </c>
      <c r="F15" s="26">
        <v>2017.99</v>
      </c>
      <c r="G15" s="26">
        <v>3.56</v>
      </c>
      <c r="H15" s="26">
        <v>6.53</v>
      </c>
    </row>
    <row r="16" spans="2:19" x14ac:dyDescent="0.2">
      <c r="B16" s="25" t="s">
        <v>46</v>
      </c>
      <c r="C16" s="25" t="s">
        <v>47</v>
      </c>
      <c r="D16" s="25" t="s">
        <v>23</v>
      </c>
      <c r="E16" s="30">
        <v>200</v>
      </c>
      <c r="F16" s="26">
        <v>2006.91</v>
      </c>
      <c r="G16" s="26">
        <v>3.54</v>
      </c>
      <c r="H16" s="26">
        <v>6.25</v>
      </c>
    </row>
    <row r="17" spans="2:9" x14ac:dyDescent="0.2">
      <c r="B17" s="39" t="s">
        <v>48</v>
      </c>
      <c r="C17" s="39"/>
      <c r="D17" s="39"/>
      <c r="E17" s="39"/>
      <c r="F17" s="40">
        <f>SUM(F6:F16)</f>
        <v>26640.050000000003</v>
      </c>
      <c r="G17" s="40">
        <f>SUM(G6:G16)</f>
        <v>47.000000000000007</v>
      </c>
      <c r="H17" s="41"/>
      <c r="I17" s="42"/>
    </row>
    <row r="18" spans="2:9" x14ac:dyDescent="0.2">
      <c r="B18" s="43" t="s">
        <v>49</v>
      </c>
      <c r="C18" s="43"/>
      <c r="D18" s="43"/>
      <c r="E18" s="43"/>
      <c r="F18" s="44">
        <f>F17</f>
        <v>26640.050000000003</v>
      </c>
      <c r="G18" s="44">
        <f>G17</f>
        <v>47.000000000000007</v>
      </c>
      <c r="H18" s="44"/>
      <c r="I18" s="42"/>
    </row>
    <row r="19" spans="2:9" x14ac:dyDescent="0.2">
      <c r="B19" s="24" t="s">
        <v>50</v>
      </c>
      <c r="C19" s="25"/>
      <c r="D19" s="25"/>
      <c r="E19" s="25"/>
      <c r="F19" s="26"/>
      <c r="G19" s="26"/>
      <c r="H19" s="26"/>
    </row>
    <row r="20" spans="2:9" x14ac:dyDescent="0.2">
      <c r="B20" s="24" t="s">
        <v>51</v>
      </c>
      <c r="C20" s="25"/>
      <c r="D20" s="25"/>
      <c r="E20" s="25"/>
      <c r="F20" s="26"/>
      <c r="G20" s="26"/>
      <c r="H20" s="26"/>
    </row>
    <row r="21" spans="2:9" x14ac:dyDescent="0.2">
      <c r="B21" s="25" t="s">
        <v>52</v>
      </c>
      <c r="C21" s="25" t="s">
        <v>53</v>
      </c>
      <c r="D21" s="25" t="s">
        <v>54</v>
      </c>
      <c r="E21" s="30">
        <v>500</v>
      </c>
      <c r="F21" s="26">
        <v>2472.66</v>
      </c>
      <c r="G21" s="26">
        <v>4.3600000000000003</v>
      </c>
      <c r="H21" s="26">
        <v>5.76</v>
      </c>
    </row>
    <row r="22" spans="2:9" x14ac:dyDescent="0.2">
      <c r="B22" s="25" t="s">
        <v>55</v>
      </c>
      <c r="C22" s="25" t="s">
        <v>56</v>
      </c>
      <c r="D22" s="25" t="s">
        <v>57</v>
      </c>
      <c r="E22" s="30">
        <v>500</v>
      </c>
      <c r="F22" s="26">
        <v>2472.3000000000002</v>
      </c>
      <c r="G22" s="26">
        <v>4.3600000000000003</v>
      </c>
      <c r="H22" s="26">
        <v>5.76</v>
      </c>
    </row>
    <row r="23" spans="2:9" x14ac:dyDescent="0.2">
      <c r="B23" s="25" t="s">
        <v>58</v>
      </c>
      <c r="C23" s="25" t="s">
        <v>59</v>
      </c>
      <c r="D23" s="25" t="s">
        <v>57</v>
      </c>
      <c r="E23" s="30">
        <v>500</v>
      </c>
      <c r="F23" s="26">
        <v>2470.5</v>
      </c>
      <c r="G23" s="26">
        <v>4.3600000000000003</v>
      </c>
      <c r="H23" s="26">
        <v>5.74</v>
      </c>
    </row>
    <row r="24" spans="2:9" x14ac:dyDescent="0.2">
      <c r="B24" s="25" t="s">
        <v>60</v>
      </c>
      <c r="C24" s="25" t="s">
        <v>61</v>
      </c>
      <c r="D24" s="25" t="s">
        <v>57</v>
      </c>
      <c r="E24" s="30">
        <v>500</v>
      </c>
      <c r="F24" s="26">
        <v>2437.4699999999998</v>
      </c>
      <c r="G24" s="26">
        <v>4.3</v>
      </c>
      <c r="H24" s="26">
        <v>6.08</v>
      </c>
    </row>
    <row r="25" spans="2:9" x14ac:dyDescent="0.2">
      <c r="B25" s="25" t="s">
        <v>62</v>
      </c>
      <c r="C25" s="25" t="s">
        <v>63</v>
      </c>
      <c r="D25" s="25" t="s">
        <v>57</v>
      </c>
      <c r="E25" s="30">
        <v>500</v>
      </c>
      <c r="F25" s="26">
        <v>2434.36</v>
      </c>
      <c r="G25" s="26">
        <v>4.3</v>
      </c>
      <c r="H25" s="26">
        <v>6.08</v>
      </c>
    </row>
    <row r="26" spans="2:9" x14ac:dyDescent="0.2">
      <c r="B26" s="25" t="s">
        <v>64</v>
      </c>
      <c r="C26" s="25" t="s">
        <v>65</v>
      </c>
      <c r="D26" s="25" t="s">
        <v>66</v>
      </c>
      <c r="E26" s="30">
        <v>500</v>
      </c>
      <c r="F26" s="26">
        <v>2434.31</v>
      </c>
      <c r="G26" s="26">
        <v>4.29</v>
      </c>
      <c r="H26" s="26">
        <v>6.08</v>
      </c>
    </row>
    <row r="27" spans="2:9" x14ac:dyDescent="0.2">
      <c r="B27" s="25" t="s">
        <v>67</v>
      </c>
      <c r="C27" s="25" t="s">
        <v>68</v>
      </c>
      <c r="D27" s="25" t="s">
        <v>66</v>
      </c>
      <c r="E27" s="30">
        <v>500</v>
      </c>
      <c r="F27" s="26">
        <v>2432</v>
      </c>
      <c r="G27" s="26">
        <v>4.29</v>
      </c>
      <c r="H27" s="26">
        <v>6.08</v>
      </c>
    </row>
    <row r="28" spans="2:9" x14ac:dyDescent="0.2">
      <c r="B28" s="25" t="s">
        <v>69</v>
      </c>
      <c r="C28" s="25" t="s">
        <v>70</v>
      </c>
      <c r="D28" s="25" t="s">
        <v>66</v>
      </c>
      <c r="E28" s="30">
        <v>500</v>
      </c>
      <c r="F28" s="26">
        <v>2429.58</v>
      </c>
      <c r="G28" s="26">
        <v>4.29</v>
      </c>
      <c r="H28" s="26">
        <v>6.08</v>
      </c>
    </row>
    <row r="29" spans="2:9" x14ac:dyDescent="0.2">
      <c r="B29" s="24" t="s">
        <v>48</v>
      </c>
      <c r="C29" s="24"/>
      <c r="D29" s="24"/>
      <c r="E29" s="24"/>
      <c r="F29" s="45">
        <f>SUM(F20:F28)</f>
        <v>19583.18</v>
      </c>
      <c r="G29" s="45">
        <f>SUM(G20:G28)</f>
        <v>34.550000000000004</v>
      </c>
      <c r="H29" s="46"/>
      <c r="I29" s="42"/>
    </row>
    <row r="30" spans="2:9" x14ac:dyDescent="0.2">
      <c r="B30" s="24" t="s">
        <v>71</v>
      </c>
      <c r="C30" s="25"/>
      <c r="D30" s="25"/>
      <c r="E30" s="25"/>
      <c r="F30" s="26"/>
      <c r="G30" s="26"/>
      <c r="H30" s="26"/>
    </row>
    <row r="31" spans="2:9" x14ac:dyDescent="0.2">
      <c r="B31" s="25" t="s">
        <v>72</v>
      </c>
      <c r="C31" s="25" t="s">
        <v>73</v>
      </c>
      <c r="D31" s="25" t="s">
        <v>57</v>
      </c>
      <c r="E31" s="30">
        <v>1000</v>
      </c>
      <c r="F31" s="26">
        <v>4935.22</v>
      </c>
      <c r="G31" s="26">
        <v>8.7100000000000009</v>
      </c>
      <c r="H31" s="26">
        <v>6.66</v>
      </c>
    </row>
    <row r="32" spans="2:9" x14ac:dyDescent="0.2">
      <c r="B32" s="25" t="s">
        <v>74</v>
      </c>
      <c r="C32" s="25" t="s">
        <v>75</v>
      </c>
      <c r="D32" s="25" t="s">
        <v>57</v>
      </c>
      <c r="E32" s="30">
        <v>500</v>
      </c>
      <c r="F32" s="26">
        <v>2433.1999999999998</v>
      </c>
      <c r="G32" s="26">
        <v>4.29</v>
      </c>
      <c r="H32" s="26">
        <v>6.73</v>
      </c>
    </row>
    <row r="33" spans="2:9" x14ac:dyDescent="0.2">
      <c r="B33" s="25" t="s">
        <v>76</v>
      </c>
      <c r="C33" s="25" t="s">
        <v>77</v>
      </c>
      <c r="D33" s="25" t="s">
        <v>57</v>
      </c>
      <c r="E33" s="30">
        <v>500</v>
      </c>
      <c r="F33" s="26">
        <v>2424.0700000000002</v>
      </c>
      <c r="G33" s="26">
        <v>4.28</v>
      </c>
      <c r="H33" s="26">
        <v>6.73</v>
      </c>
    </row>
    <row r="34" spans="2:9" x14ac:dyDescent="0.2">
      <c r="B34" s="39" t="s">
        <v>48</v>
      </c>
      <c r="C34" s="39"/>
      <c r="D34" s="39"/>
      <c r="E34" s="39"/>
      <c r="F34" s="40">
        <f>SUM(F30:F33)</f>
        <v>9792.49</v>
      </c>
      <c r="G34" s="40">
        <f>SUM(G30:G33)</f>
        <v>17.28</v>
      </c>
      <c r="H34" s="41"/>
      <c r="I34" s="42"/>
    </row>
    <row r="35" spans="2:9" x14ac:dyDescent="0.2">
      <c r="B35" s="43" t="s">
        <v>49</v>
      </c>
      <c r="C35" s="43"/>
      <c r="D35" s="43"/>
      <c r="E35" s="43"/>
      <c r="F35" s="44">
        <f>F29+F34</f>
        <v>29375.67</v>
      </c>
      <c r="G35" s="44">
        <f>G29+G34</f>
        <v>51.830000000000005</v>
      </c>
      <c r="H35" s="44"/>
      <c r="I35" s="42"/>
    </row>
    <row r="36" spans="2:9" x14ac:dyDescent="0.2">
      <c r="B36" s="24" t="s">
        <v>78</v>
      </c>
      <c r="C36" s="25"/>
      <c r="D36" s="25"/>
      <c r="E36" s="25"/>
      <c r="F36" s="26"/>
      <c r="G36" s="26"/>
      <c r="H36" s="26"/>
    </row>
    <row r="37" spans="2:9" x14ac:dyDescent="0.2">
      <c r="B37" s="47" t="s">
        <v>79</v>
      </c>
      <c r="C37" s="47" t="s">
        <v>80</v>
      </c>
      <c r="D37" s="47" t="s">
        <v>81</v>
      </c>
      <c r="E37" s="48">
        <v>500000</v>
      </c>
      <c r="F37" s="49">
        <v>516.67999999999995</v>
      </c>
      <c r="G37" s="49">
        <v>0.91</v>
      </c>
      <c r="H37" s="49">
        <v>6.28</v>
      </c>
    </row>
    <row r="38" spans="2:9" x14ac:dyDescent="0.2">
      <c r="B38" s="50" t="s">
        <v>49</v>
      </c>
      <c r="C38" s="50"/>
      <c r="D38" s="50"/>
      <c r="E38" s="50"/>
      <c r="F38" s="45">
        <f>SUM(F37:F37)</f>
        <v>516.67999999999995</v>
      </c>
      <c r="G38" s="45">
        <f>SUM(G37:G37)</f>
        <v>0.91</v>
      </c>
      <c r="H38" s="45"/>
      <c r="I38" s="42"/>
    </row>
    <row r="39" spans="2:9" x14ac:dyDescent="0.2">
      <c r="B39" s="24" t="s">
        <v>82</v>
      </c>
      <c r="C39" s="25"/>
      <c r="D39" s="25"/>
      <c r="E39" s="25"/>
      <c r="F39" s="26"/>
      <c r="G39" s="26"/>
      <c r="H39" s="26"/>
    </row>
    <row r="40" spans="2:9" x14ac:dyDescent="0.2">
      <c r="B40" s="47" t="s">
        <v>83</v>
      </c>
      <c r="C40" s="47" t="s">
        <v>84</v>
      </c>
      <c r="D40" s="47" t="s">
        <v>82</v>
      </c>
      <c r="E40" s="48">
        <v>1529.0239999999999</v>
      </c>
      <c r="F40" s="49">
        <v>174.09</v>
      </c>
      <c r="G40" s="49">
        <v>0.31</v>
      </c>
      <c r="H40" s="49">
        <v>5.62</v>
      </c>
    </row>
    <row r="41" spans="2:9" x14ac:dyDescent="0.2">
      <c r="B41" s="50" t="s">
        <v>49</v>
      </c>
      <c r="C41" s="50"/>
      <c r="D41" s="50"/>
      <c r="E41" s="50"/>
      <c r="F41" s="45">
        <f>SUM(F40:F40)</f>
        <v>174.09</v>
      </c>
      <c r="G41" s="45">
        <f>SUM(G40:G40)</f>
        <v>0.31</v>
      </c>
      <c r="H41" s="45"/>
      <c r="I41" s="42"/>
    </row>
    <row r="42" spans="2:9" x14ac:dyDescent="0.2">
      <c r="B42" s="24" t="s">
        <v>85</v>
      </c>
      <c r="C42" s="25"/>
      <c r="D42" s="25"/>
      <c r="E42" s="25"/>
      <c r="F42" s="26"/>
      <c r="G42" s="26"/>
      <c r="H42" s="26"/>
    </row>
    <row r="43" spans="2:9" x14ac:dyDescent="0.2">
      <c r="B43" s="25" t="s">
        <v>85</v>
      </c>
      <c r="C43" s="25"/>
      <c r="D43" s="25"/>
      <c r="E43" s="25"/>
      <c r="F43" s="26">
        <v>1305.28</v>
      </c>
      <c r="G43" s="26">
        <v>2.2999999999999998</v>
      </c>
      <c r="H43" s="26"/>
    </row>
    <row r="44" spans="2:9" x14ac:dyDescent="0.2">
      <c r="B44" s="39" t="s">
        <v>48</v>
      </c>
      <c r="C44" s="39"/>
      <c r="D44" s="39"/>
      <c r="E44" s="39"/>
      <c r="F44" s="40">
        <f>SUM(F42:F43)</f>
        <v>1305.28</v>
      </c>
      <c r="G44" s="40">
        <f>SUM(G42:G43)</f>
        <v>2.2999999999999998</v>
      </c>
      <c r="H44" s="41"/>
      <c r="I44" s="42"/>
    </row>
    <row r="45" spans="2:9" x14ac:dyDescent="0.2">
      <c r="B45" s="51" t="s">
        <v>49</v>
      </c>
      <c r="C45" s="51"/>
      <c r="D45" s="51"/>
      <c r="E45" s="51"/>
      <c r="F45" s="52">
        <f>F44</f>
        <v>1305.28</v>
      </c>
      <c r="G45" s="52">
        <f>G44</f>
        <v>2.2999999999999998</v>
      </c>
      <c r="H45" s="52"/>
      <c r="I45" s="42"/>
    </row>
    <row r="46" spans="2:9" x14ac:dyDescent="0.2">
      <c r="B46" s="53" t="s">
        <v>86</v>
      </c>
      <c r="C46" s="53"/>
      <c r="D46" s="53"/>
      <c r="E46" s="53"/>
      <c r="F46" s="54">
        <f>F47-(+F18+F35+F38+F41+F45)</f>
        <v>-1333.0799999999945</v>
      </c>
      <c r="G46" s="54">
        <f>G47-(+G18+G35+G38+G41+G45)</f>
        <v>-2.3500000000000085</v>
      </c>
      <c r="H46" s="54"/>
      <c r="I46" s="42"/>
    </row>
    <row r="47" spans="2:9" x14ac:dyDescent="0.2">
      <c r="B47" s="53" t="s">
        <v>87</v>
      </c>
      <c r="C47" s="53"/>
      <c r="D47" s="53"/>
      <c r="E47" s="53"/>
      <c r="F47" s="54">
        <v>56678.69</v>
      </c>
      <c r="G47" s="54">
        <v>100</v>
      </c>
      <c r="H47" s="54"/>
      <c r="I47" s="42"/>
    </row>
    <row r="49" spans="2:3" x14ac:dyDescent="0.2">
      <c r="B49" s="42" t="s">
        <v>88</v>
      </c>
    </row>
    <row r="50" spans="2:3" x14ac:dyDescent="0.2">
      <c r="B50" s="42" t="s">
        <v>89</v>
      </c>
    </row>
    <row r="51" spans="2:3" ht="12.75" thickBot="1" x14ac:dyDescent="0.25"/>
    <row r="52" spans="2:3" ht="13.5" thickTop="1" thickBot="1" x14ac:dyDescent="0.25">
      <c r="B52" s="55" t="s">
        <v>90</v>
      </c>
      <c r="C52" s="56">
        <v>0.49020000000000002</v>
      </c>
    </row>
    <row r="53" spans="2:3" ht="13.5" thickTop="1" thickBot="1" x14ac:dyDescent="0.25"/>
    <row r="54" spans="2:3" ht="13.5" thickTop="1" thickBot="1" x14ac:dyDescent="0.25">
      <c r="B54" s="55" t="s">
        <v>91</v>
      </c>
      <c r="C54" s="57">
        <v>6.3399999999999998E-2</v>
      </c>
    </row>
    <row r="55" spans="2:3" ht="13.5" thickTop="1" thickBot="1" x14ac:dyDescent="0.25"/>
    <row r="56" spans="2:3" ht="13.5" thickTop="1" thickBot="1" x14ac:dyDescent="0.25">
      <c r="B56" s="55" t="s">
        <v>92</v>
      </c>
      <c r="C56" s="56">
        <v>0.52049999999999996</v>
      </c>
    </row>
    <row r="57" spans="2:3" ht="12.75" thickTop="1" x14ac:dyDescent="0.2"/>
    <row r="58" spans="2:3" x14ac:dyDescent="0.2">
      <c r="B58" s="42" t="s">
        <v>93</v>
      </c>
    </row>
    <row r="60" spans="2:3" ht="15" x14ac:dyDescent="0.25">
      <c r="B60" s="58" t="s">
        <v>94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60" r:id="rId1" display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xr:uid="{BE28759C-50E0-4EE2-A6C1-B2E49DAA273D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2025-10-09 11:52:52</KDate>
  <Classification>MIS Internal</Classification>
  <Subclassification/>
  <HostName>MUMCMP01323</HostName>
  <Domain_User>CANARAROBECOMF/628</Domain_User>
  <IPAdd>192.9.198.196</IPAdd>
  <FilePath>Book22</FilePath>
  <KID>109819A0F0A5638956075730080089</KID>
  <UniqueName/>
  <Suggested/>
  <Justification/>
</Klassify>
</file>

<file path=customXml/itemProps1.xml><?xml version="1.0" encoding="utf-8"?>
<ds:datastoreItem xmlns:ds="http://schemas.openxmlformats.org/officeDocument/2006/customXml" ds:itemID="{52895E1E-3458-48E3-984C-728E1118E1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2025-10-09T06:22:51Z</dcterms:created>
  <dcterms:modified xsi:type="dcterms:W3CDTF">2025-10-09T06:22:53Z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109819A0F0A5638956075730080089</vt:lpwstr>
  </property>
</Properties>
</file>