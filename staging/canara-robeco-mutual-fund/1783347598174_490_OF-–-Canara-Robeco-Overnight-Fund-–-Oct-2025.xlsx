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Oct 25\"/>
    </mc:Choice>
  </mc:AlternateContent>
  <xr:revisionPtr revIDLastSave="0" documentId="8_{DCE5B8E0-C3A7-4F3B-A713-B84365CCEB36}" xr6:coauthVersionLast="47" xr6:coauthVersionMax="47" xr10:uidLastSave="{00000000-0000-0000-0000-000000000000}"/>
  <bookViews>
    <workbookView xWindow="-120" yWindow="-120" windowWidth="20730" windowHeight="11040" xr2:uid="{F1EB057B-891D-4669-911B-4F3034F2EB35}"/>
  </bookViews>
  <sheets>
    <sheet name="O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 s="1"/>
  <c r="F13" i="1"/>
  <c r="F14" i="1" s="1"/>
  <c r="F10" i="1"/>
  <c r="F15" i="1" s="1"/>
  <c r="G9" i="1"/>
  <c r="G10" i="1" s="1"/>
  <c r="G15" i="1" s="1"/>
  <c r="F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<sst xmlns="http://schemas.openxmlformats.org/spreadsheetml/2006/main" count="45" uniqueCount="41">
  <si>
    <t>CANARA ROBECO OVERNIGHT FUND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</si>
  <si>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</si>
  <si>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</si>
  <si>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</si>
  <si>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</si>
  <si>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</si>
  <si>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</si>
  <si>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</si>
  <si>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</si>
  <si>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October'25</t>
  </si>
  <si>
    <t>Benchmark Risk-O-Meter Level- October'25</t>
  </si>
  <si>
    <t>Scheme Risk-O-Meter Level- September'25</t>
  </si>
  <si>
    <t>Benchmark Risk-O-Meter Level- September'25</t>
  </si>
  <si>
    <t>Potential Risk Class (PRC) Matrix</t>
  </si>
  <si>
    <t>Money Market Instruments</t>
  </si>
  <si>
    <t>Credit Risk →</t>
  </si>
  <si>
    <t>Relatively Low (Class A)</t>
  </si>
  <si>
    <t>Moderate (Class B)</t>
  </si>
  <si>
    <t>Relatively High 
(Class C)</t>
  </si>
  <si>
    <t>Treasury Bill</t>
  </si>
  <si>
    <t>Interest Rate Risk ↓</t>
  </si>
  <si>
    <t>91 DTB (06-NOV-2025)</t>
  </si>
  <si>
    <t>IN002025X190</t>
  </si>
  <si>
    <t xml:space="preserve"> Sovereign</t>
  </si>
  <si>
    <t>Relatively Low (Class I)</t>
  </si>
  <si>
    <t>A-I</t>
  </si>
  <si>
    <t>91 DTB (20-NOV-2025)</t>
  </si>
  <si>
    <t>IN002025X216</t>
  </si>
  <si>
    <t>Sub Total</t>
  </si>
  <si>
    <t>Moderate (Class II)</t>
  </si>
  <si>
    <t>Total</t>
  </si>
  <si>
    <t>TREPS</t>
  </si>
  <si>
    <t>Relatively High (Class III)</t>
  </si>
  <si>
    <t>Benchmark: CRISIL Liquid Overnight Index</t>
  </si>
  <si>
    <t>Net Receivables / (Payables)</t>
  </si>
  <si>
    <t>Grand Total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</si>
  <si>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</si>
  <si>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</si>
  <si>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</si>
  <si>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</si>
  <si>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https://canararobeco.com/docs/default-source/default-document-library/Scheme_Performance_October_25.pdf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</si>
</sst>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center" vertical="top" wrapText="1"/>
    </xf>
    <xf numFmtId="0" fontId="10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164" fontId="4" fillId="3" borderId="0" xfId="1" applyFont="1" applyFill="1"/>
    <xf numFmtId="0" fontId="10" fillId="0" borderId="10" xfId="0" applyFont="1" applyBorder="1" applyAlignment="1">
      <alignment horizontal="left" vertical="top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10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0" fillId="4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10" fillId="3" borderId="13" xfId="0" applyFont="1" applyFill="1" applyBorder="1"/>
    <xf numFmtId="4" fontId="10" fillId="3" borderId="14" xfId="0" applyNumberFormat="1" applyFont="1" applyFill="1" applyBorder="1"/>
    <xf numFmtId="4" fontId="10" fillId="3" borderId="13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164" fontId="4" fillId="3" borderId="0" xfId="1" applyFont="1" applyFill="1" applyAlignment="1"/>
    <xf numFmtId="0" fontId="10" fillId="3" borderId="16" xfId="0" applyFont="1" applyFill="1" applyBorder="1"/>
    <xf numFmtId="4" fontId="10" fillId="3" borderId="16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1" fillId="5" borderId="17" xfId="0" applyFont="1" applyFill="1" applyBorder="1"/>
    <xf numFmtId="2" fontId="10" fillId="3" borderId="18" xfId="0" applyNumberFormat="1" applyFont="1" applyFill="1" applyBorder="1"/>
    <xf numFmtId="10" fontId="10" fillId="3" borderId="18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ararobeco.com/docs/default-source/default-document-library/Scheme_Performance_October_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DD61-D044-42BC-BB16-C4FFDF03E5D8}">
  <dimension ref="B1:R28"/>
  <sheetViews>
    <sheetView tabSelected="1" workbookViewId="0">
      <selection activeCell="B8" sqref="B8"/>
    </sheetView>
  </sheetViews>
  <sheetFormatPr defaultRowHeight="12" x14ac:dyDescent="0.2"/>
  <cols>
    <col min="1" max="1" width="9.140625" style="3"/>
    <col min="2" max="2" width="58.28515625" style="3" bestFit="1" customWidth="1"/>
    <col min="3" max="3" width="12.7109375" style="3" bestFit="1" customWidth="1"/>
    <col min="4" max="4" width="14.14062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.140625" style="3"/>
    <col min="10" max="10" width="31.5703125" style="3" customWidth="1"/>
    <col min="11" max="11" width="35.5703125" style="3" customWidth="1"/>
    <col min="12" max="13" width="31.42578125" style="3" customWidth="1"/>
    <col min="14" max="14" width="5.5703125" style="3" bestFit="1" customWidth="1"/>
    <col min="15" max="15" width="12.85546875" style="3" customWidth="1"/>
    <col min="16" max="16384" width="9.140625" style="3"/>
  </cols>
  <sheetData>
    <row r="1" spans="2:18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8" ht="16.5" thickBot="1" x14ac:dyDescent="0.25">
      <c r="B3" s="4" t="s">
        <v>1</v>
      </c>
      <c r="C3" s="5"/>
      <c r="D3" s="6"/>
      <c r="E3" s="6"/>
      <c r="F3" s="7"/>
      <c r="G3" s="7"/>
    </row>
    <row r="4" spans="2:18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 x14ac:dyDescent="0.2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0" t="e" vm="2">
        <v>#VALUE!</v>
      </c>
      <c r="L5" s="20" t="e" vm="1">
        <v>#VALUE!</v>
      </c>
      <c r="M5" s="20" t="e" vm="2">
        <v>#VALUE!</v>
      </c>
      <c r="O5" s="21" t="s">
        <v>15</v>
      </c>
      <c r="P5" s="22" t="s">
        <v>16</v>
      </c>
      <c r="Q5" s="22" t="s">
        <v>17</v>
      </c>
      <c r="R5" s="22" t="s">
        <v>18</v>
      </c>
    </row>
    <row r="6" spans="2:18" ht="24" x14ac:dyDescent="0.2">
      <c r="B6" s="23" t="s">
        <v>19</v>
      </c>
      <c r="C6" s="24"/>
      <c r="D6" s="24"/>
      <c r="E6" s="24"/>
      <c r="F6" s="25"/>
      <c r="G6" s="25"/>
      <c r="H6" s="25"/>
      <c r="J6" s="20"/>
      <c r="K6" s="20"/>
      <c r="L6" s="20"/>
      <c r="M6" s="20"/>
      <c r="N6" s="26"/>
      <c r="O6" s="27" t="s">
        <v>20</v>
      </c>
      <c r="P6" s="22"/>
      <c r="Q6" s="22"/>
      <c r="R6" s="22"/>
    </row>
    <row r="7" spans="2:18" x14ac:dyDescent="0.2">
      <c r="B7" s="24" t="s">
        <v>21</v>
      </c>
      <c r="C7" s="24" t="s">
        <v>22</v>
      </c>
      <c r="D7" s="24" t="s">
        <v>23</v>
      </c>
      <c r="E7" s="28">
        <v>1000000</v>
      </c>
      <c r="F7" s="25">
        <v>999.24</v>
      </c>
      <c r="G7" s="25">
        <v>3.05</v>
      </c>
      <c r="H7" s="25">
        <v>5.52</v>
      </c>
      <c r="J7" s="20"/>
      <c r="K7" s="20"/>
      <c r="L7" s="20"/>
      <c r="M7" s="20"/>
      <c r="N7" s="26"/>
      <c r="O7" s="29" t="s">
        <v>24</v>
      </c>
      <c r="P7" s="30" t="s">
        <v>25</v>
      </c>
      <c r="Q7" s="31"/>
      <c r="R7" s="31"/>
    </row>
    <row r="8" spans="2:18" x14ac:dyDescent="0.2">
      <c r="B8" s="24" t="s">
        <v>26</v>
      </c>
      <c r="C8" s="24" t="s">
        <v>27</v>
      </c>
      <c r="D8" s="24" t="s">
        <v>23</v>
      </c>
      <c r="E8" s="28">
        <v>500000</v>
      </c>
      <c r="F8" s="25">
        <v>498.61</v>
      </c>
      <c r="G8" s="25">
        <v>1.52</v>
      </c>
      <c r="H8" s="25">
        <v>5.36</v>
      </c>
      <c r="J8" s="20"/>
      <c r="K8" s="20"/>
      <c r="L8" s="20"/>
      <c r="M8" s="20"/>
      <c r="N8" s="26"/>
      <c r="O8" s="29"/>
      <c r="P8" s="32"/>
      <c r="Q8" s="33"/>
      <c r="R8" s="33"/>
    </row>
    <row r="9" spans="2:18" x14ac:dyDescent="0.2">
      <c r="B9" s="34" t="s">
        <v>28</v>
      </c>
      <c r="C9" s="34"/>
      <c r="D9" s="34"/>
      <c r="E9" s="34"/>
      <c r="F9" s="35">
        <f>SUM(F6:F8)</f>
        <v>1497.85</v>
      </c>
      <c r="G9" s="35">
        <f>SUM(G6:G8)</f>
        <v>4.57</v>
      </c>
      <c r="H9" s="36"/>
      <c r="I9" s="37"/>
      <c r="J9" s="20"/>
      <c r="K9" s="20"/>
      <c r="L9" s="20"/>
      <c r="M9" s="20"/>
      <c r="N9" s="26"/>
      <c r="O9" s="29" t="s">
        <v>29</v>
      </c>
      <c r="P9" s="31"/>
      <c r="Q9" s="31"/>
      <c r="R9" s="31"/>
    </row>
    <row r="10" spans="2:18" x14ac:dyDescent="0.2">
      <c r="B10" s="38" t="s">
        <v>30</v>
      </c>
      <c r="C10" s="38"/>
      <c r="D10" s="38"/>
      <c r="E10" s="38"/>
      <c r="F10" s="39">
        <f>+F9</f>
        <v>1497.85</v>
      </c>
      <c r="G10" s="39">
        <f>+G9</f>
        <v>4.57</v>
      </c>
      <c r="H10" s="39"/>
      <c r="I10" s="37"/>
      <c r="J10" s="20"/>
      <c r="K10" s="20"/>
      <c r="L10" s="20"/>
      <c r="M10" s="20"/>
      <c r="N10" s="26"/>
      <c r="O10" s="29"/>
      <c r="P10" s="33"/>
      <c r="Q10" s="33"/>
      <c r="R10" s="33"/>
    </row>
    <row r="11" spans="2:18" x14ac:dyDescent="0.2">
      <c r="B11" s="23" t="s">
        <v>31</v>
      </c>
      <c r="C11" s="24"/>
      <c r="D11" s="24"/>
      <c r="E11" s="24"/>
      <c r="F11" s="25"/>
      <c r="G11" s="25"/>
      <c r="H11" s="25"/>
      <c r="J11" s="20"/>
      <c r="K11" s="20"/>
      <c r="L11" s="20"/>
      <c r="M11" s="20"/>
      <c r="N11" s="26"/>
      <c r="O11" s="29" t="s">
        <v>32</v>
      </c>
      <c r="P11" s="31"/>
      <c r="Q11" s="31"/>
      <c r="R11" s="31"/>
    </row>
    <row r="12" spans="2:18" x14ac:dyDescent="0.2">
      <c r="B12" s="24" t="s">
        <v>31</v>
      </c>
      <c r="C12" s="24"/>
      <c r="D12" s="24"/>
      <c r="E12" s="24"/>
      <c r="F12" s="25">
        <v>31272.28</v>
      </c>
      <c r="G12" s="25">
        <v>95.34</v>
      </c>
      <c r="H12" s="25"/>
      <c r="J12" s="20"/>
      <c r="K12" s="20"/>
      <c r="L12" s="20"/>
      <c r="M12" s="20"/>
      <c r="N12" s="26"/>
      <c r="O12" s="29"/>
      <c r="P12" s="33"/>
      <c r="Q12" s="33"/>
      <c r="R12" s="33"/>
    </row>
    <row r="13" spans="2:18" x14ac:dyDescent="0.2">
      <c r="B13" s="34" t="s">
        <v>28</v>
      </c>
      <c r="C13" s="34"/>
      <c r="D13" s="34"/>
      <c r="E13" s="34"/>
      <c r="F13" s="35">
        <f>SUM(F11:F12)</f>
        <v>31272.28</v>
      </c>
      <c r="G13" s="35">
        <f>SUM(G11:G12)</f>
        <v>95.34</v>
      </c>
      <c r="H13" s="36"/>
      <c r="I13" s="37"/>
      <c r="J13" s="40"/>
      <c r="K13" s="40" t="s">
        <v>33</v>
      </c>
      <c r="L13" s="26"/>
      <c r="M13" s="26"/>
      <c r="N13" s="26"/>
    </row>
    <row r="14" spans="2:18" x14ac:dyDescent="0.2">
      <c r="B14" s="41" t="s">
        <v>30</v>
      </c>
      <c r="C14" s="41"/>
      <c r="D14" s="41"/>
      <c r="E14" s="41"/>
      <c r="F14" s="42">
        <f>F13</f>
        <v>31272.28</v>
      </c>
      <c r="G14" s="42">
        <f>G13</f>
        <v>95.34</v>
      </c>
      <c r="H14" s="42"/>
      <c r="I14" s="37"/>
    </row>
    <row r="15" spans="2:18" x14ac:dyDescent="0.2">
      <c r="B15" s="43" t="s">
        <v>34</v>
      </c>
      <c r="C15" s="43"/>
      <c r="D15" s="43"/>
      <c r="E15" s="43"/>
      <c r="F15" s="44">
        <f>F16-(+F10+F14)</f>
        <v>30.600000000005821</v>
      </c>
      <c r="G15" s="44">
        <f>G16-(+G10+G14)</f>
        <v>9.0000000000003411E-2</v>
      </c>
      <c r="H15" s="44"/>
      <c r="I15" s="37"/>
    </row>
    <row r="16" spans="2:18" x14ac:dyDescent="0.2">
      <c r="B16" s="43" t="s">
        <v>35</v>
      </c>
      <c r="C16" s="43"/>
      <c r="D16" s="43"/>
      <c r="E16" s="43"/>
      <c r="F16" s="44">
        <v>32800.730000000003</v>
      </c>
      <c r="G16" s="44">
        <v>100</v>
      </c>
      <c r="H16" s="44"/>
      <c r="I16" s="37"/>
    </row>
    <row r="18" spans="2:3" x14ac:dyDescent="0.2">
      <c r="B18" s="37"/>
    </row>
    <row r="19" spans="2:3" ht="12.75" thickBot="1" x14ac:dyDescent="0.25"/>
    <row r="20" spans="2:3" ht="13.5" thickTop="1" thickBot="1" x14ac:dyDescent="0.25">
      <c r="B20" s="45" t="s">
        <v>36</v>
      </c>
      <c r="C20" s="46">
        <v>8.6999999999999994E-3</v>
      </c>
    </row>
    <row r="21" spans="2:3" ht="13.5" thickTop="1" thickBot="1" x14ac:dyDescent="0.25"/>
    <row r="22" spans="2:3" ht="13.5" thickTop="1" thickBot="1" x14ac:dyDescent="0.25">
      <c r="B22" s="45" t="s">
        <v>37</v>
      </c>
      <c r="C22" s="47">
        <v>5.57E-2</v>
      </c>
    </row>
    <row r="23" spans="2:3" ht="13.5" thickTop="1" thickBot="1" x14ac:dyDescent="0.25"/>
    <row r="24" spans="2:3" ht="13.5" thickTop="1" thickBot="1" x14ac:dyDescent="0.25">
      <c r="B24" s="45" t="s">
        <v>38</v>
      </c>
      <c r="C24" s="46">
        <v>9.1999999999999998E-3</v>
      </c>
    </row>
    <row r="25" spans="2:3" ht="12.75" thickTop="1" x14ac:dyDescent="0.2"/>
    <row r="26" spans="2:3" x14ac:dyDescent="0.2">
      <c r="B26" s="37" t="s">
        <v>39</v>
      </c>
    </row>
    <row r="28" spans="2:3" ht="15" x14ac:dyDescent="0.25">
      <c r="B28" s="48" t="s">
        <v>40</v>
      </c>
    </row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hyperlinks>
    <hyperlink ref="B28" r:id="rId1" xr:uid="{28068FC4-6D9C-49A3-99FE-B4B85F04D1E5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2025-11-07 16:41:50</KDate>
  <Classification>MIS Internal</Classification>
  <Subclassification/>
  <HostName>MUMCMP01323</HostName>
  <Domain_User>CANARAROBECOMF/628</Domain_User>
  <IPAdd>192.9.198.196</IPAdd>
  <FilePath>Book23</FilePath>
  <KID>109819A0F0A5638981305106945627</KID>
  <UniqueName/>
  <Suggested/>
  <Justification/>
</Klassify>
</file>

<file path=customXml/itemProps1.xml><?xml version="1.0" encoding="utf-8"?>
<ds:datastoreItem xmlns:ds="http://schemas.openxmlformats.org/officeDocument/2006/customXml" ds:itemID="{F22659F8-5BC0-4900-A46D-719AB405991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2025-11-07T11:11:48Z</dcterms:created>
  <dcterms:modified xsi:type="dcterms:W3CDTF">2025-11-07T11:11:50Z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109819A0F0A5638981305106945627</vt:lpwstr>
  </property>
</Properties>
</file>