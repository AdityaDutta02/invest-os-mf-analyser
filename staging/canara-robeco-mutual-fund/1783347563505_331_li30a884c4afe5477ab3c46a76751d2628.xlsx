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1" l="1"/>
  <c r="G51" i="1"/>
  <c r="F51" i="1"/>
  <c r="F52" i="1" s="1"/>
  <c r="G47" i="1"/>
  <c r="F47" i="1"/>
  <c r="G39" i="1"/>
  <c r="G48" i="1" s="1"/>
  <c r="F39" i="1"/>
  <c r="G24" i="1"/>
  <c r="F24" i="1"/>
  <c r="F48" i="1" s="1"/>
  <c r="G11" i="1"/>
  <c r="G53" i="1" s="1"/>
  <c r="G10" i="1"/>
  <c r="F10" i="1"/>
  <c r="F11" i="1" s="1"/>
  <c r="F53" i="1" l="1"/>
</calcChain>
</file>

<file path=xl/sharedStrings.xml><?xml version="1.0" encoding="utf-8"?>
<sst xmlns="http://schemas.openxmlformats.org/spreadsheetml/2006/main" count="139" uniqueCount="106">
  <si>
    <t>CANARA ROBECO LIQUID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</si>
  <si>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</si>
  <si>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</si>
  <si>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</si>
  <si>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</si>
  <si>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</si>
  <si>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</si>
  <si>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</si>
  <si>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</si>
  <si>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Nov'22</t>
  </si>
  <si>
    <t>Benchmark Risk-o-meter Level- Nov'22</t>
  </si>
  <si>
    <t>Previous Scheme Risk-o-meter Level- Oct'22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</si>
  <si>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</si>
  <si>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</si>
  <si>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</si>
  <si>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</si>
  <si>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</si>
  <si>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</si>
  <si>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</si>
  <si>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</si>
  <si>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8.50% L&amp;T Finance Ltd (17/02/2023) **</t>
  </si>
  <si>
    <t>INE691I07EL7</t>
  </si>
  <si>
    <t>CRISIL AAA</t>
  </si>
  <si>
    <t>Relatively Low (Class I)</t>
  </si>
  <si>
    <t>A-I</t>
  </si>
  <si>
    <t>7.10% Bajaj Finance Ltd (10/02/2023) **</t>
  </si>
  <si>
    <t>INE296A07RB5</t>
  </si>
  <si>
    <t>7.57% HDB Financial Services Ltd (16/02/2023) **</t>
  </si>
  <si>
    <t>INE756I07CY5</t>
  </si>
  <si>
    <t>Moderate 
(Class II)</t>
  </si>
  <si>
    <t>Sub Total</t>
  </si>
  <si>
    <t>Total</t>
  </si>
  <si>
    <t>Relatively High (Class III)</t>
  </si>
  <si>
    <t>Money Market Instruments</t>
  </si>
  <si>
    <t>Certificate of Deposit</t>
  </si>
  <si>
    <t>Benchmark: CRISIL Liquid Fund A-I Index</t>
  </si>
  <si>
    <t>Bank of Baroda (10/02/2023) ** #</t>
  </si>
  <si>
    <t>INE028A16CX9</t>
  </si>
  <si>
    <t>IND A1+</t>
  </si>
  <si>
    <t>HDFC Bank Ltd (13/12/2022) #</t>
  </si>
  <si>
    <t>INE040A16CO3</t>
  </si>
  <si>
    <t>CARE A1+</t>
  </si>
  <si>
    <t>Axis Bank Ltd (10/02/2023) ** #</t>
  </si>
  <si>
    <t>INE238A165Y7</t>
  </si>
  <si>
    <t>CRISIL A1+</t>
  </si>
  <si>
    <t>Axis Bank Ltd (09/12/2022) ** #</t>
  </si>
  <si>
    <t>INE238A166X7</t>
  </si>
  <si>
    <t>Indian Bank (02/01/2023) ** #</t>
  </si>
  <si>
    <t>INE562A16LE8</t>
  </si>
  <si>
    <t>Indian Bank (25/01/2023) ** #</t>
  </si>
  <si>
    <t>INE562A16LD0</t>
  </si>
  <si>
    <t>Indian Bank (31/01/2023) ** #</t>
  </si>
  <si>
    <t>INE562A16LH1</t>
  </si>
  <si>
    <t>Axis Bank Ltd (07/12/2022) ** #</t>
  </si>
  <si>
    <t>INE238A165X9</t>
  </si>
  <si>
    <t>National Bank For Agriculture &amp; Rural Development (08/02/2023) #</t>
  </si>
  <si>
    <t>INE261F16637</t>
  </si>
  <si>
    <t>HDFC Bank Ltd (10/02/2023) ** #</t>
  </si>
  <si>
    <t>INE040A16CV8</t>
  </si>
  <si>
    <t>Commercial Paper</t>
  </si>
  <si>
    <t xml:space="preserve">ICICI Home Finance Co Ltd (15/12/2022) ** </t>
  </si>
  <si>
    <t>INE071G14EG2</t>
  </si>
  <si>
    <t xml:space="preserve">Kotak Securities Ltd (12/12/2022) ** </t>
  </si>
  <si>
    <t>INE028E14KW1</t>
  </si>
  <si>
    <t>ICRA A1+</t>
  </si>
  <si>
    <t xml:space="preserve">Reliance Retail Ventures Ltd (14/12/2022) ** </t>
  </si>
  <si>
    <t>INE929O14800</t>
  </si>
  <si>
    <t xml:space="preserve">Small Industries Development Bank Of India (02/01/2023) ** </t>
  </si>
  <si>
    <t>INE556F14IM3</t>
  </si>
  <si>
    <t xml:space="preserve">Bajaj Finance Ltd (12/01/2023) ** </t>
  </si>
  <si>
    <t>INE296A14TW3</t>
  </si>
  <si>
    <t xml:space="preserve">HDFC Securities Ltd (26/12/2022) ** </t>
  </si>
  <si>
    <t>INE700G14DF0</t>
  </si>
  <si>
    <t xml:space="preserve">Berger Paints India Ltd (29/12/2022) ** </t>
  </si>
  <si>
    <t>INE463A14MU8</t>
  </si>
  <si>
    <t xml:space="preserve">Housing Development Finance Corporation Ltd (05/12/2022) ** </t>
  </si>
  <si>
    <t>INE001A14ZA0</t>
  </si>
  <si>
    <t xml:space="preserve">L&amp;T Finance Ltd (30/01/2023) ** </t>
  </si>
  <si>
    <t>INE027E14NT3</t>
  </si>
  <si>
    <t xml:space="preserve">ICICI Securities Ltd (30/01/2023) ** </t>
  </si>
  <si>
    <t>INE763G14NN1</t>
  </si>
  <si>
    <t xml:space="preserve">Export-Import Bank Of India (13/02/2023) ** </t>
  </si>
  <si>
    <t>INE514E14QR7</t>
  </si>
  <si>
    <t xml:space="preserve">Reliance Retail Ventures Ltd (02/01/2023) ** </t>
  </si>
  <si>
    <t>INE929O14826</t>
  </si>
  <si>
    <t xml:space="preserve">Hindustan Petroleum Corporation Ltd (27/01/2023) ** </t>
  </si>
  <si>
    <t>INE094A14JM4</t>
  </si>
  <si>
    <t>Treasury Bill</t>
  </si>
  <si>
    <t>91 DAYS TREASURY BILLS 12-JAN-23</t>
  </si>
  <si>
    <t>IN002022X288</t>
  </si>
  <si>
    <t xml:space="preserve"> Sovereign</t>
  </si>
  <si>
    <t>91 DAYS TREASURY BILLS 05-JAN-23</t>
  </si>
  <si>
    <t>IN002022X270</t>
  </si>
  <si>
    <t>91 DAYS TREASURY BILLS 19-JAN-23</t>
  </si>
  <si>
    <t>IN002022X296</t>
  </si>
  <si>
    <t>182 DAYS TREASURY BILLS 15-DEC-22</t>
  </si>
  <si>
    <t>IN002022Y112</t>
  </si>
  <si>
    <t>182 DAYS TREASURY BILLS 22-DEC-22</t>
  </si>
  <si>
    <t>IN002022Y120</t>
  </si>
  <si>
    <t>364 DAYS TREASURY BILLS 05-JAN-23</t>
  </si>
  <si>
    <t>IN002021Z426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</si>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</sst>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43" fontId="3" fillId="3" borderId="0" xfId="1" applyFont="1" applyFill="1" applyAlignment="1"/>
    <xf numFmtId="0" fontId="9" fillId="3" borderId="10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319659</xdr:colOff>
      <xdr:row>4</xdr:row>
      <xdr:rowOff>47624</xdr:rowOff>
    </xdr:from>
    <xdr:ext cx="1835871" cy="1409701"/>
    <xdr:pic>
      <xdr:nvPicPr>
        <xdr:cNvPr id="2" name="Picture 1">
          <a:extLst>
            <a:ext uri="{FF2B5EF4-FFF2-40B4-BE49-F238E27FC236}">
              <a16:creationId xmlns:a16="http://schemas.microsoft.com/office/drawing/2014/main" id="{504788CB-C0ED-4AC3-A871-53297E20D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2384" y="1057274"/>
          <a:ext cx="1835871" cy="1409701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4</xdr:row>
      <xdr:rowOff>80818</xdr:rowOff>
    </xdr:from>
    <xdr:ext cx="1841240" cy="1366982"/>
    <xdr:pic>
      <xdr:nvPicPr>
        <xdr:cNvPr id="3" name="Picture 2">
          <a:extLst>
            <a:ext uri="{FF2B5EF4-FFF2-40B4-BE49-F238E27FC236}">
              <a16:creationId xmlns:a16="http://schemas.microsoft.com/office/drawing/2014/main" id="{4D7BD9F4-65F6-457D-A768-4FFC4255C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1090468"/>
          <a:ext cx="1841240" cy="1366982"/>
        </a:xfrm>
        <a:prstGeom prst="rect">
          <a:avLst/>
        </a:prstGeom>
      </xdr:spPr>
    </xdr:pic>
    <xdr:clientData/>
  </xdr:oneCellAnchor>
  <xdr:twoCellAnchor editAs="oneCell">
    <xdr:from>
      <xdr:col>10</xdr:col>
      <xdr:colOff>180974</xdr:colOff>
      <xdr:row>4</xdr:row>
      <xdr:rowOff>38100</xdr:rowOff>
    </xdr:from>
    <xdr:to>
      <xdr:col>10</xdr:col>
      <xdr:colOff>2085975</xdr:colOff>
      <xdr:row>10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386D64-BE92-40F5-AD92-7550CCAF5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8174" y="1047750"/>
          <a:ext cx="1905001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7"/>
  <sheetViews>
    <sheetView tabSelected="1" topLeftCell="C1" workbookViewId="0">
      <selection activeCell="L15" sqref="L15"/>
    </sheetView>
  </sheetViews>
  <sheetFormatPr defaultRowHeight="12"/>
  <cols>
    <col min="1" max="1" width="9.140625" style="3"/>
    <col min="2" max="2" width="61" style="3" bestFit="1" customWidth="1"/>
    <col min="3" max="3" width="13.85546875" style="3" bestFit="1" customWidth="1"/>
    <col min="4" max="4" width="14.140625" style="3" bestFit="1" customWidth="1"/>
    <col min="5" max="5" width="9.85546875" style="58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1.85546875" style="4" customWidth="1"/>
    <col min="11" max="11" width="34.42578125" style="4" customWidth="1"/>
    <col min="12" max="12" width="33.42578125" style="4" customWidth="1"/>
    <col min="13" max="13" width="5.570312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1000</v>
      </c>
      <c r="F7" s="30">
        <v>10018.59</v>
      </c>
      <c r="G7" s="30">
        <v>3.81</v>
      </c>
      <c r="H7" s="30">
        <v>7.14</v>
      </c>
      <c r="J7" s="24"/>
      <c r="K7" s="24"/>
      <c r="L7" s="24"/>
      <c r="N7" s="33" t="s">
        <v>23</v>
      </c>
      <c r="O7" s="34" t="s">
        <v>24</v>
      </c>
      <c r="P7" s="35"/>
      <c r="Q7" s="36"/>
    </row>
    <row r="8" spans="2:17">
      <c r="B8" s="28" t="s">
        <v>25</v>
      </c>
      <c r="C8" s="28" t="s">
        <v>26</v>
      </c>
      <c r="D8" s="28" t="s">
        <v>22</v>
      </c>
      <c r="E8" s="32">
        <v>500</v>
      </c>
      <c r="F8" s="30">
        <v>4997.07</v>
      </c>
      <c r="G8" s="30">
        <v>1.9</v>
      </c>
      <c r="H8" s="30">
        <v>7.01</v>
      </c>
      <c r="J8" s="24"/>
      <c r="K8" s="24"/>
      <c r="L8" s="24"/>
      <c r="N8" s="33"/>
      <c r="O8" s="37"/>
      <c r="P8" s="38"/>
      <c r="Q8" s="39"/>
    </row>
    <row r="9" spans="2:17">
      <c r="B9" s="28" t="s">
        <v>27</v>
      </c>
      <c r="C9" s="28" t="s">
        <v>28</v>
      </c>
      <c r="D9" s="28" t="s">
        <v>22</v>
      </c>
      <c r="E9" s="32">
        <v>100</v>
      </c>
      <c r="F9" s="30">
        <v>1000.17</v>
      </c>
      <c r="G9" s="30">
        <v>0.38</v>
      </c>
      <c r="H9" s="30">
        <v>7.07</v>
      </c>
      <c r="J9" s="24"/>
      <c r="K9" s="24"/>
      <c r="L9" s="24"/>
      <c r="N9" s="33" t="s">
        <v>29</v>
      </c>
      <c r="O9" s="36"/>
      <c r="P9" s="36"/>
      <c r="Q9" s="36"/>
    </row>
    <row r="10" spans="2:17">
      <c r="B10" s="40" t="s">
        <v>30</v>
      </c>
      <c r="C10" s="40"/>
      <c r="D10" s="40"/>
      <c r="E10" s="41"/>
      <c r="F10" s="42">
        <f>SUM(F6:F9)</f>
        <v>16015.83</v>
      </c>
      <c r="G10" s="42">
        <f>SUM(G6:G9)</f>
        <v>6.09</v>
      </c>
      <c r="H10" s="43"/>
      <c r="I10" s="44"/>
      <c r="J10" s="24"/>
      <c r="K10" s="24"/>
      <c r="L10" s="24"/>
      <c r="N10" s="33"/>
      <c r="O10" s="39"/>
      <c r="P10" s="39"/>
      <c r="Q10" s="39"/>
    </row>
    <row r="11" spans="2:17">
      <c r="B11" s="45" t="s">
        <v>31</v>
      </c>
      <c r="C11" s="45"/>
      <c r="D11" s="45"/>
      <c r="E11" s="46"/>
      <c r="F11" s="47">
        <f>F10</f>
        <v>16015.83</v>
      </c>
      <c r="G11" s="47">
        <f>G10</f>
        <v>6.09</v>
      </c>
      <c r="H11" s="47"/>
      <c r="I11" s="44"/>
      <c r="J11" s="24"/>
      <c r="K11" s="24"/>
      <c r="L11" s="24"/>
      <c r="N11" s="33" t="s">
        <v>32</v>
      </c>
      <c r="O11" s="36"/>
      <c r="P11" s="36"/>
      <c r="Q11" s="36"/>
    </row>
    <row r="12" spans="2:17">
      <c r="B12" s="27" t="s">
        <v>33</v>
      </c>
      <c r="C12" s="28"/>
      <c r="D12" s="28"/>
      <c r="E12" s="29"/>
      <c r="F12" s="30"/>
      <c r="G12" s="30"/>
      <c r="H12" s="30"/>
      <c r="J12" s="24"/>
      <c r="K12" s="24"/>
      <c r="L12" s="24"/>
      <c r="N12" s="33"/>
      <c r="O12" s="39"/>
      <c r="P12" s="39"/>
      <c r="Q12" s="39"/>
    </row>
    <row r="13" spans="2:17">
      <c r="B13" s="27" t="s">
        <v>34</v>
      </c>
      <c r="C13" s="28"/>
      <c r="D13" s="28"/>
      <c r="E13" s="29"/>
      <c r="F13" s="30"/>
      <c r="G13" s="30"/>
      <c r="H13" s="30"/>
      <c r="J13" s="48"/>
      <c r="K13" s="48" t="s">
        <v>35</v>
      </c>
      <c r="L13" s="48"/>
    </row>
    <row r="14" spans="2:17">
      <c r="B14" s="28" t="s">
        <v>36</v>
      </c>
      <c r="C14" s="28" t="s">
        <v>37</v>
      </c>
      <c r="D14" s="28" t="s">
        <v>38</v>
      </c>
      <c r="E14" s="32">
        <v>3000</v>
      </c>
      <c r="F14" s="30">
        <v>14805.89</v>
      </c>
      <c r="G14" s="30">
        <v>5.63</v>
      </c>
      <c r="H14" s="30">
        <v>6.74</v>
      </c>
    </row>
    <row r="15" spans="2:17">
      <c r="B15" s="28" t="s">
        <v>39</v>
      </c>
      <c r="C15" s="28" t="s">
        <v>40</v>
      </c>
      <c r="D15" s="28" t="s">
        <v>41</v>
      </c>
      <c r="E15" s="32">
        <v>2100</v>
      </c>
      <c r="F15" s="30">
        <v>10478.57</v>
      </c>
      <c r="G15" s="30">
        <v>3.99</v>
      </c>
      <c r="H15" s="30">
        <v>6.22</v>
      </c>
    </row>
    <row r="16" spans="2:17">
      <c r="B16" s="28" t="s">
        <v>42</v>
      </c>
      <c r="C16" s="28" t="s">
        <v>43</v>
      </c>
      <c r="D16" s="28" t="s">
        <v>44</v>
      </c>
      <c r="E16" s="32">
        <v>1500</v>
      </c>
      <c r="F16" s="30">
        <v>7402.23</v>
      </c>
      <c r="G16" s="30">
        <v>2.82</v>
      </c>
      <c r="H16" s="30">
        <v>6.79</v>
      </c>
    </row>
    <row r="17" spans="2:9">
      <c r="B17" s="28" t="s">
        <v>45</v>
      </c>
      <c r="C17" s="28" t="s">
        <v>46</v>
      </c>
      <c r="D17" s="28" t="s">
        <v>44</v>
      </c>
      <c r="E17" s="32">
        <v>1000</v>
      </c>
      <c r="F17" s="30">
        <v>4993.25</v>
      </c>
      <c r="G17" s="30">
        <v>1.9</v>
      </c>
      <c r="H17" s="30">
        <v>6.17</v>
      </c>
    </row>
    <row r="18" spans="2:9">
      <c r="B18" s="28" t="s">
        <v>47</v>
      </c>
      <c r="C18" s="28" t="s">
        <v>48</v>
      </c>
      <c r="D18" s="28" t="s">
        <v>44</v>
      </c>
      <c r="E18" s="32">
        <v>1000</v>
      </c>
      <c r="F18" s="30">
        <v>4970.59</v>
      </c>
      <c r="G18" s="30">
        <v>1.89</v>
      </c>
      <c r="H18" s="30">
        <v>6.75</v>
      </c>
    </row>
    <row r="19" spans="2:9">
      <c r="B19" s="28" t="s">
        <v>49</v>
      </c>
      <c r="C19" s="28" t="s">
        <v>50</v>
      </c>
      <c r="D19" s="28" t="s">
        <v>44</v>
      </c>
      <c r="E19" s="32">
        <v>1000</v>
      </c>
      <c r="F19" s="30">
        <v>4949.55</v>
      </c>
      <c r="G19" s="30">
        <v>1.88</v>
      </c>
      <c r="H19" s="30">
        <v>6.77</v>
      </c>
    </row>
    <row r="20" spans="2:9">
      <c r="B20" s="28" t="s">
        <v>51</v>
      </c>
      <c r="C20" s="28" t="s">
        <v>52</v>
      </c>
      <c r="D20" s="28" t="s">
        <v>44</v>
      </c>
      <c r="E20" s="32">
        <v>1000</v>
      </c>
      <c r="F20" s="30">
        <v>4943.9399999999996</v>
      </c>
      <c r="G20" s="30">
        <v>1.88</v>
      </c>
      <c r="H20" s="30">
        <v>6.78</v>
      </c>
    </row>
    <row r="21" spans="2:9">
      <c r="B21" s="28" t="s">
        <v>53</v>
      </c>
      <c r="C21" s="28" t="s">
        <v>54</v>
      </c>
      <c r="D21" s="28" t="s">
        <v>44</v>
      </c>
      <c r="E21" s="32">
        <v>500</v>
      </c>
      <c r="F21" s="30">
        <v>2497.52</v>
      </c>
      <c r="G21" s="30">
        <v>0.95</v>
      </c>
      <c r="H21" s="30">
        <v>6.04</v>
      </c>
    </row>
    <row r="22" spans="2:9">
      <c r="B22" s="28" t="s">
        <v>55</v>
      </c>
      <c r="C22" s="28" t="s">
        <v>56</v>
      </c>
      <c r="D22" s="28" t="s">
        <v>44</v>
      </c>
      <c r="E22" s="32">
        <v>500</v>
      </c>
      <c r="F22" s="30">
        <v>2468.36</v>
      </c>
      <c r="G22" s="30">
        <v>0.94</v>
      </c>
      <c r="H22" s="30">
        <v>6.78</v>
      </c>
    </row>
    <row r="23" spans="2:9">
      <c r="B23" s="28" t="s">
        <v>57</v>
      </c>
      <c r="C23" s="28" t="s">
        <v>58</v>
      </c>
      <c r="D23" s="28" t="s">
        <v>41</v>
      </c>
      <c r="E23" s="32">
        <v>500</v>
      </c>
      <c r="F23" s="30">
        <v>2467.44</v>
      </c>
      <c r="G23" s="30">
        <v>0.94</v>
      </c>
      <c r="H23" s="30">
        <v>6.79</v>
      </c>
    </row>
    <row r="24" spans="2:9">
      <c r="B24" s="27" t="s">
        <v>30</v>
      </c>
      <c r="C24" s="27"/>
      <c r="D24" s="27"/>
      <c r="E24" s="49"/>
      <c r="F24" s="50">
        <f>SUM(F13:F23)</f>
        <v>59977.340000000004</v>
      </c>
      <c r="G24" s="50">
        <f>SUM(G13:G23)</f>
        <v>22.82</v>
      </c>
      <c r="H24" s="51"/>
      <c r="I24" s="44"/>
    </row>
    <row r="25" spans="2:9">
      <c r="B25" s="27" t="s">
        <v>59</v>
      </c>
      <c r="C25" s="28"/>
      <c r="D25" s="28"/>
      <c r="E25" s="29"/>
      <c r="F25" s="30"/>
      <c r="G25" s="30"/>
      <c r="H25" s="30"/>
    </row>
    <row r="26" spans="2:9">
      <c r="B26" s="28" t="s">
        <v>60</v>
      </c>
      <c r="C26" s="28" t="s">
        <v>61</v>
      </c>
      <c r="D26" s="28" t="s">
        <v>41</v>
      </c>
      <c r="E26" s="32">
        <v>2300</v>
      </c>
      <c r="F26" s="30">
        <v>11471.76</v>
      </c>
      <c r="G26" s="30">
        <v>4.3600000000000003</v>
      </c>
      <c r="H26" s="30">
        <v>6.42</v>
      </c>
    </row>
    <row r="27" spans="2:9">
      <c r="B27" s="28" t="s">
        <v>62</v>
      </c>
      <c r="C27" s="28" t="s">
        <v>63</v>
      </c>
      <c r="D27" s="28" t="s">
        <v>64</v>
      </c>
      <c r="E27" s="32">
        <v>2000</v>
      </c>
      <c r="F27" s="30">
        <v>9980.14</v>
      </c>
      <c r="G27" s="30">
        <v>3.8</v>
      </c>
      <c r="H27" s="30">
        <v>6.6</v>
      </c>
    </row>
    <row r="28" spans="2:9">
      <c r="B28" s="28" t="s">
        <v>65</v>
      </c>
      <c r="C28" s="28" t="s">
        <v>66</v>
      </c>
      <c r="D28" s="28" t="s">
        <v>44</v>
      </c>
      <c r="E28" s="32">
        <v>2000</v>
      </c>
      <c r="F28" s="30">
        <v>9977.31</v>
      </c>
      <c r="G28" s="30">
        <v>3.8</v>
      </c>
      <c r="H28" s="30">
        <v>6.39</v>
      </c>
    </row>
    <row r="29" spans="2:9">
      <c r="B29" s="28" t="s">
        <v>67</v>
      </c>
      <c r="C29" s="28" t="s">
        <v>68</v>
      </c>
      <c r="D29" s="28" t="s">
        <v>41</v>
      </c>
      <c r="E29" s="32">
        <v>2000</v>
      </c>
      <c r="F29" s="30">
        <v>9941.1299999999992</v>
      </c>
      <c r="G29" s="30">
        <v>3.78</v>
      </c>
      <c r="H29" s="30">
        <v>6.76</v>
      </c>
    </row>
    <row r="30" spans="2:9">
      <c r="B30" s="28" t="s">
        <v>69</v>
      </c>
      <c r="C30" s="28" t="s">
        <v>70</v>
      </c>
      <c r="D30" s="28" t="s">
        <v>44</v>
      </c>
      <c r="E30" s="32">
        <v>2000</v>
      </c>
      <c r="F30" s="30">
        <v>9920.44</v>
      </c>
      <c r="G30" s="30">
        <v>3.77</v>
      </c>
      <c r="H30" s="30">
        <v>6.97</v>
      </c>
    </row>
    <row r="31" spans="2:9">
      <c r="B31" s="28" t="s">
        <v>71</v>
      </c>
      <c r="C31" s="28" t="s">
        <v>72</v>
      </c>
      <c r="D31" s="28" t="s">
        <v>44</v>
      </c>
      <c r="E31" s="32">
        <v>1500</v>
      </c>
      <c r="F31" s="30">
        <v>7465.21</v>
      </c>
      <c r="G31" s="30">
        <v>2.84</v>
      </c>
      <c r="H31" s="30">
        <v>6.8</v>
      </c>
    </row>
    <row r="32" spans="2:9">
      <c r="B32" s="28" t="s">
        <v>73</v>
      </c>
      <c r="C32" s="28" t="s">
        <v>74</v>
      </c>
      <c r="D32" s="28" t="s">
        <v>44</v>
      </c>
      <c r="E32" s="32">
        <v>1400</v>
      </c>
      <c r="F32" s="30">
        <v>6965.41</v>
      </c>
      <c r="G32" s="30">
        <v>2.65</v>
      </c>
      <c r="H32" s="30">
        <v>6.47</v>
      </c>
    </row>
    <row r="33" spans="2:9">
      <c r="B33" s="28" t="s">
        <v>75</v>
      </c>
      <c r="C33" s="28" t="s">
        <v>76</v>
      </c>
      <c r="D33" s="28" t="s">
        <v>44</v>
      </c>
      <c r="E33" s="32">
        <v>1000</v>
      </c>
      <c r="F33" s="30">
        <v>4996.58</v>
      </c>
      <c r="G33" s="30">
        <v>1.9</v>
      </c>
      <c r="H33" s="30">
        <v>6.26</v>
      </c>
    </row>
    <row r="34" spans="2:9">
      <c r="B34" s="28" t="s">
        <v>77</v>
      </c>
      <c r="C34" s="28" t="s">
        <v>78</v>
      </c>
      <c r="D34" s="28" t="s">
        <v>44</v>
      </c>
      <c r="E34" s="32">
        <v>1000</v>
      </c>
      <c r="F34" s="30">
        <v>4942.5600000000004</v>
      </c>
      <c r="G34" s="30">
        <v>1.88</v>
      </c>
      <c r="H34" s="30">
        <v>7.07</v>
      </c>
    </row>
    <row r="35" spans="2:9">
      <c r="B35" s="28" t="s">
        <v>79</v>
      </c>
      <c r="C35" s="28" t="s">
        <v>80</v>
      </c>
      <c r="D35" s="28" t="s">
        <v>64</v>
      </c>
      <c r="E35" s="32">
        <v>1000</v>
      </c>
      <c r="F35" s="30">
        <v>4942.28</v>
      </c>
      <c r="G35" s="30">
        <v>1.88</v>
      </c>
      <c r="H35" s="30">
        <v>7.11</v>
      </c>
    </row>
    <row r="36" spans="2:9">
      <c r="B36" s="28" t="s">
        <v>81</v>
      </c>
      <c r="C36" s="28" t="s">
        <v>82</v>
      </c>
      <c r="D36" s="28" t="s">
        <v>44</v>
      </c>
      <c r="E36" s="32">
        <v>1000</v>
      </c>
      <c r="F36" s="30">
        <v>4932.26</v>
      </c>
      <c r="G36" s="30">
        <v>1.88</v>
      </c>
      <c r="H36" s="30">
        <v>6.78</v>
      </c>
    </row>
    <row r="37" spans="2:9">
      <c r="B37" s="28" t="s">
        <v>83</v>
      </c>
      <c r="C37" s="28" t="s">
        <v>84</v>
      </c>
      <c r="D37" s="28" t="s">
        <v>44</v>
      </c>
      <c r="E37" s="32">
        <v>500</v>
      </c>
      <c r="F37" s="30">
        <v>2484.98</v>
      </c>
      <c r="G37" s="30">
        <v>0.95</v>
      </c>
      <c r="H37" s="30">
        <v>6.89</v>
      </c>
    </row>
    <row r="38" spans="2:9">
      <c r="B38" s="28" t="s">
        <v>85</v>
      </c>
      <c r="C38" s="28" t="s">
        <v>86</v>
      </c>
      <c r="D38" s="28" t="s">
        <v>44</v>
      </c>
      <c r="E38" s="32">
        <v>500</v>
      </c>
      <c r="F38" s="30">
        <v>2473.81</v>
      </c>
      <c r="G38" s="30">
        <v>0.94</v>
      </c>
      <c r="H38" s="30">
        <v>6.78</v>
      </c>
    </row>
    <row r="39" spans="2:9">
      <c r="B39" s="27" t="s">
        <v>30</v>
      </c>
      <c r="C39" s="27"/>
      <c r="D39" s="27"/>
      <c r="E39" s="49"/>
      <c r="F39" s="50">
        <f>SUM(F25:F38)</f>
        <v>90493.869999999981</v>
      </c>
      <c r="G39" s="50">
        <f>SUM(G25:G38)</f>
        <v>34.43</v>
      </c>
      <c r="H39" s="51"/>
      <c r="I39" s="44"/>
    </row>
    <row r="40" spans="2:9">
      <c r="B40" s="27" t="s">
        <v>87</v>
      </c>
      <c r="C40" s="28"/>
      <c r="D40" s="28"/>
      <c r="E40" s="29"/>
      <c r="F40" s="30"/>
      <c r="G40" s="30"/>
      <c r="H40" s="30"/>
    </row>
    <row r="41" spans="2:9">
      <c r="B41" s="28" t="s">
        <v>88</v>
      </c>
      <c r="C41" s="28" t="s">
        <v>89</v>
      </c>
      <c r="D41" s="28" t="s">
        <v>90</v>
      </c>
      <c r="E41" s="32">
        <v>20000000</v>
      </c>
      <c r="F41" s="30">
        <v>19859.02</v>
      </c>
      <c r="G41" s="30">
        <v>7.55</v>
      </c>
      <c r="H41" s="30">
        <v>6.17</v>
      </c>
    </row>
    <row r="42" spans="2:9">
      <c r="B42" s="28" t="s">
        <v>91</v>
      </c>
      <c r="C42" s="28" t="s">
        <v>92</v>
      </c>
      <c r="D42" s="28" t="s">
        <v>90</v>
      </c>
      <c r="E42" s="32">
        <v>15000000</v>
      </c>
      <c r="F42" s="30">
        <v>14911.77</v>
      </c>
      <c r="G42" s="30">
        <v>5.67</v>
      </c>
      <c r="H42" s="30">
        <v>6.17</v>
      </c>
    </row>
    <row r="43" spans="2:9">
      <c r="B43" s="28" t="s">
        <v>93</v>
      </c>
      <c r="C43" s="28" t="s">
        <v>94</v>
      </c>
      <c r="D43" s="28" t="s">
        <v>90</v>
      </c>
      <c r="E43" s="32">
        <v>10000000</v>
      </c>
      <c r="F43" s="30">
        <v>9917.6200000000008</v>
      </c>
      <c r="G43" s="30">
        <v>3.77</v>
      </c>
      <c r="H43" s="30">
        <v>6.19</v>
      </c>
    </row>
    <row r="44" spans="2:9">
      <c r="B44" s="28" t="s">
        <v>95</v>
      </c>
      <c r="C44" s="28" t="s">
        <v>96</v>
      </c>
      <c r="D44" s="28" t="s">
        <v>90</v>
      </c>
      <c r="E44" s="32">
        <v>7500000</v>
      </c>
      <c r="F44" s="30">
        <v>7483.16</v>
      </c>
      <c r="G44" s="30">
        <v>2.85</v>
      </c>
      <c r="H44" s="30">
        <v>5.87</v>
      </c>
    </row>
    <row r="45" spans="2:9">
      <c r="B45" s="28" t="s">
        <v>97</v>
      </c>
      <c r="C45" s="28" t="s">
        <v>98</v>
      </c>
      <c r="D45" s="28" t="s">
        <v>90</v>
      </c>
      <c r="E45" s="32">
        <v>7500000</v>
      </c>
      <c r="F45" s="30">
        <v>7474.28</v>
      </c>
      <c r="G45" s="30">
        <v>2.84</v>
      </c>
      <c r="H45" s="30">
        <v>5.98</v>
      </c>
    </row>
    <row r="46" spans="2:9">
      <c r="B46" s="28" t="s">
        <v>99</v>
      </c>
      <c r="C46" s="28" t="s">
        <v>100</v>
      </c>
      <c r="D46" s="28" t="s">
        <v>90</v>
      </c>
      <c r="E46" s="32">
        <v>5000000</v>
      </c>
      <c r="F46" s="30">
        <v>4970.59</v>
      </c>
      <c r="G46" s="30">
        <v>1.89</v>
      </c>
      <c r="H46" s="30">
        <v>6.17</v>
      </c>
    </row>
    <row r="47" spans="2:9">
      <c r="B47" s="40" t="s">
        <v>30</v>
      </c>
      <c r="C47" s="40"/>
      <c r="D47" s="40"/>
      <c r="E47" s="41"/>
      <c r="F47" s="42">
        <f>SUM(F40:F46)</f>
        <v>64616.44</v>
      </c>
      <c r="G47" s="42">
        <f>SUM(G40:G46)</f>
        <v>24.57</v>
      </c>
      <c r="H47" s="43"/>
      <c r="I47" s="44"/>
    </row>
    <row r="48" spans="2:9">
      <c r="B48" s="45" t="s">
        <v>31</v>
      </c>
      <c r="C48" s="45"/>
      <c r="D48" s="45"/>
      <c r="E48" s="46"/>
      <c r="F48" s="47">
        <f>F24+F39+F47</f>
        <v>215087.65</v>
      </c>
      <c r="G48" s="47">
        <f>G24+G39+G47</f>
        <v>81.819999999999993</v>
      </c>
      <c r="H48" s="47"/>
      <c r="I48" s="44"/>
    </row>
    <row r="49" spans="2:9">
      <c r="B49" s="27" t="s">
        <v>101</v>
      </c>
      <c r="C49" s="28"/>
      <c r="D49" s="28"/>
      <c r="E49" s="29"/>
      <c r="F49" s="30"/>
      <c r="G49" s="30"/>
      <c r="H49" s="30"/>
    </row>
    <row r="50" spans="2:9">
      <c r="B50" s="28" t="s">
        <v>101</v>
      </c>
      <c r="C50" s="28"/>
      <c r="D50" s="28"/>
      <c r="E50" s="29"/>
      <c r="F50" s="30">
        <v>48381.5</v>
      </c>
      <c r="G50" s="30">
        <v>18.41</v>
      </c>
      <c r="H50" s="30"/>
    </row>
    <row r="51" spans="2:9">
      <c r="B51" s="40" t="s">
        <v>30</v>
      </c>
      <c r="C51" s="40"/>
      <c r="D51" s="40"/>
      <c r="E51" s="41"/>
      <c r="F51" s="42">
        <f>SUM(F49:F50)</f>
        <v>48381.5</v>
      </c>
      <c r="G51" s="42">
        <f>SUM(G49:G50)</f>
        <v>18.41</v>
      </c>
      <c r="H51" s="43"/>
      <c r="I51" s="44"/>
    </row>
    <row r="52" spans="2:9">
      <c r="B52" s="52" t="s">
        <v>31</v>
      </c>
      <c r="C52" s="52"/>
      <c r="D52" s="52"/>
      <c r="E52" s="53"/>
      <c r="F52" s="54">
        <f>F51</f>
        <v>48381.5</v>
      </c>
      <c r="G52" s="54">
        <f>G51</f>
        <v>18.41</v>
      </c>
      <c r="H52" s="54"/>
      <c r="I52" s="44"/>
    </row>
    <row r="53" spans="2:9">
      <c r="B53" s="55" t="s">
        <v>102</v>
      </c>
      <c r="C53" s="55"/>
      <c r="D53" s="55"/>
      <c r="E53" s="56"/>
      <c r="F53" s="57">
        <f>F54-(+F11+F48+F52)</f>
        <v>-16617.039999999979</v>
      </c>
      <c r="G53" s="57">
        <f>G54-(+G11+G48+G52)</f>
        <v>-6.3199999999999932</v>
      </c>
      <c r="H53" s="57"/>
      <c r="I53" s="44"/>
    </row>
    <row r="54" spans="2:9">
      <c r="B54" s="55" t="s">
        <v>103</v>
      </c>
      <c r="C54" s="55"/>
      <c r="D54" s="55"/>
      <c r="E54" s="56"/>
      <c r="F54" s="57">
        <v>262867.94</v>
      </c>
      <c r="G54" s="57">
        <v>100</v>
      </c>
      <c r="H54" s="57"/>
      <c r="I54" s="44"/>
    </row>
    <row r="56" spans="2:9">
      <c r="B56" s="44" t="s">
        <v>104</v>
      </c>
    </row>
    <row r="57" spans="2:9">
      <c r="B57" s="44" t="s">
        <v>105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13:35:22</KDate>
  <Classification>Public</Classification>
  <Subclassification/>
  <HostName>MUMCMP00935</HostName>
  <Domain_User>CANARAROBECOMF/628</Domain_User>
  <IPAdd>192.9.198.194</IPAdd>
  <FilePath>Book17</FilePath>
  <KID>C025A5607E97638059305228936285</KID>
  <UniqueName/>
  <Suggested/>
  <Justification/>
</Klassify>
</file>

<file path=customXml/itemProps1.xml><?xml version="1.0" encoding="utf-8"?>
<ds:datastoreItem xmlns:ds="http://schemas.openxmlformats.org/officeDocument/2006/customXml" ds:itemID="{FF8DE715-6A15-4DA9-BCB9-AAE5A98BEA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2022-12-06T08:05:16Z</dcterms:created>
  <dcterms:modified xsi:type="dcterms:W3CDTF">2022-12-06T08:05:23Z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C025A5607E97638059305228936285</vt:lpwstr>
  </property>
</Properties>
</file>