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Sep 25\"/>
    </mc:Choice>
  </mc:AlternateContent>
  <xr:revisionPtr revIDLastSave="0" documentId="8_{961A9DF6-68BC-46D5-8B72-8E2F6F06EE54}" xr6:coauthVersionLast="47" xr6:coauthVersionMax="47" xr10:uidLastSave="{00000000-0000-0000-0000-000000000000}"/>
  <bookViews>
    <workbookView xWindow="-120" yWindow="-120" windowWidth="20730" windowHeight="11040" xr2:uid="{8EBD7F0B-4DF2-4FC4-BF28-22F56077729C}"/>
  </bookViews>
  <sheets>
    <sheet name="B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0" i="1" l="1"/>
  <c r="G41" i="1" s="1"/>
  <c r="F40" i="1"/>
  <c r="F41" i="1" s="1"/>
  <c r="G37" i="1"/>
  <c r="F37" i="1"/>
  <c r="G34" i="1"/>
  <c r="F34" i="1"/>
  <c r="G30" i="1"/>
  <c r="F30" i="1"/>
  <c r="G29" i="1"/>
  <c r="F29" i="1"/>
  <c r="G26" i="1"/>
  <c r="F26" i="1"/>
  <c r="G21" i="1"/>
  <c r="G22" i="1" s="1"/>
  <c r="G42" i="1" s="1"/>
  <c r="F21" i="1"/>
  <c r="F22" i="1" s="1"/>
  <c r="F42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<sst xmlns="http://schemas.openxmlformats.org/spreadsheetml/2006/main" count="108" uniqueCount="87">
  <si>
    <t>CANARA ROBECO BANKING AND PSU DEBT FUND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</si>
  <si>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</si>
  <si>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</si>
  <si>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</si>
  <si>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</si>
  <si>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</si>
  <si>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</si>
  <si>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</si>
  <si>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</si>
  <si>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September'25</t>
  </si>
  <si>
    <t>Benchmark Risk-O-Meter Level- September'25</t>
  </si>
  <si>
    <t>Scheme Risk-O-Meter Level- August'25</t>
  </si>
  <si>
    <t>Benchmark Risk-O-Meter Level- August'25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</si>
  <si>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</si>
  <si>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</si>
  <si>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</si>
  <si>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</si>
  <si>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</si>
  <si>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</si>
  <si>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</si>
  <si>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</si>
  <si>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7.65% Indian Railway Finance Corporation Ltd (30/12/2032) **</t>
  </si>
  <si>
    <t>INE053F08221</t>
  </si>
  <si>
    <t>CRISIL AAA</t>
  </si>
  <si>
    <t>Relatively Low (Class I)</t>
  </si>
  <si>
    <t>7.25% Indian Oil Corporation Ltd (06/01/2030) **</t>
  </si>
  <si>
    <t>INE242A08569</t>
  </si>
  <si>
    <t>7.68% LIC Housing Finance Ltd (29/05/2034)</t>
  </si>
  <si>
    <t>INE115A07QR5</t>
  </si>
  <si>
    <t>Moderate 
(Class II)</t>
  </si>
  <si>
    <t>7.35% NHPC Ltd (15/09/2026) **</t>
  </si>
  <si>
    <t>INE848E07AL0</t>
  </si>
  <si>
    <t>CARE AAA</t>
  </si>
  <si>
    <t>7.59% Small Industries Development Bank Of India (10/02/2026) **</t>
  </si>
  <si>
    <t>INE556F08KG3</t>
  </si>
  <si>
    <t>Relatively High (Class III)</t>
  </si>
  <si>
    <t>B-III</t>
  </si>
  <si>
    <t>6.73% Hindustan Petroleum Corporation Ltd (29/04/2030) **</t>
  </si>
  <si>
    <t>INE094A08176</t>
  </si>
  <si>
    <t>6.85% National Bank For Agriculture &amp; Rural Development (21/03/2031) **</t>
  </si>
  <si>
    <t>INE261F08DA8</t>
  </si>
  <si>
    <t>ICRA AAA</t>
  </si>
  <si>
    <t>Benchmark: CRISIL Banking and PSU Debt A-II Index</t>
  </si>
  <si>
    <t>8.44% HDFC Bank Ltd (28/12/2028) **</t>
  </si>
  <si>
    <t>INE040A08393</t>
  </si>
  <si>
    <t>7.68% Power Finance Corporation Ltd (15/07/2030) **</t>
  </si>
  <si>
    <t>INE134E08KR9</t>
  </si>
  <si>
    <t>7.84% HDB Financial Services Ltd (14/07/2026) **</t>
  </si>
  <si>
    <t>INE756I07EN4</t>
  </si>
  <si>
    <t>9.00% HDFC Bank Ltd (29/11/2028) **</t>
  </si>
  <si>
    <t>INE040A08AB1</t>
  </si>
  <si>
    <t>7.35% Export-Import Bank Of India (27/07/2028) **</t>
  </si>
  <si>
    <t>INE514E08GE8</t>
  </si>
  <si>
    <t>7.20% Power Grid Corporation of India Ltd (09/08/2027) **</t>
  </si>
  <si>
    <t>INE752E07OG5</t>
  </si>
  <si>
    <t>5.94% REC Ltd (31/01/2026)</t>
  </si>
  <si>
    <t>INE020B08DK6</t>
  </si>
  <si>
    <t>Sub Total</t>
  </si>
  <si>
    <t>Total</t>
  </si>
  <si>
    <t>Money Market Instruments</t>
  </si>
  <si>
    <t>Certificate of Deposit</t>
  </si>
  <si>
    <t>Punjab National Bank (18/03/2026) #</t>
  </si>
  <si>
    <t>INE160A16RK5</t>
  </si>
  <si>
    <t>CARE A1+</t>
  </si>
  <si>
    <t>Treasury Bill</t>
  </si>
  <si>
    <t>364 DTB (08-JAN-2026)</t>
  </si>
  <si>
    <t>IN002024Z396</t>
  </si>
  <si>
    <t xml:space="preserve"> Sovereign</t>
  </si>
  <si>
    <t>Government Bonds</t>
  </si>
  <si>
    <t>6.33% GOI 2035 (05-MAY-2035)</t>
  </si>
  <si>
    <t>IN0020250026</t>
  </si>
  <si>
    <t>Sovereign</t>
  </si>
  <si>
    <t>7.32% GOI 2073 (13-NOV-2030)</t>
  </si>
  <si>
    <t>IN0020230135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</si>
  <si>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</si>
  <si>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</si>
  <si>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</si>
  <si>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</si>
  <si>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</si>
  <si>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</si>
  <si>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</si>
  <si>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#  Unlisted Security</t>
  </si>
  <si>
    <t>Modified Duration (In Years)</t>
  </si>
  <si>
    <t>Annualised Portfolio YTM</t>
  </si>
  <si>
    <t>Macaulay Duration (In Years)</t>
  </si>
  <si>
    <t>Please refer the below link for the performance of the Schemes managed by Canara Robeco Mutual Fund</t>
  </si>
  <si>
    <t>https://www.canararobeco.com/images/default-source/default-album/Scheme_Performance_September_25.pdf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</si>
</sst>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3" borderId="9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164" fontId="4" fillId="3" borderId="5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0" fontId="10" fillId="3" borderId="11" xfId="0" applyFont="1" applyFill="1" applyBorder="1"/>
    <xf numFmtId="0" fontId="4" fillId="3" borderId="11" xfId="0" applyFont="1" applyFill="1" applyBorder="1"/>
    <xf numFmtId="4" fontId="4" fillId="3" borderId="11" xfId="0" applyNumberFormat="1" applyFont="1" applyFill="1" applyBorder="1"/>
    <xf numFmtId="164" fontId="4" fillId="3" borderId="12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left" vertical="top" wrapText="1"/>
    </xf>
    <xf numFmtId="3" fontId="4" fillId="3" borderId="11" xfId="0" applyNumberFormat="1" applyFont="1" applyFill="1" applyBorder="1"/>
    <xf numFmtId="0" fontId="10" fillId="0" borderId="10" xfId="0" applyFont="1" applyBorder="1" applyAlignment="1">
      <alignment horizontal="left" wrapText="1"/>
    </xf>
    <xf numFmtId="0" fontId="4" fillId="0" borderId="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164" fontId="4" fillId="3" borderId="13" xfId="1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164" fontId="4" fillId="3" borderId="0" xfId="1" applyFont="1" applyFill="1"/>
    <xf numFmtId="0" fontId="10" fillId="3" borderId="14" xfId="0" applyFont="1" applyFill="1" applyBorder="1"/>
    <xf numFmtId="4" fontId="10" fillId="3" borderId="15" xfId="0" applyNumberFormat="1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6" xfId="0" applyFont="1" applyFill="1" applyBorder="1"/>
    <xf numFmtId="4" fontId="10" fillId="3" borderId="16" xfId="0" applyNumberFormat="1" applyFont="1" applyFill="1" applyBorder="1"/>
    <xf numFmtId="4" fontId="10" fillId="3" borderId="17" xfId="0" applyNumberFormat="1" applyFont="1" applyFill="1" applyBorder="1"/>
    <xf numFmtId="4" fontId="10" fillId="3" borderId="11" xfId="0" applyNumberFormat="1" applyFont="1" applyFill="1" applyBorder="1"/>
    <xf numFmtId="0" fontId="4" fillId="3" borderId="18" xfId="0" applyFont="1" applyFill="1" applyBorder="1"/>
    <xf numFmtId="3" fontId="4" fillId="3" borderId="18" xfId="0" applyNumberFormat="1" applyFont="1" applyFill="1" applyBorder="1"/>
    <xf numFmtId="4" fontId="4" fillId="3" borderId="18" xfId="0" applyNumberFormat="1" applyFont="1" applyFill="1" applyBorder="1"/>
    <xf numFmtId="0" fontId="10" fillId="3" borderId="17" xfId="0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0" fillId="3" borderId="10" xfId="0" applyFont="1" applyFill="1" applyBorder="1"/>
    <xf numFmtId="4" fontId="10" fillId="3" borderId="10" xfId="0" applyNumberFormat="1" applyFont="1" applyFill="1" applyBorder="1"/>
    <xf numFmtId="0" fontId="11" fillId="5" borderId="20" xfId="0" applyFont="1" applyFill="1" applyBorder="1"/>
    <xf numFmtId="2" fontId="10" fillId="3" borderId="21" xfId="0" applyNumberFormat="1" applyFont="1" applyFill="1" applyBorder="1"/>
    <xf numFmtId="10" fontId="10" fillId="3" borderId="21" xfId="0" applyNumberFormat="1" applyFont="1" applyFill="1" applyBorder="1"/>
    <xf numFmtId="0" fontId="2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c01.safelinks.protection.outlook.com/?url=https%3A%2F%2Fwww.canararobeco.com%2Fimages%2Fdefault-source%2Fdefault-album%2FScheme_Performance_September_25.pdf&amp;data=05%7C02%7C%7C4ae95413159841e822d808de0575e26b%7C6fa82c0314f040c8895a63736b6313f0%7C0%7C0%7C638954201079550129%7CUnknown%7CTWFpbGZsb3d8eyJFbXB0eU1hcGkiOnRydWUsIlYiOiIwLjAuMDAwMCIsIlAiOiJXaW4zMiIsIkFOIjoiTWFpbCIsIldUIjoyfQ%3D%3D%7C0%7C%7C%7C&amp;sdata=WB1qq6mgP3ljsqTDZLskoc3lQPLlpUZZn2LV9ydbelc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09684-55FC-4D50-8A1D-5356A732A54C}">
  <dimension ref="B1:S56"/>
  <sheetViews>
    <sheetView tabSelected="1" workbookViewId="0">
      <selection activeCell="B12" sqref="B12"/>
    </sheetView>
  </sheetViews>
  <sheetFormatPr defaultRowHeight="12" x14ac:dyDescent="0.2"/>
  <cols>
    <col min="1" max="1" width="9.140625" style="3"/>
    <col min="2" max="2" width="61.5703125" style="3" bestFit="1" customWidth="1"/>
    <col min="3" max="3" width="13.7109375" style="3" bestFit="1" customWidth="1"/>
    <col min="4" max="4" width="22.85546875" style="3" bestFit="1" customWidth="1"/>
    <col min="5" max="5" width="8.85546875" style="3" bestFit="1" customWidth="1"/>
    <col min="6" max="6" width="15.28515625" style="8" bestFit="1" customWidth="1"/>
    <col min="7" max="7" width="7.42578125" style="8" bestFit="1" customWidth="1"/>
    <col min="8" max="8" width="6.5703125" style="8" bestFit="1" customWidth="1"/>
    <col min="9" max="10" width="9.140625" style="3"/>
    <col min="11" max="11" width="31.5703125" style="3" customWidth="1"/>
    <col min="12" max="12" width="35.5703125" style="3" customWidth="1"/>
    <col min="13" max="14" width="31.42578125" style="3" customWidth="1"/>
    <col min="15" max="15" width="9.140625" style="3"/>
    <col min="16" max="16" width="12.7109375" style="3" customWidth="1"/>
    <col min="17" max="16384" width="9.140625" style="3"/>
  </cols>
  <sheetData>
    <row r="1" spans="2:19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9" ht="16.5" thickBot="1" x14ac:dyDescent="0.25">
      <c r="B3" s="4" t="s">
        <v>1</v>
      </c>
      <c r="C3" s="5"/>
      <c r="D3" s="6"/>
      <c r="E3" s="6"/>
      <c r="F3" s="7"/>
      <c r="G3" s="7"/>
    </row>
    <row r="4" spans="2:19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K4" s="13" t="s">
        <v>9</v>
      </c>
      <c r="L4" s="13" t="s">
        <v>10</v>
      </c>
      <c r="M4" s="13" t="s">
        <v>11</v>
      </c>
      <c r="N4" s="13" t="s">
        <v>12</v>
      </c>
      <c r="P4" s="14" t="s">
        <v>13</v>
      </c>
      <c r="Q4" s="15"/>
      <c r="R4" s="15"/>
      <c r="S4" s="16"/>
    </row>
    <row r="5" spans="2:19" x14ac:dyDescent="0.2">
      <c r="B5" s="17" t="s">
        <v>14</v>
      </c>
      <c r="C5" s="18"/>
      <c r="D5" s="18"/>
      <c r="E5" s="18"/>
      <c r="F5" s="19"/>
      <c r="G5" s="19"/>
      <c r="H5" s="19"/>
      <c r="K5" s="20" t="e" vm="1">
        <v>#VALUE!</v>
      </c>
      <c r="L5" s="20" t="e" vm="2">
        <v>#VALUE!</v>
      </c>
      <c r="M5" s="20" t="e" vm="1">
        <v>#VALUE!</v>
      </c>
      <c r="N5" s="20" t="e" vm="2">
        <v>#VALUE!</v>
      </c>
      <c r="P5" s="21" t="s">
        <v>15</v>
      </c>
      <c r="Q5" s="22" t="s">
        <v>16</v>
      </c>
      <c r="R5" s="22" t="s">
        <v>17</v>
      </c>
      <c r="S5" s="22" t="s">
        <v>18</v>
      </c>
    </row>
    <row r="6" spans="2:19" ht="24" x14ac:dyDescent="0.2">
      <c r="B6" s="23" t="s">
        <v>19</v>
      </c>
      <c r="C6" s="24"/>
      <c r="D6" s="24"/>
      <c r="E6" s="24"/>
      <c r="F6" s="25"/>
      <c r="G6" s="25"/>
      <c r="H6" s="25"/>
      <c r="K6" s="26"/>
      <c r="L6" s="26"/>
      <c r="M6" s="26"/>
      <c r="N6" s="26"/>
      <c r="P6" s="27" t="s">
        <v>20</v>
      </c>
      <c r="Q6" s="22"/>
      <c r="R6" s="22"/>
      <c r="S6" s="22"/>
    </row>
    <row r="7" spans="2:19" x14ac:dyDescent="0.2">
      <c r="B7" s="24" t="s">
        <v>21</v>
      </c>
      <c r="C7" s="24" t="s">
        <v>22</v>
      </c>
      <c r="D7" s="24" t="s">
        <v>23</v>
      </c>
      <c r="E7" s="28">
        <v>150</v>
      </c>
      <c r="F7" s="25">
        <v>1553.38</v>
      </c>
      <c r="G7" s="25">
        <v>7.77</v>
      </c>
      <c r="H7" s="25">
        <v>7.01</v>
      </c>
      <c r="K7" s="26"/>
      <c r="L7" s="26"/>
      <c r="M7" s="26"/>
      <c r="N7" s="26"/>
      <c r="P7" s="29" t="s">
        <v>24</v>
      </c>
      <c r="Q7" s="30"/>
      <c r="R7" s="30"/>
      <c r="S7" s="30"/>
    </row>
    <row r="8" spans="2:19" x14ac:dyDescent="0.2">
      <c r="B8" s="24" t="s">
        <v>25</v>
      </c>
      <c r="C8" s="24" t="s">
        <v>26</v>
      </c>
      <c r="D8" s="24" t="s">
        <v>23</v>
      </c>
      <c r="E8" s="28">
        <v>1500</v>
      </c>
      <c r="F8" s="25">
        <v>1524.13</v>
      </c>
      <c r="G8" s="25">
        <v>7.62</v>
      </c>
      <c r="H8" s="25">
        <v>6.79</v>
      </c>
      <c r="K8" s="26"/>
      <c r="L8" s="26"/>
      <c r="M8" s="26"/>
      <c r="N8" s="26"/>
      <c r="P8" s="29"/>
      <c r="Q8" s="31"/>
      <c r="R8" s="31"/>
      <c r="S8" s="31"/>
    </row>
    <row r="9" spans="2:19" x14ac:dyDescent="0.2">
      <c r="B9" s="24" t="s">
        <v>27</v>
      </c>
      <c r="C9" s="24" t="s">
        <v>28</v>
      </c>
      <c r="D9" s="24" t="s">
        <v>23</v>
      </c>
      <c r="E9" s="28">
        <v>1500</v>
      </c>
      <c r="F9" s="25">
        <v>1523.35</v>
      </c>
      <c r="G9" s="25">
        <v>7.62</v>
      </c>
      <c r="H9" s="25">
        <v>7.42</v>
      </c>
      <c r="K9" s="26"/>
      <c r="L9" s="26"/>
      <c r="M9" s="26"/>
      <c r="N9" s="26"/>
      <c r="P9" s="29" t="s">
        <v>29</v>
      </c>
      <c r="Q9" s="30"/>
      <c r="R9" s="30"/>
      <c r="S9" s="30"/>
    </row>
    <row r="10" spans="2:19" x14ac:dyDescent="0.2">
      <c r="B10" s="24" t="s">
        <v>30</v>
      </c>
      <c r="C10" s="24" t="s">
        <v>31</v>
      </c>
      <c r="D10" s="24" t="s">
        <v>32</v>
      </c>
      <c r="E10" s="28">
        <v>150</v>
      </c>
      <c r="F10" s="25">
        <v>1511.88</v>
      </c>
      <c r="G10" s="25">
        <v>7.56</v>
      </c>
      <c r="H10" s="25">
        <v>6.45</v>
      </c>
      <c r="K10" s="26"/>
      <c r="L10" s="26"/>
      <c r="M10" s="26"/>
      <c r="N10" s="26"/>
      <c r="P10" s="29"/>
      <c r="Q10" s="31"/>
      <c r="R10" s="31"/>
      <c r="S10" s="31"/>
    </row>
    <row r="11" spans="2:19" x14ac:dyDescent="0.2">
      <c r="B11" s="24" t="s">
        <v>33</v>
      </c>
      <c r="C11" s="24" t="s">
        <v>34</v>
      </c>
      <c r="D11" s="24" t="s">
        <v>23</v>
      </c>
      <c r="E11" s="28">
        <v>1500</v>
      </c>
      <c r="F11" s="25">
        <v>1506.34</v>
      </c>
      <c r="G11" s="25">
        <v>7.54</v>
      </c>
      <c r="H11" s="25">
        <v>6.27</v>
      </c>
      <c r="K11" s="26"/>
      <c r="L11" s="26"/>
      <c r="M11" s="26"/>
      <c r="N11" s="26"/>
      <c r="P11" s="29" t="s">
        <v>35</v>
      </c>
      <c r="Q11" s="30"/>
      <c r="R11" s="32" t="s">
        <v>36</v>
      </c>
      <c r="S11" s="30"/>
    </row>
    <row r="12" spans="2:19" x14ac:dyDescent="0.2">
      <c r="B12" s="24" t="s">
        <v>37</v>
      </c>
      <c r="C12" s="24" t="s">
        <v>38</v>
      </c>
      <c r="D12" s="24" t="s">
        <v>23</v>
      </c>
      <c r="E12" s="28">
        <v>1500</v>
      </c>
      <c r="F12" s="25">
        <v>1497.84</v>
      </c>
      <c r="G12" s="25">
        <v>7.49</v>
      </c>
      <c r="H12" s="25">
        <v>6.75</v>
      </c>
      <c r="K12" s="33"/>
      <c r="L12" s="33"/>
      <c r="M12" s="33"/>
      <c r="N12" s="33"/>
      <c r="P12" s="29"/>
      <c r="Q12" s="31"/>
      <c r="R12" s="34"/>
      <c r="S12" s="31"/>
    </row>
    <row r="13" spans="2:19" ht="15" x14ac:dyDescent="0.25">
      <c r="B13" s="24" t="s">
        <v>39</v>
      </c>
      <c r="C13" s="24" t="s">
        <v>40</v>
      </c>
      <c r="D13" s="24" t="s">
        <v>41</v>
      </c>
      <c r="E13" s="28">
        <v>150</v>
      </c>
      <c r="F13" s="25">
        <v>1494.59</v>
      </c>
      <c r="G13" s="25">
        <v>7.48</v>
      </c>
      <c r="H13" s="25">
        <v>7.05</v>
      </c>
      <c r="K13" s="35"/>
      <c r="L13" t="s">
        <v>42</v>
      </c>
      <c r="M13" s="35"/>
      <c r="N13" s="35"/>
    </row>
    <row r="14" spans="2:19" x14ac:dyDescent="0.2">
      <c r="B14" s="24" t="s">
        <v>43</v>
      </c>
      <c r="C14" s="24" t="s">
        <v>44</v>
      </c>
      <c r="D14" s="24" t="s">
        <v>23</v>
      </c>
      <c r="E14" s="28">
        <v>100</v>
      </c>
      <c r="F14" s="25">
        <v>1043.5899999999999</v>
      </c>
      <c r="G14" s="25">
        <v>5.22</v>
      </c>
      <c r="H14" s="25">
        <v>6.88</v>
      </c>
    </row>
    <row r="15" spans="2:19" x14ac:dyDescent="0.2">
      <c r="B15" s="24" t="s">
        <v>45</v>
      </c>
      <c r="C15" s="24" t="s">
        <v>46</v>
      </c>
      <c r="D15" s="24" t="s">
        <v>23</v>
      </c>
      <c r="E15" s="28">
        <v>100</v>
      </c>
      <c r="F15" s="25">
        <v>1026.72</v>
      </c>
      <c r="G15" s="25">
        <v>5.14</v>
      </c>
      <c r="H15" s="25">
        <v>7</v>
      </c>
    </row>
    <row r="16" spans="2:19" x14ac:dyDescent="0.2">
      <c r="B16" s="24" t="s">
        <v>47</v>
      </c>
      <c r="C16" s="24" t="s">
        <v>48</v>
      </c>
      <c r="D16" s="24" t="s">
        <v>23</v>
      </c>
      <c r="E16" s="28">
        <v>100</v>
      </c>
      <c r="F16" s="25">
        <v>1005.77</v>
      </c>
      <c r="G16" s="25">
        <v>5.03</v>
      </c>
      <c r="H16" s="25">
        <v>6.95</v>
      </c>
    </row>
    <row r="17" spans="2:9" x14ac:dyDescent="0.2">
      <c r="B17" s="24" t="s">
        <v>49</v>
      </c>
      <c r="C17" s="24" t="s">
        <v>50</v>
      </c>
      <c r="D17" s="24" t="s">
        <v>23</v>
      </c>
      <c r="E17" s="28">
        <v>50</v>
      </c>
      <c r="F17" s="25">
        <v>528.16</v>
      </c>
      <c r="G17" s="25">
        <v>2.64</v>
      </c>
      <c r="H17" s="25">
        <v>6.94</v>
      </c>
    </row>
    <row r="18" spans="2:9" x14ac:dyDescent="0.2">
      <c r="B18" s="24" t="s">
        <v>51</v>
      </c>
      <c r="C18" s="24" t="s">
        <v>52</v>
      </c>
      <c r="D18" s="24" t="s">
        <v>23</v>
      </c>
      <c r="E18" s="28">
        <v>500</v>
      </c>
      <c r="F18" s="25">
        <v>508.88</v>
      </c>
      <c r="G18" s="25">
        <v>2.5499999999999998</v>
      </c>
      <c r="H18" s="25">
        <v>6.64</v>
      </c>
    </row>
    <row r="19" spans="2:9" x14ac:dyDescent="0.2">
      <c r="B19" s="24" t="s">
        <v>53</v>
      </c>
      <c r="C19" s="24" t="s">
        <v>54</v>
      </c>
      <c r="D19" s="24" t="s">
        <v>23</v>
      </c>
      <c r="E19" s="28">
        <v>50</v>
      </c>
      <c r="F19" s="25">
        <v>505.56</v>
      </c>
      <c r="G19" s="25">
        <v>2.5299999999999998</v>
      </c>
      <c r="H19" s="25">
        <v>6.53</v>
      </c>
    </row>
    <row r="20" spans="2:9" x14ac:dyDescent="0.2">
      <c r="B20" s="24" t="s">
        <v>55</v>
      </c>
      <c r="C20" s="24" t="s">
        <v>56</v>
      </c>
      <c r="D20" s="24" t="s">
        <v>23</v>
      </c>
      <c r="E20" s="28">
        <v>50</v>
      </c>
      <c r="F20" s="25">
        <v>499.06</v>
      </c>
      <c r="G20" s="25">
        <v>2.5</v>
      </c>
      <c r="H20" s="25">
        <v>6.27</v>
      </c>
    </row>
    <row r="21" spans="2:9" x14ac:dyDescent="0.2">
      <c r="B21" s="36" t="s">
        <v>57</v>
      </c>
      <c r="C21" s="36"/>
      <c r="D21" s="36"/>
      <c r="E21" s="36"/>
      <c r="F21" s="37">
        <f>SUM(F6:F20)</f>
        <v>15729.249999999998</v>
      </c>
      <c r="G21" s="37">
        <f>SUM(G6:G20)</f>
        <v>78.69</v>
      </c>
      <c r="H21" s="38"/>
      <c r="I21" s="39"/>
    </row>
    <row r="22" spans="2:9" x14ac:dyDescent="0.2">
      <c r="B22" s="40" t="s">
        <v>58</v>
      </c>
      <c r="C22" s="40"/>
      <c r="D22" s="40"/>
      <c r="E22" s="40"/>
      <c r="F22" s="41">
        <f>F21</f>
        <v>15729.249999999998</v>
      </c>
      <c r="G22" s="41">
        <f>G21</f>
        <v>78.69</v>
      </c>
      <c r="H22" s="41"/>
      <c r="I22" s="39"/>
    </row>
    <row r="23" spans="2:9" x14ac:dyDescent="0.2">
      <c r="B23" s="23" t="s">
        <v>59</v>
      </c>
      <c r="C23" s="24"/>
      <c r="D23" s="24"/>
      <c r="E23" s="24"/>
      <c r="F23" s="25"/>
      <c r="G23" s="25"/>
      <c r="H23" s="25"/>
    </row>
    <row r="24" spans="2:9" x14ac:dyDescent="0.2">
      <c r="B24" s="23" t="s">
        <v>60</v>
      </c>
      <c r="C24" s="24"/>
      <c r="D24" s="24"/>
      <c r="E24" s="24"/>
      <c r="F24" s="25"/>
      <c r="G24" s="25"/>
      <c r="H24" s="25"/>
    </row>
    <row r="25" spans="2:9" x14ac:dyDescent="0.2">
      <c r="B25" s="24" t="s">
        <v>61</v>
      </c>
      <c r="C25" s="24" t="s">
        <v>62</v>
      </c>
      <c r="D25" s="24" t="s">
        <v>63</v>
      </c>
      <c r="E25" s="28">
        <v>200</v>
      </c>
      <c r="F25" s="25">
        <v>972.8</v>
      </c>
      <c r="G25" s="25">
        <v>4.87</v>
      </c>
      <c r="H25" s="25">
        <v>6.08</v>
      </c>
    </row>
    <row r="26" spans="2:9" x14ac:dyDescent="0.2">
      <c r="B26" s="23" t="s">
        <v>57</v>
      </c>
      <c r="C26" s="23"/>
      <c r="D26" s="23"/>
      <c r="E26" s="23"/>
      <c r="F26" s="42">
        <f>SUM(F24:F25)</f>
        <v>972.8</v>
      </c>
      <c r="G26" s="42">
        <f>SUM(G24:G25)</f>
        <v>4.87</v>
      </c>
      <c r="H26" s="43"/>
      <c r="I26" s="39"/>
    </row>
    <row r="27" spans="2:9" x14ac:dyDescent="0.2">
      <c r="B27" s="23" t="s">
        <v>64</v>
      </c>
      <c r="C27" s="24"/>
      <c r="D27" s="24"/>
      <c r="E27" s="24"/>
      <c r="F27" s="25"/>
      <c r="G27" s="25"/>
      <c r="H27" s="25"/>
    </row>
    <row r="28" spans="2:9" x14ac:dyDescent="0.2">
      <c r="B28" s="24" t="s">
        <v>65</v>
      </c>
      <c r="C28" s="24" t="s">
        <v>66</v>
      </c>
      <c r="D28" s="24" t="s">
        <v>67</v>
      </c>
      <c r="E28" s="28">
        <v>100000</v>
      </c>
      <c r="F28" s="25">
        <v>98.53</v>
      </c>
      <c r="G28" s="25">
        <v>0.49</v>
      </c>
      <c r="H28" s="25">
        <v>5.5</v>
      </c>
    </row>
    <row r="29" spans="2:9" x14ac:dyDescent="0.2">
      <c r="B29" s="36" t="s">
        <v>57</v>
      </c>
      <c r="C29" s="36"/>
      <c r="D29" s="36"/>
      <c r="E29" s="36"/>
      <c r="F29" s="37">
        <f>SUM(F27:F28)</f>
        <v>98.53</v>
      </c>
      <c r="G29" s="37">
        <f>SUM(G27:G28)</f>
        <v>0.49</v>
      </c>
      <c r="H29" s="38"/>
      <c r="I29" s="39"/>
    </row>
    <row r="30" spans="2:9" x14ac:dyDescent="0.2">
      <c r="B30" s="40" t="s">
        <v>58</v>
      </c>
      <c r="C30" s="40"/>
      <c r="D30" s="40"/>
      <c r="E30" s="40"/>
      <c r="F30" s="41">
        <f>F26+F29</f>
        <v>1071.33</v>
      </c>
      <c r="G30" s="41">
        <f>G26+G29</f>
        <v>5.36</v>
      </c>
      <c r="H30" s="41"/>
      <c r="I30" s="39"/>
    </row>
    <row r="31" spans="2:9" x14ac:dyDescent="0.2">
      <c r="B31" s="23" t="s">
        <v>68</v>
      </c>
      <c r="C31" s="24"/>
      <c r="D31" s="24"/>
      <c r="E31" s="24"/>
      <c r="F31" s="25"/>
      <c r="G31" s="25"/>
      <c r="H31" s="25"/>
    </row>
    <row r="32" spans="2:9" x14ac:dyDescent="0.2">
      <c r="B32" s="24" t="s">
        <v>69</v>
      </c>
      <c r="C32" s="24" t="s">
        <v>70</v>
      </c>
      <c r="D32" s="24" t="s">
        <v>71</v>
      </c>
      <c r="E32" s="28">
        <v>1000000</v>
      </c>
      <c r="F32" s="25">
        <v>982.91</v>
      </c>
      <c r="G32" s="25">
        <v>4.92</v>
      </c>
      <c r="H32" s="25">
        <v>6.68</v>
      </c>
    </row>
    <row r="33" spans="2:9" x14ac:dyDescent="0.2">
      <c r="B33" s="44" t="s">
        <v>72</v>
      </c>
      <c r="C33" s="44" t="s">
        <v>73</v>
      </c>
      <c r="D33" s="44" t="s">
        <v>71</v>
      </c>
      <c r="E33" s="45">
        <v>500000</v>
      </c>
      <c r="F33" s="46">
        <v>522.39</v>
      </c>
      <c r="G33" s="46">
        <v>2.61</v>
      </c>
      <c r="H33" s="46">
        <v>6.38</v>
      </c>
    </row>
    <row r="34" spans="2:9" x14ac:dyDescent="0.2">
      <c r="B34" s="47" t="s">
        <v>58</v>
      </c>
      <c r="C34" s="47"/>
      <c r="D34" s="47"/>
      <c r="E34" s="47"/>
      <c r="F34" s="42">
        <f>SUM(F32:F33)</f>
        <v>1505.3</v>
      </c>
      <c r="G34" s="42">
        <f>SUM(G32:G33)</f>
        <v>7.5299999999999994</v>
      </c>
      <c r="H34" s="42"/>
      <c r="I34" s="39"/>
    </row>
    <row r="35" spans="2:9" x14ac:dyDescent="0.2">
      <c r="B35" s="23" t="s">
        <v>74</v>
      </c>
      <c r="C35" s="24"/>
      <c r="D35" s="24"/>
      <c r="E35" s="24"/>
      <c r="F35" s="25"/>
      <c r="G35" s="25"/>
      <c r="H35" s="25"/>
    </row>
    <row r="36" spans="2:9" x14ac:dyDescent="0.2">
      <c r="B36" s="44" t="s">
        <v>75</v>
      </c>
      <c r="C36" s="44" t="s">
        <v>76</v>
      </c>
      <c r="D36" s="44" t="s">
        <v>74</v>
      </c>
      <c r="E36" s="45">
        <v>1059.925</v>
      </c>
      <c r="F36" s="46">
        <v>120.68</v>
      </c>
      <c r="G36" s="46">
        <v>0.6</v>
      </c>
      <c r="H36" s="46">
        <v>5.62</v>
      </c>
    </row>
    <row r="37" spans="2:9" x14ac:dyDescent="0.2">
      <c r="B37" s="47" t="s">
        <v>58</v>
      </c>
      <c r="C37" s="47"/>
      <c r="D37" s="47"/>
      <c r="E37" s="47"/>
      <c r="F37" s="42">
        <f>SUM(F36:F36)</f>
        <v>120.68</v>
      </c>
      <c r="G37" s="42">
        <f>SUM(G36:G36)</f>
        <v>0.6</v>
      </c>
      <c r="H37" s="42"/>
      <c r="I37" s="39"/>
    </row>
    <row r="38" spans="2:9" x14ac:dyDescent="0.2">
      <c r="B38" s="23" t="s">
        <v>77</v>
      </c>
      <c r="C38" s="24"/>
      <c r="D38" s="24"/>
      <c r="E38" s="24"/>
      <c r="F38" s="25"/>
      <c r="G38" s="25"/>
      <c r="H38" s="25"/>
    </row>
    <row r="39" spans="2:9" x14ac:dyDescent="0.2">
      <c r="B39" s="24" t="s">
        <v>77</v>
      </c>
      <c r="C39" s="24"/>
      <c r="D39" s="24"/>
      <c r="E39" s="24"/>
      <c r="F39" s="25">
        <v>1461.48</v>
      </c>
      <c r="G39" s="25">
        <v>7.31</v>
      </c>
      <c r="H39" s="25"/>
    </row>
    <row r="40" spans="2:9" x14ac:dyDescent="0.2">
      <c r="B40" s="36" t="s">
        <v>57</v>
      </c>
      <c r="C40" s="36"/>
      <c r="D40" s="36"/>
      <c r="E40" s="36"/>
      <c r="F40" s="37">
        <f>SUM(F38:F39)</f>
        <v>1461.48</v>
      </c>
      <c r="G40" s="37">
        <f>SUM(G38:G39)</f>
        <v>7.31</v>
      </c>
      <c r="H40" s="38"/>
      <c r="I40" s="39"/>
    </row>
    <row r="41" spans="2:9" x14ac:dyDescent="0.2">
      <c r="B41" s="48" t="s">
        <v>58</v>
      </c>
      <c r="C41" s="48"/>
      <c r="D41" s="48"/>
      <c r="E41" s="48"/>
      <c r="F41" s="49">
        <f>F40</f>
        <v>1461.48</v>
      </c>
      <c r="G41" s="49">
        <f>G40</f>
        <v>7.31</v>
      </c>
      <c r="H41" s="49"/>
      <c r="I41" s="39"/>
    </row>
    <row r="42" spans="2:9" x14ac:dyDescent="0.2">
      <c r="B42" s="50" t="s">
        <v>78</v>
      </c>
      <c r="C42" s="50"/>
      <c r="D42" s="50"/>
      <c r="E42" s="50"/>
      <c r="F42" s="51">
        <f>F43-(+F22+F30+F34+F37+F41)</f>
        <v>102.37000000000262</v>
      </c>
      <c r="G42" s="51">
        <f>G43-(+G22+G30+G34+G37+G41)</f>
        <v>0.51000000000000512</v>
      </c>
      <c r="H42" s="51"/>
      <c r="I42" s="39"/>
    </row>
    <row r="43" spans="2:9" x14ac:dyDescent="0.2">
      <c r="B43" s="50" t="s">
        <v>79</v>
      </c>
      <c r="C43" s="50"/>
      <c r="D43" s="50"/>
      <c r="E43" s="50"/>
      <c r="F43" s="51">
        <v>19990.41</v>
      </c>
      <c r="G43" s="51">
        <v>100</v>
      </c>
      <c r="H43" s="51"/>
      <c r="I43" s="39"/>
    </row>
    <row r="45" spans="2:9" x14ac:dyDescent="0.2">
      <c r="B45" s="39" t="s">
        <v>80</v>
      </c>
    </row>
    <row r="46" spans="2:9" x14ac:dyDescent="0.2">
      <c r="B46" s="39" t="s">
        <v>81</v>
      </c>
    </row>
    <row r="47" spans="2:9" ht="12.75" thickBot="1" x14ac:dyDescent="0.25"/>
    <row r="48" spans="2:9" ht="13.5" thickTop="1" thickBot="1" x14ac:dyDescent="0.25">
      <c r="B48" s="52" t="s">
        <v>82</v>
      </c>
      <c r="C48" s="53">
        <v>2.9552999999999998</v>
      </c>
    </row>
    <row r="49" spans="2:3" ht="13.5" thickTop="1" thickBot="1" x14ac:dyDescent="0.25"/>
    <row r="50" spans="2:3" ht="13.5" thickTop="1" thickBot="1" x14ac:dyDescent="0.25">
      <c r="B50" s="52" t="s">
        <v>83</v>
      </c>
      <c r="C50" s="54">
        <v>6.6400000000000001E-2</v>
      </c>
    </row>
    <row r="51" spans="2:3" ht="13.5" thickTop="1" thickBot="1" x14ac:dyDescent="0.25"/>
    <row r="52" spans="2:3" ht="13.5" thickTop="1" thickBot="1" x14ac:dyDescent="0.25">
      <c r="B52" s="52" t="s">
        <v>84</v>
      </c>
      <c r="C52" s="53">
        <v>3.1179000000000001</v>
      </c>
    </row>
    <row r="53" spans="2:3" ht="12.75" thickTop="1" x14ac:dyDescent="0.2"/>
    <row r="54" spans="2:3" x14ac:dyDescent="0.2">
      <c r="B54" s="39" t="s">
        <v>85</v>
      </c>
    </row>
    <row r="56" spans="2:3" ht="15" x14ac:dyDescent="0.25">
      <c r="B56" s="55" t="s">
        <v>86</v>
      </c>
    </row>
  </sheetData>
  <mergeCells count="21">
    <mergeCell ref="P11:P12"/>
    <mergeCell ref="Q11:Q12"/>
    <mergeCell ref="R11:R12"/>
    <mergeCell ref="S11:S12"/>
    <mergeCell ref="Q7:Q8"/>
    <mergeCell ref="R7:R8"/>
    <mergeCell ref="S7:S8"/>
    <mergeCell ref="P9:P10"/>
    <mergeCell ref="Q9:Q10"/>
    <mergeCell ref="R9:R10"/>
    <mergeCell ref="S9:S10"/>
    <mergeCell ref="B1:H1"/>
    <mergeCell ref="P4:S4"/>
    <mergeCell ref="K5:K12"/>
    <mergeCell ref="L5:L12"/>
    <mergeCell ref="M5:M12"/>
    <mergeCell ref="N5:N12"/>
    <mergeCell ref="Q5:Q6"/>
    <mergeCell ref="R5:R6"/>
    <mergeCell ref="S5:S6"/>
    <mergeCell ref="P7:P8"/>
  </mergeCells>
  <hyperlinks>
    <hyperlink ref="B56" r:id="rId1" display="https://apc01.safelinks.protection.outlook.com/?url=https%3A%2F%2Fwww.canararobeco.com%2Fimages%2Fdefault-source%2Fdefault-album%2FScheme_Performance_September_25.pdf&amp;data=05%7C02%7C%7C4ae95413159841e822d808de0575e26b%7C6fa82c0314f040c8895a63736b6313f0%7C0%7C0%7C638954201079550129%7CUnknown%7CTWFpbGZsb3d8eyJFbXB0eU1hcGkiOnRydWUsIlYiOiIwLjAuMDAwMCIsIlAiOiJXaW4zMiIsIkFOIjoiTWFpbCIsIldUIjoyfQ%3D%3D%7C0%7C%7C%7C&amp;sdata=WB1qq6mgP3ljsqTDZLskoc3lQPLlpUZZn2LV9ydbelc%3D&amp;reserved=0" xr:uid="{2F61A4D0-C70D-4F36-9664-1DF3B3E38723}"/>
  </hyperlinks>
  <pageMargins left="0.7" right="0.7" top="0.75" bottom="0.75" header="0.3" footer="0.3"/>
  <pageSetup paperSize="9" orientation="portrait" r:id="rId2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2025-10-09 11:53:23</KDate>
  <Classification>MIS Internal</Classification>
  <Subclassification/>
  <HostName>MUMCMP01323</HostName>
  <Domain_User>CANARAROBECOMF/628</Domain_User>
  <IPAdd>192.9.198.196</IPAdd>
  <FilePath>Book26</FilePath>
  <KID>109819A0F0A5638956076032529968</KID>
  <UniqueName/>
  <Suggested/>
  <Justification/>
</Klassify>
</file>

<file path=customXml/itemProps1.xml><?xml version="1.0" encoding="utf-8"?>
<ds:datastoreItem xmlns:ds="http://schemas.openxmlformats.org/officeDocument/2006/customXml" ds:itemID="{F97D3FF8-1AFD-4E02-AB74-851773361D0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2025-10-09T06:23:22Z</dcterms:created>
  <dcterms:modified xsi:type="dcterms:W3CDTF">2025-10-09T06:23:24Z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109819A0F0A5638956076032529968</vt:lpwstr>
  </property>
</Properties>
</file>